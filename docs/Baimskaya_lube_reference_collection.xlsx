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ompartments" sheetId="2" state="visible" r:id="rId2"/>
    <sheet name="Products in use" sheetId="3" state="visible" r:id="rId3"/>
    <sheet name="Register gaps" sheetId="4" state="visible" r:id="rId4"/>
    <sheet name="Site" sheetId="5" state="visible" r:id="rId5"/>
  </sheets>
  <definedNames>
    <definedName name="_xlnm._FilterDatabase" localSheetId="1" hidden="1">'Compartments'!$A$1:$R$266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B686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9"/>
    </font>
    <font>
      <name val="Arial"/>
      <color rgb="000000FF"/>
      <sz val="10"/>
    </font>
    <font>
      <name val="Arial"/>
      <color rgb="000C8A3E"/>
      <sz val="10"/>
    </font>
  </fonts>
  <fills count="6">
    <fill>
      <patternFill/>
    </fill>
    <fill>
      <patternFill patternType="gray125"/>
    </fill>
    <fill>
      <patternFill patternType="solid">
        <fgColor rgb="008A4526"/>
      </patternFill>
    </fill>
    <fill>
      <patternFill patternType="solid">
        <fgColor rgb="00F1F4F5"/>
      </patternFill>
    </fill>
    <fill>
      <patternFill patternType="solid">
        <fgColor rgb="00E7F4EC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D6DDE1"/>
      </left>
      <right style="thin">
        <color rgb="00D6DDE1"/>
      </right>
      <top style="thin">
        <color rgb="00D6DDE1"/>
      </top>
      <bottom style="thin">
        <color rgb="00D6DD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5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3" fillId="0" borderId="1" pivotButton="0" quotePrefix="0" xfId="0"/>
    <xf numFmtId="0" fontId="7" fillId="4" borderId="1" pivotButton="0" quotePrefix="0" xfId="0"/>
    <xf numFmtId="0" fontId="3" fillId="4" borderId="1" pivotButton="0" quotePrefix="0" xfId="0"/>
    <xf numFmtId="164" fontId="3" fillId="4" borderId="1" pivotButton="0" quotePrefix="0" xfId="0"/>
    <xf numFmtId="0" fontId="2" fillId="4" borderId="1" pivotButton="0" quotePrefix="0" xfId="0"/>
    <xf numFmtId="0" fontId="3" fillId="0" borderId="1" applyAlignment="1" pivotButton="0" quotePrefix="0" xfId="0">
      <alignment horizontal="center"/>
    </xf>
    <xf numFmtId="164" fontId="7" fillId="4" borderId="1" pivotButton="0" quotePrefix="0" xfId="0"/>
    <xf numFmtId="0" fontId="3" fillId="5" borderId="1" pivotButton="0" quotePrefix="0" xfId="0"/>
    <xf numFmtId="164" fontId="3" fillId="5" borderId="1" pivotButton="0" quotePrefix="0" xfId="0"/>
    <xf numFmtId="0" fontId="2" fillId="5" borderId="1" pivotButton="0" quotePrefix="0" xfId="0"/>
    <xf numFmtId="0" fontId="7" fillId="3" borderId="1" pivotButton="0" quotePrefix="0" xfId="0"/>
    <xf numFmtId="0" fontId="5" fillId="2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2" customWidth="1" min="3" max="3"/>
  </cols>
  <sheetData>
    <row r="1">
      <c r="A1" s="1" t="inlineStr">
        <is>
          <t>Baimskaya — lubrication reference collection</t>
        </is>
      </c>
    </row>
    <row r="2">
      <c r="A2" s="2" t="inlineStr">
        <is>
          <t>Карта сбора данных по смазочным материалам</t>
        </is>
      </c>
    </row>
    <row r="3">
      <c r="A3" s="3" t="inlineStr"/>
    </row>
    <row r="4">
      <c r="A4" s="4" t="inlineStr">
        <is>
          <t>Fill in the YELLOW cells only</t>
        </is>
      </c>
    </row>
    <row r="5">
      <c r="A5" s="3" t="inlineStr">
        <is>
          <t>Grey columns come from the app's own asset register. GREEN rows are already sourced —</t>
        </is>
      </c>
    </row>
    <row r="6">
      <c r="A6" s="3" t="inlineStr">
        <is>
          <t>leave them alone unless you think they are wrong.</t>
        </is>
      </c>
    </row>
    <row r="7">
      <c r="A7" s="3" t="inlineStr"/>
    </row>
    <row r="8">
      <c r="A8" s="4" t="inlineStr">
        <is>
          <t>Four rules that decide whether the data is usable</t>
        </is>
      </c>
    </row>
    <row r="9">
      <c r="A9" s="3" t="inlineStr">
        <is>
          <t>1.  Capacity is the REFILL quantity — what goes in at a service, with the filter changed.</t>
        </is>
      </c>
    </row>
    <row r="10">
      <c r="A10" s="3" t="inlineStr">
        <is>
          <t xml:space="preserve">     Not the dry fill, not the sump volume. They differ by up to 20%, and the wrong one</t>
        </is>
      </c>
    </row>
    <row r="11">
      <c r="A11" s="3" t="inlineStr">
        <is>
          <t xml:space="preserve">     over-fills a final drive and blows the seal.</t>
        </is>
      </c>
    </row>
    <row r="12">
      <c r="A12" s="3" t="inlineStr">
        <is>
          <t>2.  Copy the specification VERBATIM: "API CK-4 / Komatsu EO-DH", not "engine oil".</t>
        </is>
      </c>
    </row>
    <row r="13">
      <c r="A13" s="3" t="inlineStr">
        <is>
          <t xml:space="preserve">     The exact string is what gets matched against what a product claims.</t>
        </is>
      </c>
    </row>
    <row r="14">
      <c r="A14" s="3" t="inlineStr">
        <is>
          <t>3.  A figure with no document and page shows as unsourced on the dashboard. That is</t>
        </is>
      </c>
    </row>
    <row r="15">
      <c r="A15" s="3" t="inlineStr">
        <is>
          <t xml:space="preserve">     deliberate — an unsourced capacity is a guess somebody will later trust.</t>
        </is>
      </c>
    </row>
    <row r="16">
      <c r="A16" s="3" t="inlineStr">
        <is>
          <t>4.  If a compartment is not fitted, put N in "Fitted?". Blank means "nobody has looked",</t>
        </is>
      </c>
    </row>
    <row r="17">
      <c r="A17" s="3" t="inlineStr">
        <is>
          <t xml:space="preserve">     which is a different state and is counted differently.</t>
        </is>
      </c>
    </row>
    <row r="18">
      <c r="A18" s="3" t="inlineStr"/>
    </row>
    <row r="19">
      <c r="A19" s="4" t="inlineStr">
        <is>
          <t>You can start auditing before this is finished</t>
        </is>
      </c>
    </row>
    <row r="20">
      <c r="A20" s="3" t="inlineStr">
        <is>
          <t>Recording WHAT OIL IS IN a compartment needs none of these figures. The capacity is for</t>
        </is>
      </c>
    </row>
    <row r="21">
      <c r="A21" s="3" t="inlineStr">
        <is>
          <t>topping up. The app is built so field work does not wait on this spreadsheet.</t>
        </is>
      </c>
    </row>
    <row r="22">
      <c r="A22" s="3" t="inlineStr"/>
    </row>
    <row r="23">
      <c r="A23" s="4" t="inlineStr">
        <is>
          <t>Out of scope for now</t>
        </is>
      </c>
    </row>
    <row r="24">
      <c r="A24" s="3" t="inlineStr">
        <is>
          <t>Grease points, coolant and fuel. Grease is a real programme but a separate one — it is</t>
        </is>
      </c>
    </row>
    <row r="25">
      <c r="A25" s="3" t="inlineStr">
        <is>
          <t>measured in points and intervals, not litres and specifications. Say if you want it.</t>
        </is>
      </c>
    </row>
    <row r="27">
      <c r="A27" s="4" t="inlineStr">
        <is>
          <t>Progress — live, from the Compartments sheet</t>
        </is>
      </c>
    </row>
    <row r="28">
      <c r="A28" s="3" t="inlineStr">
        <is>
          <t>Rows in the workbook</t>
        </is>
      </c>
      <c r="C28" s="5">
        <f>COUNTA(Compartments!D2:D400)</f>
        <v/>
      </c>
    </row>
    <row r="29">
      <c r="A29" s="3" t="inlineStr">
        <is>
          <t>Complete (four facts + a source)</t>
        </is>
      </c>
      <c r="C29" s="5">
        <f>COUNTIF(Compartments!R2:R400,"complete")</f>
        <v/>
      </c>
    </row>
    <row r="30">
      <c r="A30" s="3" t="inlineStr">
        <is>
          <t>Incomplete</t>
        </is>
      </c>
      <c r="C30" s="5">
        <f>COUNTIF(Compartments!R2:R400,"incomplete")</f>
        <v/>
      </c>
    </row>
    <row r="31">
      <c r="A31" s="3" t="inlineStr">
        <is>
          <t>Filled in but unsourced</t>
        </is>
      </c>
      <c r="C31" s="5">
        <f>COUNTIF(Compartments!R2:R400,"no source")</f>
        <v/>
      </c>
    </row>
    <row r="32">
      <c r="A32" s="3" t="inlineStr">
        <is>
          <t>Marked not fitted</t>
        </is>
      </c>
      <c r="C32" s="5">
        <f>COUNTIF(Compartments!R2:R400,"not fitted")</f>
        <v/>
      </c>
    </row>
    <row r="33">
      <c r="A33" s="3" t="inlineStr">
        <is>
          <t>Not started</t>
        </is>
      </c>
      <c r="C33" s="5">
        <f>COUNTIF(Compartments!R2:R400,"not started")</f>
        <v/>
      </c>
    </row>
    <row r="34">
      <c r="A34" s="3" t="inlineStr">
        <is>
          <t>Units covered by complete rows</t>
        </is>
      </c>
      <c r="C34" s="5">
        <f>SUMPRODUCT((Compartments!R2:R400="complete")*Compartments!C2:C400)</f>
        <v/>
      </c>
    </row>
    <row r="36">
      <c r="A36" s="2" t="inlineStr">
        <is>
          <t>These are live formulas. They fill in when you open this in Excel or Google Sheets — a blank there is not a fault.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7" customWidth="1" min="3" max="3"/>
    <col width="7" customWidth="1" min="4" max="4"/>
    <col width="32" customWidth="1" min="5" max="5"/>
    <col width="30" customWidth="1" min="6" max="6"/>
    <col width="8" customWidth="1" min="7" max="7"/>
    <col width="9" customWidth="1" min="8" max="8"/>
    <col width="34" customWidth="1" min="9" max="9"/>
    <col width="10" customWidth="1" min="10" max="10"/>
    <col width="20" customWidth="1" min="11" max="11"/>
    <col width="20" customWidth="1" min="12" max="12"/>
    <col width="26" customWidth="1" min="13" max="13"/>
    <col width="8" customWidth="1" min="14" max="14"/>
    <col width="14" customWidth="1" min="15" max="15"/>
    <col width="12" customWidth="1" min="16" max="16"/>
    <col width="30" customWidth="1" min="17" max="17"/>
    <col width="13" customWidth="1" min="18" max="18"/>
  </cols>
  <sheetData>
    <row r="1" ht="40" customHeight="1">
      <c r="A1" s="6" t="inlineStr">
        <is>
          <t>Class</t>
        </is>
      </c>
      <c r="B1" s="6" t="inlineStr">
        <is>
          <t>Model</t>
        </is>
      </c>
      <c r="C1" s="6" t="inlineStr">
        <is>
          <t>Units</t>
        </is>
      </c>
      <c r="D1" s="6" t="inlineStr">
        <is>
          <t>Code</t>
        </is>
      </c>
      <c r="E1" s="6" t="inlineStr">
        <is>
          <t>Compartment (EN)</t>
        </is>
      </c>
      <c r="F1" s="6" t="inlineStr">
        <is>
          <t>Compartment (RU)</t>
        </is>
      </c>
      <c r="G1" s="6" t="inlineStr">
        <is>
          <t>Fitted?</t>
        </is>
      </c>
      <c r="H1" s="6" t="inlineStr">
        <is>
          <t>Refill L</t>
        </is>
      </c>
      <c r="I1" s="6" t="inlineStr">
        <is>
          <t>OEM specification (verbatim)</t>
        </is>
      </c>
      <c r="J1" s="6" t="inlineStr">
        <is>
          <t>Interval h</t>
        </is>
      </c>
      <c r="K1" s="6" t="inlineStr">
        <is>
          <t>Grade — winter (≤ −20 °C)</t>
        </is>
      </c>
      <c r="L1" s="6" t="inlineStr">
        <is>
          <t>Grade — summer (&gt; −20 °C)</t>
        </is>
      </c>
      <c r="M1" s="6" t="inlineStr">
        <is>
          <t>Manual document</t>
        </is>
      </c>
      <c r="N1" s="6" t="inlineStr">
        <is>
          <t>Page</t>
        </is>
      </c>
      <c r="O1" s="6" t="inlineStr">
        <is>
          <t>Checked by</t>
        </is>
      </c>
      <c r="P1" s="6" t="inlineStr">
        <is>
          <t>Date</t>
        </is>
      </c>
      <c r="Q1" s="6" t="inlineStr">
        <is>
          <t>Notes</t>
        </is>
      </c>
      <c r="R1" s="6" t="inlineStr">
        <is>
          <t>Status</t>
        </is>
      </c>
    </row>
    <row r="2">
      <c r="A2" s="7" t="inlineStr">
        <is>
          <t>AT</t>
        </is>
      </c>
      <c r="B2" s="7" t="inlineStr">
        <is>
          <t>KOMATSU</t>
        </is>
      </c>
      <c r="C2" s="7" t="n">
        <v>27</v>
      </c>
      <c r="D2" s="8" t="inlineStr">
        <is>
          <t>ENG</t>
        </is>
      </c>
      <c r="E2" s="8" t="inlineStr">
        <is>
          <t>Engine</t>
        </is>
      </c>
      <c r="F2" s="8" t="inlineStr">
        <is>
          <t>Двигатель</t>
        </is>
      </c>
      <c r="G2" s="9" t="inlineStr">
        <is>
          <t>Y</t>
        </is>
      </c>
      <c r="H2" s="9" t="n">
        <v>38</v>
      </c>
      <c r="I2" s="9" t="inlineStr">
        <is>
          <t>API CK-4 / Komatsu EO-DH</t>
        </is>
      </c>
      <c r="J2" s="9" t="n">
        <v>500</v>
      </c>
      <c r="K2" s="9" t="inlineStr">
        <is>
          <t>5W-40 synth</t>
        </is>
      </c>
      <c r="L2" s="9" t="inlineStr">
        <is>
          <t>15W-40</t>
        </is>
      </c>
      <c r="M2" s="10" t="n"/>
      <c r="N2" s="10" t="n"/>
      <c r="O2" s="10" t="n"/>
      <c r="P2" s="11" t="n"/>
      <c r="Q2" s="12" t="inlineStr">
        <is>
          <t>Register says KOMATSU; identified as KOMATSU HM400 by R. Marrero</t>
        </is>
      </c>
      <c r="R2" s="13">
        <f>IF(UPPER(G2)="N","not fitted",IF(AND(H2="",I2="",J2=""),"not started",IF(OR(H2="",I2="",J2=""),"incomplete",IF(OR(M2="",N2=""),"no source","complete"))))</f>
        <v/>
      </c>
    </row>
    <row r="3">
      <c r="A3" s="7" t="inlineStr">
        <is>
          <t>AT</t>
        </is>
      </c>
      <c r="B3" s="7" t="inlineStr">
        <is>
          <t>KOMATSU</t>
        </is>
      </c>
      <c r="C3" s="7" t="n">
        <v>27</v>
      </c>
      <c r="D3" s="8" t="inlineStr">
        <is>
          <t>TRN</t>
        </is>
      </c>
      <c r="E3" s="8" t="inlineStr">
        <is>
          <t>Transmission</t>
        </is>
      </c>
      <c r="F3" s="8" t="inlineStr">
        <is>
          <t>Трансмиссия</t>
        </is>
      </c>
      <c r="G3" s="9" t="inlineStr">
        <is>
          <t>Y</t>
        </is>
      </c>
      <c r="H3" s="9" t="n">
        <v>60</v>
      </c>
      <c r="I3" s="9" t="inlineStr">
        <is>
          <t>KES 07.868.1 (TO-4 class)</t>
        </is>
      </c>
      <c r="J3" s="9" t="n">
        <v>2000</v>
      </c>
      <c r="K3" s="9" t="inlineStr">
        <is>
          <t>SAE 10W</t>
        </is>
      </c>
      <c r="L3" s="9" t="inlineStr">
        <is>
          <t>SAE 30</t>
        </is>
      </c>
      <c r="M3" s="9" t="inlineStr">
        <is>
          <t>Komatsu SEN06084-01 p.4-12</t>
        </is>
      </c>
      <c r="N3" s="9" t="inlineStr">
        <is>
          <t>see doc</t>
        </is>
      </c>
      <c r="O3" s="9" t="inlineStr">
        <is>
          <t>R. Marrero</t>
        </is>
      </c>
      <c r="P3" s="14" t="inlineStr">
        <is>
          <t>2026-08-14</t>
        </is>
      </c>
      <c r="Q3" s="12" t="inlineStr">
        <is>
          <t>Register says KOMATSU; identified as KOMATSU HM400 by R. Marrero</t>
        </is>
      </c>
      <c r="R3" s="13">
        <f>IF(UPPER(G3)="N","not fitted",IF(AND(H3="",I3="",J3=""),"not started",IF(OR(H3="",I3="",J3=""),"incomplete",IF(OR(M3="",N3=""),"no source","complete"))))</f>
        <v/>
      </c>
    </row>
    <row r="4">
      <c r="A4" s="7" t="inlineStr">
        <is>
          <t>AT</t>
        </is>
      </c>
      <c r="B4" s="7" t="inlineStr">
        <is>
          <t>KOMATSU</t>
        </is>
      </c>
      <c r="C4" s="7" t="n">
        <v>27</v>
      </c>
      <c r="D4" s="8" t="inlineStr">
        <is>
          <t>HYD</t>
        </is>
      </c>
      <c r="E4" s="8" t="inlineStr">
        <is>
          <t>Hydraulic</t>
        </is>
      </c>
      <c r="F4" s="8" t="inlineStr">
        <is>
          <t>Гидравлика</t>
        </is>
      </c>
      <c r="G4" s="9" t="inlineStr">
        <is>
          <t>Y</t>
        </is>
      </c>
      <c r="H4" s="9" t="n">
        <v>150</v>
      </c>
      <c r="I4" s="9" t="inlineStr">
        <is>
          <t>KES 07.859 / ISO VG</t>
        </is>
      </c>
      <c r="J4" s="9" t="n">
        <v>4000</v>
      </c>
      <c r="K4" s="10" t="n"/>
      <c r="L4" s="9" t="inlineStr">
        <is>
          <t>ISO VG 32</t>
        </is>
      </c>
      <c r="M4" s="10" t="n"/>
      <c r="N4" s="10" t="n"/>
      <c r="O4" s="10" t="n"/>
      <c r="P4" s="11" t="n"/>
      <c r="Q4" s="12" t="inlineStr">
        <is>
          <t>Register says KOMATSU; identified as KOMATSU HM400 by R. Marrero</t>
        </is>
      </c>
      <c r="R4" s="13">
        <f>IF(UPPER(G4)="N","not fitted",IF(AND(H4="",I4="",J4=""),"not started",IF(OR(H4="",I4="",J4=""),"incomplete",IF(OR(M4="",N4=""),"no source","complete"))))</f>
        <v/>
      </c>
    </row>
    <row r="5">
      <c r="A5" s="7" t="inlineStr">
        <is>
          <t>AT</t>
        </is>
      </c>
      <c r="B5" s="7" t="inlineStr">
        <is>
          <t>KOMATSU</t>
        </is>
      </c>
      <c r="C5" s="7" t="n">
        <v>27</v>
      </c>
      <c r="D5" s="8" t="inlineStr">
        <is>
          <t>FDL</t>
        </is>
      </c>
      <c r="E5" s="8" t="inlineStr">
        <is>
          <t>Final drive</t>
        </is>
      </c>
      <c r="F5" s="8" t="inlineStr">
        <is>
          <t>Бортовой редуктор</t>
        </is>
      </c>
      <c r="G5" s="9" t="inlineStr">
        <is>
          <t>Y</t>
        </is>
      </c>
      <c r="H5" s="9" t="n">
        <v>22</v>
      </c>
      <c r="I5" s="9" t="inlineStr">
        <is>
          <t>API GL-5 / KES 07.869</t>
        </is>
      </c>
      <c r="J5" s="9" t="n">
        <v>2000</v>
      </c>
      <c r="K5" s="9" t="inlineStr">
        <is>
          <t>75W-90 synth</t>
        </is>
      </c>
      <c r="L5" s="9" t="inlineStr">
        <is>
          <t>80W-90</t>
        </is>
      </c>
      <c r="M5" s="10" t="n"/>
      <c r="N5" s="10" t="n"/>
      <c r="O5" s="10" t="n"/>
      <c r="P5" s="11" t="n"/>
      <c r="Q5" s="12" t="inlineStr">
        <is>
          <t>Register says KOMATSU; identified as KOMATSU HM400 by R. Marrero</t>
        </is>
      </c>
      <c r="R5" s="13">
        <f>IF(UPPER(G5)="N","not fitted",IF(AND(H5="",I5="",J5=""),"not started",IF(OR(H5="",I5="",J5=""),"incomplete",IF(OR(M5="",N5=""),"no source","complete"))))</f>
        <v/>
      </c>
    </row>
    <row r="6">
      <c r="A6" s="7" t="inlineStr">
        <is>
          <t>AT</t>
        </is>
      </c>
      <c r="B6" s="7" t="inlineStr">
        <is>
          <t>KOMATSU</t>
        </is>
      </c>
      <c r="C6" s="7" t="n">
        <v>27</v>
      </c>
      <c r="D6" s="8" t="inlineStr">
        <is>
          <t>DIFF</t>
        </is>
      </c>
      <c r="E6" s="8" t="inlineStr">
        <is>
          <t>Differential</t>
        </is>
      </c>
      <c r="F6" s="8" t="inlineStr">
        <is>
          <t>Дифференциал</t>
        </is>
      </c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6" t="n"/>
      <c r="Q6" s="17" t="inlineStr">
        <is>
          <t>Register says KOMATSU; identified as KOMATSU HM400 by R. Marrero</t>
        </is>
      </c>
      <c r="R6" s="13">
        <f>IF(UPPER(G6)="N","not fitted",IF(AND(H6="",I6="",J6=""),"not started",IF(OR(H6="",I6="",J6=""),"incomplete",IF(OR(M6="",N6=""),"no source","complete"))))</f>
        <v/>
      </c>
    </row>
    <row r="7">
      <c r="A7" s="7" t="inlineStr">
        <is>
          <t>AT</t>
        </is>
      </c>
      <c r="B7" s="7" t="inlineStr">
        <is>
          <t>KOMATSU</t>
        </is>
      </c>
      <c r="C7" s="7" t="n">
        <v>27</v>
      </c>
      <c r="D7" s="8" t="inlineStr">
        <is>
          <t>TCASE</t>
        </is>
      </c>
      <c r="E7" s="8" t="inlineStr">
        <is>
          <t>Transfer case</t>
        </is>
      </c>
      <c r="F7" s="8" t="inlineStr">
        <is>
          <t>Раздаточная коробка</t>
        </is>
      </c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6" t="n"/>
      <c r="Q7" s="17" t="inlineStr">
        <is>
          <t>Register says KOMATSU; identified as KOMATSU HM400 by R. Marrero</t>
        </is>
      </c>
      <c r="R7" s="13">
        <f>IF(UPPER(G7)="N","not fitted",IF(AND(H7="",I7="",J7=""),"not started",IF(OR(H7="",I7="",J7=""),"incomplete",IF(OR(M7="",N7=""),"no source","complete"))))</f>
        <v/>
      </c>
    </row>
    <row r="8">
      <c r="A8" s="7" t="inlineStr">
        <is>
          <t>AT</t>
        </is>
      </c>
      <c r="B8" s="7" t="inlineStr">
        <is>
          <t>KOMATSU HM400</t>
        </is>
      </c>
      <c r="C8" s="7" t="n">
        <v>1</v>
      </c>
      <c r="D8" s="8" t="inlineStr">
        <is>
          <t>ENG</t>
        </is>
      </c>
      <c r="E8" s="8" t="inlineStr">
        <is>
          <t>Engine</t>
        </is>
      </c>
      <c r="F8" s="8" t="inlineStr">
        <is>
          <t>Двигатель</t>
        </is>
      </c>
      <c r="G8" s="9" t="inlineStr">
        <is>
          <t>Y</t>
        </is>
      </c>
      <c r="H8" s="9" t="n">
        <v>38</v>
      </c>
      <c r="I8" s="9" t="inlineStr">
        <is>
          <t>API CK-4 / Komatsu EO-DH</t>
        </is>
      </c>
      <c r="J8" s="9" t="n">
        <v>500</v>
      </c>
      <c r="K8" s="9" t="inlineStr">
        <is>
          <t>5W-40 synth</t>
        </is>
      </c>
      <c r="L8" s="9" t="inlineStr">
        <is>
          <t>15W-40</t>
        </is>
      </c>
      <c r="M8" s="10" t="n"/>
      <c r="N8" s="10" t="n"/>
      <c r="O8" s="10" t="n"/>
      <c r="P8" s="11" t="n"/>
      <c r="Q8" s="10" t="n"/>
      <c r="R8" s="13">
        <f>IF(UPPER(G8)="N","not fitted",IF(AND(H8="",I8="",J8=""),"not started",IF(OR(H8="",I8="",J8=""),"incomplete",IF(OR(M8="",N8=""),"no source","complete"))))</f>
        <v/>
      </c>
    </row>
    <row r="9">
      <c r="A9" s="7" t="inlineStr">
        <is>
          <t>AT</t>
        </is>
      </c>
      <c r="B9" s="7" t="inlineStr">
        <is>
          <t>KOMATSU HM400</t>
        </is>
      </c>
      <c r="C9" s="7" t="n">
        <v>1</v>
      </c>
      <c r="D9" s="8" t="inlineStr">
        <is>
          <t>TRN</t>
        </is>
      </c>
      <c r="E9" s="8" t="inlineStr">
        <is>
          <t>Transmission</t>
        </is>
      </c>
      <c r="F9" s="8" t="inlineStr">
        <is>
          <t>Трансмиссия</t>
        </is>
      </c>
      <c r="G9" s="9" t="inlineStr">
        <is>
          <t>Y</t>
        </is>
      </c>
      <c r="H9" s="9" t="n">
        <v>60</v>
      </c>
      <c r="I9" s="9" t="inlineStr">
        <is>
          <t>KES 07.868.1 (TO-4 class)</t>
        </is>
      </c>
      <c r="J9" s="9" t="n">
        <v>2000</v>
      </c>
      <c r="K9" s="9" t="inlineStr">
        <is>
          <t>SAE 10W</t>
        </is>
      </c>
      <c r="L9" s="9" t="inlineStr">
        <is>
          <t>SAE 30</t>
        </is>
      </c>
      <c r="M9" s="9" t="inlineStr">
        <is>
          <t>Komatsu SEN06084-01 p.4-12</t>
        </is>
      </c>
      <c r="N9" s="9" t="inlineStr">
        <is>
          <t>see doc</t>
        </is>
      </c>
      <c r="O9" s="9" t="inlineStr">
        <is>
          <t>R. Marrero</t>
        </is>
      </c>
      <c r="P9" s="14" t="inlineStr">
        <is>
          <t>2026-08-14</t>
        </is>
      </c>
      <c r="Q9" s="10" t="n"/>
      <c r="R9" s="13">
        <f>IF(UPPER(G9)="N","not fitted",IF(AND(H9="",I9="",J9=""),"not started",IF(OR(H9="",I9="",J9=""),"incomplete",IF(OR(M9="",N9=""),"no source","complete"))))</f>
        <v/>
      </c>
    </row>
    <row r="10">
      <c r="A10" s="7" t="inlineStr">
        <is>
          <t>AT</t>
        </is>
      </c>
      <c r="B10" s="7" t="inlineStr">
        <is>
          <t>KOMATSU HM400</t>
        </is>
      </c>
      <c r="C10" s="7" t="n">
        <v>1</v>
      </c>
      <c r="D10" s="8" t="inlineStr">
        <is>
          <t>HYD</t>
        </is>
      </c>
      <c r="E10" s="8" t="inlineStr">
        <is>
          <t>Hydraulic</t>
        </is>
      </c>
      <c r="F10" s="8" t="inlineStr">
        <is>
          <t>Гидравлика</t>
        </is>
      </c>
      <c r="G10" s="9" t="inlineStr">
        <is>
          <t>Y</t>
        </is>
      </c>
      <c r="H10" s="9" t="n">
        <v>150</v>
      </c>
      <c r="I10" s="9" t="inlineStr">
        <is>
          <t>KES 07.859 / ISO VG</t>
        </is>
      </c>
      <c r="J10" s="9" t="n">
        <v>4000</v>
      </c>
      <c r="K10" s="10" t="n"/>
      <c r="L10" s="9" t="inlineStr">
        <is>
          <t>ISO VG 32</t>
        </is>
      </c>
      <c r="M10" s="10" t="n"/>
      <c r="N10" s="10" t="n"/>
      <c r="O10" s="10" t="n"/>
      <c r="P10" s="11" t="n"/>
      <c r="Q10" s="10" t="n"/>
      <c r="R10" s="13">
        <f>IF(UPPER(G10)="N","not fitted",IF(AND(H10="",I10="",J10=""),"not started",IF(OR(H10="",I10="",J10=""),"incomplete",IF(OR(M10="",N10=""),"no source","complete"))))</f>
        <v/>
      </c>
    </row>
    <row r="11">
      <c r="A11" s="7" t="inlineStr">
        <is>
          <t>AT</t>
        </is>
      </c>
      <c r="B11" s="7" t="inlineStr">
        <is>
          <t>KOMATSU HM400</t>
        </is>
      </c>
      <c r="C11" s="7" t="n">
        <v>1</v>
      </c>
      <c r="D11" s="8" t="inlineStr">
        <is>
          <t>FDL</t>
        </is>
      </c>
      <c r="E11" s="8" t="inlineStr">
        <is>
          <t>Final drive</t>
        </is>
      </c>
      <c r="F11" s="8" t="inlineStr">
        <is>
          <t>Бортовой редуктор</t>
        </is>
      </c>
      <c r="G11" s="9" t="inlineStr">
        <is>
          <t>Y</t>
        </is>
      </c>
      <c r="H11" s="9" t="n">
        <v>22</v>
      </c>
      <c r="I11" s="9" t="inlineStr">
        <is>
          <t>API GL-5 / KES 07.869</t>
        </is>
      </c>
      <c r="J11" s="9" t="n">
        <v>2000</v>
      </c>
      <c r="K11" s="9" t="inlineStr">
        <is>
          <t>75W-90 synth</t>
        </is>
      </c>
      <c r="L11" s="9" t="inlineStr">
        <is>
          <t>80W-90</t>
        </is>
      </c>
      <c r="M11" s="10" t="n"/>
      <c r="N11" s="10" t="n"/>
      <c r="O11" s="10" t="n"/>
      <c r="P11" s="11" t="n"/>
      <c r="Q11" s="10" t="n"/>
      <c r="R11" s="13">
        <f>IF(UPPER(G11)="N","not fitted",IF(AND(H11="",I11="",J11=""),"not started",IF(OR(H11="",I11="",J11=""),"incomplete",IF(OR(M11="",N11=""),"no source","complete"))))</f>
        <v/>
      </c>
    </row>
    <row r="12">
      <c r="A12" s="7" t="inlineStr">
        <is>
          <t>AT</t>
        </is>
      </c>
      <c r="B12" s="7" t="inlineStr">
        <is>
          <t>KOMATSU HM400</t>
        </is>
      </c>
      <c r="C12" s="7" t="n">
        <v>1</v>
      </c>
      <c r="D12" s="8" t="inlineStr">
        <is>
          <t>DIFF</t>
        </is>
      </c>
      <c r="E12" s="8" t="inlineStr">
        <is>
          <t>Differential</t>
        </is>
      </c>
      <c r="F12" s="8" t="inlineStr">
        <is>
          <t>Дифференциал</t>
        </is>
      </c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6" t="n"/>
      <c r="Q12" s="15" t="n"/>
      <c r="R12" s="13">
        <f>IF(UPPER(G12)="N","not fitted",IF(AND(H12="",I12="",J12=""),"not started",IF(OR(H12="",I12="",J12=""),"incomplete",IF(OR(M12="",N12=""),"no source","complete"))))</f>
        <v/>
      </c>
    </row>
    <row r="13">
      <c r="A13" s="7" t="inlineStr">
        <is>
          <t>AT</t>
        </is>
      </c>
      <c r="B13" s="7" t="inlineStr">
        <is>
          <t>KOMATSU HM400</t>
        </is>
      </c>
      <c r="C13" s="7" t="n">
        <v>1</v>
      </c>
      <c r="D13" s="8" t="inlineStr">
        <is>
          <t>TCASE</t>
        </is>
      </c>
      <c r="E13" s="8" t="inlineStr">
        <is>
          <t>Transfer case</t>
        </is>
      </c>
      <c r="F13" s="8" t="inlineStr">
        <is>
          <t>Раздаточная коробка</t>
        </is>
      </c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6" t="n"/>
      <c r="Q13" s="15" t="n"/>
      <c r="R13" s="13">
        <f>IF(UPPER(G13)="N","not fitted",IF(AND(H13="",I13="",J13=""),"not started",IF(OR(H13="",I13="",J13=""),"incomplete",IF(OR(M13="",N13=""),"no source","complete"))))</f>
        <v/>
      </c>
    </row>
    <row r="14">
      <c r="A14" s="7" t="inlineStr">
        <is>
          <t>CRC</t>
        </is>
      </c>
      <c r="B14" s="7" t="inlineStr">
        <is>
          <t>NMS MT300MC</t>
        </is>
      </c>
      <c r="C14" s="7" t="n">
        <v>2</v>
      </c>
      <c r="D14" s="8" t="inlineStr">
        <is>
          <t>ENG</t>
        </is>
      </c>
      <c r="E14" s="8" t="inlineStr">
        <is>
          <t>Engine</t>
        </is>
      </c>
      <c r="F14" s="8" t="inlineStr">
        <is>
          <t>Двигатель</t>
        </is>
      </c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6" t="n"/>
      <c r="Q14" s="15" t="n"/>
      <c r="R14" s="13">
        <f>IF(UPPER(G14)="N","not fitted",IF(AND(H14="",I14="",J14=""),"not started",IF(OR(H14="",I14="",J14=""),"incomplete",IF(OR(M14="",N14=""),"no source","complete"))))</f>
        <v/>
      </c>
    </row>
    <row r="15">
      <c r="A15" s="7" t="inlineStr">
        <is>
          <t>CRC</t>
        </is>
      </c>
      <c r="B15" s="7" t="inlineStr">
        <is>
          <t>NMS MT300MC</t>
        </is>
      </c>
      <c r="C15" s="7" t="n">
        <v>2</v>
      </c>
      <c r="D15" s="8" t="inlineStr">
        <is>
          <t>HYD</t>
        </is>
      </c>
      <c r="E15" s="8" t="inlineStr">
        <is>
          <t>Hydraulic</t>
        </is>
      </c>
      <c r="F15" s="8" t="inlineStr">
        <is>
          <t>Гидравлика</t>
        </is>
      </c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6" t="n"/>
      <c r="Q15" s="15" t="n"/>
      <c r="R15" s="13">
        <f>IF(UPPER(G15)="N","not fitted",IF(AND(H15="",I15="",J15=""),"not started",IF(OR(H15="",I15="",J15=""),"incomplete",IF(OR(M15="",N15=""),"no source","complete"))))</f>
        <v/>
      </c>
    </row>
    <row r="16">
      <c r="A16" s="7" t="inlineStr">
        <is>
          <t>CRC</t>
        </is>
      </c>
      <c r="B16" s="7" t="inlineStr">
        <is>
          <t>NMS MT300MC</t>
        </is>
      </c>
      <c r="C16" s="7" t="n">
        <v>2</v>
      </c>
      <c r="D16" s="8" t="inlineStr">
        <is>
          <t>MSH</t>
        </is>
      </c>
      <c r="E16" s="8" t="inlineStr">
        <is>
          <t>Main shaft / cone oil</t>
        </is>
      </c>
      <c r="F16" s="8" t="inlineStr">
        <is>
          <t>Главный вал / масло конуса</t>
        </is>
      </c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6" t="n"/>
      <c r="Q16" s="15" t="n"/>
      <c r="R16" s="13">
        <f>IF(UPPER(G16)="N","not fitted",IF(AND(H16="",I16="",J16=""),"not started",IF(OR(H16="",I16="",J16=""),"incomplete",IF(OR(M16="",N16=""),"no source","complete"))))</f>
        <v/>
      </c>
    </row>
    <row r="17">
      <c r="A17" s="7" t="inlineStr">
        <is>
          <t>CRC</t>
        </is>
      </c>
      <c r="B17" s="7" t="inlineStr">
        <is>
          <t>NMS MT300MC</t>
        </is>
      </c>
      <c r="C17" s="7" t="n">
        <v>2</v>
      </c>
      <c r="D17" s="8" t="inlineStr">
        <is>
          <t>DRV</t>
        </is>
      </c>
      <c r="E17" s="8" t="inlineStr">
        <is>
          <t>Drive gearbox</t>
        </is>
      </c>
      <c r="F17" s="8" t="inlineStr">
        <is>
          <t>Редуктор привода</t>
        </is>
      </c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6" t="n"/>
      <c r="Q17" s="15" t="n"/>
      <c r="R17" s="13">
        <f>IF(UPPER(G17)="N","not fitted",IF(AND(H17="",I17="",J17=""),"not started",IF(OR(H17="",I17="",J17=""),"incomplete",IF(OR(M17="",N17=""),"no source","complete"))))</f>
        <v/>
      </c>
    </row>
    <row r="18">
      <c r="A18" s="7" t="inlineStr">
        <is>
          <t>CRC</t>
        </is>
      </c>
      <c r="B18" s="7" t="inlineStr">
        <is>
          <t>NMS MT300MC</t>
        </is>
      </c>
      <c r="C18" s="7" t="n">
        <v>2</v>
      </c>
      <c r="D18" s="8" t="inlineStr">
        <is>
          <t>LUB</t>
        </is>
      </c>
      <c r="E18" s="8" t="inlineStr">
        <is>
          <t>Lube tank</t>
        </is>
      </c>
      <c r="F18" s="8" t="inlineStr">
        <is>
          <t>Бак смазки</t>
        </is>
      </c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6" t="n"/>
      <c r="Q18" s="15" t="n"/>
      <c r="R18" s="13">
        <f>IF(UPPER(G18)="N","not fitted",IF(AND(H18="",I18="",J18=""),"not started",IF(OR(H18="",I18="",J18=""),"incomplete",IF(OR(M18="",N18=""),"no source","complete"))))</f>
        <v/>
      </c>
    </row>
    <row r="19">
      <c r="A19" s="7" t="inlineStr">
        <is>
          <t>CRC</t>
        </is>
      </c>
      <c r="B19" s="7" t="inlineStr">
        <is>
          <t>MCCLOSKEY C38</t>
        </is>
      </c>
      <c r="C19" s="7" t="n">
        <v>1</v>
      </c>
      <c r="D19" s="8" t="inlineStr">
        <is>
          <t>ENG</t>
        </is>
      </c>
      <c r="E19" s="8" t="inlineStr">
        <is>
          <t>Engine</t>
        </is>
      </c>
      <c r="F19" s="8" t="inlineStr">
        <is>
          <t>Двигатель</t>
        </is>
      </c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6" t="n"/>
      <c r="Q19" s="15" t="n"/>
      <c r="R19" s="13">
        <f>IF(UPPER(G19)="N","not fitted",IF(AND(H19="",I19="",J19=""),"not started",IF(OR(H19="",I19="",J19=""),"incomplete",IF(OR(M19="",N19=""),"no source","complete"))))</f>
        <v/>
      </c>
    </row>
    <row r="20">
      <c r="A20" s="7" t="inlineStr">
        <is>
          <t>CRC</t>
        </is>
      </c>
      <c r="B20" s="7" t="inlineStr">
        <is>
          <t>MCCLOSKEY C38</t>
        </is>
      </c>
      <c r="C20" s="7" t="n">
        <v>1</v>
      </c>
      <c r="D20" s="8" t="inlineStr">
        <is>
          <t>HYD</t>
        </is>
      </c>
      <c r="E20" s="8" t="inlineStr">
        <is>
          <t>Hydraulic</t>
        </is>
      </c>
      <c r="F20" s="8" t="inlineStr">
        <is>
          <t>Гидравлика</t>
        </is>
      </c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6" t="n"/>
      <c r="Q20" s="15" t="n"/>
      <c r="R20" s="13">
        <f>IF(UPPER(G20)="N","not fitted",IF(AND(H20="",I20="",J20=""),"not started",IF(OR(H20="",I20="",J20=""),"incomplete",IF(OR(M20="",N20=""),"no source","complete"))))</f>
        <v/>
      </c>
    </row>
    <row r="21">
      <c r="A21" s="7" t="inlineStr">
        <is>
          <t>CRC</t>
        </is>
      </c>
      <c r="B21" s="7" t="inlineStr">
        <is>
          <t>MCCLOSKEY C38</t>
        </is>
      </c>
      <c r="C21" s="7" t="n">
        <v>1</v>
      </c>
      <c r="D21" s="8" t="inlineStr">
        <is>
          <t>MSH</t>
        </is>
      </c>
      <c r="E21" s="8" t="inlineStr">
        <is>
          <t>Main shaft / cone oil</t>
        </is>
      </c>
      <c r="F21" s="8" t="inlineStr">
        <is>
          <t>Главный вал / масло конуса</t>
        </is>
      </c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6" t="n"/>
      <c r="Q21" s="15" t="n"/>
      <c r="R21" s="13">
        <f>IF(UPPER(G21)="N","not fitted",IF(AND(H21="",I21="",J21=""),"not started",IF(OR(H21="",I21="",J21=""),"incomplete",IF(OR(M21="",N21=""),"no source","complete"))))</f>
        <v/>
      </c>
    </row>
    <row r="22">
      <c r="A22" s="7" t="inlineStr">
        <is>
          <t>CRC</t>
        </is>
      </c>
      <c r="B22" s="7" t="inlineStr">
        <is>
          <t>MCCLOSKEY C38</t>
        </is>
      </c>
      <c r="C22" s="7" t="n">
        <v>1</v>
      </c>
      <c r="D22" s="8" t="inlineStr">
        <is>
          <t>DRV</t>
        </is>
      </c>
      <c r="E22" s="8" t="inlineStr">
        <is>
          <t>Drive gearbox</t>
        </is>
      </c>
      <c r="F22" s="8" t="inlineStr">
        <is>
          <t>Редуктор привода</t>
        </is>
      </c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6" t="n"/>
      <c r="Q22" s="15" t="n"/>
      <c r="R22" s="13">
        <f>IF(UPPER(G22)="N","not fitted",IF(AND(H22="",I22="",J22=""),"not started",IF(OR(H22="",I22="",J22=""),"incomplete",IF(OR(M22="",N22=""),"no source","complete"))))</f>
        <v/>
      </c>
    </row>
    <row r="23">
      <c r="A23" s="7" t="inlineStr">
        <is>
          <t>CRC</t>
        </is>
      </c>
      <c r="B23" s="7" t="inlineStr">
        <is>
          <t>MCCLOSKEY C38</t>
        </is>
      </c>
      <c r="C23" s="7" t="n">
        <v>1</v>
      </c>
      <c r="D23" s="8" t="inlineStr">
        <is>
          <t>LUB</t>
        </is>
      </c>
      <c r="E23" s="8" t="inlineStr">
        <is>
          <t>Lube tank</t>
        </is>
      </c>
      <c r="F23" s="8" t="inlineStr">
        <is>
          <t>Бак смазки</t>
        </is>
      </c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6" t="n"/>
      <c r="Q23" s="15" t="n"/>
      <c r="R23" s="13">
        <f>IF(UPPER(G23)="N","not fitted",IF(AND(H23="",I23="",J23=""),"not started",IF(OR(H23="",I23="",J23=""),"incomplete",IF(OR(M23="",N23=""),"no source","complete"))))</f>
        <v/>
      </c>
    </row>
    <row r="24">
      <c r="A24" s="7" t="inlineStr">
        <is>
          <t>CRC</t>
        </is>
      </c>
      <c r="B24" s="7" t="inlineStr">
        <is>
          <t>MCCLOSKEY C44</t>
        </is>
      </c>
      <c r="C24" s="7" t="n">
        <v>1</v>
      </c>
      <c r="D24" s="8" t="inlineStr">
        <is>
          <t>ENG</t>
        </is>
      </c>
      <c r="E24" s="8" t="inlineStr">
        <is>
          <t>Engine</t>
        </is>
      </c>
      <c r="F24" s="8" t="inlineStr">
        <is>
          <t>Двигатель</t>
        </is>
      </c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6" t="n"/>
      <c r="Q24" s="15" t="n"/>
      <c r="R24" s="13">
        <f>IF(UPPER(G24)="N","not fitted",IF(AND(H24="",I24="",J24=""),"not started",IF(OR(H24="",I24="",J24=""),"incomplete",IF(OR(M24="",N24=""),"no source","complete"))))</f>
        <v/>
      </c>
    </row>
    <row r="25">
      <c r="A25" s="7" t="inlineStr">
        <is>
          <t>CRC</t>
        </is>
      </c>
      <c r="B25" s="7" t="inlineStr">
        <is>
          <t>MCCLOSKEY C44</t>
        </is>
      </c>
      <c r="C25" s="7" t="n">
        <v>1</v>
      </c>
      <c r="D25" s="8" t="inlineStr">
        <is>
          <t>HYD</t>
        </is>
      </c>
      <c r="E25" s="8" t="inlineStr">
        <is>
          <t>Hydraulic</t>
        </is>
      </c>
      <c r="F25" s="8" t="inlineStr">
        <is>
          <t>Гидравлика</t>
        </is>
      </c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6" t="n"/>
      <c r="Q25" s="15" t="n"/>
      <c r="R25" s="13">
        <f>IF(UPPER(G25)="N","not fitted",IF(AND(H25="",I25="",J25=""),"not started",IF(OR(H25="",I25="",J25=""),"incomplete",IF(OR(M25="",N25=""),"no source","complete"))))</f>
        <v/>
      </c>
    </row>
    <row r="26">
      <c r="A26" s="7" t="inlineStr">
        <is>
          <t>CRC</t>
        </is>
      </c>
      <c r="B26" s="7" t="inlineStr">
        <is>
          <t>MCCLOSKEY C44</t>
        </is>
      </c>
      <c r="C26" s="7" t="n">
        <v>1</v>
      </c>
      <c r="D26" s="8" t="inlineStr">
        <is>
          <t>MSH</t>
        </is>
      </c>
      <c r="E26" s="8" t="inlineStr">
        <is>
          <t>Main shaft / cone oil</t>
        </is>
      </c>
      <c r="F26" s="8" t="inlineStr">
        <is>
          <t>Главный вал / масло конуса</t>
        </is>
      </c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6" t="n"/>
      <c r="Q26" s="15" t="n"/>
      <c r="R26" s="13">
        <f>IF(UPPER(G26)="N","not fitted",IF(AND(H26="",I26="",J26=""),"not started",IF(OR(H26="",I26="",J26=""),"incomplete",IF(OR(M26="",N26=""),"no source","complete"))))</f>
        <v/>
      </c>
    </row>
    <row r="27">
      <c r="A27" s="7" t="inlineStr">
        <is>
          <t>CRC</t>
        </is>
      </c>
      <c r="B27" s="7" t="inlineStr">
        <is>
          <t>MCCLOSKEY C44</t>
        </is>
      </c>
      <c r="C27" s="7" t="n">
        <v>1</v>
      </c>
      <c r="D27" s="8" t="inlineStr">
        <is>
          <t>DRV</t>
        </is>
      </c>
      <c r="E27" s="8" t="inlineStr">
        <is>
          <t>Drive gearbox</t>
        </is>
      </c>
      <c r="F27" s="8" t="inlineStr">
        <is>
          <t>Редуктор привода</t>
        </is>
      </c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6" t="n"/>
      <c r="Q27" s="15" t="n"/>
      <c r="R27" s="13">
        <f>IF(UPPER(G27)="N","not fitted",IF(AND(H27="",I27="",J27=""),"not started",IF(OR(H27="",I27="",J27=""),"incomplete",IF(OR(M27="",N27=""),"no source","complete"))))</f>
        <v/>
      </c>
    </row>
    <row r="28">
      <c r="A28" s="7" t="inlineStr">
        <is>
          <t>CRC</t>
        </is>
      </c>
      <c r="B28" s="7" t="inlineStr">
        <is>
          <t>MCCLOSKEY C44</t>
        </is>
      </c>
      <c r="C28" s="7" t="n">
        <v>1</v>
      </c>
      <c r="D28" s="8" t="inlineStr">
        <is>
          <t>LUB</t>
        </is>
      </c>
      <c r="E28" s="8" t="inlineStr">
        <is>
          <t>Lube tank</t>
        </is>
      </c>
      <c r="F28" s="8" t="inlineStr">
        <is>
          <t>Бак смазки</t>
        </is>
      </c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6" t="n"/>
      <c r="Q28" s="15" t="n"/>
      <c r="R28" s="13">
        <f>IF(UPPER(G28)="N","not fitted",IF(AND(H28="",I28="",J28=""),"not started",IF(OR(H28="",I28="",J28=""),"incomplete",IF(OR(M28="",N28=""),"no source","complete"))))</f>
        <v/>
      </c>
    </row>
    <row r="29">
      <c r="A29" s="7" t="inlineStr">
        <is>
          <t>CRJ</t>
        </is>
      </c>
      <c r="B29" s="7" t="inlineStr">
        <is>
          <t>NMS MT1150JC</t>
        </is>
      </c>
      <c r="C29" s="7" t="n">
        <v>2</v>
      </c>
      <c r="D29" s="8" t="inlineStr">
        <is>
          <t>ENG</t>
        </is>
      </c>
      <c r="E29" s="8" t="inlineStr">
        <is>
          <t>Engine</t>
        </is>
      </c>
      <c r="F29" s="8" t="inlineStr">
        <is>
          <t>Двигатель</t>
        </is>
      </c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6" t="n"/>
      <c r="Q29" s="15" t="n"/>
      <c r="R29" s="13">
        <f>IF(UPPER(G29)="N","not fitted",IF(AND(H29="",I29="",J29=""),"not started",IF(OR(H29="",I29="",J29=""),"incomplete",IF(OR(M29="",N29=""),"no source","complete"))))</f>
        <v/>
      </c>
    </row>
    <row r="30">
      <c r="A30" s="7" t="inlineStr">
        <is>
          <t>CRJ</t>
        </is>
      </c>
      <c r="B30" s="7" t="inlineStr">
        <is>
          <t>NMS MT1150JC</t>
        </is>
      </c>
      <c r="C30" s="7" t="n">
        <v>2</v>
      </c>
      <c r="D30" s="8" t="inlineStr">
        <is>
          <t>HYD</t>
        </is>
      </c>
      <c r="E30" s="8" t="inlineStr">
        <is>
          <t>Hydraulic</t>
        </is>
      </c>
      <c r="F30" s="8" t="inlineStr">
        <is>
          <t>Гидравлика</t>
        </is>
      </c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6" t="n"/>
      <c r="Q30" s="15" t="n"/>
      <c r="R30" s="13">
        <f>IF(UPPER(G30)="N","not fitted",IF(AND(H30="",I30="",J30=""),"not started",IF(OR(H30="",I30="",J30=""),"incomplete",IF(OR(M30="",N30=""),"no source","complete"))))</f>
        <v/>
      </c>
    </row>
    <row r="31">
      <c r="A31" s="7" t="inlineStr">
        <is>
          <t>CRJ</t>
        </is>
      </c>
      <c r="B31" s="7" t="inlineStr">
        <is>
          <t>NMS MT1150JC</t>
        </is>
      </c>
      <c r="C31" s="7" t="n">
        <v>2</v>
      </c>
      <c r="D31" s="8" t="inlineStr">
        <is>
          <t>ECC</t>
        </is>
      </c>
      <c r="E31" s="8" t="inlineStr">
        <is>
          <t>Eccentric / jaw oil</t>
        </is>
      </c>
      <c r="F31" s="8" t="inlineStr">
        <is>
          <t>Эксцентрик / масло дробилки</t>
        </is>
      </c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6" t="n"/>
      <c r="Q31" s="15" t="n"/>
      <c r="R31" s="13">
        <f>IF(UPPER(G31)="N","not fitted",IF(AND(H31="",I31="",J31=""),"not started",IF(OR(H31="",I31="",J31=""),"incomplete",IF(OR(M31="",N31=""),"no source","complete"))))</f>
        <v/>
      </c>
    </row>
    <row r="32">
      <c r="A32" s="7" t="inlineStr">
        <is>
          <t>CRJ</t>
        </is>
      </c>
      <c r="B32" s="7" t="inlineStr">
        <is>
          <t>NMS MT1150JC</t>
        </is>
      </c>
      <c r="C32" s="7" t="n">
        <v>2</v>
      </c>
      <c r="D32" s="8" t="inlineStr">
        <is>
          <t>DRV</t>
        </is>
      </c>
      <c r="E32" s="8" t="inlineStr">
        <is>
          <t>Drive gearbox</t>
        </is>
      </c>
      <c r="F32" s="8" t="inlineStr">
        <is>
          <t>Редуктор привода</t>
        </is>
      </c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6" t="n"/>
      <c r="Q32" s="15" t="n"/>
      <c r="R32" s="13">
        <f>IF(UPPER(G32)="N","not fitted",IF(AND(H32="",I32="",J32=""),"not started",IF(OR(H32="",I32="",J32=""),"incomplete",IF(OR(M32="",N32=""),"no source","complete"))))</f>
        <v/>
      </c>
    </row>
    <row r="33">
      <c r="A33" s="7" t="inlineStr">
        <is>
          <t>CRJ</t>
        </is>
      </c>
      <c r="B33" s="7" t="inlineStr">
        <is>
          <t>NMS MT1150JC</t>
        </is>
      </c>
      <c r="C33" s="7" t="n">
        <v>2</v>
      </c>
      <c r="D33" s="8" t="inlineStr">
        <is>
          <t>LUB</t>
        </is>
      </c>
      <c r="E33" s="8" t="inlineStr">
        <is>
          <t>Lube tank</t>
        </is>
      </c>
      <c r="F33" s="8" t="inlineStr">
        <is>
          <t>Бак смазки</t>
        </is>
      </c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6" t="n"/>
      <c r="Q33" s="15" t="n"/>
      <c r="R33" s="13">
        <f>IF(UPPER(G33)="N","not fitted",IF(AND(H33="",I33="",J33=""),"not started",IF(OR(H33="",I33="",J33=""),"incomplete",IF(OR(M33="",N33=""),"no source","complete"))))</f>
        <v/>
      </c>
    </row>
    <row r="34">
      <c r="A34" s="7" t="inlineStr">
        <is>
          <t>CRJ</t>
        </is>
      </c>
      <c r="B34" s="7" t="inlineStr">
        <is>
          <t>MCCLOSKEY J45</t>
        </is>
      </c>
      <c r="C34" s="7" t="n">
        <v>1</v>
      </c>
      <c r="D34" s="8" t="inlineStr">
        <is>
          <t>ENG</t>
        </is>
      </c>
      <c r="E34" s="8" t="inlineStr">
        <is>
          <t>Engine</t>
        </is>
      </c>
      <c r="F34" s="8" t="inlineStr">
        <is>
          <t>Двигатель</t>
        </is>
      </c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6" t="n"/>
      <c r="Q34" s="15" t="n"/>
      <c r="R34" s="13">
        <f>IF(UPPER(G34)="N","not fitted",IF(AND(H34="",I34="",J34=""),"not started",IF(OR(H34="",I34="",J34=""),"incomplete",IF(OR(M34="",N34=""),"no source","complete"))))</f>
        <v/>
      </c>
    </row>
    <row r="35">
      <c r="A35" s="7" t="inlineStr">
        <is>
          <t>CRJ</t>
        </is>
      </c>
      <c r="B35" s="7" t="inlineStr">
        <is>
          <t>MCCLOSKEY J45</t>
        </is>
      </c>
      <c r="C35" s="7" t="n">
        <v>1</v>
      </c>
      <c r="D35" s="8" t="inlineStr">
        <is>
          <t>HYD</t>
        </is>
      </c>
      <c r="E35" s="8" t="inlineStr">
        <is>
          <t>Hydraulic</t>
        </is>
      </c>
      <c r="F35" s="8" t="inlineStr">
        <is>
          <t>Гидравлика</t>
        </is>
      </c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6" t="n"/>
      <c r="Q35" s="15" t="n"/>
      <c r="R35" s="13">
        <f>IF(UPPER(G35)="N","not fitted",IF(AND(H35="",I35="",J35=""),"not started",IF(OR(H35="",I35="",J35=""),"incomplete",IF(OR(M35="",N35=""),"no source","complete"))))</f>
        <v/>
      </c>
    </row>
    <row r="36">
      <c r="A36" s="7" t="inlineStr">
        <is>
          <t>CRJ</t>
        </is>
      </c>
      <c r="B36" s="7" t="inlineStr">
        <is>
          <t>MCCLOSKEY J45</t>
        </is>
      </c>
      <c r="C36" s="7" t="n">
        <v>1</v>
      </c>
      <c r="D36" s="8" t="inlineStr">
        <is>
          <t>ECC</t>
        </is>
      </c>
      <c r="E36" s="8" t="inlineStr">
        <is>
          <t>Eccentric / jaw oil</t>
        </is>
      </c>
      <c r="F36" s="8" t="inlineStr">
        <is>
          <t>Эксцентрик / масло дробилки</t>
        </is>
      </c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6" t="n"/>
      <c r="Q36" s="15" t="n"/>
      <c r="R36" s="13">
        <f>IF(UPPER(G36)="N","not fitted",IF(AND(H36="",I36="",J36=""),"not started",IF(OR(H36="",I36="",J36=""),"incomplete",IF(OR(M36="",N36=""),"no source","complete"))))</f>
        <v/>
      </c>
    </row>
    <row r="37">
      <c r="A37" s="7" t="inlineStr">
        <is>
          <t>CRJ</t>
        </is>
      </c>
      <c r="B37" s="7" t="inlineStr">
        <is>
          <t>MCCLOSKEY J45</t>
        </is>
      </c>
      <c r="C37" s="7" t="n">
        <v>1</v>
      </c>
      <c r="D37" s="8" t="inlineStr">
        <is>
          <t>DRV</t>
        </is>
      </c>
      <c r="E37" s="8" t="inlineStr">
        <is>
          <t>Drive gearbox</t>
        </is>
      </c>
      <c r="F37" s="8" t="inlineStr">
        <is>
          <t>Редуктор привода</t>
        </is>
      </c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6" t="n"/>
      <c r="Q37" s="15" t="n"/>
      <c r="R37" s="13">
        <f>IF(UPPER(G37)="N","not fitted",IF(AND(H37="",I37="",J37=""),"not started",IF(OR(H37="",I37="",J37=""),"incomplete",IF(OR(M37="",N37=""),"no source","complete"))))</f>
        <v/>
      </c>
    </row>
    <row r="38">
      <c r="A38" s="7" t="inlineStr">
        <is>
          <t>CRJ</t>
        </is>
      </c>
      <c r="B38" s="7" t="inlineStr">
        <is>
          <t>MCCLOSKEY J45</t>
        </is>
      </c>
      <c r="C38" s="7" t="n">
        <v>1</v>
      </c>
      <c r="D38" s="8" t="inlineStr">
        <is>
          <t>LUB</t>
        </is>
      </c>
      <c r="E38" s="8" t="inlineStr">
        <is>
          <t>Lube tank</t>
        </is>
      </c>
      <c r="F38" s="8" t="inlineStr">
        <is>
          <t>Бак смазки</t>
        </is>
      </c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6" t="n"/>
      <c r="Q38" s="15" t="n"/>
      <c r="R38" s="13">
        <f>IF(UPPER(G38)="N","not fitted",IF(AND(H38="",I38="",J38=""),"not started",IF(OR(H38="",I38="",J38=""),"incomplete",IF(OR(M38="",N38=""),"no source","complete"))))</f>
        <v/>
      </c>
    </row>
    <row r="39">
      <c r="A39" s="7" t="inlineStr">
        <is>
          <t>CRJ</t>
        </is>
      </c>
      <c r="B39" s="7" t="inlineStr">
        <is>
          <t>MCCLOSKEY J50V2</t>
        </is>
      </c>
      <c r="C39" s="7" t="n">
        <v>1</v>
      </c>
      <c r="D39" s="8" t="inlineStr">
        <is>
          <t>ENG</t>
        </is>
      </c>
      <c r="E39" s="8" t="inlineStr">
        <is>
          <t>Engine</t>
        </is>
      </c>
      <c r="F39" s="8" t="inlineStr">
        <is>
          <t>Двигатель</t>
        </is>
      </c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6" t="n"/>
      <c r="Q39" s="15" t="n"/>
      <c r="R39" s="13">
        <f>IF(UPPER(G39)="N","not fitted",IF(AND(H39="",I39="",J39=""),"not started",IF(OR(H39="",I39="",J39=""),"incomplete",IF(OR(M39="",N39=""),"no source","complete"))))</f>
        <v/>
      </c>
    </row>
    <row r="40">
      <c r="A40" s="7" t="inlineStr">
        <is>
          <t>CRJ</t>
        </is>
      </c>
      <c r="B40" s="7" t="inlineStr">
        <is>
          <t>MCCLOSKEY J50V2</t>
        </is>
      </c>
      <c r="C40" s="7" t="n">
        <v>1</v>
      </c>
      <c r="D40" s="8" t="inlineStr">
        <is>
          <t>HYD</t>
        </is>
      </c>
      <c r="E40" s="8" t="inlineStr">
        <is>
          <t>Hydraulic</t>
        </is>
      </c>
      <c r="F40" s="8" t="inlineStr">
        <is>
          <t>Гидравлика</t>
        </is>
      </c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6" t="n"/>
      <c r="Q40" s="15" t="n"/>
      <c r="R40" s="13">
        <f>IF(UPPER(G40)="N","not fitted",IF(AND(H40="",I40="",J40=""),"not started",IF(OR(H40="",I40="",J40=""),"incomplete",IF(OR(M40="",N40=""),"no source","complete"))))</f>
        <v/>
      </c>
    </row>
    <row r="41">
      <c r="A41" s="7" t="inlineStr">
        <is>
          <t>CRJ</t>
        </is>
      </c>
      <c r="B41" s="7" t="inlineStr">
        <is>
          <t>MCCLOSKEY J50V2</t>
        </is>
      </c>
      <c r="C41" s="7" t="n">
        <v>1</v>
      </c>
      <c r="D41" s="8" t="inlineStr">
        <is>
          <t>ECC</t>
        </is>
      </c>
      <c r="E41" s="8" t="inlineStr">
        <is>
          <t>Eccentric / jaw oil</t>
        </is>
      </c>
      <c r="F41" s="8" t="inlineStr">
        <is>
          <t>Эксцентрик / масло дробилки</t>
        </is>
      </c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6" t="n"/>
      <c r="Q41" s="15" t="n"/>
      <c r="R41" s="13">
        <f>IF(UPPER(G41)="N","not fitted",IF(AND(H41="",I41="",J41=""),"not started",IF(OR(H41="",I41="",J41=""),"incomplete",IF(OR(M41="",N41=""),"no source","complete"))))</f>
        <v/>
      </c>
    </row>
    <row r="42">
      <c r="A42" s="7" t="inlineStr">
        <is>
          <t>CRJ</t>
        </is>
      </c>
      <c r="B42" s="7" t="inlineStr">
        <is>
          <t>MCCLOSKEY J50V2</t>
        </is>
      </c>
      <c r="C42" s="7" t="n">
        <v>1</v>
      </c>
      <c r="D42" s="8" t="inlineStr">
        <is>
          <t>DRV</t>
        </is>
      </c>
      <c r="E42" s="8" t="inlineStr">
        <is>
          <t>Drive gearbox</t>
        </is>
      </c>
      <c r="F42" s="8" t="inlineStr">
        <is>
          <t>Редуктор привода</t>
        </is>
      </c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6" t="n"/>
      <c r="Q42" s="15" t="n"/>
      <c r="R42" s="13">
        <f>IF(UPPER(G42)="N","not fitted",IF(AND(H42="",I42="",J42=""),"not started",IF(OR(H42="",I42="",J42=""),"incomplete",IF(OR(M42="",N42=""),"no source","complete"))))</f>
        <v/>
      </c>
    </row>
    <row r="43">
      <c r="A43" s="7" t="inlineStr">
        <is>
          <t>CRJ</t>
        </is>
      </c>
      <c r="B43" s="7" t="inlineStr">
        <is>
          <t>MCCLOSKEY J50V2</t>
        </is>
      </c>
      <c r="C43" s="7" t="n">
        <v>1</v>
      </c>
      <c r="D43" s="8" t="inlineStr">
        <is>
          <t>LUB</t>
        </is>
      </c>
      <c r="E43" s="8" t="inlineStr">
        <is>
          <t>Lube tank</t>
        </is>
      </c>
      <c r="F43" s="8" t="inlineStr">
        <is>
          <t>Бак смазки</t>
        </is>
      </c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6" t="n"/>
      <c r="Q43" s="15" t="n"/>
      <c r="R43" s="13">
        <f>IF(UPPER(G43)="N","not fitted",IF(AND(H43="",I43="",J43=""),"not started",IF(OR(H43="",I43="",J43=""),"incomplete",IF(OR(M43="",N43=""),"no source","complete"))))</f>
        <v/>
      </c>
    </row>
    <row r="44">
      <c r="A44" s="7" t="inlineStr">
        <is>
          <t>DOZ</t>
        </is>
      </c>
      <c r="B44" s="7" t="inlineStr">
        <is>
          <t>KOMATSU D375A.6</t>
        </is>
      </c>
      <c r="C44" s="7" t="n">
        <v>5</v>
      </c>
      <c r="D44" s="8" t="inlineStr">
        <is>
          <t>ENG</t>
        </is>
      </c>
      <c r="E44" s="8" t="inlineStr">
        <is>
          <t>Engine</t>
        </is>
      </c>
      <c r="F44" s="8" t="inlineStr">
        <is>
          <t>Двигатель</t>
        </is>
      </c>
      <c r="G44" s="9" t="inlineStr">
        <is>
          <t>Y</t>
        </is>
      </c>
      <c r="H44" s="9" t="n">
        <v>60</v>
      </c>
      <c r="I44" s="9" t="inlineStr">
        <is>
          <t>API CK-4 / Komatsu EO-DH</t>
        </is>
      </c>
      <c r="J44" s="9" t="n">
        <v>500</v>
      </c>
      <c r="K44" s="9" t="inlineStr">
        <is>
          <t>5W-40 synth</t>
        </is>
      </c>
      <c r="L44" s="9" t="inlineStr">
        <is>
          <t>15W-40</t>
        </is>
      </c>
      <c r="M44" s="10" t="n"/>
      <c r="N44" s="10" t="n"/>
      <c r="O44" s="10" t="n"/>
      <c r="P44" s="11" t="n"/>
      <c r="Q44" s="10" t="n"/>
      <c r="R44" s="13">
        <f>IF(UPPER(G44)="N","not fitted",IF(AND(H44="",I44="",J44=""),"not started",IF(OR(H44="",I44="",J44=""),"incomplete",IF(OR(M44="",N44=""),"no source","complete"))))</f>
        <v/>
      </c>
    </row>
    <row r="45">
      <c r="A45" s="7" t="inlineStr">
        <is>
          <t>DOZ</t>
        </is>
      </c>
      <c r="B45" s="7" t="inlineStr">
        <is>
          <t>KOMATSU D375A.6</t>
        </is>
      </c>
      <c r="C45" s="7" t="n">
        <v>5</v>
      </c>
      <c r="D45" s="8" t="inlineStr">
        <is>
          <t>TRN</t>
        </is>
      </c>
      <c r="E45" s="8" t="inlineStr">
        <is>
          <t>Powertrain / torque converter</t>
        </is>
      </c>
      <c r="F45" s="8" t="inlineStr">
        <is>
          <t>Трансмиссия / гидротрансформатор</t>
        </is>
      </c>
      <c r="G45" s="9" t="inlineStr">
        <is>
          <t>Y</t>
        </is>
      </c>
      <c r="H45" s="9" t="n">
        <v>110</v>
      </c>
      <c r="I45" s="9" t="inlineStr">
        <is>
          <t>KES 07.868.1 (TO-4 class)</t>
        </is>
      </c>
      <c r="J45" s="9" t="n">
        <v>2000</v>
      </c>
      <c r="K45" s="9" t="inlineStr">
        <is>
          <t>SAE 10W</t>
        </is>
      </c>
      <c r="L45" s="9" t="inlineStr">
        <is>
          <t>SAE 30</t>
        </is>
      </c>
      <c r="M45" s="10" t="n"/>
      <c r="N45" s="10" t="n"/>
      <c r="O45" s="10" t="n"/>
      <c r="P45" s="11" t="n"/>
      <c r="Q45" s="10" t="n"/>
      <c r="R45" s="13">
        <f>IF(UPPER(G45)="N","not fitted",IF(AND(H45="",I45="",J45=""),"not started",IF(OR(H45="",I45="",J45=""),"incomplete",IF(OR(M45="",N45=""),"no source","complete"))))</f>
        <v/>
      </c>
    </row>
    <row r="46">
      <c r="A46" s="7" t="inlineStr">
        <is>
          <t>DOZ</t>
        </is>
      </c>
      <c r="B46" s="7" t="inlineStr">
        <is>
          <t>KOMATSU D375A.6</t>
        </is>
      </c>
      <c r="C46" s="7" t="n">
        <v>5</v>
      </c>
      <c r="D46" s="8" t="inlineStr">
        <is>
          <t>HYD</t>
        </is>
      </c>
      <c r="E46" s="8" t="inlineStr">
        <is>
          <t>Hydraulic</t>
        </is>
      </c>
      <c r="F46" s="8" t="inlineStr">
        <is>
          <t>Гидравлика</t>
        </is>
      </c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6" t="n"/>
      <c r="Q46" s="15" t="n"/>
      <c r="R46" s="13">
        <f>IF(UPPER(G46)="N","not fitted",IF(AND(H46="",I46="",J46=""),"not started",IF(OR(H46="",I46="",J46=""),"incomplete",IF(OR(M46="",N46=""),"no source","complete"))))</f>
        <v/>
      </c>
    </row>
    <row r="47">
      <c r="A47" s="7" t="inlineStr">
        <is>
          <t>DOZ</t>
        </is>
      </c>
      <c r="B47" s="7" t="inlineStr">
        <is>
          <t>KOMATSU D375A.6</t>
        </is>
      </c>
      <c r="C47" s="7" t="n">
        <v>5</v>
      </c>
      <c r="D47" s="8" t="inlineStr">
        <is>
          <t>FDL</t>
        </is>
      </c>
      <c r="E47" s="8" t="inlineStr">
        <is>
          <t>Final drive</t>
        </is>
      </c>
      <c r="F47" s="8" t="inlineStr">
        <is>
          <t>Бортовой редуктор</t>
        </is>
      </c>
      <c r="G47" s="9" t="inlineStr">
        <is>
          <t>Y</t>
        </is>
      </c>
      <c r="H47" s="9" t="n">
        <v>38</v>
      </c>
      <c r="I47" s="9" t="inlineStr">
        <is>
          <t>KES 07.868.1</t>
        </is>
      </c>
      <c r="J47" s="9" t="n">
        <v>2000</v>
      </c>
      <c r="K47" s="9" t="inlineStr">
        <is>
          <t>SAE 10W</t>
        </is>
      </c>
      <c r="L47" s="9" t="inlineStr">
        <is>
          <t>SAE 30</t>
        </is>
      </c>
      <c r="M47" s="10" t="n"/>
      <c r="N47" s="10" t="n"/>
      <c r="O47" s="10" t="n"/>
      <c r="P47" s="11" t="n"/>
      <c r="Q47" s="10" t="n"/>
      <c r="R47" s="13">
        <f>IF(UPPER(G47)="N","not fitted",IF(AND(H47="",I47="",J47=""),"not started",IF(OR(H47="",I47="",J47=""),"incomplete",IF(OR(M47="",N47=""),"no source","complete"))))</f>
        <v/>
      </c>
    </row>
    <row r="48">
      <c r="A48" s="7" t="inlineStr">
        <is>
          <t>DOZ</t>
        </is>
      </c>
      <c r="B48" s="7" t="inlineStr">
        <is>
          <t>KOMATSU D375A.6</t>
        </is>
      </c>
      <c r="C48" s="7" t="n">
        <v>5</v>
      </c>
      <c r="D48" s="8" t="inlineStr">
        <is>
          <t>PIV</t>
        </is>
      </c>
      <c r="E48" s="8" t="inlineStr">
        <is>
          <t>Pivot shaft</t>
        </is>
      </c>
      <c r="F48" s="8" t="inlineStr">
        <is>
          <t>Ось качания</t>
        </is>
      </c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6" t="n"/>
      <c r="Q48" s="15" t="n"/>
      <c r="R48" s="13">
        <f>IF(UPPER(G48)="N","not fitted",IF(AND(H48="",I48="",J48=""),"not started",IF(OR(H48="",I48="",J48=""),"incomplete",IF(OR(M48="",N48=""),"no source","complete"))))</f>
        <v/>
      </c>
    </row>
    <row r="49">
      <c r="A49" s="7" t="inlineStr">
        <is>
          <t>DOZ</t>
        </is>
      </c>
      <c r="B49" s="7" t="inlineStr">
        <is>
          <t>SHANTUI SD32</t>
        </is>
      </c>
      <c r="C49" s="7" t="n">
        <v>5</v>
      </c>
      <c r="D49" s="8" t="inlineStr">
        <is>
          <t>ENG</t>
        </is>
      </c>
      <c r="E49" s="8" t="inlineStr">
        <is>
          <t>Engine</t>
        </is>
      </c>
      <c r="F49" s="8" t="inlineStr">
        <is>
          <t>Двигатель</t>
        </is>
      </c>
      <c r="G49" s="9" t="inlineStr">
        <is>
          <t>Y</t>
        </is>
      </c>
      <c r="H49" s="9" t="n">
        <v>32</v>
      </c>
      <c r="I49" s="9" t="inlineStr">
        <is>
          <t>API CI-4</t>
        </is>
      </c>
      <c r="J49" s="9" t="n">
        <v>500</v>
      </c>
      <c r="K49" s="9" t="inlineStr">
        <is>
          <t>5W-40 synth</t>
        </is>
      </c>
      <c r="L49" s="9" t="inlineStr">
        <is>
          <t>15W-40</t>
        </is>
      </c>
      <c r="M49" s="10" t="n"/>
      <c r="N49" s="10" t="n"/>
      <c r="O49" s="10" t="n"/>
      <c r="P49" s="11" t="n"/>
      <c r="Q49" s="10" t="n"/>
      <c r="R49" s="13">
        <f>IF(UPPER(G49)="N","not fitted",IF(AND(H49="",I49="",J49=""),"not started",IF(OR(H49="",I49="",J49=""),"incomplete",IF(OR(M49="",N49=""),"no source","complete"))))</f>
        <v/>
      </c>
    </row>
    <row r="50">
      <c r="A50" s="7" t="inlineStr">
        <is>
          <t>DOZ</t>
        </is>
      </c>
      <c r="B50" s="7" t="inlineStr">
        <is>
          <t>SHANTUI SD32</t>
        </is>
      </c>
      <c r="C50" s="7" t="n">
        <v>5</v>
      </c>
      <c r="D50" s="8" t="inlineStr">
        <is>
          <t>TRN</t>
        </is>
      </c>
      <c r="E50" s="8" t="inlineStr">
        <is>
          <t>Powertrain / torque converter</t>
        </is>
      </c>
      <c r="F50" s="8" t="inlineStr">
        <is>
          <t>Трансмиссия / гидротрансформатор</t>
        </is>
      </c>
      <c r="G50" s="9" t="inlineStr">
        <is>
          <t>Y</t>
        </is>
      </c>
      <c r="H50" s="9" t="n">
        <v>85</v>
      </c>
      <c r="I50" s="9" t="inlineStr">
        <is>
          <t>SAE 30 powertrain (TO-4 class)</t>
        </is>
      </c>
      <c r="J50" s="9" t="n">
        <v>2000</v>
      </c>
      <c r="K50" s="9" t="inlineStr">
        <is>
          <t>SAE 10W</t>
        </is>
      </c>
      <c r="L50" s="9" t="inlineStr">
        <is>
          <t>SAE 30</t>
        </is>
      </c>
      <c r="M50" s="10" t="n"/>
      <c r="N50" s="10" t="n"/>
      <c r="O50" s="10" t="n"/>
      <c r="P50" s="11" t="n"/>
      <c r="Q50" s="10" t="n"/>
      <c r="R50" s="13">
        <f>IF(UPPER(G50)="N","not fitted",IF(AND(H50="",I50="",J50=""),"not started",IF(OR(H50="",I50="",J50=""),"incomplete",IF(OR(M50="",N50=""),"no source","complete"))))</f>
        <v/>
      </c>
    </row>
    <row r="51">
      <c r="A51" s="7" t="inlineStr">
        <is>
          <t>DOZ</t>
        </is>
      </c>
      <c r="B51" s="7" t="inlineStr">
        <is>
          <t>SHANTUI SD32</t>
        </is>
      </c>
      <c r="C51" s="7" t="n">
        <v>5</v>
      </c>
      <c r="D51" s="8" t="inlineStr">
        <is>
          <t>HYD</t>
        </is>
      </c>
      <c r="E51" s="8" t="inlineStr">
        <is>
          <t>Hydraulic</t>
        </is>
      </c>
      <c r="F51" s="8" t="inlineStr">
        <is>
          <t>Гидравлика</t>
        </is>
      </c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6" t="n"/>
      <c r="Q51" s="15" t="n"/>
      <c r="R51" s="13">
        <f>IF(UPPER(G51)="N","not fitted",IF(AND(H51="",I51="",J51=""),"not started",IF(OR(H51="",I51="",J51=""),"incomplete",IF(OR(M51="",N51=""),"no source","complete"))))</f>
        <v/>
      </c>
    </row>
    <row r="52">
      <c r="A52" s="7" t="inlineStr">
        <is>
          <t>DOZ</t>
        </is>
      </c>
      <c r="B52" s="7" t="inlineStr">
        <is>
          <t>SHANTUI SD32</t>
        </is>
      </c>
      <c r="C52" s="7" t="n">
        <v>5</v>
      </c>
      <c r="D52" s="8" t="inlineStr">
        <is>
          <t>FDL</t>
        </is>
      </c>
      <c r="E52" s="8" t="inlineStr">
        <is>
          <t>Final drive</t>
        </is>
      </c>
      <c r="F52" s="8" t="inlineStr">
        <is>
          <t>Бортовой редуктор</t>
        </is>
      </c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6" t="n"/>
      <c r="Q52" s="15" t="n"/>
      <c r="R52" s="13">
        <f>IF(UPPER(G52)="N","not fitted",IF(AND(H52="",I52="",J52=""),"not started",IF(OR(H52="",I52="",J52=""),"incomplete",IF(OR(M52="",N52=""),"no source","complete"))))</f>
        <v/>
      </c>
    </row>
    <row r="53">
      <c r="A53" s="7" t="inlineStr">
        <is>
          <t>DOZ</t>
        </is>
      </c>
      <c r="B53" s="7" t="inlineStr">
        <is>
          <t>SHANTUI SD32</t>
        </is>
      </c>
      <c r="C53" s="7" t="n">
        <v>5</v>
      </c>
      <c r="D53" s="8" t="inlineStr">
        <is>
          <t>PIV</t>
        </is>
      </c>
      <c r="E53" s="8" t="inlineStr">
        <is>
          <t>Pivot shaft</t>
        </is>
      </c>
      <c r="F53" s="8" t="inlineStr">
        <is>
          <t>Ось качания</t>
        </is>
      </c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6" t="n"/>
      <c r="Q53" s="15" t="n"/>
      <c r="R53" s="13">
        <f>IF(UPPER(G53)="N","not fitted",IF(AND(H53="",I53="",J53=""),"not started",IF(OR(H53="",I53="",J53=""),"incomplete",IF(OR(M53="",N53=""),"no source","complete"))))</f>
        <v/>
      </c>
    </row>
    <row r="54">
      <c r="A54" s="7" t="inlineStr">
        <is>
          <t>DOZ</t>
        </is>
      </c>
      <c r="B54" s="7" t="inlineStr">
        <is>
          <t>SHANTUI SD60-C5</t>
        </is>
      </c>
      <c r="C54" s="7" t="n">
        <v>3</v>
      </c>
      <c r="D54" s="8" t="inlineStr">
        <is>
          <t>ENG</t>
        </is>
      </c>
      <c r="E54" s="8" t="inlineStr">
        <is>
          <t>Engine</t>
        </is>
      </c>
      <c r="F54" s="8" t="inlineStr">
        <is>
          <t>Двигатель</t>
        </is>
      </c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6" t="n"/>
      <c r="Q54" s="15" t="n"/>
      <c r="R54" s="13">
        <f>IF(UPPER(G54)="N","not fitted",IF(AND(H54="",I54="",J54=""),"not started",IF(OR(H54="",I54="",J54=""),"incomplete",IF(OR(M54="",N54=""),"no source","complete"))))</f>
        <v/>
      </c>
    </row>
    <row r="55">
      <c r="A55" s="7" t="inlineStr">
        <is>
          <t>DOZ</t>
        </is>
      </c>
      <c r="B55" s="7" t="inlineStr">
        <is>
          <t>SHANTUI SD60-C5</t>
        </is>
      </c>
      <c r="C55" s="7" t="n">
        <v>3</v>
      </c>
      <c r="D55" s="8" t="inlineStr">
        <is>
          <t>TRN</t>
        </is>
      </c>
      <c r="E55" s="8" t="inlineStr">
        <is>
          <t>Powertrain / torque converter</t>
        </is>
      </c>
      <c r="F55" s="8" t="inlineStr">
        <is>
          <t>Трансмиссия / гидротрансформатор</t>
        </is>
      </c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6" t="n"/>
      <c r="Q55" s="15" t="n"/>
      <c r="R55" s="13">
        <f>IF(UPPER(G55)="N","not fitted",IF(AND(H55="",I55="",J55=""),"not started",IF(OR(H55="",I55="",J55=""),"incomplete",IF(OR(M55="",N55=""),"no source","complete"))))</f>
        <v/>
      </c>
    </row>
    <row r="56">
      <c r="A56" s="7" t="inlineStr">
        <is>
          <t>DOZ</t>
        </is>
      </c>
      <c r="B56" s="7" t="inlineStr">
        <is>
          <t>SHANTUI SD60-C5</t>
        </is>
      </c>
      <c r="C56" s="7" t="n">
        <v>3</v>
      </c>
      <c r="D56" s="8" t="inlineStr">
        <is>
          <t>HYD</t>
        </is>
      </c>
      <c r="E56" s="8" t="inlineStr">
        <is>
          <t>Hydraulic</t>
        </is>
      </c>
      <c r="F56" s="8" t="inlineStr">
        <is>
          <t>Гидравлика</t>
        </is>
      </c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6" t="n"/>
      <c r="Q56" s="15" t="n"/>
      <c r="R56" s="13">
        <f>IF(UPPER(G56)="N","not fitted",IF(AND(H56="",I56="",J56=""),"not started",IF(OR(H56="",I56="",J56=""),"incomplete",IF(OR(M56="",N56=""),"no source","complete"))))</f>
        <v/>
      </c>
    </row>
    <row r="57">
      <c r="A57" s="7" t="inlineStr">
        <is>
          <t>DOZ</t>
        </is>
      </c>
      <c r="B57" s="7" t="inlineStr">
        <is>
          <t>SHANTUI SD60-C5</t>
        </is>
      </c>
      <c r="C57" s="7" t="n">
        <v>3</v>
      </c>
      <c r="D57" s="8" t="inlineStr">
        <is>
          <t>FDL</t>
        </is>
      </c>
      <c r="E57" s="8" t="inlineStr">
        <is>
          <t>Final drive</t>
        </is>
      </c>
      <c r="F57" s="8" t="inlineStr">
        <is>
          <t>Бортовой редуктор</t>
        </is>
      </c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6" t="n"/>
      <c r="Q57" s="15" t="n"/>
      <c r="R57" s="13">
        <f>IF(UPPER(G57)="N","not fitted",IF(AND(H57="",I57="",J57=""),"not started",IF(OR(H57="",I57="",J57=""),"incomplete",IF(OR(M57="",N57=""),"no source","complete"))))</f>
        <v/>
      </c>
    </row>
    <row r="58">
      <c r="A58" s="7" t="inlineStr">
        <is>
          <t>DOZ</t>
        </is>
      </c>
      <c r="B58" s="7" t="inlineStr">
        <is>
          <t>SHANTUI SD60-C5</t>
        </is>
      </c>
      <c r="C58" s="7" t="n">
        <v>3</v>
      </c>
      <c r="D58" s="8" t="inlineStr">
        <is>
          <t>PIV</t>
        </is>
      </c>
      <c r="E58" s="8" t="inlineStr">
        <is>
          <t>Pivot shaft</t>
        </is>
      </c>
      <c r="F58" s="8" t="inlineStr">
        <is>
          <t>Ось качания</t>
        </is>
      </c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6" t="n"/>
      <c r="Q58" s="15" t="n"/>
      <c r="R58" s="13">
        <f>IF(UPPER(G58)="N","not fitted",IF(AND(H58="",I58="",J58=""),"not started",IF(OR(H58="",I58="",J58=""),"incomplete",IF(OR(M58="",N58=""),"no source","complete"))))</f>
        <v/>
      </c>
    </row>
    <row r="59">
      <c r="A59" s="7" t="inlineStr">
        <is>
          <t>DOZ</t>
        </is>
      </c>
      <c r="B59" s="7" t="inlineStr">
        <is>
          <t>CATERPILLAR D9R</t>
        </is>
      </c>
      <c r="C59" s="7" t="n">
        <v>2</v>
      </c>
      <c r="D59" s="8" t="inlineStr">
        <is>
          <t>ENG</t>
        </is>
      </c>
      <c r="E59" s="8" t="inlineStr">
        <is>
          <t>Engine</t>
        </is>
      </c>
      <c r="F59" s="8" t="inlineStr">
        <is>
          <t>Двигатель</t>
        </is>
      </c>
      <c r="G59" s="9" t="inlineStr">
        <is>
          <t>Y</t>
        </is>
      </c>
      <c r="H59" s="9" t="n">
        <v>38</v>
      </c>
      <c r="I59" s="9" t="inlineStr">
        <is>
          <t>Cat ECF-3 / API CK-4</t>
        </is>
      </c>
      <c r="J59" s="9" t="n">
        <v>500</v>
      </c>
      <c r="K59" s="9" t="inlineStr">
        <is>
          <t>0W-40 arctic synth</t>
        </is>
      </c>
      <c r="L59" s="9" t="inlineStr">
        <is>
          <t>15W-40</t>
        </is>
      </c>
      <c r="M59" s="10" t="n"/>
      <c r="N59" s="10" t="n"/>
      <c r="O59" s="10" t="n"/>
      <c r="P59" s="11" t="n"/>
      <c r="Q59" s="10" t="n"/>
      <c r="R59" s="13">
        <f>IF(UPPER(G59)="N","not fitted",IF(AND(H59="",I59="",J59=""),"not started",IF(OR(H59="",I59="",J59=""),"incomplete",IF(OR(M59="",N59=""),"no source","complete"))))</f>
        <v/>
      </c>
    </row>
    <row r="60">
      <c r="A60" s="7" t="inlineStr">
        <is>
          <t>DOZ</t>
        </is>
      </c>
      <c r="B60" s="7" t="inlineStr">
        <is>
          <t>CATERPILLAR D9R</t>
        </is>
      </c>
      <c r="C60" s="7" t="n">
        <v>2</v>
      </c>
      <c r="D60" s="8" t="inlineStr">
        <is>
          <t>TRN</t>
        </is>
      </c>
      <c r="E60" s="8" t="inlineStr">
        <is>
          <t>Powertrain / torque converter</t>
        </is>
      </c>
      <c r="F60" s="8" t="inlineStr">
        <is>
          <t>Трансмиссия / гидротрансформатор</t>
        </is>
      </c>
      <c r="G60" s="9" t="inlineStr">
        <is>
          <t>Y</t>
        </is>
      </c>
      <c r="H60" s="9" t="n">
        <v>95</v>
      </c>
      <c r="I60" s="9" t="inlineStr">
        <is>
          <t>Cat TO-4 / TO-4M</t>
        </is>
      </c>
      <c r="J60" s="9" t="n">
        <v>2000</v>
      </c>
      <c r="K60" s="9" t="inlineStr">
        <is>
          <t>TDTO-TMS (arctic)</t>
        </is>
      </c>
      <c r="L60" s="9" t="inlineStr">
        <is>
          <t>TDTO SAE 10W</t>
        </is>
      </c>
      <c r="M60" s="9" t="inlineStr">
        <is>
          <t>Cat SEBU7695 p.112</t>
        </is>
      </c>
      <c r="N60" s="9" t="inlineStr">
        <is>
          <t>see doc</t>
        </is>
      </c>
      <c r="O60" s="9" t="inlineStr">
        <is>
          <t>R. Marrero</t>
        </is>
      </c>
      <c r="P60" s="14" t="inlineStr">
        <is>
          <t>2026-08-15</t>
        </is>
      </c>
      <c r="Q60" s="10" t="n"/>
      <c r="R60" s="13">
        <f>IF(UPPER(G60)="N","not fitted",IF(AND(H60="",I60="",J60=""),"not started",IF(OR(H60="",I60="",J60=""),"incomplete",IF(OR(M60="",N60=""),"no source","complete"))))</f>
        <v/>
      </c>
    </row>
    <row r="61">
      <c r="A61" s="7" t="inlineStr">
        <is>
          <t>DOZ</t>
        </is>
      </c>
      <c r="B61" s="7" t="inlineStr">
        <is>
          <t>CATERPILLAR D9R</t>
        </is>
      </c>
      <c r="C61" s="7" t="n">
        <v>2</v>
      </c>
      <c r="D61" s="8" t="inlineStr">
        <is>
          <t>HYD</t>
        </is>
      </c>
      <c r="E61" s="8" t="inlineStr">
        <is>
          <t>Hydraulic</t>
        </is>
      </c>
      <c r="F61" s="8" t="inlineStr">
        <is>
          <t>Гидравлика</t>
        </is>
      </c>
      <c r="G61" s="9" t="inlineStr">
        <is>
          <t>Y</t>
        </is>
      </c>
      <c r="H61" s="9" t="n">
        <v>170</v>
      </c>
      <c r="I61" s="9" t="inlineStr">
        <is>
          <t>Cat HYDO Advanced</t>
        </is>
      </c>
      <c r="J61" s="9" t="n">
        <v>4000</v>
      </c>
      <c r="K61" s="10" t="n"/>
      <c r="L61" s="9" t="inlineStr">
        <is>
          <t>HYDO Adv 10</t>
        </is>
      </c>
      <c r="M61" s="10" t="n"/>
      <c r="N61" s="10" t="n"/>
      <c r="O61" s="10" t="n"/>
      <c r="P61" s="11" t="n"/>
      <c r="Q61" s="10" t="n"/>
      <c r="R61" s="13">
        <f>IF(UPPER(G61)="N","not fitted",IF(AND(H61="",I61="",J61=""),"not started",IF(OR(H61="",I61="",J61=""),"incomplete",IF(OR(M61="",N61=""),"no source","complete"))))</f>
        <v/>
      </c>
    </row>
    <row r="62">
      <c r="A62" s="7" t="inlineStr">
        <is>
          <t>DOZ</t>
        </is>
      </c>
      <c r="B62" s="7" t="inlineStr">
        <is>
          <t>CATERPILLAR D9R</t>
        </is>
      </c>
      <c r="C62" s="7" t="n">
        <v>2</v>
      </c>
      <c r="D62" s="8" t="inlineStr">
        <is>
          <t>FDL</t>
        </is>
      </c>
      <c r="E62" s="8" t="inlineStr">
        <is>
          <t>Final drive</t>
        </is>
      </c>
      <c r="F62" s="8" t="inlineStr">
        <is>
          <t>Бортовой редуктор</t>
        </is>
      </c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6" t="n"/>
      <c r="Q62" s="15" t="n"/>
      <c r="R62" s="13">
        <f>IF(UPPER(G62)="N","not fitted",IF(AND(H62="",I62="",J62=""),"not started",IF(OR(H62="",I62="",J62=""),"incomplete",IF(OR(M62="",N62=""),"no source","complete"))))</f>
        <v/>
      </c>
    </row>
    <row r="63">
      <c r="A63" s="7" t="inlineStr">
        <is>
          <t>DOZ</t>
        </is>
      </c>
      <c r="B63" s="7" t="inlineStr">
        <is>
          <t>CATERPILLAR D9R</t>
        </is>
      </c>
      <c r="C63" s="7" t="n">
        <v>2</v>
      </c>
      <c r="D63" s="8" t="inlineStr">
        <is>
          <t>PIV</t>
        </is>
      </c>
      <c r="E63" s="8" t="inlineStr">
        <is>
          <t>Pivot shaft</t>
        </is>
      </c>
      <c r="F63" s="8" t="inlineStr">
        <is>
          <t>Ось качания</t>
        </is>
      </c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6" t="n"/>
      <c r="Q63" s="15" t="n"/>
      <c r="R63" s="13">
        <f>IF(UPPER(G63)="N","not fitted",IF(AND(H63="",I63="",J63=""),"not started",IF(OR(H63="",I63="",J63=""),"incomplete",IF(OR(M63="",N63=""),"no source","complete"))))</f>
        <v/>
      </c>
    </row>
    <row r="64">
      <c r="A64" s="7" t="inlineStr">
        <is>
          <t>DOZ</t>
        </is>
      </c>
      <c r="B64" s="7" t="inlineStr">
        <is>
          <t>KOMATSU D155A.5</t>
        </is>
      </c>
      <c r="C64" s="7" t="n">
        <v>2</v>
      </c>
      <c r="D64" s="8" t="inlineStr">
        <is>
          <t>ENG</t>
        </is>
      </c>
      <c r="E64" s="8" t="inlineStr">
        <is>
          <t>Engine</t>
        </is>
      </c>
      <c r="F64" s="8" t="inlineStr">
        <is>
          <t>Двигатель</t>
        </is>
      </c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6" t="n"/>
      <c r="Q64" s="15" t="n"/>
      <c r="R64" s="13">
        <f>IF(UPPER(G64)="N","not fitted",IF(AND(H64="",I64="",J64=""),"not started",IF(OR(H64="",I64="",J64=""),"incomplete",IF(OR(M64="",N64=""),"no source","complete"))))</f>
        <v/>
      </c>
    </row>
    <row r="65">
      <c r="A65" s="7" t="inlineStr">
        <is>
          <t>DOZ</t>
        </is>
      </c>
      <c r="B65" s="7" t="inlineStr">
        <is>
          <t>KOMATSU D155A.5</t>
        </is>
      </c>
      <c r="C65" s="7" t="n">
        <v>2</v>
      </c>
      <c r="D65" s="8" t="inlineStr">
        <is>
          <t>TRN</t>
        </is>
      </c>
      <c r="E65" s="8" t="inlineStr">
        <is>
          <t>Powertrain / torque converter</t>
        </is>
      </c>
      <c r="F65" s="8" t="inlineStr">
        <is>
          <t>Трансмиссия / гидротрансформатор</t>
        </is>
      </c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6" t="n"/>
      <c r="Q65" s="15" t="n"/>
      <c r="R65" s="13">
        <f>IF(UPPER(G65)="N","not fitted",IF(AND(H65="",I65="",J65=""),"not started",IF(OR(H65="",I65="",J65=""),"incomplete",IF(OR(M65="",N65=""),"no source","complete"))))</f>
        <v/>
      </c>
    </row>
    <row r="66">
      <c r="A66" s="7" t="inlineStr">
        <is>
          <t>DOZ</t>
        </is>
      </c>
      <c r="B66" s="7" t="inlineStr">
        <is>
          <t>KOMATSU D155A.5</t>
        </is>
      </c>
      <c r="C66" s="7" t="n">
        <v>2</v>
      </c>
      <c r="D66" s="8" t="inlineStr">
        <is>
          <t>HYD</t>
        </is>
      </c>
      <c r="E66" s="8" t="inlineStr">
        <is>
          <t>Hydraulic</t>
        </is>
      </c>
      <c r="F66" s="8" t="inlineStr">
        <is>
          <t>Гидравлика</t>
        </is>
      </c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6" t="n"/>
      <c r="Q66" s="15" t="n"/>
      <c r="R66" s="13">
        <f>IF(UPPER(G66)="N","not fitted",IF(AND(H66="",I66="",J66=""),"not started",IF(OR(H66="",I66="",J66=""),"incomplete",IF(OR(M66="",N66=""),"no source","complete"))))</f>
        <v/>
      </c>
    </row>
    <row r="67">
      <c r="A67" s="7" t="inlineStr">
        <is>
          <t>DOZ</t>
        </is>
      </c>
      <c r="B67" s="7" t="inlineStr">
        <is>
          <t>KOMATSU D155A.5</t>
        </is>
      </c>
      <c r="C67" s="7" t="n">
        <v>2</v>
      </c>
      <c r="D67" s="8" t="inlineStr">
        <is>
          <t>FDL</t>
        </is>
      </c>
      <c r="E67" s="8" t="inlineStr">
        <is>
          <t>Final drive</t>
        </is>
      </c>
      <c r="F67" s="8" t="inlineStr">
        <is>
          <t>Бортовой редуктор</t>
        </is>
      </c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6" t="n"/>
      <c r="Q67" s="15" t="n"/>
      <c r="R67" s="13">
        <f>IF(UPPER(G67)="N","not fitted",IF(AND(H67="",I67="",J67=""),"not started",IF(OR(H67="",I67="",J67=""),"incomplete",IF(OR(M67="",N67=""),"no source","complete"))))</f>
        <v/>
      </c>
    </row>
    <row r="68">
      <c r="A68" s="7" t="inlineStr">
        <is>
          <t>DOZ</t>
        </is>
      </c>
      <c r="B68" s="7" t="inlineStr">
        <is>
          <t>KOMATSU D155A.5</t>
        </is>
      </c>
      <c r="C68" s="7" t="n">
        <v>2</v>
      </c>
      <c r="D68" s="8" t="inlineStr">
        <is>
          <t>PIV</t>
        </is>
      </c>
      <c r="E68" s="8" t="inlineStr">
        <is>
          <t>Pivot shaft</t>
        </is>
      </c>
      <c r="F68" s="8" t="inlineStr">
        <is>
          <t>Ось качания</t>
        </is>
      </c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6" t="n"/>
      <c r="Q68" s="15" t="n"/>
      <c r="R68" s="13">
        <f>IF(UPPER(G68)="N","not fitted",IF(AND(H68="",I68="",J68=""),"not started",IF(OR(H68="",I68="",J68=""),"incomplete",IF(OR(M68="",N68=""),"no source","complete"))))</f>
        <v/>
      </c>
    </row>
    <row r="69">
      <c r="A69" s="7" t="inlineStr">
        <is>
          <t>DOZ</t>
        </is>
      </c>
      <c r="B69" s="7" t="inlineStr">
        <is>
          <t>KOMATSU D275.5D</t>
        </is>
      </c>
      <c r="C69" s="7" t="n">
        <v>2</v>
      </c>
      <c r="D69" s="8" t="inlineStr">
        <is>
          <t>ENG</t>
        </is>
      </c>
      <c r="E69" s="8" t="inlineStr">
        <is>
          <t>Engine</t>
        </is>
      </c>
      <c r="F69" s="8" t="inlineStr">
        <is>
          <t>Двигатель</t>
        </is>
      </c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6" t="n"/>
      <c r="Q69" s="15" t="n"/>
      <c r="R69" s="13">
        <f>IF(UPPER(G69)="N","not fitted",IF(AND(H69="",I69="",J69=""),"not started",IF(OR(H69="",I69="",J69=""),"incomplete",IF(OR(M69="",N69=""),"no source","complete"))))</f>
        <v/>
      </c>
    </row>
    <row r="70">
      <c r="A70" s="7" t="inlineStr">
        <is>
          <t>DOZ</t>
        </is>
      </c>
      <c r="B70" s="7" t="inlineStr">
        <is>
          <t>KOMATSU D275.5D</t>
        </is>
      </c>
      <c r="C70" s="7" t="n">
        <v>2</v>
      </c>
      <c r="D70" s="8" t="inlineStr">
        <is>
          <t>TRN</t>
        </is>
      </c>
      <c r="E70" s="8" t="inlineStr">
        <is>
          <t>Powertrain / torque converter</t>
        </is>
      </c>
      <c r="F70" s="8" t="inlineStr">
        <is>
          <t>Трансмиссия / гидротрансформатор</t>
        </is>
      </c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6" t="n"/>
      <c r="Q70" s="15" t="n"/>
      <c r="R70" s="13">
        <f>IF(UPPER(G70)="N","not fitted",IF(AND(H70="",I70="",J70=""),"not started",IF(OR(H70="",I70="",J70=""),"incomplete",IF(OR(M70="",N70=""),"no source","complete"))))</f>
        <v/>
      </c>
    </row>
    <row r="71">
      <c r="A71" s="7" t="inlineStr">
        <is>
          <t>DOZ</t>
        </is>
      </c>
      <c r="B71" s="7" t="inlineStr">
        <is>
          <t>KOMATSU D275.5D</t>
        </is>
      </c>
      <c r="C71" s="7" t="n">
        <v>2</v>
      </c>
      <c r="D71" s="8" t="inlineStr">
        <is>
          <t>HYD</t>
        </is>
      </c>
      <c r="E71" s="8" t="inlineStr">
        <is>
          <t>Hydraulic</t>
        </is>
      </c>
      <c r="F71" s="8" t="inlineStr">
        <is>
          <t>Гидравлика</t>
        </is>
      </c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6" t="n"/>
      <c r="Q71" s="15" t="n"/>
      <c r="R71" s="13">
        <f>IF(UPPER(G71)="N","not fitted",IF(AND(H71="",I71="",J71=""),"not started",IF(OR(H71="",I71="",J71=""),"incomplete",IF(OR(M71="",N71=""),"no source","complete"))))</f>
        <v/>
      </c>
    </row>
    <row r="72">
      <c r="A72" s="7" t="inlineStr">
        <is>
          <t>DOZ</t>
        </is>
      </c>
      <c r="B72" s="7" t="inlineStr">
        <is>
          <t>KOMATSU D275.5D</t>
        </is>
      </c>
      <c r="C72" s="7" t="n">
        <v>2</v>
      </c>
      <c r="D72" s="8" t="inlineStr">
        <is>
          <t>FDL</t>
        </is>
      </c>
      <c r="E72" s="8" t="inlineStr">
        <is>
          <t>Final drive</t>
        </is>
      </c>
      <c r="F72" s="8" t="inlineStr">
        <is>
          <t>Бортовой редуктор</t>
        </is>
      </c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6" t="n"/>
      <c r="Q72" s="15" t="n"/>
      <c r="R72" s="13">
        <f>IF(UPPER(G72)="N","not fitted",IF(AND(H72="",I72="",J72=""),"not started",IF(OR(H72="",I72="",J72=""),"incomplete",IF(OR(M72="",N72=""),"no source","complete"))))</f>
        <v/>
      </c>
    </row>
    <row r="73">
      <c r="A73" s="7" t="inlineStr">
        <is>
          <t>DOZ</t>
        </is>
      </c>
      <c r="B73" s="7" t="inlineStr">
        <is>
          <t>KOMATSU D275.5D</t>
        </is>
      </c>
      <c r="C73" s="7" t="n">
        <v>2</v>
      </c>
      <c r="D73" s="8" t="inlineStr">
        <is>
          <t>PIV</t>
        </is>
      </c>
      <c r="E73" s="8" t="inlineStr">
        <is>
          <t>Pivot shaft</t>
        </is>
      </c>
      <c r="F73" s="8" t="inlineStr">
        <is>
          <t>Ось качания</t>
        </is>
      </c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6" t="n"/>
      <c r="Q73" s="15" t="n"/>
      <c r="R73" s="13">
        <f>IF(UPPER(G73)="N","not fitted",IF(AND(H73="",I73="",J73=""),"not started",IF(OR(H73="",I73="",J73=""),"incomplete",IF(OR(M73="",N73=""),"no source","complete"))))</f>
        <v/>
      </c>
    </row>
    <row r="74">
      <c r="A74" s="7" t="inlineStr">
        <is>
          <t>DOZ</t>
        </is>
      </c>
      <c r="B74" s="7" t="inlineStr">
        <is>
          <t>SHANTUI SD90-C5</t>
        </is>
      </c>
      <c r="C74" s="7" t="n">
        <v>2</v>
      </c>
      <c r="D74" s="8" t="inlineStr">
        <is>
          <t>ENG</t>
        </is>
      </c>
      <c r="E74" s="8" t="inlineStr">
        <is>
          <t>Engine</t>
        </is>
      </c>
      <c r="F74" s="8" t="inlineStr">
        <is>
          <t>Двигатель</t>
        </is>
      </c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6" t="n"/>
      <c r="Q74" s="15" t="n"/>
      <c r="R74" s="13">
        <f>IF(UPPER(G74)="N","not fitted",IF(AND(H74="",I74="",J74=""),"not started",IF(OR(H74="",I74="",J74=""),"incomplete",IF(OR(M74="",N74=""),"no source","complete"))))</f>
        <v/>
      </c>
    </row>
    <row r="75">
      <c r="A75" s="7" t="inlineStr">
        <is>
          <t>DOZ</t>
        </is>
      </c>
      <c r="B75" s="7" t="inlineStr">
        <is>
          <t>SHANTUI SD90-C5</t>
        </is>
      </c>
      <c r="C75" s="7" t="n">
        <v>2</v>
      </c>
      <c r="D75" s="8" t="inlineStr">
        <is>
          <t>TRN</t>
        </is>
      </c>
      <c r="E75" s="8" t="inlineStr">
        <is>
          <t>Powertrain / torque converter</t>
        </is>
      </c>
      <c r="F75" s="8" t="inlineStr">
        <is>
          <t>Трансмиссия / гидротрансформатор</t>
        </is>
      </c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6" t="n"/>
      <c r="Q75" s="15" t="n"/>
      <c r="R75" s="13">
        <f>IF(UPPER(G75)="N","not fitted",IF(AND(H75="",I75="",J75=""),"not started",IF(OR(H75="",I75="",J75=""),"incomplete",IF(OR(M75="",N75=""),"no source","complete"))))</f>
        <v/>
      </c>
    </row>
    <row r="76">
      <c r="A76" s="7" t="inlineStr">
        <is>
          <t>DOZ</t>
        </is>
      </c>
      <c r="B76" s="7" t="inlineStr">
        <is>
          <t>SHANTUI SD90-C5</t>
        </is>
      </c>
      <c r="C76" s="7" t="n">
        <v>2</v>
      </c>
      <c r="D76" s="8" t="inlineStr">
        <is>
          <t>HYD</t>
        </is>
      </c>
      <c r="E76" s="8" t="inlineStr">
        <is>
          <t>Hydraulic</t>
        </is>
      </c>
      <c r="F76" s="8" t="inlineStr">
        <is>
          <t>Гидравлика</t>
        </is>
      </c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6" t="n"/>
      <c r="Q76" s="15" t="n"/>
      <c r="R76" s="13">
        <f>IF(UPPER(G76)="N","not fitted",IF(AND(H76="",I76="",J76=""),"not started",IF(OR(H76="",I76="",J76=""),"incomplete",IF(OR(M76="",N76=""),"no source","complete"))))</f>
        <v/>
      </c>
    </row>
    <row r="77">
      <c r="A77" s="7" t="inlineStr">
        <is>
          <t>DOZ</t>
        </is>
      </c>
      <c r="B77" s="7" t="inlineStr">
        <is>
          <t>SHANTUI SD90-C5</t>
        </is>
      </c>
      <c r="C77" s="7" t="n">
        <v>2</v>
      </c>
      <c r="D77" s="8" t="inlineStr">
        <is>
          <t>FDL</t>
        </is>
      </c>
      <c r="E77" s="8" t="inlineStr">
        <is>
          <t>Final drive</t>
        </is>
      </c>
      <c r="F77" s="8" t="inlineStr">
        <is>
          <t>Бортовой редуктор</t>
        </is>
      </c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6" t="n"/>
      <c r="Q77" s="15" t="n"/>
      <c r="R77" s="13">
        <f>IF(UPPER(G77)="N","not fitted",IF(AND(H77="",I77="",J77=""),"not started",IF(OR(H77="",I77="",J77=""),"incomplete",IF(OR(M77="",N77=""),"no source","complete"))))</f>
        <v/>
      </c>
    </row>
    <row r="78">
      <c r="A78" s="7" t="inlineStr">
        <is>
          <t>DOZ</t>
        </is>
      </c>
      <c r="B78" s="7" t="inlineStr">
        <is>
          <t>SHANTUI SD90-C5</t>
        </is>
      </c>
      <c r="C78" s="7" t="n">
        <v>2</v>
      </c>
      <c r="D78" s="8" t="inlineStr">
        <is>
          <t>PIV</t>
        </is>
      </c>
      <c r="E78" s="8" t="inlineStr">
        <is>
          <t>Pivot shaft</t>
        </is>
      </c>
      <c r="F78" s="8" t="inlineStr">
        <is>
          <t>Ось качания</t>
        </is>
      </c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6" t="n"/>
      <c r="Q78" s="15" t="n"/>
      <c r="R78" s="13">
        <f>IF(UPPER(G78)="N","not fitted",IF(AND(H78="",I78="",J78=""),"not started",IF(OR(H78="",I78="",J78=""),"incomplete",IF(OR(M78="",N78=""),"no source","complete"))))</f>
        <v/>
      </c>
    </row>
    <row r="79">
      <c r="A79" s="7" t="inlineStr">
        <is>
          <t>DOZ</t>
        </is>
      </c>
      <c r="B79" s="7" t="inlineStr">
        <is>
          <t>SHANTUI SD34-B3</t>
        </is>
      </c>
      <c r="C79" s="7" t="n">
        <v>1</v>
      </c>
      <c r="D79" s="8" t="inlineStr">
        <is>
          <t>ENG</t>
        </is>
      </c>
      <c r="E79" s="8" t="inlineStr">
        <is>
          <t>Engine</t>
        </is>
      </c>
      <c r="F79" s="8" t="inlineStr">
        <is>
          <t>Двигатель</t>
        </is>
      </c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6" t="n"/>
      <c r="Q79" s="15" t="n"/>
      <c r="R79" s="13">
        <f>IF(UPPER(G79)="N","not fitted",IF(AND(H79="",I79="",J79=""),"not started",IF(OR(H79="",I79="",J79=""),"incomplete",IF(OR(M79="",N79=""),"no source","complete"))))</f>
        <v/>
      </c>
    </row>
    <row r="80">
      <c r="A80" s="7" t="inlineStr">
        <is>
          <t>DOZ</t>
        </is>
      </c>
      <c r="B80" s="7" t="inlineStr">
        <is>
          <t>SHANTUI SD34-B3</t>
        </is>
      </c>
      <c r="C80" s="7" t="n">
        <v>1</v>
      </c>
      <c r="D80" s="8" t="inlineStr">
        <is>
          <t>TRN</t>
        </is>
      </c>
      <c r="E80" s="8" t="inlineStr">
        <is>
          <t>Powertrain / torque converter</t>
        </is>
      </c>
      <c r="F80" s="8" t="inlineStr">
        <is>
          <t>Трансмиссия / гидротрансформатор</t>
        </is>
      </c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6" t="n"/>
      <c r="Q80" s="15" t="n"/>
      <c r="R80" s="13">
        <f>IF(UPPER(G80)="N","not fitted",IF(AND(H80="",I80="",J80=""),"not started",IF(OR(H80="",I80="",J80=""),"incomplete",IF(OR(M80="",N80=""),"no source","complete"))))</f>
        <v/>
      </c>
    </row>
    <row r="81">
      <c r="A81" s="7" t="inlineStr">
        <is>
          <t>DOZ</t>
        </is>
      </c>
      <c r="B81" s="7" t="inlineStr">
        <is>
          <t>SHANTUI SD34-B3</t>
        </is>
      </c>
      <c r="C81" s="7" t="n">
        <v>1</v>
      </c>
      <c r="D81" s="8" t="inlineStr">
        <is>
          <t>HYD</t>
        </is>
      </c>
      <c r="E81" s="8" t="inlineStr">
        <is>
          <t>Hydraulic</t>
        </is>
      </c>
      <c r="F81" s="8" t="inlineStr">
        <is>
          <t>Гидравлика</t>
        </is>
      </c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6" t="n"/>
      <c r="Q81" s="15" t="n"/>
      <c r="R81" s="13">
        <f>IF(UPPER(G81)="N","not fitted",IF(AND(H81="",I81="",J81=""),"not started",IF(OR(H81="",I81="",J81=""),"incomplete",IF(OR(M81="",N81=""),"no source","complete"))))</f>
        <v/>
      </c>
    </row>
    <row r="82">
      <c r="A82" s="7" t="inlineStr">
        <is>
          <t>DOZ</t>
        </is>
      </c>
      <c r="B82" s="7" t="inlineStr">
        <is>
          <t>SHANTUI SD34-B3</t>
        </is>
      </c>
      <c r="C82" s="7" t="n">
        <v>1</v>
      </c>
      <c r="D82" s="8" t="inlineStr">
        <is>
          <t>FDL</t>
        </is>
      </c>
      <c r="E82" s="8" t="inlineStr">
        <is>
          <t>Final drive</t>
        </is>
      </c>
      <c r="F82" s="8" t="inlineStr">
        <is>
          <t>Бортовой редуктор</t>
        </is>
      </c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6" t="n"/>
      <c r="Q82" s="15" t="n"/>
      <c r="R82" s="13">
        <f>IF(UPPER(G82)="N","not fitted",IF(AND(H82="",I82="",J82=""),"not started",IF(OR(H82="",I82="",J82=""),"incomplete",IF(OR(M82="",N82=""),"no source","complete"))))</f>
        <v/>
      </c>
    </row>
    <row r="83">
      <c r="A83" s="7" t="inlineStr">
        <is>
          <t>DOZ</t>
        </is>
      </c>
      <c r="B83" s="7" t="inlineStr">
        <is>
          <t>SHANTUI SD34-B3</t>
        </is>
      </c>
      <c r="C83" s="7" t="n">
        <v>1</v>
      </c>
      <c r="D83" s="8" t="inlineStr">
        <is>
          <t>PIV</t>
        </is>
      </c>
      <c r="E83" s="8" t="inlineStr">
        <is>
          <t>Pivot shaft</t>
        </is>
      </c>
      <c r="F83" s="8" t="inlineStr">
        <is>
          <t>Ось качания</t>
        </is>
      </c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6" t="n"/>
      <c r="Q83" s="15" t="n"/>
      <c r="R83" s="13">
        <f>IF(UPPER(G83)="N","not fitted",IF(AND(H83="",I83="",J83=""),"not started",IF(OR(H83="",I83="",J83=""),"incomplete",IF(OR(M83="",N83=""),"no source","complete"))))</f>
        <v/>
      </c>
    </row>
    <row r="84">
      <c r="A84" s="7" t="inlineStr">
        <is>
          <t>DRB</t>
        </is>
      </c>
      <c r="B84" s="7" t="inlineStr">
        <is>
          <t>SUNWARD SWDE165A</t>
        </is>
      </c>
      <c r="C84" s="7" t="n">
        <v>4</v>
      </c>
      <c r="D84" s="8" t="inlineStr">
        <is>
          <t>ENG</t>
        </is>
      </c>
      <c r="E84" s="8" t="inlineStr">
        <is>
          <t>Engine</t>
        </is>
      </c>
      <c r="F84" s="8" t="inlineStr">
        <is>
          <t>Двигатель</t>
        </is>
      </c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6" t="n"/>
      <c r="Q84" s="15" t="n"/>
      <c r="R84" s="13">
        <f>IF(UPPER(G84)="N","not fitted",IF(AND(H84="",I84="",J84=""),"not started",IF(OR(H84="",I84="",J84=""),"incomplete",IF(OR(M84="",N84=""),"no source","complete"))))</f>
        <v/>
      </c>
    </row>
    <row r="85">
      <c r="A85" s="7" t="inlineStr">
        <is>
          <t>DRB</t>
        </is>
      </c>
      <c r="B85" s="7" t="inlineStr">
        <is>
          <t>SUNWARD SWDE165A</t>
        </is>
      </c>
      <c r="C85" s="7" t="n">
        <v>4</v>
      </c>
      <c r="D85" s="8" t="inlineStr">
        <is>
          <t>HYD</t>
        </is>
      </c>
      <c r="E85" s="8" t="inlineStr">
        <is>
          <t>Hydraulic</t>
        </is>
      </c>
      <c r="F85" s="8" t="inlineStr">
        <is>
          <t>Гидравлика</t>
        </is>
      </c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6" t="n"/>
      <c r="Q85" s="15" t="n"/>
      <c r="R85" s="13">
        <f>IF(UPPER(G85)="N","not fitted",IF(AND(H85="",I85="",J85=""),"not started",IF(OR(H85="",I85="",J85=""),"incomplete",IF(OR(M85="",N85=""),"no source","complete"))))</f>
        <v/>
      </c>
    </row>
    <row r="86">
      <c r="A86" s="7" t="inlineStr">
        <is>
          <t>DRB</t>
        </is>
      </c>
      <c r="B86" s="7" t="inlineStr">
        <is>
          <t>SUNWARD SWDE165A</t>
        </is>
      </c>
      <c r="C86" s="7" t="n">
        <v>4</v>
      </c>
      <c r="D86" s="8" t="inlineStr">
        <is>
          <t>CMP</t>
        </is>
      </c>
      <c r="E86" s="8" t="inlineStr">
        <is>
          <t>Compressor</t>
        </is>
      </c>
      <c r="F86" s="8" t="inlineStr">
        <is>
          <t>Компрессор</t>
        </is>
      </c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6" t="n"/>
      <c r="Q86" s="15" t="n"/>
      <c r="R86" s="13">
        <f>IF(UPPER(G86)="N","not fitted",IF(AND(H86="",I86="",J86=""),"not started",IF(OR(H86="",I86="",J86=""),"incomplete",IF(OR(M86="",N86=""),"no source","complete"))))</f>
        <v/>
      </c>
    </row>
    <row r="87">
      <c r="A87" s="7" t="inlineStr">
        <is>
          <t>DRB</t>
        </is>
      </c>
      <c r="B87" s="7" t="inlineStr">
        <is>
          <t>SUNWARD SWDE165A</t>
        </is>
      </c>
      <c r="C87" s="7" t="n">
        <v>4</v>
      </c>
      <c r="D87" s="8" t="inlineStr">
        <is>
          <t>ROT</t>
        </is>
      </c>
      <c r="E87" s="8" t="inlineStr">
        <is>
          <t>Rotary head</t>
        </is>
      </c>
      <c r="F87" s="8" t="inlineStr">
        <is>
          <t>Вращатель</t>
        </is>
      </c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6" t="n"/>
      <c r="Q87" s="15" t="n"/>
      <c r="R87" s="13">
        <f>IF(UPPER(G87)="N","not fitted",IF(AND(H87="",I87="",J87=""),"not started",IF(OR(H87="",I87="",J87=""),"incomplete",IF(OR(M87="",N87=""),"no source","complete"))))</f>
        <v/>
      </c>
    </row>
    <row r="88">
      <c r="A88" s="7" t="inlineStr">
        <is>
          <t>DRB</t>
        </is>
      </c>
      <c r="B88" s="7" t="inlineStr">
        <is>
          <t>SUNWARD SWDE165A</t>
        </is>
      </c>
      <c r="C88" s="7" t="n">
        <v>4</v>
      </c>
      <c r="D88" s="8" t="inlineStr">
        <is>
          <t>FED</t>
        </is>
      </c>
      <c r="E88" s="8" t="inlineStr">
        <is>
          <t>Feed / pulldown</t>
        </is>
      </c>
      <c r="F88" s="8" t="inlineStr">
        <is>
          <t>Подача</t>
        </is>
      </c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6" t="n"/>
      <c r="Q88" s="15" t="n"/>
      <c r="R88" s="13">
        <f>IF(UPPER(G88)="N","not fitted",IF(AND(H88="",I88="",J88=""),"not started",IF(OR(H88="",I88="",J88=""),"incomplete",IF(OR(M88="",N88=""),"no source","complete"))))</f>
        <v/>
      </c>
    </row>
    <row r="89">
      <c r="A89" s="7" t="inlineStr">
        <is>
          <t>DRB</t>
        </is>
      </c>
      <c r="B89" s="7" t="inlineStr">
        <is>
          <t>KOMATSU P&amp;H 44XT</t>
        </is>
      </c>
      <c r="C89" s="7" t="n">
        <v>2</v>
      </c>
      <c r="D89" s="8" t="inlineStr">
        <is>
          <t>ENG</t>
        </is>
      </c>
      <c r="E89" s="8" t="inlineStr">
        <is>
          <t>Engine</t>
        </is>
      </c>
      <c r="F89" s="8" t="inlineStr">
        <is>
          <t>Двигатель</t>
        </is>
      </c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6" t="n"/>
      <c r="Q89" s="15" t="n"/>
      <c r="R89" s="13">
        <f>IF(UPPER(G89)="N","not fitted",IF(AND(H89="",I89="",J89=""),"not started",IF(OR(H89="",I89="",J89=""),"incomplete",IF(OR(M89="",N89=""),"no source","complete"))))</f>
        <v/>
      </c>
    </row>
    <row r="90">
      <c r="A90" s="7" t="inlineStr">
        <is>
          <t>DRB</t>
        </is>
      </c>
      <c r="B90" s="7" t="inlineStr">
        <is>
          <t>KOMATSU P&amp;H 44XT</t>
        </is>
      </c>
      <c r="C90" s="7" t="n">
        <v>2</v>
      </c>
      <c r="D90" s="8" t="inlineStr">
        <is>
          <t>HYD</t>
        </is>
      </c>
      <c r="E90" s="8" t="inlineStr">
        <is>
          <t>Hydraulic</t>
        </is>
      </c>
      <c r="F90" s="8" t="inlineStr">
        <is>
          <t>Гидравлика</t>
        </is>
      </c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6" t="n"/>
      <c r="Q90" s="15" t="n"/>
      <c r="R90" s="13">
        <f>IF(UPPER(G90)="N","not fitted",IF(AND(H90="",I90="",J90=""),"not started",IF(OR(H90="",I90="",J90=""),"incomplete",IF(OR(M90="",N90=""),"no source","complete"))))</f>
        <v/>
      </c>
    </row>
    <row r="91">
      <c r="A91" s="7" t="inlineStr">
        <is>
          <t>DRB</t>
        </is>
      </c>
      <c r="B91" s="7" t="inlineStr">
        <is>
          <t>KOMATSU P&amp;H 44XT</t>
        </is>
      </c>
      <c r="C91" s="7" t="n">
        <v>2</v>
      </c>
      <c r="D91" s="8" t="inlineStr">
        <is>
          <t>CMP</t>
        </is>
      </c>
      <c r="E91" s="8" t="inlineStr">
        <is>
          <t>Compressor</t>
        </is>
      </c>
      <c r="F91" s="8" t="inlineStr">
        <is>
          <t>Компрессор</t>
        </is>
      </c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6" t="n"/>
      <c r="Q91" s="15" t="n"/>
      <c r="R91" s="13">
        <f>IF(UPPER(G91)="N","not fitted",IF(AND(H91="",I91="",J91=""),"not started",IF(OR(H91="",I91="",J91=""),"incomplete",IF(OR(M91="",N91=""),"no source","complete"))))</f>
        <v/>
      </c>
    </row>
    <row r="92">
      <c r="A92" s="7" t="inlineStr">
        <is>
          <t>DRB</t>
        </is>
      </c>
      <c r="B92" s="7" t="inlineStr">
        <is>
          <t>KOMATSU P&amp;H 44XT</t>
        </is>
      </c>
      <c r="C92" s="7" t="n">
        <v>2</v>
      </c>
      <c r="D92" s="8" t="inlineStr">
        <is>
          <t>ROT</t>
        </is>
      </c>
      <c r="E92" s="8" t="inlineStr">
        <is>
          <t>Rotary head</t>
        </is>
      </c>
      <c r="F92" s="8" t="inlineStr">
        <is>
          <t>Вращатель</t>
        </is>
      </c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6" t="n"/>
      <c r="Q92" s="15" t="n"/>
      <c r="R92" s="13">
        <f>IF(UPPER(G92)="N","not fitted",IF(AND(H92="",I92="",J92=""),"not started",IF(OR(H92="",I92="",J92=""),"incomplete",IF(OR(M92="",N92=""),"no source","complete"))))</f>
        <v/>
      </c>
    </row>
    <row r="93">
      <c r="A93" s="7" t="inlineStr">
        <is>
          <t>DRB</t>
        </is>
      </c>
      <c r="B93" s="7" t="inlineStr">
        <is>
          <t>KOMATSU P&amp;H 44XT</t>
        </is>
      </c>
      <c r="C93" s="7" t="n">
        <v>2</v>
      </c>
      <c r="D93" s="8" t="inlineStr">
        <is>
          <t>FED</t>
        </is>
      </c>
      <c r="E93" s="8" t="inlineStr">
        <is>
          <t>Feed / pulldown</t>
        </is>
      </c>
      <c r="F93" s="8" t="inlineStr">
        <is>
          <t>Подача</t>
        </is>
      </c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6" t="n"/>
      <c r="Q93" s="15" t="n"/>
      <c r="R93" s="13">
        <f>IF(UPPER(G93)="N","not fitted",IF(AND(H93="",I93="",J93=""),"not started",IF(OR(H93="",I93="",J93=""),"incomplete",IF(OR(M93="",N93=""),"no source","complete"))))</f>
        <v/>
      </c>
    </row>
    <row r="94">
      <c r="A94" s="7" t="inlineStr">
        <is>
          <t>DRE</t>
        </is>
      </c>
      <c r="B94" s="7" t="inlineStr">
        <is>
          <t>Boart Longyear LF-90D</t>
        </is>
      </c>
      <c r="C94" s="7" t="n">
        <v>3</v>
      </c>
      <c r="D94" s="8" t="inlineStr">
        <is>
          <t>ENG</t>
        </is>
      </c>
      <c r="E94" s="8" t="inlineStr">
        <is>
          <t>Engine</t>
        </is>
      </c>
      <c r="F94" s="8" t="inlineStr">
        <is>
          <t>Двигатель</t>
        </is>
      </c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6" t="n"/>
      <c r="Q94" s="15" t="n"/>
      <c r="R94" s="13">
        <f>IF(UPPER(G94)="N","not fitted",IF(AND(H94="",I94="",J94=""),"not started",IF(OR(H94="",I94="",J94=""),"incomplete",IF(OR(M94="",N94=""),"no source","complete"))))</f>
        <v/>
      </c>
    </row>
    <row r="95">
      <c r="A95" s="7" t="inlineStr">
        <is>
          <t>DRE</t>
        </is>
      </c>
      <c r="B95" s="7" t="inlineStr">
        <is>
          <t>Boart Longyear LF-90D</t>
        </is>
      </c>
      <c r="C95" s="7" t="n">
        <v>3</v>
      </c>
      <c r="D95" s="8" t="inlineStr">
        <is>
          <t>HYD</t>
        </is>
      </c>
      <c r="E95" s="8" t="inlineStr">
        <is>
          <t>Hydraulic</t>
        </is>
      </c>
      <c r="F95" s="8" t="inlineStr">
        <is>
          <t>Гидравлика</t>
        </is>
      </c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6" t="n"/>
      <c r="Q95" s="15" t="n"/>
      <c r="R95" s="13">
        <f>IF(UPPER(G95)="N","not fitted",IF(AND(H95="",I95="",J95=""),"not started",IF(OR(H95="",I95="",J95=""),"incomplete",IF(OR(M95="",N95=""),"no source","complete"))))</f>
        <v/>
      </c>
    </row>
    <row r="96">
      <c r="A96" s="7" t="inlineStr">
        <is>
          <t>DRE</t>
        </is>
      </c>
      <c r="B96" s="7" t="inlineStr">
        <is>
          <t>Boart Longyear LF-90D</t>
        </is>
      </c>
      <c r="C96" s="7" t="n">
        <v>3</v>
      </c>
      <c r="D96" s="8" t="inlineStr">
        <is>
          <t>ROT</t>
        </is>
      </c>
      <c r="E96" s="8" t="inlineStr">
        <is>
          <t>Rotation unit</t>
        </is>
      </c>
      <c r="F96" s="8" t="inlineStr">
        <is>
          <t>Вращатель</t>
        </is>
      </c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6" t="n"/>
      <c r="Q96" s="15" t="n"/>
      <c r="R96" s="13">
        <f>IF(UPPER(G96)="N","not fitted",IF(AND(H96="",I96="",J96=""),"not started",IF(OR(H96="",I96="",J96=""),"incomplete",IF(OR(M96="",N96=""),"no source","complete"))))</f>
        <v/>
      </c>
    </row>
    <row r="97">
      <c r="A97" s="7" t="inlineStr">
        <is>
          <t>DRE</t>
        </is>
      </c>
      <c r="B97" s="7" t="inlineStr">
        <is>
          <t>Boart Longyear LF-90D</t>
        </is>
      </c>
      <c r="C97" s="7" t="n">
        <v>3</v>
      </c>
      <c r="D97" s="8" t="inlineStr">
        <is>
          <t>PMP</t>
        </is>
      </c>
      <c r="E97" s="8" t="inlineStr">
        <is>
          <t>Mud pump</t>
        </is>
      </c>
      <c r="F97" s="8" t="inlineStr">
        <is>
          <t>Промывочный насос</t>
        </is>
      </c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6" t="n"/>
      <c r="Q97" s="15" t="n"/>
      <c r="R97" s="13">
        <f>IF(UPPER(G97)="N","not fitted",IF(AND(H97="",I97="",J97=""),"not started",IF(OR(H97="",I97="",J97=""),"incomplete",IF(OR(M97="",N97=""),"no source","complete"))))</f>
        <v/>
      </c>
    </row>
    <row r="98">
      <c r="A98" s="7" t="inlineStr">
        <is>
          <t>DRE</t>
        </is>
      </c>
      <c r="B98" s="7" t="inlineStr">
        <is>
          <t>TLP-4M</t>
        </is>
      </c>
      <c r="C98" s="7" t="n">
        <v>1</v>
      </c>
      <c r="D98" s="8" t="inlineStr">
        <is>
          <t>ENG</t>
        </is>
      </c>
      <c r="E98" s="8" t="inlineStr">
        <is>
          <t>Engine</t>
        </is>
      </c>
      <c r="F98" s="8" t="inlineStr">
        <is>
          <t>Двигатель</t>
        </is>
      </c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6" t="n"/>
      <c r="Q98" s="15" t="n"/>
      <c r="R98" s="13">
        <f>IF(UPPER(G98)="N","not fitted",IF(AND(H98="",I98="",J98=""),"not started",IF(OR(H98="",I98="",J98=""),"incomplete",IF(OR(M98="",N98=""),"no source","complete"))))</f>
        <v/>
      </c>
    </row>
    <row r="99">
      <c r="A99" s="7" t="inlineStr">
        <is>
          <t>DRE</t>
        </is>
      </c>
      <c r="B99" s="7" t="inlineStr">
        <is>
          <t>TLP-4M</t>
        </is>
      </c>
      <c r="C99" s="7" t="n">
        <v>1</v>
      </c>
      <c r="D99" s="8" t="inlineStr">
        <is>
          <t>HYD</t>
        </is>
      </c>
      <c r="E99" s="8" t="inlineStr">
        <is>
          <t>Hydraulic</t>
        </is>
      </c>
      <c r="F99" s="8" t="inlineStr">
        <is>
          <t>Гидравлика</t>
        </is>
      </c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6" t="n"/>
      <c r="Q99" s="15" t="n"/>
      <c r="R99" s="13">
        <f>IF(UPPER(G99)="N","not fitted",IF(AND(H99="",I99="",J99=""),"not started",IF(OR(H99="",I99="",J99=""),"incomplete",IF(OR(M99="",N99=""),"no source","complete"))))</f>
        <v/>
      </c>
    </row>
    <row r="100">
      <c r="A100" s="7" t="inlineStr">
        <is>
          <t>DRE</t>
        </is>
      </c>
      <c r="B100" s="7" t="inlineStr">
        <is>
          <t>TLP-4M</t>
        </is>
      </c>
      <c r="C100" s="7" t="n">
        <v>1</v>
      </c>
      <c r="D100" s="8" t="inlineStr">
        <is>
          <t>ROT</t>
        </is>
      </c>
      <c r="E100" s="8" t="inlineStr">
        <is>
          <t>Rotation unit</t>
        </is>
      </c>
      <c r="F100" s="8" t="inlineStr">
        <is>
          <t>Вращатель</t>
        </is>
      </c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6" t="n"/>
      <c r="Q100" s="15" t="n"/>
      <c r="R100" s="13">
        <f>IF(UPPER(G100)="N","not fitted",IF(AND(H100="",I100="",J100=""),"not started",IF(OR(H100="",I100="",J100=""),"incomplete",IF(OR(M100="",N100=""),"no source","complete"))))</f>
        <v/>
      </c>
    </row>
    <row r="101">
      <c r="A101" s="7" t="inlineStr">
        <is>
          <t>DRE</t>
        </is>
      </c>
      <c r="B101" s="7" t="inlineStr">
        <is>
          <t>TLP-4M</t>
        </is>
      </c>
      <c r="C101" s="7" t="n">
        <v>1</v>
      </c>
      <c r="D101" s="8" t="inlineStr">
        <is>
          <t>PMP</t>
        </is>
      </c>
      <c r="E101" s="8" t="inlineStr">
        <is>
          <t>Mud pump</t>
        </is>
      </c>
      <c r="F101" s="8" t="inlineStr">
        <is>
          <t>Промывочный насос</t>
        </is>
      </c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6" t="n"/>
      <c r="Q101" s="15" t="n"/>
      <c r="R101" s="13">
        <f>IF(UPPER(G101)="N","not fitted",IF(AND(H101="",I101="",J101=""),"not started",IF(OR(H101="",I101="",J101=""),"incomplete",IF(OR(M101="",N101=""),"no source","complete"))))</f>
        <v/>
      </c>
    </row>
    <row r="102">
      <c r="A102" s="7" t="inlineStr">
        <is>
          <t>EXC</t>
        </is>
      </c>
      <c r="B102" s="7" t="inlineStr">
        <is>
          <t>HITACHI ZX330-5G RB</t>
        </is>
      </c>
      <c r="C102" s="7" t="n">
        <v>4</v>
      </c>
      <c r="D102" s="8" t="inlineStr">
        <is>
          <t>ENG</t>
        </is>
      </c>
      <c r="E102" s="8" t="inlineStr">
        <is>
          <t>Engine</t>
        </is>
      </c>
      <c r="F102" s="8" t="inlineStr">
        <is>
          <t>Двигатель</t>
        </is>
      </c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6" t="n"/>
      <c r="Q102" s="15" t="n"/>
      <c r="R102" s="13">
        <f>IF(UPPER(G102)="N","not fitted",IF(AND(H102="",I102="",J102=""),"not started",IF(OR(H102="",I102="",J102=""),"incomplete",IF(OR(M102="",N102=""),"no source","complete"))))</f>
        <v/>
      </c>
    </row>
    <row r="103">
      <c r="A103" s="7" t="inlineStr">
        <is>
          <t>EXC</t>
        </is>
      </c>
      <c r="B103" s="7" t="inlineStr">
        <is>
          <t>HITACHI ZX330-5G RB</t>
        </is>
      </c>
      <c r="C103" s="7" t="n">
        <v>4</v>
      </c>
      <c r="D103" s="8" t="inlineStr">
        <is>
          <t>HYD</t>
        </is>
      </c>
      <c r="E103" s="8" t="inlineStr">
        <is>
          <t>Hydraulic tank</t>
        </is>
      </c>
      <c r="F103" s="8" t="inlineStr">
        <is>
          <t>Гидробак</t>
        </is>
      </c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6" t="n"/>
      <c r="Q103" s="15" t="n"/>
      <c r="R103" s="13">
        <f>IF(UPPER(G103)="N","not fitted",IF(AND(H103="",I103="",J103=""),"not started",IF(OR(H103="",I103="",J103=""),"incomplete",IF(OR(M103="",N103=""),"no source","complete"))))</f>
        <v/>
      </c>
    </row>
    <row r="104">
      <c r="A104" s="7" t="inlineStr">
        <is>
          <t>EXC</t>
        </is>
      </c>
      <c r="B104" s="7" t="inlineStr">
        <is>
          <t>HITACHI ZX330-5G RB</t>
        </is>
      </c>
      <c r="C104" s="7" t="n">
        <v>4</v>
      </c>
      <c r="D104" s="8" t="inlineStr">
        <is>
          <t>SWG</t>
        </is>
      </c>
      <c r="E104" s="8" t="inlineStr">
        <is>
          <t>Swing drive</t>
        </is>
      </c>
      <c r="F104" s="8" t="inlineStr">
        <is>
          <t>Механизм поворота</t>
        </is>
      </c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6" t="n"/>
      <c r="Q104" s="15" t="n"/>
      <c r="R104" s="13">
        <f>IF(UPPER(G104)="N","not fitted",IF(AND(H104="",I104="",J104=""),"not started",IF(OR(H104="",I104="",J104=""),"incomplete",IF(OR(M104="",N104=""),"no source","complete"))))</f>
        <v/>
      </c>
    </row>
    <row r="105">
      <c r="A105" s="7" t="inlineStr">
        <is>
          <t>EXC</t>
        </is>
      </c>
      <c r="B105" s="7" t="inlineStr">
        <is>
          <t>HITACHI ZX330-5G RB</t>
        </is>
      </c>
      <c r="C105" s="7" t="n">
        <v>4</v>
      </c>
      <c r="D105" s="8" t="inlineStr">
        <is>
          <t>TRV</t>
        </is>
      </c>
      <c r="E105" s="8" t="inlineStr">
        <is>
          <t>Travel / final drive</t>
        </is>
      </c>
      <c r="F105" s="8" t="inlineStr">
        <is>
          <t>Ход / бортовой редуктор</t>
        </is>
      </c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6" t="n"/>
      <c r="Q105" s="15" t="n"/>
      <c r="R105" s="13">
        <f>IF(UPPER(G105)="N","not fitted",IF(AND(H105="",I105="",J105=""),"not started",IF(OR(H105="",I105="",J105=""),"incomplete",IF(OR(M105="",N105=""),"no source","complete"))))</f>
        <v/>
      </c>
    </row>
    <row r="106">
      <c r="A106" s="7" t="inlineStr">
        <is>
          <t>EXC</t>
        </is>
      </c>
      <c r="B106" s="7" t="inlineStr">
        <is>
          <t>HITACHI ZX330-5G RB</t>
        </is>
      </c>
      <c r="C106" s="7" t="n">
        <v>4</v>
      </c>
      <c r="D106" s="8" t="inlineStr">
        <is>
          <t>PTO</t>
        </is>
      </c>
      <c r="E106" s="8" t="inlineStr">
        <is>
          <t>Pump drive gearbox</t>
        </is>
      </c>
      <c r="F106" s="8" t="inlineStr">
        <is>
          <t>Редуктор привода насосов</t>
        </is>
      </c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6" t="n"/>
      <c r="Q106" s="15" t="n"/>
      <c r="R106" s="13">
        <f>IF(UPPER(G106)="N","not fitted",IF(AND(H106="",I106="",J106=""),"not started",IF(OR(H106="",I106="",J106=""),"incomplete",IF(OR(M106="",N106=""),"no source","complete"))))</f>
        <v/>
      </c>
    </row>
    <row r="107">
      <c r="A107" s="7" t="inlineStr">
        <is>
          <t>EXC</t>
        </is>
      </c>
      <c r="B107" s="7" t="inlineStr">
        <is>
          <t>KOMATSU PC800-8E0 (SE)</t>
        </is>
      </c>
      <c r="C107" s="7" t="n">
        <v>3</v>
      </c>
      <c r="D107" s="8" t="inlineStr">
        <is>
          <t>ENG</t>
        </is>
      </c>
      <c r="E107" s="8" t="inlineStr">
        <is>
          <t>Engine</t>
        </is>
      </c>
      <c r="F107" s="8" t="inlineStr">
        <is>
          <t>Двигатель</t>
        </is>
      </c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6" t="n"/>
      <c r="Q107" s="15" t="n"/>
      <c r="R107" s="13">
        <f>IF(UPPER(G107)="N","not fitted",IF(AND(H107="",I107="",J107=""),"not started",IF(OR(H107="",I107="",J107=""),"incomplete",IF(OR(M107="",N107=""),"no source","complete"))))</f>
        <v/>
      </c>
    </row>
    <row r="108">
      <c r="A108" s="7" t="inlineStr">
        <is>
          <t>EXC</t>
        </is>
      </c>
      <c r="B108" s="7" t="inlineStr">
        <is>
          <t>KOMATSU PC800-8E0 (SE)</t>
        </is>
      </c>
      <c r="C108" s="7" t="n">
        <v>3</v>
      </c>
      <c r="D108" s="8" t="inlineStr">
        <is>
          <t>HYD</t>
        </is>
      </c>
      <c r="E108" s="8" t="inlineStr">
        <is>
          <t>Hydraulic tank</t>
        </is>
      </c>
      <c r="F108" s="8" t="inlineStr">
        <is>
          <t>Гидробак</t>
        </is>
      </c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6" t="n"/>
      <c r="Q108" s="15" t="n"/>
      <c r="R108" s="13">
        <f>IF(UPPER(G108)="N","not fitted",IF(AND(H108="",I108="",J108=""),"not started",IF(OR(H108="",I108="",J108=""),"incomplete",IF(OR(M108="",N108=""),"no source","complete"))))</f>
        <v/>
      </c>
    </row>
    <row r="109">
      <c r="A109" s="7" t="inlineStr">
        <is>
          <t>EXC</t>
        </is>
      </c>
      <c r="B109" s="7" t="inlineStr">
        <is>
          <t>KOMATSU PC800-8E0 (SE)</t>
        </is>
      </c>
      <c r="C109" s="7" t="n">
        <v>3</v>
      </c>
      <c r="D109" s="8" t="inlineStr">
        <is>
          <t>SWG</t>
        </is>
      </c>
      <c r="E109" s="8" t="inlineStr">
        <is>
          <t>Swing drive</t>
        </is>
      </c>
      <c r="F109" s="8" t="inlineStr">
        <is>
          <t>Механизм поворота</t>
        </is>
      </c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6" t="n"/>
      <c r="Q109" s="15" t="n"/>
      <c r="R109" s="13">
        <f>IF(UPPER(G109)="N","not fitted",IF(AND(H109="",I109="",J109=""),"not started",IF(OR(H109="",I109="",J109=""),"incomplete",IF(OR(M109="",N109=""),"no source","complete"))))</f>
        <v/>
      </c>
    </row>
    <row r="110">
      <c r="A110" s="7" t="inlineStr">
        <is>
          <t>EXC</t>
        </is>
      </c>
      <c r="B110" s="7" t="inlineStr">
        <is>
          <t>KOMATSU PC800-8E0 (SE)</t>
        </is>
      </c>
      <c r="C110" s="7" t="n">
        <v>3</v>
      </c>
      <c r="D110" s="8" t="inlineStr">
        <is>
          <t>TRV</t>
        </is>
      </c>
      <c r="E110" s="8" t="inlineStr">
        <is>
          <t>Travel / final drive</t>
        </is>
      </c>
      <c r="F110" s="8" t="inlineStr">
        <is>
          <t>Ход / бортовой редуктор</t>
        </is>
      </c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6" t="n"/>
      <c r="Q110" s="15" t="n"/>
      <c r="R110" s="13">
        <f>IF(UPPER(G110)="N","not fitted",IF(AND(H110="",I110="",J110=""),"not started",IF(OR(H110="",I110="",J110=""),"incomplete",IF(OR(M110="",N110=""),"no source","complete"))))</f>
        <v/>
      </c>
    </row>
    <row r="111">
      <c r="A111" s="7" t="inlineStr">
        <is>
          <t>EXC</t>
        </is>
      </c>
      <c r="B111" s="7" t="inlineStr">
        <is>
          <t>KOMATSU PC800-8E0 (SE)</t>
        </is>
      </c>
      <c r="C111" s="7" t="n">
        <v>3</v>
      </c>
      <c r="D111" s="8" t="inlineStr">
        <is>
          <t>PTO</t>
        </is>
      </c>
      <c r="E111" s="8" t="inlineStr">
        <is>
          <t>Pump drive gearbox</t>
        </is>
      </c>
      <c r="F111" s="8" t="inlineStr">
        <is>
          <t>Редуктор привода насосов</t>
        </is>
      </c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6" t="n"/>
      <c r="Q111" s="15" t="n"/>
      <c r="R111" s="13">
        <f>IF(UPPER(G111)="N","not fitted",IF(AND(H111="",I111="",J111=""),"not started",IF(OR(H111="",I111="",J111=""),"incomplete",IF(OR(M111="",N111=""),"no source","complete"))))</f>
        <v/>
      </c>
    </row>
    <row r="112">
      <c r="A112" s="7" t="inlineStr">
        <is>
          <t>EXC</t>
        </is>
      </c>
      <c r="B112" s="7" t="inlineStr">
        <is>
          <t>LiuGong CLG970E</t>
        </is>
      </c>
      <c r="C112" s="7" t="n">
        <v>3</v>
      </c>
      <c r="D112" s="8" t="inlineStr">
        <is>
          <t>ENG</t>
        </is>
      </c>
      <c r="E112" s="8" t="inlineStr">
        <is>
          <t>Engine</t>
        </is>
      </c>
      <c r="F112" s="8" t="inlineStr">
        <is>
          <t>Двигатель</t>
        </is>
      </c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6" t="n"/>
      <c r="Q112" s="15" t="n"/>
      <c r="R112" s="13">
        <f>IF(UPPER(G112)="N","not fitted",IF(AND(H112="",I112="",J112=""),"not started",IF(OR(H112="",I112="",J112=""),"incomplete",IF(OR(M112="",N112=""),"no source","complete"))))</f>
        <v/>
      </c>
    </row>
    <row r="113">
      <c r="A113" s="7" t="inlineStr">
        <is>
          <t>EXC</t>
        </is>
      </c>
      <c r="B113" s="7" t="inlineStr">
        <is>
          <t>LiuGong CLG970E</t>
        </is>
      </c>
      <c r="C113" s="7" t="n">
        <v>3</v>
      </c>
      <c r="D113" s="8" t="inlineStr">
        <is>
          <t>HYD</t>
        </is>
      </c>
      <c r="E113" s="8" t="inlineStr">
        <is>
          <t>Hydraulic tank</t>
        </is>
      </c>
      <c r="F113" s="8" t="inlineStr">
        <is>
          <t>Гидробак</t>
        </is>
      </c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6" t="n"/>
      <c r="Q113" s="15" t="n"/>
      <c r="R113" s="13">
        <f>IF(UPPER(G113)="N","not fitted",IF(AND(H113="",I113="",J113=""),"not started",IF(OR(H113="",I113="",J113=""),"incomplete",IF(OR(M113="",N113=""),"no source","complete"))))</f>
        <v/>
      </c>
    </row>
    <row r="114">
      <c r="A114" s="7" t="inlineStr">
        <is>
          <t>EXC</t>
        </is>
      </c>
      <c r="B114" s="7" t="inlineStr">
        <is>
          <t>LiuGong CLG970E</t>
        </is>
      </c>
      <c r="C114" s="7" t="n">
        <v>3</v>
      </c>
      <c r="D114" s="8" t="inlineStr">
        <is>
          <t>SWG</t>
        </is>
      </c>
      <c r="E114" s="8" t="inlineStr">
        <is>
          <t>Swing drive</t>
        </is>
      </c>
      <c r="F114" s="8" t="inlineStr">
        <is>
          <t>Механизм поворота</t>
        </is>
      </c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6" t="n"/>
      <c r="Q114" s="15" t="n"/>
      <c r="R114" s="13">
        <f>IF(UPPER(G114)="N","not fitted",IF(AND(H114="",I114="",J114=""),"not started",IF(OR(H114="",I114="",J114=""),"incomplete",IF(OR(M114="",N114=""),"no source","complete"))))</f>
        <v/>
      </c>
    </row>
    <row r="115">
      <c r="A115" s="7" t="inlineStr">
        <is>
          <t>EXC</t>
        </is>
      </c>
      <c r="B115" s="7" t="inlineStr">
        <is>
          <t>LiuGong CLG970E</t>
        </is>
      </c>
      <c r="C115" s="7" t="n">
        <v>3</v>
      </c>
      <c r="D115" s="8" t="inlineStr">
        <is>
          <t>TRV</t>
        </is>
      </c>
      <c r="E115" s="8" t="inlineStr">
        <is>
          <t>Travel / final drive</t>
        </is>
      </c>
      <c r="F115" s="8" t="inlineStr">
        <is>
          <t>Ход / бортовой редуктор</t>
        </is>
      </c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6" t="n"/>
      <c r="Q115" s="15" t="n"/>
      <c r="R115" s="13">
        <f>IF(UPPER(G115)="N","not fitted",IF(AND(H115="",I115="",J115=""),"not started",IF(OR(H115="",I115="",J115=""),"incomplete",IF(OR(M115="",N115=""),"no source","complete"))))</f>
        <v/>
      </c>
    </row>
    <row r="116">
      <c r="A116" s="7" t="inlineStr">
        <is>
          <t>EXC</t>
        </is>
      </c>
      <c r="B116" s="7" t="inlineStr">
        <is>
          <t>LiuGong CLG970E</t>
        </is>
      </c>
      <c r="C116" s="7" t="n">
        <v>3</v>
      </c>
      <c r="D116" s="8" t="inlineStr">
        <is>
          <t>PTO</t>
        </is>
      </c>
      <c r="E116" s="8" t="inlineStr">
        <is>
          <t>Pump drive gearbox</t>
        </is>
      </c>
      <c r="F116" s="8" t="inlineStr">
        <is>
          <t>Редуктор привода насосов</t>
        </is>
      </c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6" t="n"/>
      <c r="Q116" s="15" t="n"/>
      <c r="R116" s="13">
        <f>IF(UPPER(G116)="N","not fitted",IF(AND(H116="",I116="",J116=""),"not started",IF(OR(H116="",I116="",J116=""),"incomplete",IF(OR(M116="",N116=""),"no source","complete"))))</f>
        <v/>
      </c>
    </row>
    <row r="117">
      <c r="A117" s="7" t="inlineStr">
        <is>
          <t>EXC</t>
        </is>
      </c>
      <c r="B117" s="7" t="inlineStr">
        <is>
          <t>HITACHI EX1200-6BH</t>
        </is>
      </c>
      <c r="C117" s="7" t="n">
        <v>2</v>
      </c>
      <c r="D117" s="8" t="inlineStr">
        <is>
          <t>ENG</t>
        </is>
      </c>
      <c r="E117" s="8" t="inlineStr">
        <is>
          <t>Engine</t>
        </is>
      </c>
      <c r="F117" s="8" t="inlineStr">
        <is>
          <t>Двигатель</t>
        </is>
      </c>
      <c r="G117" s="9" t="inlineStr">
        <is>
          <t>Y</t>
        </is>
      </c>
      <c r="H117" s="9" t="n">
        <v>95</v>
      </c>
      <c r="I117" s="9" t="inlineStr">
        <is>
          <t>API CK-4</t>
        </is>
      </c>
      <c r="J117" s="9" t="n">
        <v>500</v>
      </c>
      <c r="K117" s="9" t="inlineStr">
        <is>
          <t>5W-40 synth</t>
        </is>
      </c>
      <c r="L117" s="9" t="inlineStr">
        <is>
          <t>15W-40</t>
        </is>
      </c>
      <c r="M117" s="10" t="n"/>
      <c r="N117" s="10" t="n"/>
      <c r="O117" s="10" t="n"/>
      <c r="P117" s="11" t="n"/>
      <c r="Q117" s="10" t="n"/>
      <c r="R117" s="13">
        <f>IF(UPPER(G117)="N","not fitted",IF(AND(H117="",I117="",J117=""),"not started",IF(OR(H117="",I117="",J117=""),"incomplete",IF(OR(M117="",N117=""),"no source","complete"))))</f>
        <v/>
      </c>
    </row>
    <row r="118">
      <c r="A118" s="7" t="inlineStr">
        <is>
          <t>EXC</t>
        </is>
      </c>
      <c r="B118" s="7" t="inlineStr">
        <is>
          <t>HITACHI EX1200-6BH</t>
        </is>
      </c>
      <c r="C118" s="7" t="n">
        <v>2</v>
      </c>
      <c r="D118" s="8" t="inlineStr">
        <is>
          <t>HYD</t>
        </is>
      </c>
      <c r="E118" s="8" t="inlineStr">
        <is>
          <t>Hydraulic tank</t>
        </is>
      </c>
      <c r="F118" s="8" t="inlineStr">
        <is>
          <t>Гидробак</t>
        </is>
      </c>
      <c r="G118" s="9" t="inlineStr">
        <is>
          <t>Y</t>
        </is>
      </c>
      <c r="H118" s="9" t="n">
        <v>660</v>
      </c>
      <c r="I118" s="9" t="inlineStr">
        <is>
          <t>Hitachi Super EX / ISO VG</t>
        </is>
      </c>
      <c r="J118" s="9" t="n">
        <v>4000</v>
      </c>
      <c r="K118" s="10" t="n"/>
      <c r="L118" s="9" t="inlineStr">
        <is>
          <t>ISO VG 32</t>
        </is>
      </c>
      <c r="M118" s="10" t="n"/>
      <c r="N118" s="10" t="n"/>
      <c r="O118" s="10" t="n"/>
      <c r="P118" s="11" t="n"/>
      <c r="Q118" s="10" t="n"/>
      <c r="R118" s="13">
        <f>IF(UPPER(G118)="N","not fitted",IF(AND(H118="",I118="",J118=""),"not started",IF(OR(H118="",I118="",J118=""),"incomplete",IF(OR(M118="",N118=""),"no source","complete"))))</f>
        <v/>
      </c>
    </row>
    <row r="119">
      <c r="A119" s="7" t="inlineStr">
        <is>
          <t>EXC</t>
        </is>
      </c>
      <c r="B119" s="7" t="inlineStr">
        <is>
          <t>HITACHI EX1200-6BH</t>
        </is>
      </c>
      <c r="C119" s="7" t="n">
        <v>2</v>
      </c>
      <c r="D119" s="8" t="inlineStr">
        <is>
          <t>SWG</t>
        </is>
      </c>
      <c r="E119" s="8" t="inlineStr">
        <is>
          <t>Swing drive</t>
        </is>
      </c>
      <c r="F119" s="8" t="inlineStr">
        <is>
          <t>Механизм поворота</t>
        </is>
      </c>
      <c r="G119" s="9" t="inlineStr">
        <is>
          <t>Y</t>
        </is>
      </c>
      <c r="H119" s="9" t="n">
        <v>36</v>
      </c>
      <c r="I119" s="9" t="inlineStr">
        <is>
          <t>API GL-5</t>
        </is>
      </c>
      <c r="J119" s="9" t="n">
        <v>4000</v>
      </c>
      <c r="K119" s="9" t="inlineStr">
        <is>
          <t>75W-90 synth</t>
        </is>
      </c>
      <c r="L119" s="9" t="inlineStr">
        <is>
          <t>80W-90</t>
        </is>
      </c>
      <c r="M119" s="10" t="n"/>
      <c r="N119" s="10" t="n"/>
      <c r="O119" s="10" t="n"/>
      <c r="P119" s="11" t="n"/>
      <c r="Q119" s="10" t="n"/>
      <c r="R119" s="13">
        <f>IF(UPPER(G119)="N","not fitted",IF(AND(H119="",I119="",J119=""),"not started",IF(OR(H119="",I119="",J119=""),"incomplete",IF(OR(M119="",N119=""),"no source","complete"))))</f>
        <v/>
      </c>
    </row>
    <row r="120">
      <c r="A120" s="7" t="inlineStr">
        <is>
          <t>EXC</t>
        </is>
      </c>
      <c r="B120" s="7" t="inlineStr">
        <is>
          <t>HITACHI EX1200-6BH</t>
        </is>
      </c>
      <c r="C120" s="7" t="n">
        <v>2</v>
      </c>
      <c r="D120" s="8" t="inlineStr">
        <is>
          <t>TRV</t>
        </is>
      </c>
      <c r="E120" s="8" t="inlineStr">
        <is>
          <t>Travel / final drive</t>
        </is>
      </c>
      <c r="F120" s="8" t="inlineStr">
        <is>
          <t>Ход / бортовой редуктор</t>
        </is>
      </c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6" t="n"/>
      <c r="Q120" s="15" t="n"/>
      <c r="R120" s="13">
        <f>IF(UPPER(G120)="N","not fitted",IF(AND(H120="",I120="",J120=""),"not started",IF(OR(H120="",I120="",J120=""),"incomplete",IF(OR(M120="",N120=""),"no source","complete"))))</f>
        <v/>
      </c>
    </row>
    <row r="121">
      <c r="A121" s="7" t="inlineStr">
        <is>
          <t>EXC</t>
        </is>
      </c>
      <c r="B121" s="7" t="inlineStr">
        <is>
          <t>HITACHI EX1200-6BH</t>
        </is>
      </c>
      <c r="C121" s="7" t="n">
        <v>2</v>
      </c>
      <c r="D121" s="8" t="inlineStr">
        <is>
          <t>PTO</t>
        </is>
      </c>
      <c r="E121" s="8" t="inlineStr">
        <is>
          <t>Pump drive gearbox</t>
        </is>
      </c>
      <c r="F121" s="8" t="inlineStr">
        <is>
          <t>Редуктор привода насосов</t>
        </is>
      </c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6" t="n"/>
      <c r="Q121" s="15" t="n"/>
      <c r="R121" s="13">
        <f>IF(UPPER(G121)="N","not fitted",IF(AND(H121="",I121="",J121=""),"not started",IF(OR(H121="",I121="",J121=""),"incomplete",IF(OR(M121="",N121=""),"no source","complete"))))</f>
        <v/>
      </c>
    </row>
    <row r="122">
      <c r="A122" s="7" t="inlineStr">
        <is>
          <t>EXC</t>
        </is>
      </c>
      <c r="B122" s="7" t="inlineStr">
        <is>
          <t>HITACHI ZX210W-5A</t>
        </is>
      </c>
      <c r="C122" s="7" t="n">
        <v>2</v>
      </c>
      <c r="D122" s="8" t="inlineStr">
        <is>
          <t>ENG</t>
        </is>
      </c>
      <c r="E122" s="8" t="inlineStr">
        <is>
          <t>Engine</t>
        </is>
      </c>
      <c r="F122" s="8" t="inlineStr">
        <is>
          <t>Двигатель</t>
        </is>
      </c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6" t="n"/>
      <c r="Q122" s="15" t="n"/>
      <c r="R122" s="13">
        <f>IF(UPPER(G122)="N","not fitted",IF(AND(H122="",I122="",J122=""),"not started",IF(OR(H122="",I122="",J122=""),"incomplete",IF(OR(M122="",N122=""),"no source","complete"))))</f>
        <v/>
      </c>
    </row>
    <row r="123">
      <c r="A123" s="7" t="inlineStr">
        <is>
          <t>EXC</t>
        </is>
      </c>
      <c r="B123" s="7" t="inlineStr">
        <is>
          <t>HITACHI ZX210W-5A</t>
        </is>
      </c>
      <c r="C123" s="7" t="n">
        <v>2</v>
      </c>
      <c r="D123" s="8" t="inlineStr">
        <is>
          <t>HYD</t>
        </is>
      </c>
      <c r="E123" s="8" t="inlineStr">
        <is>
          <t>Hydraulic tank</t>
        </is>
      </c>
      <c r="F123" s="8" t="inlineStr">
        <is>
          <t>Гидробак</t>
        </is>
      </c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6" t="n"/>
      <c r="Q123" s="15" t="n"/>
      <c r="R123" s="13">
        <f>IF(UPPER(G123)="N","not fitted",IF(AND(H123="",I123="",J123=""),"not started",IF(OR(H123="",I123="",J123=""),"incomplete",IF(OR(M123="",N123=""),"no source","complete"))))</f>
        <v/>
      </c>
    </row>
    <row r="124">
      <c r="A124" s="7" t="inlineStr">
        <is>
          <t>EXC</t>
        </is>
      </c>
      <c r="B124" s="7" t="inlineStr">
        <is>
          <t>HITACHI ZX210W-5A</t>
        </is>
      </c>
      <c r="C124" s="7" t="n">
        <v>2</v>
      </c>
      <c r="D124" s="8" t="inlineStr">
        <is>
          <t>SWG</t>
        </is>
      </c>
      <c r="E124" s="8" t="inlineStr">
        <is>
          <t>Swing drive</t>
        </is>
      </c>
      <c r="F124" s="8" t="inlineStr">
        <is>
          <t>Механизм поворота</t>
        </is>
      </c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6" t="n"/>
      <c r="Q124" s="15" t="n"/>
      <c r="R124" s="13">
        <f>IF(UPPER(G124)="N","not fitted",IF(AND(H124="",I124="",J124=""),"not started",IF(OR(H124="",I124="",J124=""),"incomplete",IF(OR(M124="",N124=""),"no source","complete"))))</f>
        <v/>
      </c>
    </row>
    <row r="125">
      <c r="A125" s="7" t="inlineStr">
        <is>
          <t>EXC</t>
        </is>
      </c>
      <c r="B125" s="7" t="inlineStr">
        <is>
          <t>HITACHI ZX210W-5A</t>
        </is>
      </c>
      <c r="C125" s="7" t="n">
        <v>2</v>
      </c>
      <c r="D125" s="8" t="inlineStr">
        <is>
          <t>TRV</t>
        </is>
      </c>
      <c r="E125" s="8" t="inlineStr">
        <is>
          <t>Travel / final drive</t>
        </is>
      </c>
      <c r="F125" s="8" t="inlineStr">
        <is>
          <t>Ход / бортовой редуктор</t>
        </is>
      </c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6" t="n"/>
      <c r="Q125" s="15" t="n"/>
      <c r="R125" s="13">
        <f>IF(UPPER(G125)="N","not fitted",IF(AND(H125="",I125="",J125=""),"not started",IF(OR(H125="",I125="",J125=""),"incomplete",IF(OR(M125="",N125=""),"no source","complete"))))</f>
        <v/>
      </c>
    </row>
    <row r="126">
      <c r="A126" s="7" t="inlineStr">
        <is>
          <t>EXC</t>
        </is>
      </c>
      <c r="B126" s="7" t="inlineStr">
        <is>
          <t>HITACHI ZX210W-5A</t>
        </is>
      </c>
      <c r="C126" s="7" t="n">
        <v>2</v>
      </c>
      <c r="D126" s="8" t="inlineStr">
        <is>
          <t>PTO</t>
        </is>
      </c>
      <c r="E126" s="8" t="inlineStr">
        <is>
          <t>Pump drive gearbox</t>
        </is>
      </c>
      <c r="F126" s="8" t="inlineStr">
        <is>
          <t>Редуктор привода насосов</t>
        </is>
      </c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6" t="n"/>
      <c r="Q126" s="15" t="n"/>
      <c r="R126" s="13">
        <f>IF(UPPER(G126)="N","not fitted",IF(AND(H126="",I126="",J126=""),"not started",IF(OR(H126="",I126="",J126=""),"incomplete",IF(OR(M126="",N126=""),"no source","complete"))))</f>
        <v/>
      </c>
    </row>
    <row r="127">
      <c r="A127" s="7" t="inlineStr">
        <is>
          <t>EXC</t>
        </is>
      </c>
      <c r="B127" s="7" t="inlineStr">
        <is>
          <t>HITACHI ZX470LC-5G</t>
        </is>
      </c>
      <c r="C127" s="7" t="n">
        <v>2</v>
      </c>
      <c r="D127" s="8" t="inlineStr">
        <is>
          <t>ENG</t>
        </is>
      </c>
      <c r="E127" s="8" t="inlineStr">
        <is>
          <t>Engine</t>
        </is>
      </c>
      <c r="F127" s="8" t="inlineStr">
        <is>
          <t>Двигатель</t>
        </is>
      </c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6" t="n"/>
      <c r="Q127" s="15" t="n"/>
      <c r="R127" s="13">
        <f>IF(UPPER(G127)="N","not fitted",IF(AND(H127="",I127="",J127=""),"not started",IF(OR(H127="",I127="",J127=""),"incomplete",IF(OR(M127="",N127=""),"no source","complete"))))</f>
        <v/>
      </c>
    </row>
    <row r="128">
      <c r="A128" s="7" t="inlineStr">
        <is>
          <t>EXC</t>
        </is>
      </c>
      <c r="B128" s="7" t="inlineStr">
        <is>
          <t>HITACHI ZX470LC-5G</t>
        </is>
      </c>
      <c r="C128" s="7" t="n">
        <v>2</v>
      </c>
      <c r="D128" s="8" t="inlineStr">
        <is>
          <t>HYD</t>
        </is>
      </c>
      <c r="E128" s="8" t="inlineStr">
        <is>
          <t>Hydraulic tank</t>
        </is>
      </c>
      <c r="F128" s="8" t="inlineStr">
        <is>
          <t>Гидробак</t>
        </is>
      </c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6" t="n"/>
      <c r="Q128" s="15" t="n"/>
      <c r="R128" s="13">
        <f>IF(UPPER(G128)="N","not fitted",IF(AND(H128="",I128="",J128=""),"not started",IF(OR(H128="",I128="",J128=""),"incomplete",IF(OR(M128="",N128=""),"no source","complete"))))</f>
        <v/>
      </c>
    </row>
    <row r="129">
      <c r="A129" s="7" t="inlineStr">
        <is>
          <t>EXC</t>
        </is>
      </c>
      <c r="B129" s="7" t="inlineStr">
        <is>
          <t>HITACHI ZX470LC-5G</t>
        </is>
      </c>
      <c r="C129" s="7" t="n">
        <v>2</v>
      </c>
      <c r="D129" s="8" t="inlineStr">
        <is>
          <t>SWG</t>
        </is>
      </c>
      <c r="E129" s="8" t="inlineStr">
        <is>
          <t>Swing drive</t>
        </is>
      </c>
      <c r="F129" s="8" t="inlineStr">
        <is>
          <t>Механизм поворота</t>
        </is>
      </c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6" t="n"/>
      <c r="Q129" s="15" t="n"/>
      <c r="R129" s="13">
        <f>IF(UPPER(G129)="N","not fitted",IF(AND(H129="",I129="",J129=""),"not started",IF(OR(H129="",I129="",J129=""),"incomplete",IF(OR(M129="",N129=""),"no source","complete"))))</f>
        <v/>
      </c>
    </row>
    <row r="130">
      <c r="A130" s="7" t="inlineStr">
        <is>
          <t>EXC</t>
        </is>
      </c>
      <c r="B130" s="7" t="inlineStr">
        <is>
          <t>HITACHI ZX470LC-5G</t>
        </is>
      </c>
      <c r="C130" s="7" t="n">
        <v>2</v>
      </c>
      <c r="D130" s="8" t="inlineStr">
        <is>
          <t>TRV</t>
        </is>
      </c>
      <c r="E130" s="8" t="inlineStr">
        <is>
          <t>Travel / final drive</t>
        </is>
      </c>
      <c r="F130" s="8" t="inlineStr">
        <is>
          <t>Ход / бортовой редуктор</t>
        </is>
      </c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6" t="n"/>
      <c r="Q130" s="15" t="n"/>
      <c r="R130" s="13">
        <f>IF(UPPER(G130)="N","not fitted",IF(AND(H130="",I130="",J130=""),"not started",IF(OR(H130="",I130="",J130=""),"incomplete",IF(OR(M130="",N130=""),"no source","complete"))))</f>
        <v/>
      </c>
    </row>
    <row r="131">
      <c r="A131" s="7" t="inlineStr">
        <is>
          <t>EXC</t>
        </is>
      </c>
      <c r="B131" s="7" t="inlineStr">
        <is>
          <t>HITACHI ZX470LC-5G</t>
        </is>
      </c>
      <c r="C131" s="7" t="n">
        <v>2</v>
      </c>
      <c r="D131" s="8" t="inlineStr">
        <is>
          <t>PTO</t>
        </is>
      </c>
      <c r="E131" s="8" t="inlineStr">
        <is>
          <t>Pump drive gearbox</t>
        </is>
      </c>
      <c r="F131" s="8" t="inlineStr">
        <is>
          <t>Редуктор привода насосов</t>
        </is>
      </c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6" t="n"/>
      <c r="Q131" s="15" t="n"/>
      <c r="R131" s="13">
        <f>IF(UPPER(G131)="N","not fitted",IF(AND(H131="",I131="",J131=""),"not started",IF(OR(H131="",I131="",J131=""),"incomplete",IF(OR(M131="",N131=""),"no source","complete"))))</f>
        <v/>
      </c>
    </row>
    <row r="132">
      <c r="A132" s="7" t="inlineStr">
        <is>
          <t>EXC</t>
        </is>
      </c>
      <c r="B132" s="7" t="inlineStr">
        <is>
          <t>HITACHI ZX470LCR-5G</t>
        </is>
      </c>
      <c r="C132" s="7" t="n">
        <v>2</v>
      </c>
      <c r="D132" s="8" t="inlineStr">
        <is>
          <t>ENG</t>
        </is>
      </c>
      <c r="E132" s="8" t="inlineStr">
        <is>
          <t>Engine</t>
        </is>
      </c>
      <c r="F132" s="8" t="inlineStr">
        <is>
          <t>Двигатель</t>
        </is>
      </c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6" t="n"/>
      <c r="Q132" s="15" t="n"/>
      <c r="R132" s="13">
        <f>IF(UPPER(G132)="N","not fitted",IF(AND(H132="",I132="",J132=""),"not started",IF(OR(H132="",I132="",J132=""),"incomplete",IF(OR(M132="",N132=""),"no source","complete"))))</f>
        <v/>
      </c>
    </row>
    <row r="133">
      <c r="A133" s="7" t="inlineStr">
        <is>
          <t>EXC</t>
        </is>
      </c>
      <c r="B133" s="7" t="inlineStr">
        <is>
          <t>HITACHI ZX470LCR-5G</t>
        </is>
      </c>
      <c r="C133" s="7" t="n">
        <v>2</v>
      </c>
      <c r="D133" s="8" t="inlineStr">
        <is>
          <t>HYD</t>
        </is>
      </c>
      <c r="E133" s="8" t="inlineStr">
        <is>
          <t>Hydraulic tank</t>
        </is>
      </c>
      <c r="F133" s="8" t="inlineStr">
        <is>
          <t>Гидробак</t>
        </is>
      </c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6" t="n"/>
      <c r="Q133" s="15" t="n"/>
      <c r="R133" s="13">
        <f>IF(UPPER(G133)="N","not fitted",IF(AND(H133="",I133="",J133=""),"not started",IF(OR(H133="",I133="",J133=""),"incomplete",IF(OR(M133="",N133=""),"no source","complete"))))</f>
        <v/>
      </c>
    </row>
    <row r="134">
      <c r="A134" s="7" t="inlineStr">
        <is>
          <t>EXC</t>
        </is>
      </c>
      <c r="B134" s="7" t="inlineStr">
        <is>
          <t>HITACHI ZX470LCR-5G</t>
        </is>
      </c>
      <c r="C134" s="7" t="n">
        <v>2</v>
      </c>
      <c r="D134" s="8" t="inlineStr">
        <is>
          <t>SWG</t>
        </is>
      </c>
      <c r="E134" s="8" t="inlineStr">
        <is>
          <t>Swing drive</t>
        </is>
      </c>
      <c r="F134" s="8" t="inlineStr">
        <is>
          <t>Механизм поворота</t>
        </is>
      </c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6" t="n"/>
      <c r="Q134" s="15" t="n"/>
      <c r="R134" s="13">
        <f>IF(UPPER(G134)="N","not fitted",IF(AND(H134="",I134="",J134=""),"not started",IF(OR(H134="",I134="",J134=""),"incomplete",IF(OR(M134="",N134=""),"no source","complete"))))</f>
        <v/>
      </c>
    </row>
    <row r="135">
      <c r="A135" s="7" t="inlineStr">
        <is>
          <t>EXC</t>
        </is>
      </c>
      <c r="B135" s="7" t="inlineStr">
        <is>
          <t>HITACHI ZX470LCR-5G</t>
        </is>
      </c>
      <c r="C135" s="7" t="n">
        <v>2</v>
      </c>
      <c r="D135" s="8" t="inlineStr">
        <is>
          <t>TRV</t>
        </is>
      </c>
      <c r="E135" s="8" t="inlineStr">
        <is>
          <t>Travel / final drive</t>
        </is>
      </c>
      <c r="F135" s="8" t="inlineStr">
        <is>
          <t>Ход / бортовой редуктор</t>
        </is>
      </c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6" t="n"/>
      <c r="Q135" s="15" t="n"/>
      <c r="R135" s="13">
        <f>IF(UPPER(G135)="N","not fitted",IF(AND(H135="",I135="",J135=""),"not started",IF(OR(H135="",I135="",J135=""),"incomplete",IF(OR(M135="",N135=""),"no source","complete"))))</f>
        <v/>
      </c>
    </row>
    <row r="136">
      <c r="A136" s="7" t="inlineStr">
        <is>
          <t>EXC</t>
        </is>
      </c>
      <c r="B136" s="7" t="inlineStr">
        <is>
          <t>HITACHI ZX470LCR-5G</t>
        </is>
      </c>
      <c r="C136" s="7" t="n">
        <v>2</v>
      </c>
      <c r="D136" s="8" t="inlineStr">
        <is>
          <t>PTO</t>
        </is>
      </c>
      <c r="E136" s="8" t="inlineStr">
        <is>
          <t>Pump drive gearbox</t>
        </is>
      </c>
      <c r="F136" s="8" t="inlineStr">
        <is>
          <t>Редуктор привода насосов</t>
        </is>
      </c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6" t="n"/>
      <c r="Q136" s="15" t="n"/>
      <c r="R136" s="13">
        <f>IF(UPPER(G136)="N","not fitted",IF(AND(H136="",I136="",J136=""),"not started",IF(OR(H136="",I136="",J136=""),"incomplete",IF(OR(M136="",N136=""),"no source","complete"))))</f>
        <v/>
      </c>
    </row>
    <row r="137">
      <c r="A137" s="7" t="inlineStr">
        <is>
          <t>EXC</t>
        </is>
      </c>
      <c r="B137" s="7" t="inlineStr">
        <is>
          <t>KOMATSU PC2000-8 BH</t>
        </is>
      </c>
      <c r="C137" s="7" t="n">
        <v>2</v>
      </c>
      <c r="D137" s="8" t="inlineStr">
        <is>
          <t>ENG</t>
        </is>
      </c>
      <c r="E137" s="8" t="inlineStr">
        <is>
          <t>Engine</t>
        </is>
      </c>
      <c r="F137" s="8" t="inlineStr">
        <is>
          <t>Двигатель</t>
        </is>
      </c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6" t="n"/>
      <c r="Q137" s="15" t="n"/>
      <c r="R137" s="13">
        <f>IF(UPPER(G137)="N","not fitted",IF(AND(H137="",I137="",J137=""),"not started",IF(OR(H137="",I137="",J137=""),"incomplete",IF(OR(M137="",N137=""),"no source","complete"))))</f>
        <v/>
      </c>
    </row>
    <row r="138">
      <c r="A138" s="7" t="inlineStr">
        <is>
          <t>EXC</t>
        </is>
      </c>
      <c r="B138" s="7" t="inlineStr">
        <is>
          <t>KOMATSU PC2000-8 BH</t>
        </is>
      </c>
      <c r="C138" s="7" t="n">
        <v>2</v>
      </c>
      <c r="D138" s="8" t="inlineStr">
        <is>
          <t>HYD</t>
        </is>
      </c>
      <c r="E138" s="8" t="inlineStr">
        <is>
          <t>Hydraulic tank</t>
        </is>
      </c>
      <c r="F138" s="8" t="inlineStr">
        <is>
          <t>Гидробак</t>
        </is>
      </c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6" t="n"/>
      <c r="Q138" s="15" t="n"/>
      <c r="R138" s="13">
        <f>IF(UPPER(G138)="N","not fitted",IF(AND(H138="",I138="",J138=""),"not started",IF(OR(H138="",I138="",J138=""),"incomplete",IF(OR(M138="",N138=""),"no source","complete"))))</f>
        <v/>
      </c>
    </row>
    <row r="139">
      <c r="A139" s="7" t="inlineStr">
        <is>
          <t>EXC</t>
        </is>
      </c>
      <c r="B139" s="7" t="inlineStr">
        <is>
          <t>KOMATSU PC2000-8 BH</t>
        </is>
      </c>
      <c r="C139" s="7" t="n">
        <v>2</v>
      </c>
      <c r="D139" s="8" t="inlineStr">
        <is>
          <t>SWG</t>
        </is>
      </c>
      <c r="E139" s="8" t="inlineStr">
        <is>
          <t>Swing drive</t>
        </is>
      </c>
      <c r="F139" s="8" t="inlineStr">
        <is>
          <t>Механизм поворота</t>
        </is>
      </c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6" t="n"/>
      <c r="Q139" s="15" t="n"/>
      <c r="R139" s="13">
        <f>IF(UPPER(G139)="N","not fitted",IF(AND(H139="",I139="",J139=""),"not started",IF(OR(H139="",I139="",J139=""),"incomplete",IF(OR(M139="",N139=""),"no source","complete"))))</f>
        <v/>
      </c>
    </row>
    <row r="140">
      <c r="A140" s="7" t="inlineStr">
        <is>
          <t>EXC</t>
        </is>
      </c>
      <c r="B140" s="7" t="inlineStr">
        <is>
          <t>KOMATSU PC2000-8 BH</t>
        </is>
      </c>
      <c r="C140" s="7" t="n">
        <v>2</v>
      </c>
      <c r="D140" s="8" t="inlineStr">
        <is>
          <t>TRV</t>
        </is>
      </c>
      <c r="E140" s="8" t="inlineStr">
        <is>
          <t>Travel / final drive</t>
        </is>
      </c>
      <c r="F140" s="8" t="inlineStr">
        <is>
          <t>Ход / бортовой редуктор</t>
        </is>
      </c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6" t="n"/>
      <c r="Q140" s="15" t="n"/>
      <c r="R140" s="13">
        <f>IF(UPPER(G140)="N","not fitted",IF(AND(H140="",I140="",J140=""),"not started",IF(OR(H140="",I140="",J140=""),"incomplete",IF(OR(M140="",N140=""),"no source","complete"))))</f>
        <v/>
      </c>
    </row>
    <row r="141">
      <c r="A141" s="7" t="inlineStr">
        <is>
          <t>EXC</t>
        </is>
      </c>
      <c r="B141" s="7" t="inlineStr">
        <is>
          <t>KOMATSU PC2000-8 BH</t>
        </is>
      </c>
      <c r="C141" s="7" t="n">
        <v>2</v>
      </c>
      <c r="D141" s="8" t="inlineStr">
        <is>
          <t>PTO</t>
        </is>
      </c>
      <c r="E141" s="8" t="inlineStr">
        <is>
          <t>Pump drive gearbox</t>
        </is>
      </c>
      <c r="F141" s="8" t="inlineStr">
        <is>
          <t>Редуктор привода насосов</t>
        </is>
      </c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6" t="n"/>
      <c r="Q141" s="15" t="n"/>
      <c r="R141" s="13">
        <f>IF(UPPER(G141)="N","not fitted",IF(AND(H141="",I141="",J141=""),"not started",IF(OR(H141="",I141="",J141=""),"incomplete",IF(OR(M141="",N141=""),"no source","complete"))))</f>
        <v/>
      </c>
    </row>
    <row r="142">
      <c r="A142" s="7" t="inlineStr">
        <is>
          <t>EXC</t>
        </is>
      </c>
      <c r="B142" s="7" t="inlineStr">
        <is>
          <t>LiuGong CLG990FHD</t>
        </is>
      </c>
      <c r="C142" s="7" t="n">
        <v>2</v>
      </c>
      <c r="D142" s="8" t="inlineStr">
        <is>
          <t>ENG</t>
        </is>
      </c>
      <c r="E142" s="8" t="inlineStr">
        <is>
          <t>Engine</t>
        </is>
      </c>
      <c r="F142" s="8" t="inlineStr">
        <is>
          <t>Двигатель</t>
        </is>
      </c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6" t="n"/>
      <c r="Q142" s="15" t="n"/>
      <c r="R142" s="13">
        <f>IF(UPPER(G142)="N","not fitted",IF(AND(H142="",I142="",J142=""),"not started",IF(OR(H142="",I142="",J142=""),"incomplete",IF(OR(M142="",N142=""),"no source","complete"))))</f>
        <v/>
      </c>
    </row>
    <row r="143">
      <c r="A143" s="7" t="inlineStr">
        <is>
          <t>EXC</t>
        </is>
      </c>
      <c r="B143" s="7" t="inlineStr">
        <is>
          <t>LiuGong CLG990FHD</t>
        </is>
      </c>
      <c r="C143" s="7" t="n">
        <v>2</v>
      </c>
      <c r="D143" s="8" t="inlineStr">
        <is>
          <t>HYD</t>
        </is>
      </c>
      <c r="E143" s="8" t="inlineStr">
        <is>
          <t>Hydraulic tank</t>
        </is>
      </c>
      <c r="F143" s="8" t="inlineStr">
        <is>
          <t>Гидробак</t>
        </is>
      </c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6" t="n"/>
      <c r="Q143" s="15" t="n"/>
      <c r="R143" s="13">
        <f>IF(UPPER(G143)="N","not fitted",IF(AND(H143="",I143="",J143=""),"not started",IF(OR(H143="",I143="",J143=""),"incomplete",IF(OR(M143="",N143=""),"no source","complete"))))</f>
        <v/>
      </c>
    </row>
    <row r="144">
      <c r="A144" s="7" t="inlineStr">
        <is>
          <t>EXC</t>
        </is>
      </c>
      <c r="B144" s="7" t="inlineStr">
        <is>
          <t>LiuGong CLG990FHD</t>
        </is>
      </c>
      <c r="C144" s="7" t="n">
        <v>2</v>
      </c>
      <c r="D144" s="8" t="inlineStr">
        <is>
          <t>SWG</t>
        </is>
      </c>
      <c r="E144" s="8" t="inlineStr">
        <is>
          <t>Swing drive</t>
        </is>
      </c>
      <c r="F144" s="8" t="inlineStr">
        <is>
          <t>Механизм поворота</t>
        </is>
      </c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6" t="n"/>
      <c r="Q144" s="15" t="n"/>
      <c r="R144" s="13">
        <f>IF(UPPER(G144)="N","not fitted",IF(AND(H144="",I144="",J144=""),"not started",IF(OR(H144="",I144="",J144=""),"incomplete",IF(OR(M144="",N144=""),"no source","complete"))))</f>
        <v/>
      </c>
    </row>
    <row r="145">
      <c r="A145" s="7" t="inlineStr">
        <is>
          <t>EXC</t>
        </is>
      </c>
      <c r="B145" s="7" t="inlineStr">
        <is>
          <t>LiuGong CLG990FHD</t>
        </is>
      </c>
      <c r="C145" s="7" t="n">
        <v>2</v>
      </c>
      <c r="D145" s="8" t="inlineStr">
        <is>
          <t>TRV</t>
        </is>
      </c>
      <c r="E145" s="8" t="inlineStr">
        <is>
          <t>Travel / final drive</t>
        </is>
      </c>
      <c r="F145" s="8" t="inlineStr">
        <is>
          <t>Ход / бортовой редуктор</t>
        </is>
      </c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6" t="n"/>
      <c r="Q145" s="15" t="n"/>
      <c r="R145" s="13">
        <f>IF(UPPER(G145)="N","not fitted",IF(AND(H145="",I145="",J145=""),"not started",IF(OR(H145="",I145="",J145=""),"incomplete",IF(OR(M145="",N145=""),"no source","complete"))))</f>
        <v/>
      </c>
    </row>
    <row r="146">
      <c r="A146" s="7" t="inlineStr">
        <is>
          <t>EXC</t>
        </is>
      </c>
      <c r="B146" s="7" t="inlineStr">
        <is>
          <t>LiuGong CLG990FHD</t>
        </is>
      </c>
      <c r="C146" s="7" t="n">
        <v>2</v>
      </c>
      <c r="D146" s="8" t="inlineStr">
        <is>
          <t>PTO</t>
        </is>
      </c>
      <c r="E146" s="8" t="inlineStr">
        <is>
          <t>Pump drive gearbox</t>
        </is>
      </c>
      <c r="F146" s="8" t="inlineStr">
        <is>
          <t>Редуктор привода насосов</t>
        </is>
      </c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6" t="n"/>
      <c r="Q146" s="15" t="n"/>
      <c r="R146" s="13">
        <f>IF(UPPER(G146)="N","not fitted",IF(AND(H146="",I146="",J146=""),"not started",IF(OR(H146="",I146="",J146=""),"incomplete",IF(OR(M146="",N146=""),"no source","complete"))))</f>
        <v/>
      </c>
    </row>
    <row r="147">
      <c r="A147" s="7" t="inlineStr">
        <is>
          <t>EXC</t>
        </is>
      </c>
      <c r="B147" s="7" t="inlineStr">
        <is>
          <t>CATERPILLAR 336-07</t>
        </is>
      </c>
      <c r="C147" s="7" t="n">
        <v>1</v>
      </c>
      <c r="D147" s="8" t="inlineStr">
        <is>
          <t>ENG</t>
        </is>
      </c>
      <c r="E147" s="8" t="inlineStr">
        <is>
          <t>Engine</t>
        </is>
      </c>
      <c r="F147" s="8" t="inlineStr">
        <is>
          <t>Двигатель</t>
        </is>
      </c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6" t="n"/>
      <c r="Q147" s="15" t="n"/>
      <c r="R147" s="13">
        <f>IF(UPPER(G147)="N","not fitted",IF(AND(H147="",I147="",J147=""),"not started",IF(OR(H147="",I147="",J147=""),"incomplete",IF(OR(M147="",N147=""),"no source","complete"))))</f>
        <v/>
      </c>
    </row>
    <row r="148">
      <c r="A148" s="7" t="inlineStr">
        <is>
          <t>EXC</t>
        </is>
      </c>
      <c r="B148" s="7" t="inlineStr">
        <is>
          <t>CATERPILLAR 336-07</t>
        </is>
      </c>
      <c r="C148" s="7" t="n">
        <v>1</v>
      </c>
      <c r="D148" s="8" t="inlineStr">
        <is>
          <t>HYD</t>
        </is>
      </c>
      <c r="E148" s="8" t="inlineStr">
        <is>
          <t>Hydraulic tank</t>
        </is>
      </c>
      <c r="F148" s="8" t="inlineStr">
        <is>
          <t>Гидробак</t>
        </is>
      </c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6" t="n"/>
      <c r="Q148" s="15" t="n"/>
      <c r="R148" s="13">
        <f>IF(UPPER(G148)="N","not fitted",IF(AND(H148="",I148="",J148=""),"not started",IF(OR(H148="",I148="",J148=""),"incomplete",IF(OR(M148="",N148=""),"no source","complete"))))</f>
        <v/>
      </c>
    </row>
    <row r="149">
      <c r="A149" s="7" t="inlineStr">
        <is>
          <t>EXC</t>
        </is>
      </c>
      <c r="B149" s="7" t="inlineStr">
        <is>
          <t>CATERPILLAR 336-07</t>
        </is>
      </c>
      <c r="C149" s="7" t="n">
        <v>1</v>
      </c>
      <c r="D149" s="8" t="inlineStr">
        <is>
          <t>SWG</t>
        </is>
      </c>
      <c r="E149" s="8" t="inlineStr">
        <is>
          <t>Swing drive</t>
        </is>
      </c>
      <c r="F149" s="8" t="inlineStr">
        <is>
          <t>Механизм поворота</t>
        </is>
      </c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6" t="n"/>
      <c r="Q149" s="15" t="n"/>
      <c r="R149" s="13">
        <f>IF(UPPER(G149)="N","not fitted",IF(AND(H149="",I149="",J149=""),"not started",IF(OR(H149="",I149="",J149=""),"incomplete",IF(OR(M149="",N149=""),"no source","complete"))))</f>
        <v/>
      </c>
    </row>
    <row r="150">
      <c r="A150" s="7" t="inlineStr">
        <is>
          <t>EXC</t>
        </is>
      </c>
      <c r="B150" s="7" t="inlineStr">
        <is>
          <t>CATERPILLAR 336-07</t>
        </is>
      </c>
      <c r="C150" s="7" t="n">
        <v>1</v>
      </c>
      <c r="D150" s="8" t="inlineStr">
        <is>
          <t>TRV</t>
        </is>
      </c>
      <c r="E150" s="8" t="inlineStr">
        <is>
          <t>Travel / final drive</t>
        </is>
      </c>
      <c r="F150" s="8" t="inlineStr">
        <is>
          <t>Ход / бортовой редуктор</t>
        </is>
      </c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6" t="n"/>
      <c r="Q150" s="15" t="n"/>
      <c r="R150" s="13">
        <f>IF(UPPER(G150)="N","not fitted",IF(AND(H150="",I150="",J150=""),"not started",IF(OR(H150="",I150="",J150=""),"incomplete",IF(OR(M150="",N150=""),"no source","complete"))))</f>
        <v/>
      </c>
    </row>
    <row r="151">
      <c r="A151" s="7" t="inlineStr">
        <is>
          <t>EXC</t>
        </is>
      </c>
      <c r="B151" s="7" t="inlineStr">
        <is>
          <t>CATERPILLAR 336-07</t>
        </is>
      </c>
      <c r="C151" s="7" t="n">
        <v>1</v>
      </c>
      <c r="D151" s="8" t="inlineStr">
        <is>
          <t>PTO</t>
        </is>
      </c>
      <c r="E151" s="8" t="inlineStr">
        <is>
          <t>Pump drive gearbox</t>
        </is>
      </c>
      <c r="F151" s="8" t="inlineStr">
        <is>
          <t>Редуктор привода насосов</t>
        </is>
      </c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6" t="n"/>
      <c r="Q151" s="15" t="n"/>
      <c r="R151" s="13">
        <f>IF(UPPER(G151)="N","not fitted",IF(AND(H151="",I151="",J151=""),"not started",IF(OR(H151="",I151="",J151=""),"incomplete",IF(OR(M151="",N151=""),"no source","complete"))))</f>
        <v/>
      </c>
    </row>
    <row r="152">
      <c r="A152" s="7" t="inlineStr">
        <is>
          <t>EXC</t>
        </is>
      </c>
      <c r="B152" s="7" t="inlineStr">
        <is>
          <t>HITACHI EX1200-7BH</t>
        </is>
      </c>
      <c r="C152" s="7" t="n">
        <v>1</v>
      </c>
      <c r="D152" s="8" t="inlineStr">
        <is>
          <t>ENG</t>
        </is>
      </c>
      <c r="E152" s="8" t="inlineStr">
        <is>
          <t>Engine</t>
        </is>
      </c>
      <c r="F152" s="8" t="inlineStr">
        <is>
          <t>Двигатель</t>
        </is>
      </c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6" t="n"/>
      <c r="Q152" s="15" t="n"/>
      <c r="R152" s="13">
        <f>IF(UPPER(G152)="N","not fitted",IF(AND(H152="",I152="",J152=""),"not started",IF(OR(H152="",I152="",J152=""),"incomplete",IF(OR(M152="",N152=""),"no source","complete"))))</f>
        <v/>
      </c>
    </row>
    <row r="153">
      <c r="A153" s="7" t="inlineStr">
        <is>
          <t>EXC</t>
        </is>
      </c>
      <c r="B153" s="7" t="inlineStr">
        <is>
          <t>HITACHI EX1200-7BH</t>
        </is>
      </c>
      <c r="C153" s="7" t="n">
        <v>1</v>
      </c>
      <c r="D153" s="8" t="inlineStr">
        <is>
          <t>HYD</t>
        </is>
      </c>
      <c r="E153" s="8" t="inlineStr">
        <is>
          <t>Hydraulic tank</t>
        </is>
      </c>
      <c r="F153" s="8" t="inlineStr">
        <is>
          <t>Гидробак</t>
        </is>
      </c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6" t="n"/>
      <c r="Q153" s="15" t="n"/>
      <c r="R153" s="13">
        <f>IF(UPPER(G153)="N","not fitted",IF(AND(H153="",I153="",J153=""),"not started",IF(OR(H153="",I153="",J153=""),"incomplete",IF(OR(M153="",N153=""),"no source","complete"))))</f>
        <v/>
      </c>
    </row>
    <row r="154">
      <c r="A154" s="7" t="inlineStr">
        <is>
          <t>EXC</t>
        </is>
      </c>
      <c r="B154" s="7" t="inlineStr">
        <is>
          <t>HITACHI EX1200-7BH</t>
        </is>
      </c>
      <c r="C154" s="7" t="n">
        <v>1</v>
      </c>
      <c r="D154" s="8" t="inlineStr">
        <is>
          <t>SWG</t>
        </is>
      </c>
      <c r="E154" s="8" t="inlineStr">
        <is>
          <t>Swing drive</t>
        </is>
      </c>
      <c r="F154" s="8" t="inlineStr">
        <is>
          <t>Механизм поворота</t>
        </is>
      </c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6" t="n"/>
      <c r="Q154" s="15" t="n"/>
      <c r="R154" s="13">
        <f>IF(UPPER(G154)="N","not fitted",IF(AND(H154="",I154="",J154=""),"not started",IF(OR(H154="",I154="",J154=""),"incomplete",IF(OR(M154="",N154=""),"no source","complete"))))</f>
        <v/>
      </c>
    </row>
    <row r="155">
      <c r="A155" s="7" t="inlineStr">
        <is>
          <t>EXC</t>
        </is>
      </c>
      <c r="B155" s="7" t="inlineStr">
        <is>
          <t>HITACHI EX1200-7BH</t>
        </is>
      </c>
      <c r="C155" s="7" t="n">
        <v>1</v>
      </c>
      <c r="D155" s="8" t="inlineStr">
        <is>
          <t>TRV</t>
        </is>
      </c>
      <c r="E155" s="8" t="inlineStr">
        <is>
          <t>Travel / final drive</t>
        </is>
      </c>
      <c r="F155" s="8" t="inlineStr">
        <is>
          <t>Ход / бортовой редуктор</t>
        </is>
      </c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6" t="n"/>
      <c r="Q155" s="15" t="n"/>
      <c r="R155" s="13">
        <f>IF(UPPER(G155)="N","not fitted",IF(AND(H155="",I155="",J155=""),"not started",IF(OR(H155="",I155="",J155=""),"incomplete",IF(OR(M155="",N155=""),"no source","complete"))))</f>
        <v/>
      </c>
    </row>
    <row r="156">
      <c r="A156" s="7" t="inlineStr">
        <is>
          <t>EXC</t>
        </is>
      </c>
      <c r="B156" s="7" t="inlineStr">
        <is>
          <t>HITACHI EX1200-7BH</t>
        </is>
      </c>
      <c r="C156" s="7" t="n">
        <v>1</v>
      </c>
      <c r="D156" s="8" t="inlineStr">
        <is>
          <t>PTO</t>
        </is>
      </c>
      <c r="E156" s="8" t="inlineStr">
        <is>
          <t>Pump drive gearbox</t>
        </is>
      </c>
      <c r="F156" s="8" t="inlineStr">
        <is>
          <t>Редуктор привода насосов</t>
        </is>
      </c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6" t="n"/>
      <c r="Q156" s="15" t="n"/>
      <c r="R156" s="13">
        <f>IF(UPPER(G156)="N","not fitted",IF(AND(H156="",I156="",J156=""),"not started",IF(OR(H156="",I156="",J156=""),"incomplete",IF(OR(M156="",N156=""),"no source","complete"))))</f>
        <v/>
      </c>
    </row>
    <row r="157">
      <c r="A157" s="7" t="inlineStr">
        <is>
          <t>EXC</t>
        </is>
      </c>
      <c r="B157" s="7" t="inlineStr">
        <is>
          <t>HITACHI ZX280-5G</t>
        </is>
      </c>
      <c r="C157" s="7" t="n">
        <v>1</v>
      </c>
      <c r="D157" s="8" t="inlineStr">
        <is>
          <t>ENG</t>
        </is>
      </c>
      <c r="E157" s="8" t="inlineStr">
        <is>
          <t>Engine</t>
        </is>
      </c>
      <c r="F157" s="8" t="inlineStr">
        <is>
          <t>Двигатель</t>
        </is>
      </c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6" t="n"/>
      <c r="Q157" s="15" t="n"/>
      <c r="R157" s="13">
        <f>IF(UPPER(G157)="N","not fitted",IF(AND(H157="",I157="",J157=""),"not started",IF(OR(H157="",I157="",J157=""),"incomplete",IF(OR(M157="",N157=""),"no source","complete"))))</f>
        <v/>
      </c>
    </row>
    <row r="158">
      <c r="A158" s="7" t="inlineStr">
        <is>
          <t>EXC</t>
        </is>
      </c>
      <c r="B158" s="7" t="inlineStr">
        <is>
          <t>HITACHI ZX280-5G</t>
        </is>
      </c>
      <c r="C158" s="7" t="n">
        <v>1</v>
      </c>
      <c r="D158" s="8" t="inlineStr">
        <is>
          <t>HYD</t>
        </is>
      </c>
      <c r="E158" s="8" t="inlineStr">
        <is>
          <t>Hydraulic tank</t>
        </is>
      </c>
      <c r="F158" s="8" t="inlineStr">
        <is>
          <t>Гидробак</t>
        </is>
      </c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6" t="n"/>
      <c r="Q158" s="15" t="n"/>
      <c r="R158" s="13">
        <f>IF(UPPER(G158)="N","not fitted",IF(AND(H158="",I158="",J158=""),"not started",IF(OR(H158="",I158="",J158=""),"incomplete",IF(OR(M158="",N158=""),"no source","complete"))))</f>
        <v/>
      </c>
    </row>
    <row r="159">
      <c r="A159" s="7" t="inlineStr">
        <is>
          <t>EXC</t>
        </is>
      </c>
      <c r="B159" s="7" t="inlineStr">
        <is>
          <t>HITACHI ZX280-5G</t>
        </is>
      </c>
      <c r="C159" s="7" t="n">
        <v>1</v>
      </c>
      <c r="D159" s="8" t="inlineStr">
        <is>
          <t>SWG</t>
        </is>
      </c>
      <c r="E159" s="8" t="inlineStr">
        <is>
          <t>Swing drive</t>
        </is>
      </c>
      <c r="F159" s="8" t="inlineStr">
        <is>
          <t>Механизм поворота</t>
        </is>
      </c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6" t="n"/>
      <c r="Q159" s="15" t="n"/>
      <c r="R159" s="13">
        <f>IF(UPPER(G159)="N","not fitted",IF(AND(H159="",I159="",J159=""),"not started",IF(OR(H159="",I159="",J159=""),"incomplete",IF(OR(M159="",N159=""),"no source","complete"))))</f>
        <v/>
      </c>
    </row>
    <row r="160">
      <c r="A160" s="7" t="inlineStr">
        <is>
          <t>EXC</t>
        </is>
      </c>
      <c r="B160" s="7" t="inlineStr">
        <is>
          <t>HITACHI ZX280-5G</t>
        </is>
      </c>
      <c r="C160" s="7" t="n">
        <v>1</v>
      </c>
      <c r="D160" s="8" t="inlineStr">
        <is>
          <t>TRV</t>
        </is>
      </c>
      <c r="E160" s="8" t="inlineStr">
        <is>
          <t>Travel / final drive</t>
        </is>
      </c>
      <c r="F160" s="8" t="inlineStr">
        <is>
          <t>Ход / бортовой редуктор</t>
        </is>
      </c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6" t="n"/>
      <c r="Q160" s="15" t="n"/>
      <c r="R160" s="13">
        <f>IF(UPPER(G160)="N","not fitted",IF(AND(H160="",I160="",J160=""),"not started",IF(OR(H160="",I160="",J160=""),"incomplete",IF(OR(M160="",N160=""),"no source","complete"))))</f>
        <v/>
      </c>
    </row>
    <row r="161">
      <c r="A161" s="7" t="inlineStr">
        <is>
          <t>EXC</t>
        </is>
      </c>
      <c r="B161" s="7" t="inlineStr">
        <is>
          <t>HITACHI ZX280-5G</t>
        </is>
      </c>
      <c r="C161" s="7" t="n">
        <v>1</v>
      </c>
      <c r="D161" s="8" t="inlineStr">
        <is>
          <t>PTO</t>
        </is>
      </c>
      <c r="E161" s="8" t="inlineStr">
        <is>
          <t>Pump drive gearbox</t>
        </is>
      </c>
      <c r="F161" s="8" t="inlineStr">
        <is>
          <t>Редуктор привода насосов</t>
        </is>
      </c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6" t="n"/>
      <c r="Q161" s="15" t="n"/>
      <c r="R161" s="13">
        <f>IF(UPPER(G161)="N","not fitted",IF(AND(H161="",I161="",J161=""),"not started",IF(OR(H161="",I161="",J161=""),"incomplete",IF(OR(M161="",N161=""),"no source","complete"))))</f>
        <v/>
      </c>
    </row>
    <row r="162">
      <c r="A162" s="7" t="inlineStr">
        <is>
          <t>GRD</t>
        </is>
      </c>
      <c r="B162" s="7" t="inlineStr">
        <is>
          <t>LiuGong CLG4260D</t>
        </is>
      </c>
      <c r="C162" s="7" t="n">
        <v>4</v>
      </c>
      <c r="D162" s="8" t="inlineStr">
        <is>
          <t>ENG</t>
        </is>
      </c>
      <c r="E162" s="8" t="inlineStr">
        <is>
          <t>Engine</t>
        </is>
      </c>
      <c r="F162" s="8" t="inlineStr">
        <is>
          <t>Двигатель</t>
        </is>
      </c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6" t="n"/>
      <c r="Q162" s="15" t="n"/>
      <c r="R162" s="13">
        <f>IF(UPPER(G162)="N","not fitted",IF(AND(H162="",I162="",J162=""),"not started",IF(OR(H162="",I162="",J162=""),"incomplete",IF(OR(M162="",N162=""),"no source","complete"))))</f>
        <v/>
      </c>
    </row>
    <row r="163">
      <c r="A163" s="7" t="inlineStr">
        <is>
          <t>GRD</t>
        </is>
      </c>
      <c r="B163" s="7" t="inlineStr">
        <is>
          <t>LiuGong CLG4260D</t>
        </is>
      </c>
      <c r="C163" s="7" t="n">
        <v>4</v>
      </c>
      <c r="D163" s="8" t="inlineStr">
        <is>
          <t>TRN</t>
        </is>
      </c>
      <c r="E163" s="8" t="inlineStr">
        <is>
          <t>Transmission</t>
        </is>
      </c>
      <c r="F163" s="8" t="inlineStr">
        <is>
          <t>Трансмиссия</t>
        </is>
      </c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6" t="n"/>
      <c r="Q163" s="15" t="n"/>
      <c r="R163" s="13">
        <f>IF(UPPER(G163)="N","not fitted",IF(AND(H163="",I163="",J163=""),"not started",IF(OR(H163="",I163="",J163=""),"incomplete",IF(OR(M163="",N163=""),"no source","complete"))))</f>
        <v/>
      </c>
    </row>
    <row r="164">
      <c r="A164" s="7" t="inlineStr">
        <is>
          <t>GRD</t>
        </is>
      </c>
      <c r="B164" s="7" t="inlineStr">
        <is>
          <t>LiuGong CLG4260D</t>
        </is>
      </c>
      <c r="C164" s="7" t="n">
        <v>4</v>
      </c>
      <c r="D164" s="8" t="inlineStr">
        <is>
          <t>HYD</t>
        </is>
      </c>
      <c r="E164" s="8" t="inlineStr">
        <is>
          <t>Hydraulic</t>
        </is>
      </c>
      <c r="F164" s="8" t="inlineStr">
        <is>
          <t>Гидравлика</t>
        </is>
      </c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6" t="n"/>
      <c r="Q164" s="15" t="n"/>
      <c r="R164" s="13">
        <f>IF(UPPER(G164)="N","not fitted",IF(AND(H164="",I164="",J164=""),"not started",IF(OR(H164="",I164="",J164=""),"incomplete",IF(OR(M164="",N164=""),"no source","complete"))))</f>
        <v/>
      </c>
    </row>
    <row r="165">
      <c r="A165" s="7" t="inlineStr">
        <is>
          <t>GRD</t>
        </is>
      </c>
      <c r="B165" s="7" t="inlineStr">
        <is>
          <t>LiuGong CLG4260D</t>
        </is>
      </c>
      <c r="C165" s="7" t="n">
        <v>4</v>
      </c>
      <c r="D165" s="8" t="inlineStr">
        <is>
          <t>TAN</t>
        </is>
      </c>
      <c r="E165" s="8" t="inlineStr">
        <is>
          <t>Tandem case</t>
        </is>
      </c>
      <c r="F165" s="8" t="inlineStr">
        <is>
          <t>Балансир</t>
        </is>
      </c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6" t="n"/>
      <c r="Q165" s="15" t="n"/>
      <c r="R165" s="13">
        <f>IF(UPPER(G165)="N","not fitted",IF(AND(H165="",I165="",J165=""),"not started",IF(OR(H165="",I165="",J165=""),"incomplete",IF(OR(M165="",N165=""),"no source","complete"))))</f>
        <v/>
      </c>
    </row>
    <row r="166">
      <c r="A166" s="7" t="inlineStr">
        <is>
          <t>GRD</t>
        </is>
      </c>
      <c r="B166" s="7" t="inlineStr">
        <is>
          <t>LiuGong CLG4260D</t>
        </is>
      </c>
      <c r="C166" s="7" t="n">
        <v>4</v>
      </c>
      <c r="D166" s="8" t="inlineStr">
        <is>
          <t>CIR</t>
        </is>
      </c>
      <c r="E166" s="8" t="inlineStr">
        <is>
          <t>Circle / drawbar</t>
        </is>
      </c>
      <c r="F166" s="8" t="inlineStr">
        <is>
          <t>Поворотный круг</t>
        </is>
      </c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6" t="n"/>
      <c r="Q166" s="15" t="n"/>
      <c r="R166" s="13">
        <f>IF(UPPER(G166)="N","not fitted",IF(AND(H166="",I166="",J166=""),"not started",IF(OR(H166="",I166="",J166=""),"incomplete",IF(OR(M166="",N166=""),"no source","complete"))))</f>
        <v/>
      </c>
    </row>
    <row r="167">
      <c r="A167" s="7" t="inlineStr">
        <is>
          <t>GRD</t>
        </is>
      </c>
      <c r="B167" s="7" t="inlineStr">
        <is>
          <t>LiuGong CLG4260D</t>
        </is>
      </c>
      <c r="C167" s="7" t="n">
        <v>4</v>
      </c>
      <c r="D167" s="8" t="inlineStr">
        <is>
          <t>DIFF</t>
        </is>
      </c>
      <c r="E167" s="8" t="inlineStr">
        <is>
          <t>Differential</t>
        </is>
      </c>
      <c r="F167" s="8" t="inlineStr">
        <is>
          <t>Дифференциал</t>
        </is>
      </c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6" t="n"/>
      <c r="Q167" s="15" t="n"/>
      <c r="R167" s="13">
        <f>IF(UPPER(G167)="N","not fitted",IF(AND(H167="",I167="",J167=""),"not started",IF(OR(H167="",I167="",J167=""),"incomplete",IF(OR(M167="",N167=""),"no source","complete"))))</f>
        <v/>
      </c>
    </row>
    <row r="168">
      <c r="A168" s="7" t="inlineStr">
        <is>
          <t>GRD</t>
        </is>
      </c>
      <c r="B168" s="7" t="inlineStr">
        <is>
          <t>SHANTUI SG18-3</t>
        </is>
      </c>
      <c r="C168" s="7" t="n">
        <v>4</v>
      </c>
      <c r="D168" s="8" t="inlineStr">
        <is>
          <t>ENG</t>
        </is>
      </c>
      <c r="E168" s="8" t="inlineStr">
        <is>
          <t>Engine</t>
        </is>
      </c>
      <c r="F168" s="8" t="inlineStr">
        <is>
          <t>Двигатель</t>
        </is>
      </c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6" t="n"/>
      <c r="Q168" s="15" t="n"/>
      <c r="R168" s="13">
        <f>IF(UPPER(G168)="N","not fitted",IF(AND(H168="",I168="",J168=""),"not started",IF(OR(H168="",I168="",J168=""),"incomplete",IF(OR(M168="",N168=""),"no source","complete"))))</f>
        <v/>
      </c>
    </row>
    <row r="169">
      <c r="A169" s="7" t="inlineStr">
        <is>
          <t>GRD</t>
        </is>
      </c>
      <c r="B169" s="7" t="inlineStr">
        <is>
          <t>SHANTUI SG18-3</t>
        </is>
      </c>
      <c r="C169" s="7" t="n">
        <v>4</v>
      </c>
      <c r="D169" s="8" t="inlineStr">
        <is>
          <t>TRN</t>
        </is>
      </c>
      <c r="E169" s="8" t="inlineStr">
        <is>
          <t>Transmission</t>
        </is>
      </c>
      <c r="F169" s="8" t="inlineStr">
        <is>
          <t>Трансмиссия</t>
        </is>
      </c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6" t="n"/>
      <c r="Q169" s="15" t="n"/>
      <c r="R169" s="13">
        <f>IF(UPPER(G169)="N","not fitted",IF(AND(H169="",I169="",J169=""),"not started",IF(OR(H169="",I169="",J169=""),"incomplete",IF(OR(M169="",N169=""),"no source","complete"))))</f>
        <v/>
      </c>
    </row>
    <row r="170">
      <c r="A170" s="7" t="inlineStr">
        <is>
          <t>GRD</t>
        </is>
      </c>
      <c r="B170" s="7" t="inlineStr">
        <is>
          <t>SHANTUI SG18-3</t>
        </is>
      </c>
      <c r="C170" s="7" t="n">
        <v>4</v>
      </c>
      <c r="D170" s="8" t="inlineStr">
        <is>
          <t>HYD</t>
        </is>
      </c>
      <c r="E170" s="8" t="inlineStr">
        <is>
          <t>Hydraulic</t>
        </is>
      </c>
      <c r="F170" s="8" t="inlineStr">
        <is>
          <t>Гидравлика</t>
        </is>
      </c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6" t="n"/>
      <c r="Q170" s="15" t="n"/>
      <c r="R170" s="13">
        <f>IF(UPPER(G170)="N","not fitted",IF(AND(H170="",I170="",J170=""),"not started",IF(OR(H170="",I170="",J170=""),"incomplete",IF(OR(M170="",N170=""),"no source","complete"))))</f>
        <v/>
      </c>
    </row>
    <row r="171">
      <c r="A171" s="7" t="inlineStr">
        <is>
          <t>GRD</t>
        </is>
      </c>
      <c r="B171" s="7" t="inlineStr">
        <is>
          <t>SHANTUI SG18-3</t>
        </is>
      </c>
      <c r="C171" s="7" t="n">
        <v>4</v>
      </c>
      <c r="D171" s="8" t="inlineStr">
        <is>
          <t>TAN</t>
        </is>
      </c>
      <c r="E171" s="8" t="inlineStr">
        <is>
          <t>Tandem case</t>
        </is>
      </c>
      <c r="F171" s="8" t="inlineStr">
        <is>
          <t>Балансир</t>
        </is>
      </c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6" t="n"/>
      <c r="Q171" s="15" t="n"/>
      <c r="R171" s="13">
        <f>IF(UPPER(G171)="N","not fitted",IF(AND(H171="",I171="",J171=""),"not started",IF(OR(H171="",I171="",J171=""),"incomplete",IF(OR(M171="",N171=""),"no source","complete"))))</f>
        <v/>
      </c>
    </row>
    <row r="172">
      <c r="A172" s="7" t="inlineStr">
        <is>
          <t>GRD</t>
        </is>
      </c>
      <c r="B172" s="7" t="inlineStr">
        <is>
          <t>SHANTUI SG18-3</t>
        </is>
      </c>
      <c r="C172" s="7" t="n">
        <v>4</v>
      </c>
      <c r="D172" s="8" t="inlineStr">
        <is>
          <t>CIR</t>
        </is>
      </c>
      <c r="E172" s="8" t="inlineStr">
        <is>
          <t>Circle / drawbar</t>
        </is>
      </c>
      <c r="F172" s="8" t="inlineStr">
        <is>
          <t>Поворотный круг</t>
        </is>
      </c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6" t="n"/>
      <c r="Q172" s="15" t="n"/>
      <c r="R172" s="13">
        <f>IF(UPPER(G172)="N","not fitted",IF(AND(H172="",I172="",J172=""),"not started",IF(OR(H172="",I172="",J172=""),"incomplete",IF(OR(M172="",N172=""),"no source","complete"))))</f>
        <v/>
      </c>
    </row>
    <row r="173">
      <c r="A173" s="7" t="inlineStr">
        <is>
          <t>GRD</t>
        </is>
      </c>
      <c r="B173" s="7" t="inlineStr">
        <is>
          <t>SHANTUI SG18-3</t>
        </is>
      </c>
      <c r="C173" s="7" t="n">
        <v>4</v>
      </c>
      <c r="D173" s="8" t="inlineStr">
        <is>
          <t>DIFF</t>
        </is>
      </c>
      <c r="E173" s="8" t="inlineStr">
        <is>
          <t>Differential</t>
        </is>
      </c>
      <c r="F173" s="8" t="inlineStr">
        <is>
          <t>Дифференциал</t>
        </is>
      </c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6" t="n"/>
      <c r="Q173" s="15" t="n"/>
      <c r="R173" s="13">
        <f>IF(UPPER(G173)="N","not fitted",IF(AND(H173="",I173="",J173=""),"not started",IF(OR(H173="",I173="",J173=""),"incomplete",IF(OR(M173="",N173=""),"no source","complete"))))</f>
        <v/>
      </c>
    </row>
    <row r="174">
      <c r="A174" s="7" t="inlineStr">
        <is>
          <t>GRD</t>
        </is>
      </c>
      <c r="B174" s="7" t="inlineStr">
        <is>
          <t>CATERPILLAR 160K</t>
        </is>
      </c>
      <c r="C174" s="7" t="n">
        <v>3</v>
      </c>
      <c r="D174" s="8" t="inlineStr">
        <is>
          <t>ENG</t>
        </is>
      </c>
      <c r="E174" s="8" t="inlineStr">
        <is>
          <t>Engine</t>
        </is>
      </c>
      <c r="F174" s="8" t="inlineStr">
        <is>
          <t>Двигатель</t>
        </is>
      </c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6" t="n"/>
      <c r="Q174" s="15" t="n"/>
      <c r="R174" s="13">
        <f>IF(UPPER(G174)="N","not fitted",IF(AND(H174="",I174="",J174=""),"not started",IF(OR(H174="",I174="",J174=""),"incomplete",IF(OR(M174="",N174=""),"no source","complete"))))</f>
        <v/>
      </c>
    </row>
    <row r="175">
      <c r="A175" s="7" t="inlineStr">
        <is>
          <t>GRD</t>
        </is>
      </c>
      <c r="B175" s="7" t="inlineStr">
        <is>
          <t>CATERPILLAR 160K</t>
        </is>
      </c>
      <c r="C175" s="7" t="n">
        <v>3</v>
      </c>
      <c r="D175" s="8" t="inlineStr">
        <is>
          <t>TRN</t>
        </is>
      </c>
      <c r="E175" s="8" t="inlineStr">
        <is>
          <t>Transmission</t>
        </is>
      </c>
      <c r="F175" s="8" t="inlineStr">
        <is>
          <t>Трансмиссия</t>
        </is>
      </c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6" t="n"/>
      <c r="Q175" s="15" t="n"/>
      <c r="R175" s="13">
        <f>IF(UPPER(G175)="N","not fitted",IF(AND(H175="",I175="",J175=""),"not started",IF(OR(H175="",I175="",J175=""),"incomplete",IF(OR(M175="",N175=""),"no source","complete"))))</f>
        <v/>
      </c>
    </row>
    <row r="176">
      <c r="A176" s="7" t="inlineStr">
        <is>
          <t>GRD</t>
        </is>
      </c>
      <c r="B176" s="7" t="inlineStr">
        <is>
          <t>CATERPILLAR 160K</t>
        </is>
      </c>
      <c r="C176" s="7" t="n">
        <v>3</v>
      </c>
      <c r="D176" s="8" t="inlineStr">
        <is>
          <t>HYD</t>
        </is>
      </c>
      <c r="E176" s="8" t="inlineStr">
        <is>
          <t>Hydraulic</t>
        </is>
      </c>
      <c r="F176" s="8" t="inlineStr">
        <is>
          <t>Гидравлика</t>
        </is>
      </c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6" t="n"/>
      <c r="Q176" s="15" t="n"/>
      <c r="R176" s="13">
        <f>IF(UPPER(G176)="N","not fitted",IF(AND(H176="",I176="",J176=""),"not started",IF(OR(H176="",I176="",J176=""),"incomplete",IF(OR(M176="",N176=""),"no source","complete"))))</f>
        <v/>
      </c>
    </row>
    <row r="177">
      <c r="A177" s="7" t="inlineStr">
        <is>
          <t>GRD</t>
        </is>
      </c>
      <c r="B177" s="7" t="inlineStr">
        <is>
          <t>CATERPILLAR 160K</t>
        </is>
      </c>
      <c r="C177" s="7" t="n">
        <v>3</v>
      </c>
      <c r="D177" s="8" t="inlineStr">
        <is>
          <t>TAN</t>
        </is>
      </c>
      <c r="E177" s="8" t="inlineStr">
        <is>
          <t>Tandem case</t>
        </is>
      </c>
      <c r="F177" s="8" t="inlineStr">
        <is>
          <t>Балансир</t>
        </is>
      </c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6" t="n"/>
      <c r="Q177" s="15" t="n"/>
      <c r="R177" s="13">
        <f>IF(UPPER(G177)="N","not fitted",IF(AND(H177="",I177="",J177=""),"not started",IF(OR(H177="",I177="",J177=""),"incomplete",IF(OR(M177="",N177=""),"no source","complete"))))</f>
        <v/>
      </c>
    </row>
    <row r="178">
      <c r="A178" s="7" t="inlineStr">
        <is>
          <t>GRD</t>
        </is>
      </c>
      <c r="B178" s="7" t="inlineStr">
        <is>
          <t>CATERPILLAR 160K</t>
        </is>
      </c>
      <c r="C178" s="7" t="n">
        <v>3</v>
      </c>
      <c r="D178" s="8" t="inlineStr">
        <is>
          <t>CIR</t>
        </is>
      </c>
      <c r="E178" s="8" t="inlineStr">
        <is>
          <t>Circle / drawbar</t>
        </is>
      </c>
      <c r="F178" s="8" t="inlineStr">
        <is>
          <t>Поворотный круг</t>
        </is>
      </c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6" t="n"/>
      <c r="Q178" s="15" t="n"/>
      <c r="R178" s="13">
        <f>IF(UPPER(G178)="N","not fitted",IF(AND(H178="",I178="",J178=""),"not started",IF(OR(H178="",I178="",J178=""),"incomplete",IF(OR(M178="",N178=""),"no source","complete"))))</f>
        <v/>
      </c>
    </row>
    <row r="179">
      <c r="A179" s="7" t="inlineStr">
        <is>
          <t>GRD</t>
        </is>
      </c>
      <c r="B179" s="7" t="inlineStr">
        <is>
          <t>CATERPILLAR 160K</t>
        </is>
      </c>
      <c r="C179" s="7" t="n">
        <v>3</v>
      </c>
      <c r="D179" s="8" t="inlineStr">
        <is>
          <t>DIFF</t>
        </is>
      </c>
      <c r="E179" s="8" t="inlineStr">
        <is>
          <t>Differential</t>
        </is>
      </c>
      <c r="F179" s="8" t="inlineStr">
        <is>
          <t>Дифференциал</t>
        </is>
      </c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6" t="n"/>
      <c r="Q179" s="15" t="n"/>
      <c r="R179" s="13">
        <f>IF(UPPER(G179)="N","not fitted",IF(AND(H179="",I179="",J179=""),"not started",IF(OR(H179="",I179="",J179=""),"incomplete",IF(OR(M179="",N179=""),"no source","complete"))))</f>
        <v/>
      </c>
    </row>
    <row r="180">
      <c r="A180" s="7" t="inlineStr">
        <is>
          <t>GRD</t>
        </is>
      </c>
      <c r="B180" s="7" t="inlineStr">
        <is>
          <t>KOMATSU GD825A-2</t>
        </is>
      </c>
      <c r="C180" s="7" t="n">
        <v>2</v>
      </c>
      <c r="D180" s="8" t="inlineStr">
        <is>
          <t>ENG</t>
        </is>
      </c>
      <c r="E180" s="8" t="inlineStr">
        <is>
          <t>Engine</t>
        </is>
      </c>
      <c r="F180" s="8" t="inlineStr">
        <is>
          <t>Двигатель</t>
        </is>
      </c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6" t="n"/>
      <c r="Q180" s="15" t="n"/>
      <c r="R180" s="13">
        <f>IF(UPPER(G180)="N","not fitted",IF(AND(H180="",I180="",J180=""),"not started",IF(OR(H180="",I180="",J180=""),"incomplete",IF(OR(M180="",N180=""),"no source","complete"))))</f>
        <v/>
      </c>
    </row>
    <row r="181">
      <c r="A181" s="7" t="inlineStr">
        <is>
          <t>GRD</t>
        </is>
      </c>
      <c r="B181" s="7" t="inlineStr">
        <is>
          <t>KOMATSU GD825A-2</t>
        </is>
      </c>
      <c r="C181" s="7" t="n">
        <v>2</v>
      </c>
      <c r="D181" s="8" t="inlineStr">
        <is>
          <t>TRN</t>
        </is>
      </c>
      <c r="E181" s="8" t="inlineStr">
        <is>
          <t>Transmission</t>
        </is>
      </c>
      <c r="F181" s="8" t="inlineStr">
        <is>
          <t>Трансмиссия</t>
        </is>
      </c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6" t="n"/>
      <c r="Q181" s="15" t="n"/>
      <c r="R181" s="13">
        <f>IF(UPPER(G181)="N","not fitted",IF(AND(H181="",I181="",J181=""),"not started",IF(OR(H181="",I181="",J181=""),"incomplete",IF(OR(M181="",N181=""),"no source","complete"))))</f>
        <v/>
      </c>
    </row>
    <row r="182">
      <c r="A182" s="7" t="inlineStr">
        <is>
          <t>GRD</t>
        </is>
      </c>
      <c r="B182" s="7" t="inlineStr">
        <is>
          <t>KOMATSU GD825A-2</t>
        </is>
      </c>
      <c r="C182" s="7" t="n">
        <v>2</v>
      </c>
      <c r="D182" s="8" t="inlineStr">
        <is>
          <t>HYD</t>
        </is>
      </c>
      <c r="E182" s="8" t="inlineStr">
        <is>
          <t>Hydraulic</t>
        </is>
      </c>
      <c r="F182" s="8" t="inlineStr">
        <is>
          <t>Гидравлика</t>
        </is>
      </c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6" t="n"/>
      <c r="Q182" s="15" t="n"/>
      <c r="R182" s="13">
        <f>IF(UPPER(G182)="N","not fitted",IF(AND(H182="",I182="",J182=""),"not started",IF(OR(H182="",I182="",J182=""),"incomplete",IF(OR(M182="",N182=""),"no source","complete"))))</f>
        <v/>
      </c>
    </row>
    <row r="183">
      <c r="A183" s="7" t="inlineStr">
        <is>
          <t>GRD</t>
        </is>
      </c>
      <c r="B183" s="7" t="inlineStr">
        <is>
          <t>KOMATSU GD825A-2</t>
        </is>
      </c>
      <c r="C183" s="7" t="n">
        <v>2</v>
      </c>
      <c r="D183" s="8" t="inlineStr">
        <is>
          <t>TAN</t>
        </is>
      </c>
      <c r="E183" s="8" t="inlineStr">
        <is>
          <t>Tandem case</t>
        </is>
      </c>
      <c r="F183" s="8" t="inlineStr">
        <is>
          <t>Балансир</t>
        </is>
      </c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6" t="n"/>
      <c r="Q183" s="15" t="n"/>
      <c r="R183" s="13">
        <f>IF(UPPER(G183)="N","not fitted",IF(AND(H183="",I183="",J183=""),"not started",IF(OR(H183="",I183="",J183=""),"incomplete",IF(OR(M183="",N183=""),"no source","complete"))))</f>
        <v/>
      </c>
    </row>
    <row r="184">
      <c r="A184" s="7" t="inlineStr">
        <is>
          <t>GRD</t>
        </is>
      </c>
      <c r="B184" s="7" t="inlineStr">
        <is>
          <t>KOMATSU GD825A-2</t>
        </is>
      </c>
      <c r="C184" s="7" t="n">
        <v>2</v>
      </c>
      <c r="D184" s="8" t="inlineStr">
        <is>
          <t>CIR</t>
        </is>
      </c>
      <c r="E184" s="8" t="inlineStr">
        <is>
          <t>Circle / drawbar</t>
        </is>
      </c>
      <c r="F184" s="8" t="inlineStr">
        <is>
          <t>Поворотный круг</t>
        </is>
      </c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6" t="n"/>
      <c r="Q184" s="15" t="n"/>
      <c r="R184" s="13">
        <f>IF(UPPER(G184)="N","not fitted",IF(AND(H184="",I184="",J184=""),"not started",IF(OR(H184="",I184="",J184=""),"incomplete",IF(OR(M184="",N184=""),"no source","complete"))))</f>
        <v/>
      </c>
    </row>
    <row r="185">
      <c r="A185" s="7" t="inlineStr">
        <is>
          <t>GRD</t>
        </is>
      </c>
      <c r="B185" s="7" t="inlineStr">
        <is>
          <t>KOMATSU GD825A-2</t>
        </is>
      </c>
      <c r="C185" s="7" t="n">
        <v>2</v>
      </c>
      <c r="D185" s="8" t="inlineStr">
        <is>
          <t>DIFF</t>
        </is>
      </c>
      <c r="E185" s="8" t="inlineStr">
        <is>
          <t>Differential</t>
        </is>
      </c>
      <c r="F185" s="8" t="inlineStr">
        <is>
          <t>Дифференциал</t>
        </is>
      </c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6" t="n"/>
      <c r="Q185" s="15" t="n"/>
      <c r="R185" s="13">
        <f>IF(UPPER(G185)="N","not fitted",IF(AND(H185="",I185="",J185=""),"not started",IF(OR(H185="",I185="",J185=""),"incomplete",IF(OR(M185="",N185=""),"no source","complete"))))</f>
        <v/>
      </c>
    </row>
    <row r="186">
      <c r="A186" s="7" t="inlineStr">
        <is>
          <t>GRD</t>
        </is>
      </c>
      <c r="B186" s="7" t="inlineStr">
        <is>
          <t>SHANTUI SG16-3</t>
        </is>
      </c>
      <c r="C186" s="7" t="n">
        <v>2</v>
      </c>
      <c r="D186" s="8" t="inlineStr">
        <is>
          <t>ENG</t>
        </is>
      </c>
      <c r="E186" s="8" t="inlineStr">
        <is>
          <t>Engine</t>
        </is>
      </c>
      <c r="F186" s="8" t="inlineStr">
        <is>
          <t>Двигатель</t>
        </is>
      </c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6" t="n"/>
      <c r="Q186" s="15" t="n"/>
      <c r="R186" s="13">
        <f>IF(UPPER(G186)="N","not fitted",IF(AND(H186="",I186="",J186=""),"not started",IF(OR(H186="",I186="",J186=""),"incomplete",IF(OR(M186="",N186=""),"no source","complete"))))</f>
        <v/>
      </c>
    </row>
    <row r="187">
      <c r="A187" s="7" t="inlineStr">
        <is>
          <t>GRD</t>
        </is>
      </c>
      <c r="B187" s="7" t="inlineStr">
        <is>
          <t>SHANTUI SG16-3</t>
        </is>
      </c>
      <c r="C187" s="7" t="n">
        <v>2</v>
      </c>
      <c r="D187" s="8" t="inlineStr">
        <is>
          <t>TRN</t>
        </is>
      </c>
      <c r="E187" s="8" t="inlineStr">
        <is>
          <t>Transmission</t>
        </is>
      </c>
      <c r="F187" s="8" t="inlineStr">
        <is>
          <t>Трансмиссия</t>
        </is>
      </c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6" t="n"/>
      <c r="Q187" s="15" t="n"/>
      <c r="R187" s="13">
        <f>IF(UPPER(G187)="N","not fitted",IF(AND(H187="",I187="",J187=""),"not started",IF(OR(H187="",I187="",J187=""),"incomplete",IF(OR(M187="",N187=""),"no source","complete"))))</f>
        <v/>
      </c>
    </row>
    <row r="188">
      <c r="A188" s="7" t="inlineStr">
        <is>
          <t>GRD</t>
        </is>
      </c>
      <c r="B188" s="7" t="inlineStr">
        <is>
          <t>SHANTUI SG16-3</t>
        </is>
      </c>
      <c r="C188" s="7" t="n">
        <v>2</v>
      </c>
      <c r="D188" s="8" t="inlineStr">
        <is>
          <t>HYD</t>
        </is>
      </c>
      <c r="E188" s="8" t="inlineStr">
        <is>
          <t>Hydraulic</t>
        </is>
      </c>
      <c r="F188" s="8" t="inlineStr">
        <is>
          <t>Гидравлика</t>
        </is>
      </c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6" t="n"/>
      <c r="Q188" s="15" t="n"/>
      <c r="R188" s="13">
        <f>IF(UPPER(G188)="N","not fitted",IF(AND(H188="",I188="",J188=""),"not started",IF(OR(H188="",I188="",J188=""),"incomplete",IF(OR(M188="",N188=""),"no source","complete"))))</f>
        <v/>
      </c>
    </row>
    <row r="189">
      <c r="A189" s="7" t="inlineStr">
        <is>
          <t>GRD</t>
        </is>
      </c>
      <c r="B189" s="7" t="inlineStr">
        <is>
          <t>SHANTUI SG16-3</t>
        </is>
      </c>
      <c r="C189" s="7" t="n">
        <v>2</v>
      </c>
      <c r="D189" s="8" t="inlineStr">
        <is>
          <t>TAN</t>
        </is>
      </c>
      <c r="E189" s="8" t="inlineStr">
        <is>
          <t>Tandem case</t>
        </is>
      </c>
      <c r="F189" s="8" t="inlineStr">
        <is>
          <t>Балансир</t>
        </is>
      </c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6" t="n"/>
      <c r="Q189" s="15" t="n"/>
      <c r="R189" s="13">
        <f>IF(UPPER(G189)="N","not fitted",IF(AND(H189="",I189="",J189=""),"not started",IF(OR(H189="",I189="",J189=""),"incomplete",IF(OR(M189="",N189=""),"no source","complete"))))</f>
        <v/>
      </c>
    </row>
    <row r="190">
      <c r="A190" s="7" t="inlineStr">
        <is>
          <t>GRD</t>
        </is>
      </c>
      <c r="B190" s="7" t="inlineStr">
        <is>
          <t>SHANTUI SG16-3</t>
        </is>
      </c>
      <c r="C190" s="7" t="n">
        <v>2</v>
      </c>
      <c r="D190" s="8" t="inlineStr">
        <is>
          <t>CIR</t>
        </is>
      </c>
      <c r="E190" s="8" t="inlineStr">
        <is>
          <t>Circle / drawbar</t>
        </is>
      </c>
      <c r="F190" s="8" t="inlineStr">
        <is>
          <t>Поворотный круг</t>
        </is>
      </c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6" t="n"/>
      <c r="Q190" s="15" t="n"/>
      <c r="R190" s="13">
        <f>IF(UPPER(G190)="N","not fitted",IF(AND(H190="",I190="",J190=""),"not started",IF(OR(H190="",I190="",J190=""),"incomplete",IF(OR(M190="",N190=""),"no source","complete"))))</f>
        <v/>
      </c>
    </row>
    <row r="191">
      <c r="A191" s="7" t="inlineStr">
        <is>
          <t>GRD</t>
        </is>
      </c>
      <c r="B191" s="7" t="inlineStr">
        <is>
          <t>SHANTUI SG16-3</t>
        </is>
      </c>
      <c r="C191" s="7" t="n">
        <v>2</v>
      </c>
      <c r="D191" s="8" t="inlineStr">
        <is>
          <t>DIFF</t>
        </is>
      </c>
      <c r="E191" s="8" t="inlineStr">
        <is>
          <t>Differential</t>
        </is>
      </c>
      <c r="F191" s="8" t="inlineStr">
        <is>
          <t>Дифференциал</t>
        </is>
      </c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6" t="n"/>
      <c r="Q191" s="15" t="n"/>
      <c r="R191" s="13">
        <f>IF(UPPER(G191)="N","not fitted",IF(AND(H191="",I191="",J191=""),"not started",IF(OR(H191="",I191="",J191=""),"incomplete",IF(OR(M191="",N191=""),"no source","complete"))))</f>
        <v/>
      </c>
    </row>
    <row r="192">
      <c r="A192" s="7" t="inlineStr">
        <is>
          <t>GRD</t>
        </is>
      </c>
      <c r="B192" s="7" t="inlineStr">
        <is>
          <t>CHSDM DZ-98V.00100-111</t>
        </is>
      </c>
      <c r="C192" s="7" t="n">
        <v>1</v>
      </c>
      <c r="D192" s="8" t="inlineStr">
        <is>
          <t>ENG</t>
        </is>
      </c>
      <c r="E192" s="8" t="inlineStr">
        <is>
          <t>Engine</t>
        </is>
      </c>
      <c r="F192" s="8" t="inlineStr">
        <is>
          <t>Двигатель</t>
        </is>
      </c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6" t="n"/>
      <c r="Q192" s="15" t="n"/>
      <c r="R192" s="13">
        <f>IF(UPPER(G192)="N","not fitted",IF(AND(H192="",I192="",J192=""),"not started",IF(OR(H192="",I192="",J192=""),"incomplete",IF(OR(M192="",N192=""),"no source","complete"))))</f>
        <v/>
      </c>
    </row>
    <row r="193">
      <c r="A193" s="7" t="inlineStr">
        <is>
          <t>GRD</t>
        </is>
      </c>
      <c r="B193" s="7" t="inlineStr">
        <is>
          <t>CHSDM DZ-98V.00100-111</t>
        </is>
      </c>
      <c r="C193" s="7" t="n">
        <v>1</v>
      </c>
      <c r="D193" s="8" t="inlineStr">
        <is>
          <t>TRN</t>
        </is>
      </c>
      <c r="E193" s="8" t="inlineStr">
        <is>
          <t>Transmission</t>
        </is>
      </c>
      <c r="F193" s="8" t="inlineStr">
        <is>
          <t>Трансмиссия</t>
        </is>
      </c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6" t="n"/>
      <c r="Q193" s="15" t="n"/>
      <c r="R193" s="13">
        <f>IF(UPPER(G193)="N","not fitted",IF(AND(H193="",I193="",J193=""),"not started",IF(OR(H193="",I193="",J193=""),"incomplete",IF(OR(M193="",N193=""),"no source","complete"))))</f>
        <v/>
      </c>
    </row>
    <row r="194">
      <c r="A194" s="7" t="inlineStr">
        <is>
          <t>GRD</t>
        </is>
      </c>
      <c r="B194" s="7" t="inlineStr">
        <is>
          <t>CHSDM DZ-98V.00100-111</t>
        </is>
      </c>
      <c r="C194" s="7" t="n">
        <v>1</v>
      </c>
      <c r="D194" s="8" t="inlineStr">
        <is>
          <t>HYD</t>
        </is>
      </c>
      <c r="E194" s="8" t="inlineStr">
        <is>
          <t>Hydraulic</t>
        </is>
      </c>
      <c r="F194" s="8" t="inlineStr">
        <is>
          <t>Гидравлика</t>
        </is>
      </c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6" t="n"/>
      <c r="Q194" s="15" t="n"/>
      <c r="R194" s="13">
        <f>IF(UPPER(G194)="N","not fitted",IF(AND(H194="",I194="",J194=""),"not started",IF(OR(H194="",I194="",J194=""),"incomplete",IF(OR(M194="",N194=""),"no source","complete"))))</f>
        <v/>
      </c>
    </row>
    <row r="195">
      <c r="A195" s="7" t="inlineStr">
        <is>
          <t>GRD</t>
        </is>
      </c>
      <c r="B195" s="7" t="inlineStr">
        <is>
          <t>CHSDM DZ-98V.00100-111</t>
        </is>
      </c>
      <c r="C195" s="7" t="n">
        <v>1</v>
      </c>
      <c r="D195" s="8" t="inlineStr">
        <is>
          <t>TAN</t>
        </is>
      </c>
      <c r="E195" s="8" t="inlineStr">
        <is>
          <t>Tandem case</t>
        </is>
      </c>
      <c r="F195" s="8" t="inlineStr">
        <is>
          <t>Балансир</t>
        </is>
      </c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6" t="n"/>
      <c r="Q195" s="15" t="n"/>
      <c r="R195" s="13">
        <f>IF(UPPER(G195)="N","not fitted",IF(AND(H195="",I195="",J195=""),"not started",IF(OR(H195="",I195="",J195=""),"incomplete",IF(OR(M195="",N195=""),"no source","complete"))))</f>
        <v/>
      </c>
    </row>
    <row r="196">
      <c r="A196" s="7" t="inlineStr">
        <is>
          <t>GRD</t>
        </is>
      </c>
      <c r="B196" s="7" t="inlineStr">
        <is>
          <t>CHSDM DZ-98V.00100-111</t>
        </is>
      </c>
      <c r="C196" s="7" t="n">
        <v>1</v>
      </c>
      <c r="D196" s="8" t="inlineStr">
        <is>
          <t>CIR</t>
        </is>
      </c>
      <c r="E196" s="8" t="inlineStr">
        <is>
          <t>Circle / drawbar</t>
        </is>
      </c>
      <c r="F196" s="8" t="inlineStr">
        <is>
          <t>Поворотный круг</t>
        </is>
      </c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6" t="n"/>
      <c r="Q196" s="15" t="n"/>
      <c r="R196" s="13">
        <f>IF(UPPER(G196)="N","not fitted",IF(AND(H196="",I196="",J196=""),"not started",IF(OR(H196="",I196="",J196=""),"incomplete",IF(OR(M196="",N196=""),"no source","complete"))))</f>
        <v/>
      </c>
    </row>
    <row r="197">
      <c r="A197" s="7" t="inlineStr">
        <is>
          <t>GRD</t>
        </is>
      </c>
      <c r="B197" s="7" t="inlineStr">
        <is>
          <t>CHSDM DZ-98V.00100-111</t>
        </is>
      </c>
      <c r="C197" s="7" t="n">
        <v>1</v>
      </c>
      <c r="D197" s="8" t="inlineStr">
        <is>
          <t>DIFF</t>
        </is>
      </c>
      <c r="E197" s="8" t="inlineStr">
        <is>
          <t>Differential</t>
        </is>
      </c>
      <c r="F197" s="8" t="inlineStr">
        <is>
          <t>Дифференциал</t>
        </is>
      </c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6" t="n"/>
      <c r="Q197" s="15" t="n"/>
      <c r="R197" s="13">
        <f>IF(UPPER(G197)="N","not fitted",IF(AND(H197="",I197="",J197=""),"not started",IF(OR(H197="",I197="",J197=""),"incomplete",IF(OR(M197="",N197=""),"no source","complete"))))</f>
        <v/>
      </c>
    </row>
    <row r="198">
      <c r="A198" s="7" t="inlineStr">
        <is>
          <t>HRB</t>
        </is>
      </c>
      <c r="B198" s="7" t="inlineStr">
        <is>
          <t>HITROCK HMB4500</t>
        </is>
      </c>
      <c r="C198" s="7" t="n">
        <v>4</v>
      </c>
      <c r="D198" s="8" t="inlineStr">
        <is>
          <t>HYD</t>
        </is>
      </c>
      <c r="E198" s="8" t="inlineStr">
        <is>
          <t>Hydraulic — own circuit</t>
        </is>
      </c>
      <c r="F198" s="8" t="inlineStr">
        <is>
          <t>Гидравлика — собственный контур</t>
        </is>
      </c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6" t="n"/>
      <c r="Q198" s="15" t="n"/>
      <c r="R198" s="13">
        <f>IF(UPPER(G198)="N","not fitted",IF(AND(H198="",I198="",J198=""),"not started",IF(OR(H198="",I198="",J198=""),"incomplete",IF(OR(M198="",N198=""),"no source","complete"))))</f>
        <v/>
      </c>
    </row>
    <row r="199">
      <c r="A199" s="7" t="inlineStr">
        <is>
          <t>HRB</t>
        </is>
      </c>
      <c r="B199" s="7" t="inlineStr">
        <is>
          <t>HITROCK HMB4500</t>
        </is>
      </c>
      <c r="C199" s="7" t="n">
        <v>4</v>
      </c>
      <c r="D199" s="8" t="inlineStr">
        <is>
          <t>GAS</t>
        </is>
      </c>
      <c r="E199" s="8" t="inlineStr">
        <is>
          <t>Percussion service</t>
        </is>
      </c>
      <c r="F199" s="8" t="inlineStr">
        <is>
          <t>Обслуживание ударной части</t>
        </is>
      </c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6" t="n"/>
      <c r="Q199" s="15" t="n"/>
      <c r="R199" s="13">
        <f>IF(UPPER(G199)="N","not fitted",IF(AND(H199="",I199="",J199=""),"not started",IF(OR(H199="",I199="",J199=""),"incomplete",IF(OR(M199="",N199=""),"no source","complete"))))</f>
        <v/>
      </c>
    </row>
    <row r="200">
      <c r="A200" s="7" t="inlineStr">
        <is>
          <t>HRB</t>
        </is>
      </c>
      <c r="B200" s="7" t="inlineStr">
        <is>
          <t>HB3500</t>
        </is>
      </c>
      <c r="C200" s="7" t="n">
        <v>2</v>
      </c>
      <c r="D200" s="8" t="inlineStr">
        <is>
          <t>HYD</t>
        </is>
      </c>
      <c r="E200" s="8" t="inlineStr">
        <is>
          <t>Hydraulic — own circuit</t>
        </is>
      </c>
      <c r="F200" s="8" t="inlineStr">
        <is>
          <t>Гидравлика — собственный контур</t>
        </is>
      </c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6" t="n"/>
      <c r="Q200" s="15" t="n"/>
      <c r="R200" s="13">
        <f>IF(UPPER(G200)="N","not fitted",IF(AND(H200="",I200="",J200=""),"not started",IF(OR(H200="",I200="",J200=""),"incomplete",IF(OR(M200="",N200=""),"no source","complete"))))</f>
        <v/>
      </c>
    </row>
    <row r="201">
      <c r="A201" s="7" t="inlineStr">
        <is>
          <t>HRB</t>
        </is>
      </c>
      <c r="B201" s="7" t="inlineStr">
        <is>
          <t>HB3500</t>
        </is>
      </c>
      <c r="C201" s="7" t="n">
        <v>2</v>
      </c>
      <c r="D201" s="8" t="inlineStr">
        <is>
          <t>GAS</t>
        </is>
      </c>
      <c r="E201" s="8" t="inlineStr">
        <is>
          <t>Percussion service</t>
        </is>
      </c>
      <c r="F201" s="8" t="inlineStr">
        <is>
          <t>Обслуживание ударной части</t>
        </is>
      </c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6" t="n"/>
      <c r="Q201" s="15" t="n"/>
      <c r="R201" s="13">
        <f>IF(UPPER(G201)="N","not fitted",IF(AND(H201="",I201="",J201=""),"not started",IF(OR(H201="",I201="",J201=""),"incomplete",IF(OR(M201="",N201=""),"no source","complete"))))</f>
        <v/>
      </c>
    </row>
    <row r="202">
      <c r="A202" s="7" t="inlineStr">
        <is>
          <t>HRB</t>
        </is>
      </c>
      <c r="B202" s="7" t="inlineStr">
        <is>
          <t>HB4500+</t>
        </is>
      </c>
      <c r="C202" s="7" t="n">
        <v>1</v>
      </c>
      <c r="D202" s="8" t="inlineStr">
        <is>
          <t>HYD</t>
        </is>
      </c>
      <c r="E202" s="8" t="inlineStr">
        <is>
          <t>Hydraulic — own circuit</t>
        </is>
      </c>
      <c r="F202" s="8" t="inlineStr">
        <is>
          <t>Гидравлика — собственный контур</t>
        </is>
      </c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6" t="n"/>
      <c r="Q202" s="15" t="n"/>
      <c r="R202" s="13">
        <f>IF(UPPER(G202)="N","not fitted",IF(AND(H202="",I202="",J202=""),"not started",IF(OR(H202="",I202="",J202=""),"incomplete",IF(OR(M202="",N202=""),"no source","complete"))))</f>
        <v/>
      </c>
    </row>
    <row r="203">
      <c r="A203" s="7" t="inlineStr">
        <is>
          <t>HRB</t>
        </is>
      </c>
      <c r="B203" s="7" t="inlineStr">
        <is>
          <t>HB4500+</t>
        </is>
      </c>
      <c r="C203" s="7" t="n">
        <v>1</v>
      </c>
      <c r="D203" s="8" t="inlineStr">
        <is>
          <t>GAS</t>
        </is>
      </c>
      <c r="E203" s="8" t="inlineStr">
        <is>
          <t>Percussion service</t>
        </is>
      </c>
      <c r="F203" s="8" t="inlineStr">
        <is>
          <t>Обслуживание ударной части</t>
        </is>
      </c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6" t="n"/>
      <c r="Q203" s="15" t="n"/>
      <c r="R203" s="13">
        <f>IF(UPPER(G203)="N","not fitted",IF(AND(H203="",I203="",J203=""),"not started",IF(OR(H203="",I203="",J203=""),"incomplete",IF(OR(M203="",N203=""),"no source","complete"))))</f>
        <v/>
      </c>
    </row>
    <row r="204">
      <c r="A204" s="7" t="inlineStr">
        <is>
          <t>HT</t>
        </is>
      </c>
      <c r="B204" s="7" t="inlineStr">
        <is>
          <t>KAMAZ 65201-6010-49(B5)</t>
        </is>
      </c>
      <c r="C204" s="7" t="n">
        <v>25</v>
      </c>
      <c r="D204" s="8" t="inlineStr">
        <is>
          <t>ENG</t>
        </is>
      </c>
      <c r="E204" s="8" t="inlineStr">
        <is>
          <t>Engine</t>
        </is>
      </c>
      <c r="F204" s="8" t="inlineStr">
        <is>
          <t>Двигатель</t>
        </is>
      </c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6" t="n"/>
      <c r="Q204" s="15" t="n"/>
      <c r="R204" s="13">
        <f>IF(UPPER(G204)="N","not fitted",IF(AND(H204="",I204="",J204=""),"not started",IF(OR(H204="",I204="",J204=""),"incomplete",IF(OR(M204="",N204=""),"no source","complete"))))</f>
        <v/>
      </c>
    </row>
    <row r="205">
      <c r="A205" s="7" t="inlineStr">
        <is>
          <t>HT</t>
        </is>
      </c>
      <c r="B205" s="7" t="inlineStr">
        <is>
          <t>KAMAZ 65201-6010-49(B5)</t>
        </is>
      </c>
      <c r="C205" s="7" t="n">
        <v>25</v>
      </c>
      <c r="D205" s="8" t="inlineStr">
        <is>
          <t>TRN</t>
        </is>
      </c>
      <c r="E205" s="8" t="inlineStr">
        <is>
          <t>Transmission</t>
        </is>
      </c>
      <c r="F205" s="8" t="inlineStr">
        <is>
          <t>Трансмиссия</t>
        </is>
      </c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6" t="n"/>
      <c r="Q205" s="15" t="n"/>
      <c r="R205" s="13">
        <f>IF(UPPER(G205)="N","not fitted",IF(AND(H205="",I205="",J205=""),"not started",IF(OR(H205="",I205="",J205=""),"incomplete",IF(OR(M205="",N205=""),"no source","complete"))))</f>
        <v/>
      </c>
    </row>
    <row r="206">
      <c r="A206" s="7" t="inlineStr">
        <is>
          <t>HT</t>
        </is>
      </c>
      <c r="B206" s="7" t="inlineStr">
        <is>
          <t>KAMAZ 65201-6010-49(B5)</t>
        </is>
      </c>
      <c r="C206" s="7" t="n">
        <v>25</v>
      </c>
      <c r="D206" s="8" t="inlineStr">
        <is>
          <t>HYD</t>
        </is>
      </c>
      <c r="E206" s="8" t="inlineStr">
        <is>
          <t>Hydraulic — hoist / steering</t>
        </is>
      </c>
      <c r="F206" s="8" t="inlineStr">
        <is>
          <t>Гидравлика — подъём / рулевое</t>
        </is>
      </c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6" t="n"/>
      <c r="Q206" s="15" t="n"/>
      <c r="R206" s="13">
        <f>IF(UPPER(G206)="N","not fitted",IF(AND(H206="",I206="",J206=""),"not started",IF(OR(H206="",I206="",J206=""),"incomplete",IF(OR(M206="",N206=""),"no source","complete"))))</f>
        <v/>
      </c>
    </row>
    <row r="207">
      <c r="A207" s="7" t="inlineStr">
        <is>
          <t>HT</t>
        </is>
      </c>
      <c r="B207" s="7" t="inlineStr">
        <is>
          <t>KAMAZ 65201-6010-49(B5)</t>
        </is>
      </c>
      <c r="C207" s="7" t="n">
        <v>25</v>
      </c>
      <c r="D207" s="8" t="inlineStr">
        <is>
          <t>FDL</t>
        </is>
      </c>
      <c r="E207" s="8" t="inlineStr">
        <is>
          <t>Final drive / wheel motor</t>
        </is>
      </c>
      <c r="F207" s="8" t="inlineStr">
        <is>
          <t>Бортовой редуктор</t>
        </is>
      </c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6" t="n"/>
      <c r="Q207" s="15" t="n"/>
      <c r="R207" s="13">
        <f>IF(UPPER(G207)="N","not fitted",IF(AND(H207="",I207="",J207=""),"not started",IF(OR(H207="",I207="",J207=""),"incomplete",IF(OR(M207="",N207=""),"no source","complete"))))</f>
        <v/>
      </c>
    </row>
    <row r="208">
      <c r="A208" s="7" t="inlineStr">
        <is>
          <t>HT</t>
        </is>
      </c>
      <c r="B208" s="7" t="inlineStr">
        <is>
          <t>KAMAZ 65201-6010-49(B5)</t>
        </is>
      </c>
      <c r="C208" s="7" t="n">
        <v>25</v>
      </c>
      <c r="D208" s="8" t="inlineStr">
        <is>
          <t>DIFF</t>
        </is>
      </c>
      <c r="E208" s="8" t="inlineStr">
        <is>
          <t>Differential</t>
        </is>
      </c>
      <c r="F208" s="8" t="inlineStr">
        <is>
          <t>Дифференциал</t>
        </is>
      </c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6" t="n"/>
      <c r="Q208" s="15" t="n"/>
      <c r="R208" s="13">
        <f>IF(UPPER(G208)="N","not fitted",IF(AND(H208="",I208="",J208=""),"not started",IF(OR(H208="",I208="",J208=""),"incomplete",IF(OR(M208="",N208=""),"no source","complete"))))</f>
        <v/>
      </c>
    </row>
    <row r="209">
      <c r="A209" s="7" t="inlineStr">
        <is>
          <t>HT</t>
        </is>
      </c>
      <c r="B209" s="7" t="inlineStr">
        <is>
          <t>NHL TR60</t>
        </is>
      </c>
      <c r="C209" s="7" t="n">
        <v>16</v>
      </c>
      <c r="D209" s="8" t="inlineStr">
        <is>
          <t>ENG</t>
        </is>
      </c>
      <c r="E209" s="8" t="inlineStr">
        <is>
          <t>Engine</t>
        </is>
      </c>
      <c r="F209" s="8" t="inlineStr">
        <is>
          <t>Двигатель</t>
        </is>
      </c>
      <c r="G209" s="9" t="inlineStr">
        <is>
          <t>Y</t>
        </is>
      </c>
      <c r="H209" s="9" t="n">
        <v>45</v>
      </c>
      <c r="I209" s="9" t="inlineStr">
        <is>
          <t>API CI-4 or better</t>
        </is>
      </c>
      <c r="J209" s="9" t="n">
        <v>500</v>
      </c>
      <c r="K209" s="9" t="inlineStr">
        <is>
          <t>5W-40 synth</t>
        </is>
      </c>
      <c r="L209" s="9" t="inlineStr">
        <is>
          <t>15W-40</t>
        </is>
      </c>
      <c r="M209" s="10" t="n"/>
      <c r="N209" s="10" t="n"/>
      <c r="O209" s="10" t="n"/>
      <c r="P209" s="11" t="n"/>
      <c r="Q209" s="10" t="n"/>
      <c r="R209" s="13">
        <f>IF(UPPER(G209)="N","not fitted",IF(AND(H209="",I209="",J209=""),"not started",IF(OR(H209="",I209="",J209=""),"incomplete",IF(OR(M209="",N209=""),"no source","complete"))))</f>
        <v/>
      </c>
    </row>
    <row r="210">
      <c r="A210" s="7" t="inlineStr">
        <is>
          <t>HT</t>
        </is>
      </c>
      <c r="B210" s="7" t="inlineStr">
        <is>
          <t>NHL TR60</t>
        </is>
      </c>
      <c r="C210" s="7" t="n">
        <v>16</v>
      </c>
      <c r="D210" s="8" t="inlineStr">
        <is>
          <t>TRN</t>
        </is>
      </c>
      <c r="E210" s="8" t="inlineStr">
        <is>
          <t>Transmission</t>
        </is>
      </c>
      <c r="F210" s="8" t="inlineStr">
        <is>
          <t>Трансмиссия</t>
        </is>
      </c>
      <c r="G210" s="9" t="inlineStr">
        <is>
          <t>Y</t>
        </is>
      </c>
      <c r="H210" s="9" t="n">
        <v>75</v>
      </c>
      <c r="I210" s="9" t="inlineStr">
        <is>
          <t>CAT TO-4 / Allison C-4</t>
        </is>
      </c>
      <c r="J210" s="9" t="n">
        <v>2000</v>
      </c>
      <c r="K210" s="9" t="inlineStr">
        <is>
          <t>SAE 10W</t>
        </is>
      </c>
      <c r="L210" s="9" t="inlineStr">
        <is>
          <t>SAE 30</t>
        </is>
      </c>
      <c r="M210" s="10" t="n"/>
      <c r="N210" s="10" t="n"/>
      <c r="O210" s="10" t="n"/>
      <c r="P210" s="11" t="n"/>
      <c r="Q210" s="10" t="n"/>
      <c r="R210" s="13">
        <f>IF(UPPER(G210)="N","not fitted",IF(AND(H210="",I210="",J210=""),"not started",IF(OR(H210="",I210="",J210=""),"incomplete",IF(OR(M210="",N210=""),"no source","complete"))))</f>
        <v/>
      </c>
    </row>
    <row r="211">
      <c r="A211" s="7" t="inlineStr">
        <is>
          <t>HT</t>
        </is>
      </c>
      <c r="B211" s="7" t="inlineStr">
        <is>
          <t>NHL TR60</t>
        </is>
      </c>
      <c r="C211" s="7" t="n">
        <v>16</v>
      </c>
      <c r="D211" s="8" t="inlineStr">
        <is>
          <t>HYD</t>
        </is>
      </c>
      <c r="E211" s="8" t="inlineStr">
        <is>
          <t>Hydraulic — hoist / steering</t>
        </is>
      </c>
      <c r="F211" s="8" t="inlineStr">
        <is>
          <t>Гидравлика — подъём / рулевое</t>
        </is>
      </c>
      <c r="G211" s="9" t="inlineStr">
        <is>
          <t>Y</t>
        </is>
      </c>
      <c r="H211" s="9" t="n">
        <v>230</v>
      </c>
      <c r="I211" s="9" t="inlineStr">
        <is>
          <t>ISO VG, anti-wear</t>
        </is>
      </c>
      <c r="J211" s="9" t="n">
        <v>4000</v>
      </c>
      <c r="K211" s="10" t="n"/>
      <c r="L211" s="9" t="inlineStr">
        <is>
          <t>ISO VG 32</t>
        </is>
      </c>
      <c r="M211" s="10" t="n"/>
      <c r="N211" s="10" t="n"/>
      <c r="O211" s="10" t="n"/>
      <c r="P211" s="11" t="n"/>
      <c r="Q211" s="10" t="n"/>
      <c r="R211" s="13">
        <f>IF(UPPER(G211)="N","not fitted",IF(AND(H211="",I211="",J211=""),"not started",IF(OR(H211="",I211="",J211=""),"incomplete",IF(OR(M211="",N211=""),"no source","complete"))))</f>
        <v/>
      </c>
    </row>
    <row r="212">
      <c r="A212" s="7" t="inlineStr">
        <is>
          <t>HT</t>
        </is>
      </c>
      <c r="B212" s="7" t="inlineStr">
        <is>
          <t>NHL TR60</t>
        </is>
      </c>
      <c r="C212" s="7" t="n">
        <v>16</v>
      </c>
      <c r="D212" s="8" t="inlineStr">
        <is>
          <t>FDL</t>
        </is>
      </c>
      <c r="E212" s="8" t="inlineStr">
        <is>
          <t>Final drive / wheel motor</t>
        </is>
      </c>
      <c r="F212" s="8" t="inlineStr">
        <is>
          <t>Бортовой редуктор</t>
        </is>
      </c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6" t="n"/>
      <c r="Q212" s="15" t="n"/>
      <c r="R212" s="13">
        <f>IF(UPPER(G212)="N","not fitted",IF(AND(H212="",I212="",J212=""),"not started",IF(OR(H212="",I212="",J212=""),"incomplete",IF(OR(M212="",N212=""),"no source","complete"))))</f>
        <v/>
      </c>
    </row>
    <row r="213">
      <c r="A213" s="7" t="inlineStr">
        <is>
          <t>HT</t>
        </is>
      </c>
      <c r="B213" s="7" t="inlineStr">
        <is>
          <t>NHL TR60</t>
        </is>
      </c>
      <c r="C213" s="7" t="n">
        <v>16</v>
      </c>
      <c r="D213" s="8" t="inlineStr">
        <is>
          <t>DIFF</t>
        </is>
      </c>
      <c r="E213" s="8" t="inlineStr">
        <is>
          <t>Differential</t>
        </is>
      </c>
      <c r="F213" s="8" t="inlineStr">
        <is>
          <t>Дифференциал</t>
        </is>
      </c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6" t="n"/>
      <c r="Q213" s="15" t="n"/>
      <c r="R213" s="13">
        <f>IF(UPPER(G213)="N","not fitted",IF(AND(H213="",I213="",J213=""),"not started",IF(OR(H213="",I213="",J213=""),"incomplete",IF(OR(M213="",N213=""),"no source","complete"))))</f>
        <v/>
      </c>
    </row>
    <row r="214">
      <c r="A214" s="7" t="inlineStr">
        <is>
          <t>HT</t>
        </is>
      </c>
      <c r="B214" s="7" t="inlineStr">
        <is>
          <t>IVECO AMT 653900</t>
        </is>
      </c>
      <c r="C214" s="7" t="n">
        <v>5</v>
      </c>
      <c r="D214" s="8" t="inlineStr">
        <is>
          <t>ENG</t>
        </is>
      </c>
      <c r="E214" s="8" t="inlineStr">
        <is>
          <t>Engine</t>
        </is>
      </c>
      <c r="F214" s="8" t="inlineStr">
        <is>
          <t>Двигатель</t>
        </is>
      </c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6" t="n"/>
      <c r="Q214" s="15" t="n"/>
      <c r="R214" s="13">
        <f>IF(UPPER(G214)="N","not fitted",IF(AND(H214="",I214="",J214=""),"not started",IF(OR(H214="",I214="",J214=""),"incomplete",IF(OR(M214="",N214=""),"no source","complete"))))</f>
        <v/>
      </c>
    </row>
    <row r="215">
      <c r="A215" s="7" t="inlineStr">
        <is>
          <t>HT</t>
        </is>
      </c>
      <c r="B215" s="7" t="inlineStr">
        <is>
          <t>IVECO AMT 653900</t>
        </is>
      </c>
      <c r="C215" s="7" t="n">
        <v>5</v>
      </c>
      <c r="D215" s="8" t="inlineStr">
        <is>
          <t>TRN</t>
        </is>
      </c>
      <c r="E215" s="8" t="inlineStr">
        <is>
          <t>Transmission</t>
        </is>
      </c>
      <c r="F215" s="8" t="inlineStr">
        <is>
          <t>Трансмиссия</t>
        </is>
      </c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6" t="n"/>
      <c r="Q215" s="15" t="n"/>
      <c r="R215" s="13">
        <f>IF(UPPER(G215)="N","not fitted",IF(AND(H215="",I215="",J215=""),"not started",IF(OR(H215="",I215="",J215=""),"incomplete",IF(OR(M215="",N215=""),"no source","complete"))))</f>
        <v/>
      </c>
    </row>
    <row r="216">
      <c r="A216" s="7" t="inlineStr">
        <is>
          <t>HT</t>
        </is>
      </c>
      <c r="B216" s="7" t="inlineStr">
        <is>
          <t>IVECO AMT 653900</t>
        </is>
      </c>
      <c r="C216" s="7" t="n">
        <v>5</v>
      </c>
      <c r="D216" s="8" t="inlineStr">
        <is>
          <t>HYD</t>
        </is>
      </c>
      <c r="E216" s="8" t="inlineStr">
        <is>
          <t>Hydraulic — hoist / steering</t>
        </is>
      </c>
      <c r="F216" s="8" t="inlineStr">
        <is>
          <t>Гидравлика — подъём / рулевое</t>
        </is>
      </c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6" t="n"/>
      <c r="Q216" s="15" t="n"/>
      <c r="R216" s="13">
        <f>IF(UPPER(G216)="N","not fitted",IF(AND(H216="",I216="",J216=""),"not started",IF(OR(H216="",I216="",J216=""),"incomplete",IF(OR(M216="",N216=""),"no source","complete"))))</f>
        <v/>
      </c>
    </row>
    <row r="217">
      <c r="A217" s="7" t="inlineStr">
        <is>
          <t>HT</t>
        </is>
      </c>
      <c r="B217" s="7" t="inlineStr">
        <is>
          <t>IVECO AMT 653900</t>
        </is>
      </c>
      <c r="C217" s="7" t="n">
        <v>5</v>
      </c>
      <c r="D217" s="8" t="inlineStr">
        <is>
          <t>FDL</t>
        </is>
      </c>
      <c r="E217" s="8" t="inlineStr">
        <is>
          <t>Final drive / wheel motor</t>
        </is>
      </c>
      <c r="F217" s="8" t="inlineStr">
        <is>
          <t>Бортовой редуктор</t>
        </is>
      </c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6" t="n"/>
      <c r="Q217" s="15" t="n"/>
      <c r="R217" s="13">
        <f>IF(UPPER(G217)="N","not fitted",IF(AND(H217="",I217="",J217=""),"not started",IF(OR(H217="",I217="",J217=""),"incomplete",IF(OR(M217="",N217=""),"no source","complete"))))</f>
        <v/>
      </c>
    </row>
    <row r="218">
      <c r="A218" s="7" t="inlineStr">
        <is>
          <t>HT</t>
        </is>
      </c>
      <c r="B218" s="7" t="inlineStr">
        <is>
          <t>IVECO AMT 653900</t>
        </is>
      </c>
      <c r="C218" s="7" t="n">
        <v>5</v>
      </c>
      <c r="D218" s="8" t="inlineStr">
        <is>
          <t>DIFF</t>
        </is>
      </c>
      <c r="E218" s="8" t="inlineStr">
        <is>
          <t>Differential</t>
        </is>
      </c>
      <c r="F218" s="8" t="inlineStr">
        <is>
          <t>Дифференциал</t>
        </is>
      </c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6" t="n"/>
      <c r="Q218" s="15" t="n"/>
      <c r="R218" s="13">
        <f>IF(UPPER(G218)="N","not fitted",IF(AND(H218="",I218="",J218=""),"not started",IF(OR(H218="",I218="",J218=""),"incomplete",IF(OR(M218="",N218=""),"no source","complete"))))</f>
        <v/>
      </c>
    </row>
    <row r="219">
      <c r="A219" s="7" t="inlineStr">
        <is>
          <t>HT</t>
        </is>
      </c>
      <c r="B219" s="7" t="inlineStr">
        <is>
          <t>KAMAZ 6520-6041-43</t>
        </is>
      </c>
      <c r="C219" s="7" t="n">
        <v>5</v>
      </c>
      <c r="D219" s="8" t="inlineStr">
        <is>
          <t>ENG</t>
        </is>
      </c>
      <c r="E219" s="8" t="inlineStr">
        <is>
          <t>Engine</t>
        </is>
      </c>
      <c r="F219" s="8" t="inlineStr">
        <is>
          <t>Двигатель</t>
        </is>
      </c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6" t="n"/>
      <c r="Q219" s="15" t="n"/>
      <c r="R219" s="13">
        <f>IF(UPPER(G219)="N","not fitted",IF(AND(H219="",I219="",J219=""),"not started",IF(OR(H219="",I219="",J219=""),"incomplete",IF(OR(M219="",N219=""),"no source","complete"))))</f>
        <v/>
      </c>
    </row>
    <row r="220">
      <c r="A220" s="7" t="inlineStr">
        <is>
          <t>HT</t>
        </is>
      </c>
      <c r="B220" s="7" t="inlineStr">
        <is>
          <t>KAMAZ 6520-6041-43</t>
        </is>
      </c>
      <c r="C220" s="7" t="n">
        <v>5</v>
      </c>
      <c r="D220" s="8" t="inlineStr">
        <is>
          <t>TRN</t>
        </is>
      </c>
      <c r="E220" s="8" t="inlineStr">
        <is>
          <t>Transmission</t>
        </is>
      </c>
      <c r="F220" s="8" t="inlineStr">
        <is>
          <t>Трансмиссия</t>
        </is>
      </c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6" t="n"/>
      <c r="Q220" s="15" t="n"/>
      <c r="R220" s="13">
        <f>IF(UPPER(G220)="N","not fitted",IF(AND(H220="",I220="",J220=""),"not started",IF(OR(H220="",I220="",J220=""),"incomplete",IF(OR(M220="",N220=""),"no source","complete"))))</f>
        <v/>
      </c>
    </row>
    <row r="221">
      <c r="A221" s="7" t="inlineStr">
        <is>
          <t>HT</t>
        </is>
      </c>
      <c r="B221" s="7" t="inlineStr">
        <is>
          <t>KAMAZ 6520-6041-43</t>
        </is>
      </c>
      <c r="C221" s="7" t="n">
        <v>5</v>
      </c>
      <c r="D221" s="8" t="inlineStr">
        <is>
          <t>HYD</t>
        </is>
      </c>
      <c r="E221" s="8" t="inlineStr">
        <is>
          <t>Hydraulic — hoist / steering</t>
        </is>
      </c>
      <c r="F221" s="8" t="inlineStr">
        <is>
          <t>Гидравлика — подъём / рулевое</t>
        </is>
      </c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6" t="n"/>
      <c r="Q221" s="15" t="n"/>
      <c r="R221" s="13">
        <f>IF(UPPER(G221)="N","not fitted",IF(AND(H221="",I221="",J221=""),"not started",IF(OR(H221="",I221="",J221=""),"incomplete",IF(OR(M221="",N221=""),"no source","complete"))))</f>
        <v/>
      </c>
    </row>
    <row r="222">
      <c r="A222" s="7" t="inlineStr">
        <is>
          <t>HT</t>
        </is>
      </c>
      <c r="B222" s="7" t="inlineStr">
        <is>
          <t>KAMAZ 6520-6041-43</t>
        </is>
      </c>
      <c r="C222" s="7" t="n">
        <v>5</v>
      </c>
      <c r="D222" s="8" t="inlineStr">
        <is>
          <t>FDL</t>
        </is>
      </c>
      <c r="E222" s="8" t="inlineStr">
        <is>
          <t>Final drive / wheel motor</t>
        </is>
      </c>
      <c r="F222" s="8" t="inlineStr">
        <is>
          <t>Бортовой редуктор</t>
        </is>
      </c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6" t="n"/>
      <c r="Q222" s="15" t="n"/>
      <c r="R222" s="13">
        <f>IF(UPPER(G222)="N","not fitted",IF(AND(H222="",I222="",J222=""),"not started",IF(OR(H222="",I222="",J222=""),"incomplete",IF(OR(M222="",N222=""),"no source","complete"))))</f>
        <v/>
      </c>
    </row>
    <row r="223">
      <c r="A223" s="7" t="inlineStr">
        <is>
          <t>HT</t>
        </is>
      </c>
      <c r="B223" s="7" t="inlineStr">
        <is>
          <t>KAMAZ 6520-6041-43</t>
        </is>
      </c>
      <c r="C223" s="7" t="n">
        <v>5</v>
      </c>
      <c r="D223" s="8" t="inlineStr">
        <is>
          <t>DIFF</t>
        </is>
      </c>
      <c r="E223" s="8" t="inlineStr">
        <is>
          <t>Differential</t>
        </is>
      </c>
      <c r="F223" s="8" t="inlineStr">
        <is>
          <t>Дифференциал</t>
        </is>
      </c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6" t="n"/>
      <c r="Q223" s="15" t="n"/>
      <c r="R223" s="13">
        <f>IF(UPPER(G223)="N","not fitted",IF(AND(H223="",I223="",J223=""),"not started",IF(OR(H223="",I223="",J223=""),"incomplete",IF(OR(M223="",N223=""),"no source","complete"))))</f>
        <v/>
      </c>
    </row>
    <row r="224">
      <c r="A224" s="7" t="inlineStr">
        <is>
          <t>LDR</t>
        </is>
      </c>
      <c r="B224" s="7" t="inlineStr">
        <is>
          <t>KOMATSU</t>
        </is>
      </c>
      <c r="C224" s="7" t="n">
        <v>5</v>
      </c>
      <c r="D224" s="8" t="inlineStr">
        <is>
          <t>ENG</t>
        </is>
      </c>
      <c r="E224" s="8" t="inlineStr">
        <is>
          <t>Engine</t>
        </is>
      </c>
      <c r="F224" s="8" t="inlineStr">
        <is>
          <t>Двигатель</t>
        </is>
      </c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6" t="n"/>
      <c r="Q224" s="15" t="n"/>
      <c r="R224" s="13">
        <f>IF(UPPER(G224)="N","not fitted",IF(AND(H224="",I224="",J224=""),"not started",IF(OR(H224="",I224="",J224=""),"incomplete",IF(OR(M224="",N224=""),"no source","complete"))))</f>
        <v/>
      </c>
    </row>
    <row r="225">
      <c r="A225" s="7" t="inlineStr">
        <is>
          <t>LDR</t>
        </is>
      </c>
      <c r="B225" s="7" t="inlineStr">
        <is>
          <t>KOMATSU</t>
        </is>
      </c>
      <c r="C225" s="7" t="n">
        <v>5</v>
      </c>
      <c r="D225" s="8" t="inlineStr">
        <is>
          <t>TRN</t>
        </is>
      </c>
      <c r="E225" s="8" t="inlineStr">
        <is>
          <t>Transmission</t>
        </is>
      </c>
      <c r="F225" s="8" t="inlineStr">
        <is>
          <t>Трансмиссия</t>
        </is>
      </c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6" t="n"/>
      <c r="Q225" s="15" t="n"/>
      <c r="R225" s="13">
        <f>IF(UPPER(G225)="N","not fitted",IF(AND(H225="",I225="",J225=""),"not started",IF(OR(H225="",I225="",J225=""),"incomplete",IF(OR(M225="",N225=""),"no source","complete"))))</f>
        <v/>
      </c>
    </row>
    <row r="226">
      <c r="A226" s="7" t="inlineStr">
        <is>
          <t>LDR</t>
        </is>
      </c>
      <c r="B226" s="7" t="inlineStr">
        <is>
          <t>KOMATSU</t>
        </is>
      </c>
      <c r="C226" s="7" t="n">
        <v>5</v>
      </c>
      <c r="D226" s="8" t="inlineStr">
        <is>
          <t>HYD</t>
        </is>
      </c>
      <c r="E226" s="8" t="inlineStr">
        <is>
          <t>Hydraulic</t>
        </is>
      </c>
      <c r="F226" s="8" t="inlineStr">
        <is>
          <t>Гидравлика</t>
        </is>
      </c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6" t="n"/>
      <c r="Q226" s="15" t="n"/>
      <c r="R226" s="13">
        <f>IF(UPPER(G226)="N","not fitted",IF(AND(H226="",I226="",J226=""),"not started",IF(OR(H226="",I226="",J226=""),"incomplete",IF(OR(M226="",N226=""),"no source","complete"))))</f>
        <v/>
      </c>
    </row>
    <row r="227">
      <c r="A227" s="7" t="inlineStr">
        <is>
          <t>LDR</t>
        </is>
      </c>
      <c r="B227" s="7" t="inlineStr">
        <is>
          <t>KOMATSU</t>
        </is>
      </c>
      <c r="C227" s="7" t="n">
        <v>5</v>
      </c>
      <c r="D227" s="8" t="inlineStr">
        <is>
          <t>AXF</t>
        </is>
      </c>
      <c r="E227" s="8" t="inlineStr">
        <is>
          <t>Front axle</t>
        </is>
      </c>
      <c r="F227" s="8" t="inlineStr">
        <is>
          <t>Передний мост</t>
        </is>
      </c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6" t="n"/>
      <c r="Q227" s="15" t="n"/>
      <c r="R227" s="13">
        <f>IF(UPPER(G227)="N","not fitted",IF(AND(H227="",I227="",J227=""),"not started",IF(OR(H227="",I227="",J227=""),"incomplete",IF(OR(M227="",N227=""),"no source","complete"))))</f>
        <v/>
      </c>
    </row>
    <row r="228">
      <c r="A228" s="7" t="inlineStr">
        <is>
          <t>LDR</t>
        </is>
      </c>
      <c r="B228" s="7" t="inlineStr">
        <is>
          <t>KOMATSU</t>
        </is>
      </c>
      <c r="C228" s="7" t="n">
        <v>5</v>
      </c>
      <c r="D228" s="8" t="inlineStr">
        <is>
          <t>AXR</t>
        </is>
      </c>
      <c r="E228" s="8" t="inlineStr">
        <is>
          <t>Rear axle</t>
        </is>
      </c>
      <c r="F228" s="8" t="inlineStr">
        <is>
          <t>Задний мост</t>
        </is>
      </c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6" t="n"/>
      <c r="Q228" s="15" t="n"/>
      <c r="R228" s="13">
        <f>IF(UPPER(G228)="N","not fitted",IF(AND(H228="",I228="",J228=""),"not started",IF(OR(H228="",I228="",J228=""),"incomplete",IF(OR(M228="",N228=""),"no source","complete"))))</f>
        <v/>
      </c>
    </row>
    <row r="229">
      <c r="A229" s="7" t="inlineStr">
        <is>
          <t>LDR</t>
        </is>
      </c>
      <c r="B229" s="7" t="inlineStr">
        <is>
          <t>BOBCAT S570</t>
        </is>
      </c>
      <c r="C229" s="7" t="n">
        <v>3</v>
      </c>
      <c r="D229" s="8" t="inlineStr">
        <is>
          <t>ENG</t>
        </is>
      </c>
      <c r="E229" s="8" t="inlineStr">
        <is>
          <t>Engine</t>
        </is>
      </c>
      <c r="F229" s="8" t="inlineStr">
        <is>
          <t>Двигатель</t>
        </is>
      </c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6" t="n"/>
      <c r="Q229" s="15" t="n"/>
      <c r="R229" s="13">
        <f>IF(UPPER(G229)="N","not fitted",IF(AND(H229="",I229="",J229=""),"not started",IF(OR(H229="",I229="",J229=""),"incomplete",IF(OR(M229="",N229=""),"no source","complete"))))</f>
        <v/>
      </c>
    </row>
    <row r="230">
      <c r="A230" s="7" t="inlineStr">
        <is>
          <t>LDR</t>
        </is>
      </c>
      <c r="B230" s="7" t="inlineStr">
        <is>
          <t>BOBCAT S570</t>
        </is>
      </c>
      <c r="C230" s="7" t="n">
        <v>3</v>
      </c>
      <c r="D230" s="8" t="inlineStr">
        <is>
          <t>TRN</t>
        </is>
      </c>
      <c r="E230" s="8" t="inlineStr">
        <is>
          <t>Transmission</t>
        </is>
      </c>
      <c r="F230" s="8" t="inlineStr">
        <is>
          <t>Трансмиссия</t>
        </is>
      </c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6" t="n"/>
      <c r="Q230" s="15" t="n"/>
      <c r="R230" s="13">
        <f>IF(UPPER(G230)="N","not fitted",IF(AND(H230="",I230="",J230=""),"not started",IF(OR(H230="",I230="",J230=""),"incomplete",IF(OR(M230="",N230=""),"no source","complete"))))</f>
        <v/>
      </c>
    </row>
    <row r="231">
      <c r="A231" s="7" t="inlineStr">
        <is>
          <t>LDR</t>
        </is>
      </c>
      <c r="B231" s="7" t="inlineStr">
        <is>
          <t>BOBCAT S570</t>
        </is>
      </c>
      <c r="C231" s="7" t="n">
        <v>3</v>
      </c>
      <c r="D231" s="8" t="inlineStr">
        <is>
          <t>HYD</t>
        </is>
      </c>
      <c r="E231" s="8" t="inlineStr">
        <is>
          <t>Hydraulic</t>
        </is>
      </c>
      <c r="F231" s="8" t="inlineStr">
        <is>
          <t>Гидравлика</t>
        </is>
      </c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6" t="n"/>
      <c r="Q231" s="15" t="n"/>
      <c r="R231" s="13">
        <f>IF(UPPER(G231)="N","not fitted",IF(AND(H231="",I231="",J231=""),"not started",IF(OR(H231="",I231="",J231=""),"incomplete",IF(OR(M231="",N231=""),"no source","complete"))))</f>
        <v/>
      </c>
    </row>
    <row r="232">
      <c r="A232" s="7" t="inlineStr">
        <is>
          <t>LDR</t>
        </is>
      </c>
      <c r="B232" s="7" t="inlineStr">
        <is>
          <t>BOBCAT S570</t>
        </is>
      </c>
      <c r="C232" s="7" t="n">
        <v>3</v>
      </c>
      <c r="D232" s="8" t="inlineStr">
        <is>
          <t>AXF</t>
        </is>
      </c>
      <c r="E232" s="8" t="inlineStr">
        <is>
          <t>Front axle</t>
        </is>
      </c>
      <c r="F232" s="8" t="inlineStr">
        <is>
          <t>Передний мост</t>
        </is>
      </c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6" t="n"/>
      <c r="Q232" s="15" t="n"/>
      <c r="R232" s="13">
        <f>IF(UPPER(G232)="N","not fitted",IF(AND(H232="",I232="",J232=""),"not started",IF(OR(H232="",I232="",J232=""),"incomplete",IF(OR(M232="",N232=""),"no source","complete"))))</f>
        <v/>
      </c>
    </row>
    <row r="233">
      <c r="A233" s="7" t="inlineStr">
        <is>
          <t>LDR</t>
        </is>
      </c>
      <c r="B233" s="7" t="inlineStr">
        <is>
          <t>BOBCAT S570</t>
        </is>
      </c>
      <c r="C233" s="7" t="n">
        <v>3</v>
      </c>
      <c r="D233" s="8" t="inlineStr">
        <is>
          <t>AXR</t>
        </is>
      </c>
      <c r="E233" s="8" t="inlineStr">
        <is>
          <t>Rear axle</t>
        </is>
      </c>
      <c r="F233" s="8" t="inlineStr">
        <is>
          <t>Задний мост</t>
        </is>
      </c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6" t="n"/>
      <c r="Q233" s="15" t="n"/>
      <c r="R233" s="13">
        <f>IF(UPPER(G233)="N","not fitted",IF(AND(H233="",I233="",J233=""),"not started",IF(OR(H233="",I233="",J233=""),"incomplete",IF(OR(M233="",N233=""),"no source","complete"))))</f>
        <v/>
      </c>
    </row>
    <row r="234">
      <c r="A234" s="7" t="inlineStr">
        <is>
          <t>LDR</t>
        </is>
      </c>
      <c r="B234" s="7" t="inlineStr">
        <is>
          <t>HYUNDAI</t>
        </is>
      </c>
      <c r="C234" s="7" t="n">
        <v>3</v>
      </c>
      <c r="D234" s="8" t="inlineStr">
        <is>
          <t>ENG</t>
        </is>
      </c>
      <c r="E234" s="8" t="inlineStr">
        <is>
          <t>Engine</t>
        </is>
      </c>
      <c r="F234" s="8" t="inlineStr">
        <is>
          <t>Двигатель</t>
        </is>
      </c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6" t="n"/>
      <c r="Q234" s="15" t="n"/>
      <c r="R234" s="13">
        <f>IF(UPPER(G234)="N","not fitted",IF(AND(H234="",I234="",J234=""),"not started",IF(OR(H234="",I234="",J234=""),"incomplete",IF(OR(M234="",N234=""),"no source","complete"))))</f>
        <v/>
      </c>
    </row>
    <row r="235">
      <c r="A235" s="7" t="inlineStr">
        <is>
          <t>LDR</t>
        </is>
      </c>
      <c r="B235" s="7" t="inlineStr">
        <is>
          <t>HYUNDAI</t>
        </is>
      </c>
      <c r="C235" s="7" t="n">
        <v>3</v>
      </c>
      <c r="D235" s="8" t="inlineStr">
        <is>
          <t>TRN</t>
        </is>
      </c>
      <c r="E235" s="8" t="inlineStr">
        <is>
          <t>Transmission</t>
        </is>
      </c>
      <c r="F235" s="8" t="inlineStr">
        <is>
          <t>Трансмиссия</t>
        </is>
      </c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6" t="n"/>
      <c r="Q235" s="15" t="n"/>
      <c r="R235" s="13">
        <f>IF(UPPER(G235)="N","not fitted",IF(AND(H235="",I235="",J235=""),"not started",IF(OR(H235="",I235="",J235=""),"incomplete",IF(OR(M235="",N235=""),"no source","complete"))))</f>
        <v/>
      </c>
    </row>
    <row r="236">
      <c r="A236" s="7" t="inlineStr">
        <is>
          <t>LDR</t>
        </is>
      </c>
      <c r="B236" s="7" t="inlineStr">
        <is>
          <t>HYUNDAI</t>
        </is>
      </c>
      <c r="C236" s="7" t="n">
        <v>3</v>
      </c>
      <c r="D236" s="8" t="inlineStr">
        <is>
          <t>HYD</t>
        </is>
      </c>
      <c r="E236" s="8" t="inlineStr">
        <is>
          <t>Hydraulic</t>
        </is>
      </c>
      <c r="F236" s="8" t="inlineStr">
        <is>
          <t>Гидравлика</t>
        </is>
      </c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6" t="n"/>
      <c r="Q236" s="15" t="n"/>
      <c r="R236" s="13">
        <f>IF(UPPER(G236)="N","not fitted",IF(AND(H236="",I236="",J236=""),"not started",IF(OR(H236="",I236="",J236=""),"incomplete",IF(OR(M236="",N236=""),"no source","complete"))))</f>
        <v/>
      </c>
    </row>
    <row r="237">
      <c r="A237" s="7" t="inlineStr">
        <is>
          <t>LDR</t>
        </is>
      </c>
      <c r="B237" s="7" t="inlineStr">
        <is>
          <t>HYUNDAI</t>
        </is>
      </c>
      <c r="C237" s="7" t="n">
        <v>3</v>
      </c>
      <c r="D237" s="8" t="inlineStr">
        <is>
          <t>AXF</t>
        </is>
      </c>
      <c r="E237" s="8" t="inlineStr">
        <is>
          <t>Front axle</t>
        </is>
      </c>
      <c r="F237" s="8" t="inlineStr">
        <is>
          <t>Передний мост</t>
        </is>
      </c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6" t="n"/>
      <c r="Q237" s="15" t="n"/>
      <c r="R237" s="13">
        <f>IF(UPPER(G237)="N","not fitted",IF(AND(H237="",I237="",J237=""),"not started",IF(OR(H237="",I237="",J237=""),"incomplete",IF(OR(M237="",N237=""),"no source","complete"))))</f>
        <v/>
      </c>
    </row>
    <row r="238">
      <c r="A238" s="7" t="inlineStr">
        <is>
          <t>LDR</t>
        </is>
      </c>
      <c r="B238" s="7" t="inlineStr">
        <is>
          <t>HYUNDAI</t>
        </is>
      </c>
      <c r="C238" s="7" t="n">
        <v>3</v>
      </c>
      <c r="D238" s="8" t="inlineStr">
        <is>
          <t>AXR</t>
        </is>
      </c>
      <c r="E238" s="8" t="inlineStr">
        <is>
          <t>Rear axle</t>
        </is>
      </c>
      <c r="F238" s="8" t="inlineStr">
        <is>
          <t>Задний мост</t>
        </is>
      </c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6" t="n"/>
      <c r="Q238" s="15" t="n"/>
      <c r="R238" s="13">
        <f>IF(UPPER(G238)="N","not fitted",IF(AND(H238="",I238="",J238=""),"not started",IF(OR(H238="",I238="",J238=""),"incomplete",IF(OR(M238="",N238=""),"no source","complete"))))</f>
        <v/>
      </c>
    </row>
    <row r="239">
      <c r="A239" s="7" t="inlineStr">
        <is>
          <t>LDR</t>
        </is>
      </c>
      <c r="B239" s="7" t="inlineStr">
        <is>
          <t>BOBCAT T590</t>
        </is>
      </c>
      <c r="C239" s="7" t="n">
        <v>2</v>
      </c>
      <c r="D239" s="8" t="inlineStr">
        <is>
          <t>ENG</t>
        </is>
      </c>
      <c r="E239" s="8" t="inlineStr">
        <is>
          <t>Engine</t>
        </is>
      </c>
      <c r="F239" s="8" t="inlineStr">
        <is>
          <t>Двигатель</t>
        </is>
      </c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6" t="n"/>
      <c r="Q239" s="15" t="n"/>
      <c r="R239" s="13">
        <f>IF(UPPER(G239)="N","not fitted",IF(AND(H239="",I239="",J239=""),"not started",IF(OR(H239="",I239="",J239=""),"incomplete",IF(OR(M239="",N239=""),"no source","complete"))))</f>
        <v/>
      </c>
    </row>
    <row r="240">
      <c r="A240" s="7" t="inlineStr">
        <is>
          <t>LDR</t>
        </is>
      </c>
      <c r="B240" s="7" t="inlineStr">
        <is>
          <t>BOBCAT T590</t>
        </is>
      </c>
      <c r="C240" s="7" t="n">
        <v>2</v>
      </c>
      <c r="D240" s="8" t="inlineStr">
        <is>
          <t>TRN</t>
        </is>
      </c>
      <c r="E240" s="8" t="inlineStr">
        <is>
          <t>Transmission</t>
        </is>
      </c>
      <c r="F240" s="8" t="inlineStr">
        <is>
          <t>Трансмиссия</t>
        </is>
      </c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6" t="n"/>
      <c r="Q240" s="15" t="n"/>
      <c r="R240" s="13">
        <f>IF(UPPER(G240)="N","not fitted",IF(AND(H240="",I240="",J240=""),"not started",IF(OR(H240="",I240="",J240=""),"incomplete",IF(OR(M240="",N240=""),"no source","complete"))))</f>
        <v/>
      </c>
    </row>
    <row r="241">
      <c r="A241" s="7" t="inlineStr">
        <is>
          <t>LDR</t>
        </is>
      </c>
      <c r="B241" s="7" t="inlineStr">
        <is>
          <t>BOBCAT T590</t>
        </is>
      </c>
      <c r="C241" s="7" t="n">
        <v>2</v>
      </c>
      <c r="D241" s="8" t="inlineStr">
        <is>
          <t>HYD</t>
        </is>
      </c>
      <c r="E241" s="8" t="inlineStr">
        <is>
          <t>Hydraulic</t>
        </is>
      </c>
      <c r="F241" s="8" t="inlineStr">
        <is>
          <t>Гидравлика</t>
        </is>
      </c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6" t="n"/>
      <c r="Q241" s="15" t="n"/>
      <c r="R241" s="13">
        <f>IF(UPPER(G241)="N","not fitted",IF(AND(H241="",I241="",J241=""),"not started",IF(OR(H241="",I241="",J241=""),"incomplete",IF(OR(M241="",N241=""),"no source","complete"))))</f>
        <v/>
      </c>
    </row>
    <row r="242">
      <c r="A242" s="7" t="inlineStr">
        <is>
          <t>LDR</t>
        </is>
      </c>
      <c r="B242" s="7" t="inlineStr">
        <is>
          <t>BOBCAT T590</t>
        </is>
      </c>
      <c r="C242" s="7" t="n">
        <v>2</v>
      </c>
      <c r="D242" s="8" t="inlineStr">
        <is>
          <t>AXF</t>
        </is>
      </c>
      <c r="E242" s="8" t="inlineStr">
        <is>
          <t>Front axle</t>
        </is>
      </c>
      <c r="F242" s="8" t="inlineStr">
        <is>
          <t>Передний мост</t>
        </is>
      </c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6" t="n"/>
      <c r="Q242" s="15" t="n"/>
      <c r="R242" s="13">
        <f>IF(UPPER(G242)="N","not fitted",IF(AND(H242="",I242="",J242=""),"not started",IF(OR(H242="",I242="",J242=""),"incomplete",IF(OR(M242="",N242=""),"no source","complete"))))</f>
        <v/>
      </c>
    </row>
    <row r="243">
      <c r="A243" s="7" t="inlineStr">
        <is>
          <t>LDR</t>
        </is>
      </c>
      <c r="B243" s="7" t="inlineStr">
        <is>
          <t>BOBCAT T590</t>
        </is>
      </c>
      <c r="C243" s="7" t="n">
        <v>2</v>
      </c>
      <c r="D243" s="8" t="inlineStr">
        <is>
          <t>AXR</t>
        </is>
      </c>
      <c r="E243" s="8" t="inlineStr">
        <is>
          <t>Rear axle</t>
        </is>
      </c>
      <c r="F243" s="8" t="inlineStr">
        <is>
          <t>Задний мост</t>
        </is>
      </c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6" t="n"/>
      <c r="Q243" s="15" t="n"/>
      <c r="R243" s="13">
        <f>IF(UPPER(G243)="N","not fitted",IF(AND(H243="",I243="",J243=""),"not started",IF(OR(H243="",I243="",J243=""),"incomplete",IF(OR(M243="",N243=""),"no source","complete"))))</f>
        <v/>
      </c>
    </row>
    <row r="244">
      <c r="A244" s="7" t="inlineStr">
        <is>
          <t>LDR</t>
        </is>
      </c>
      <c r="B244" s="7" t="inlineStr">
        <is>
          <t>ELAZ</t>
        </is>
      </c>
      <c r="C244" s="7" t="n">
        <v>2</v>
      </c>
      <c r="D244" s="8" t="inlineStr">
        <is>
          <t>ENG</t>
        </is>
      </c>
      <c r="E244" s="8" t="inlineStr">
        <is>
          <t>Engine</t>
        </is>
      </c>
      <c r="F244" s="8" t="inlineStr">
        <is>
          <t>Двигатель</t>
        </is>
      </c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6" t="n"/>
      <c r="Q244" s="15" t="n"/>
      <c r="R244" s="13">
        <f>IF(UPPER(G244)="N","not fitted",IF(AND(H244="",I244="",J244=""),"not started",IF(OR(H244="",I244="",J244=""),"incomplete",IF(OR(M244="",N244=""),"no source","complete"))))</f>
        <v/>
      </c>
    </row>
    <row r="245">
      <c r="A245" s="7" t="inlineStr">
        <is>
          <t>LDR</t>
        </is>
      </c>
      <c r="B245" s="7" t="inlineStr">
        <is>
          <t>ELAZ</t>
        </is>
      </c>
      <c r="C245" s="7" t="n">
        <v>2</v>
      </c>
      <c r="D245" s="8" t="inlineStr">
        <is>
          <t>TRN</t>
        </is>
      </c>
      <c r="E245" s="8" t="inlineStr">
        <is>
          <t>Transmission</t>
        </is>
      </c>
      <c r="F245" s="8" t="inlineStr">
        <is>
          <t>Трансмиссия</t>
        </is>
      </c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6" t="n"/>
      <c r="Q245" s="15" t="n"/>
      <c r="R245" s="13">
        <f>IF(UPPER(G245)="N","not fitted",IF(AND(H245="",I245="",J245=""),"not started",IF(OR(H245="",I245="",J245=""),"incomplete",IF(OR(M245="",N245=""),"no source","complete"))))</f>
        <v/>
      </c>
    </row>
    <row r="246">
      <c r="A246" s="7" t="inlineStr">
        <is>
          <t>LDR</t>
        </is>
      </c>
      <c r="B246" s="7" t="inlineStr">
        <is>
          <t>ELAZ</t>
        </is>
      </c>
      <c r="C246" s="7" t="n">
        <v>2</v>
      </c>
      <c r="D246" s="8" t="inlineStr">
        <is>
          <t>HYD</t>
        </is>
      </c>
      <c r="E246" s="8" t="inlineStr">
        <is>
          <t>Hydraulic</t>
        </is>
      </c>
      <c r="F246" s="8" t="inlineStr">
        <is>
          <t>Гидравлика</t>
        </is>
      </c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6" t="n"/>
      <c r="Q246" s="15" t="n"/>
      <c r="R246" s="13">
        <f>IF(UPPER(G246)="N","not fitted",IF(AND(H246="",I246="",J246=""),"not started",IF(OR(H246="",I246="",J246=""),"incomplete",IF(OR(M246="",N246=""),"no source","complete"))))</f>
        <v/>
      </c>
    </row>
    <row r="247">
      <c r="A247" s="7" t="inlineStr">
        <is>
          <t>LDR</t>
        </is>
      </c>
      <c r="B247" s="7" t="inlineStr">
        <is>
          <t>ELAZ</t>
        </is>
      </c>
      <c r="C247" s="7" t="n">
        <v>2</v>
      </c>
      <c r="D247" s="8" t="inlineStr">
        <is>
          <t>AXF</t>
        </is>
      </c>
      <c r="E247" s="8" t="inlineStr">
        <is>
          <t>Front axle</t>
        </is>
      </c>
      <c r="F247" s="8" t="inlineStr">
        <is>
          <t>Передний мост</t>
        </is>
      </c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6" t="n"/>
      <c r="Q247" s="15" t="n"/>
      <c r="R247" s="13">
        <f>IF(UPPER(G247)="N","not fitted",IF(AND(H247="",I247="",J247=""),"not started",IF(OR(H247="",I247="",J247=""),"incomplete",IF(OR(M247="",N247=""),"no source","complete"))))</f>
        <v/>
      </c>
    </row>
    <row r="248">
      <c r="A248" s="7" t="inlineStr">
        <is>
          <t>LDR</t>
        </is>
      </c>
      <c r="B248" s="7" t="inlineStr">
        <is>
          <t>ELAZ</t>
        </is>
      </c>
      <c r="C248" s="7" t="n">
        <v>2</v>
      </c>
      <c r="D248" s="8" t="inlineStr">
        <is>
          <t>AXR</t>
        </is>
      </c>
      <c r="E248" s="8" t="inlineStr">
        <is>
          <t>Rear axle</t>
        </is>
      </c>
      <c r="F248" s="8" t="inlineStr">
        <is>
          <t>Задний мост</t>
        </is>
      </c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6" t="n"/>
      <c r="Q248" s="15" t="n"/>
      <c r="R248" s="13">
        <f>IF(UPPER(G248)="N","not fitted",IF(AND(H248="",I248="",J248=""),"not started",IF(OR(H248="",I248="",J248=""),"incomplete",IF(OR(M248="",N248=""),"no source","complete"))))</f>
        <v/>
      </c>
    </row>
    <row r="249">
      <c r="A249" s="7" t="inlineStr">
        <is>
          <t>LDR</t>
        </is>
      </c>
      <c r="B249" s="7" t="inlineStr">
        <is>
          <t>BOBCAT S850H</t>
        </is>
      </c>
      <c r="C249" s="7" t="n">
        <v>1</v>
      </c>
      <c r="D249" s="8" t="inlineStr">
        <is>
          <t>ENG</t>
        </is>
      </c>
      <c r="E249" s="8" t="inlineStr">
        <is>
          <t>Engine</t>
        </is>
      </c>
      <c r="F249" s="8" t="inlineStr">
        <is>
          <t>Двигатель</t>
        </is>
      </c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6" t="n"/>
      <c r="Q249" s="15" t="n"/>
      <c r="R249" s="13">
        <f>IF(UPPER(G249)="N","not fitted",IF(AND(H249="",I249="",J249=""),"not started",IF(OR(H249="",I249="",J249=""),"incomplete",IF(OR(M249="",N249=""),"no source","complete"))))</f>
        <v/>
      </c>
    </row>
    <row r="250">
      <c r="A250" s="7" t="inlineStr">
        <is>
          <t>LDR</t>
        </is>
      </c>
      <c r="B250" s="7" t="inlineStr">
        <is>
          <t>BOBCAT S850H</t>
        </is>
      </c>
      <c r="C250" s="7" t="n">
        <v>1</v>
      </c>
      <c r="D250" s="8" t="inlineStr">
        <is>
          <t>TRN</t>
        </is>
      </c>
      <c r="E250" s="8" t="inlineStr">
        <is>
          <t>Transmission</t>
        </is>
      </c>
      <c r="F250" s="8" t="inlineStr">
        <is>
          <t>Трансмиссия</t>
        </is>
      </c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6" t="n"/>
      <c r="Q250" s="15" t="n"/>
      <c r="R250" s="13">
        <f>IF(UPPER(G250)="N","not fitted",IF(AND(H250="",I250="",J250=""),"not started",IF(OR(H250="",I250="",J250=""),"incomplete",IF(OR(M250="",N250=""),"no source","complete"))))</f>
        <v/>
      </c>
    </row>
    <row r="251">
      <c r="A251" s="7" t="inlineStr">
        <is>
          <t>LDR</t>
        </is>
      </c>
      <c r="B251" s="7" t="inlineStr">
        <is>
          <t>BOBCAT S850H</t>
        </is>
      </c>
      <c r="C251" s="7" t="n">
        <v>1</v>
      </c>
      <c r="D251" s="8" t="inlineStr">
        <is>
          <t>HYD</t>
        </is>
      </c>
      <c r="E251" s="8" t="inlineStr">
        <is>
          <t>Hydraulic</t>
        </is>
      </c>
      <c r="F251" s="8" t="inlineStr">
        <is>
          <t>Гидравлика</t>
        </is>
      </c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6" t="n"/>
      <c r="Q251" s="15" t="n"/>
      <c r="R251" s="13">
        <f>IF(UPPER(G251)="N","not fitted",IF(AND(H251="",I251="",J251=""),"not started",IF(OR(H251="",I251="",J251=""),"incomplete",IF(OR(M251="",N251=""),"no source","complete"))))</f>
        <v/>
      </c>
    </row>
    <row r="252">
      <c r="A252" s="7" t="inlineStr">
        <is>
          <t>LDR</t>
        </is>
      </c>
      <c r="B252" s="7" t="inlineStr">
        <is>
          <t>BOBCAT S850H</t>
        </is>
      </c>
      <c r="C252" s="7" t="n">
        <v>1</v>
      </c>
      <c r="D252" s="8" t="inlineStr">
        <is>
          <t>AXF</t>
        </is>
      </c>
      <c r="E252" s="8" t="inlineStr">
        <is>
          <t>Front axle</t>
        </is>
      </c>
      <c r="F252" s="8" t="inlineStr">
        <is>
          <t>Передний мост</t>
        </is>
      </c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6" t="n"/>
      <c r="Q252" s="15" t="n"/>
      <c r="R252" s="13">
        <f>IF(UPPER(G252)="N","not fitted",IF(AND(H252="",I252="",J252=""),"not started",IF(OR(H252="",I252="",J252=""),"incomplete",IF(OR(M252="",N252=""),"no source","complete"))))</f>
        <v/>
      </c>
    </row>
    <row r="253">
      <c r="A253" s="7" t="inlineStr">
        <is>
          <t>LDR</t>
        </is>
      </c>
      <c r="B253" s="7" t="inlineStr">
        <is>
          <t>BOBCAT S850H</t>
        </is>
      </c>
      <c r="C253" s="7" t="n">
        <v>1</v>
      </c>
      <c r="D253" s="8" t="inlineStr">
        <is>
          <t>AXR</t>
        </is>
      </c>
      <c r="E253" s="8" t="inlineStr">
        <is>
          <t>Rear axle</t>
        </is>
      </c>
      <c r="F253" s="8" t="inlineStr">
        <is>
          <t>Задний мост</t>
        </is>
      </c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6" t="n"/>
      <c r="Q253" s="15" t="n"/>
      <c r="R253" s="13">
        <f>IF(UPPER(G253)="N","not fitted",IF(AND(H253="",I253="",J253=""),"not started",IF(OR(H253="",I253="",J253=""),"incomplete",IF(OR(M253="",N253=""),"no source","complete"))))</f>
        <v/>
      </c>
    </row>
    <row r="254">
      <c r="A254" s="7" t="inlineStr">
        <is>
          <t>LDR</t>
        </is>
      </c>
      <c r="B254" s="7" t="inlineStr">
        <is>
          <t>CLGF330</t>
        </is>
      </c>
      <c r="C254" s="7" t="n">
        <v>1</v>
      </c>
      <c r="D254" s="8" t="inlineStr">
        <is>
          <t>ENG</t>
        </is>
      </c>
      <c r="E254" s="8" t="inlineStr">
        <is>
          <t>Engine</t>
        </is>
      </c>
      <c r="F254" s="8" t="inlineStr">
        <is>
          <t>Двигатель</t>
        </is>
      </c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6" t="n"/>
      <c r="Q254" s="15" t="n"/>
      <c r="R254" s="13">
        <f>IF(UPPER(G254)="N","not fitted",IF(AND(H254="",I254="",J254=""),"not started",IF(OR(H254="",I254="",J254=""),"incomplete",IF(OR(M254="",N254=""),"no source","complete"))))</f>
        <v/>
      </c>
    </row>
    <row r="255">
      <c r="A255" s="7" t="inlineStr">
        <is>
          <t>LDR</t>
        </is>
      </c>
      <c r="B255" s="7" t="inlineStr">
        <is>
          <t>CLGF330</t>
        </is>
      </c>
      <c r="C255" s="7" t="n">
        <v>1</v>
      </c>
      <c r="D255" s="8" t="inlineStr">
        <is>
          <t>TRN</t>
        </is>
      </c>
      <c r="E255" s="8" t="inlineStr">
        <is>
          <t>Transmission</t>
        </is>
      </c>
      <c r="F255" s="8" t="inlineStr">
        <is>
          <t>Трансмиссия</t>
        </is>
      </c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6" t="n"/>
      <c r="Q255" s="15" t="n"/>
      <c r="R255" s="13">
        <f>IF(UPPER(G255)="N","not fitted",IF(AND(H255="",I255="",J255=""),"not started",IF(OR(H255="",I255="",J255=""),"incomplete",IF(OR(M255="",N255=""),"no source","complete"))))</f>
        <v/>
      </c>
    </row>
    <row r="256">
      <c r="A256" s="7" t="inlineStr">
        <is>
          <t>LDR</t>
        </is>
      </c>
      <c r="B256" s="7" t="inlineStr">
        <is>
          <t>CLGF330</t>
        </is>
      </c>
      <c r="C256" s="7" t="n">
        <v>1</v>
      </c>
      <c r="D256" s="8" t="inlineStr">
        <is>
          <t>HYD</t>
        </is>
      </c>
      <c r="E256" s="8" t="inlineStr">
        <is>
          <t>Hydraulic</t>
        </is>
      </c>
      <c r="F256" s="8" t="inlineStr">
        <is>
          <t>Гидравлика</t>
        </is>
      </c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6" t="n"/>
      <c r="Q256" s="15" t="n"/>
      <c r="R256" s="13">
        <f>IF(UPPER(G256)="N","not fitted",IF(AND(H256="",I256="",J256=""),"not started",IF(OR(H256="",I256="",J256=""),"incomplete",IF(OR(M256="",N256=""),"no source","complete"))))</f>
        <v/>
      </c>
    </row>
    <row r="257">
      <c r="A257" s="7" t="inlineStr">
        <is>
          <t>LDR</t>
        </is>
      </c>
      <c r="B257" s="7" t="inlineStr">
        <is>
          <t>CLGF330</t>
        </is>
      </c>
      <c r="C257" s="7" t="n">
        <v>1</v>
      </c>
      <c r="D257" s="8" t="inlineStr">
        <is>
          <t>AXF</t>
        </is>
      </c>
      <c r="E257" s="8" t="inlineStr">
        <is>
          <t>Front axle</t>
        </is>
      </c>
      <c r="F257" s="8" t="inlineStr">
        <is>
          <t>Передний мост</t>
        </is>
      </c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6" t="n"/>
      <c r="Q257" s="15" t="n"/>
      <c r="R257" s="13">
        <f>IF(UPPER(G257)="N","not fitted",IF(AND(H257="",I257="",J257=""),"not started",IF(OR(H257="",I257="",J257=""),"incomplete",IF(OR(M257="",N257=""),"no source","complete"))))</f>
        <v/>
      </c>
    </row>
    <row r="258">
      <c r="A258" s="7" t="inlineStr">
        <is>
          <t>LDR</t>
        </is>
      </c>
      <c r="B258" s="7" t="inlineStr">
        <is>
          <t>CLGF330</t>
        </is>
      </c>
      <c r="C258" s="7" t="n">
        <v>1</v>
      </c>
      <c r="D258" s="8" t="inlineStr">
        <is>
          <t>AXR</t>
        </is>
      </c>
      <c r="E258" s="8" t="inlineStr">
        <is>
          <t>Rear axle</t>
        </is>
      </c>
      <c r="F258" s="8" t="inlineStr">
        <is>
          <t>Задний мост</t>
        </is>
      </c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6" t="n"/>
      <c r="Q258" s="15" t="n"/>
      <c r="R258" s="13">
        <f>IF(UPPER(G258)="N","not fitted",IF(AND(H258="",I258="",J258=""),"not started",IF(OR(H258="",I258="",J258=""),"incomplete",IF(OR(M258="",N258=""),"no source","complete"))))</f>
        <v/>
      </c>
    </row>
    <row r="259">
      <c r="A259" s="7" t="inlineStr">
        <is>
          <t>SCR</t>
        </is>
      </c>
      <c r="B259" s="7" t="inlineStr">
        <is>
          <t>MCCLOSKEY S190-3DT</t>
        </is>
      </c>
      <c r="C259" s="7" t="n">
        <v>2</v>
      </c>
      <c r="D259" s="8" t="inlineStr">
        <is>
          <t>ENG</t>
        </is>
      </c>
      <c r="E259" s="8" t="inlineStr">
        <is>
          <t>Engine</t>
        </is>
      </c>
      <c r="F259" s="8" t="inlineStr">
        <is>
          <t>Двигатель</t>
        </is>
      </c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6" t="n"/>
      <c r="Q259" s="15" t="n"/>
      <c r="R259" s="13">
        <f>IF(UPPER(G259)="N","not fitted",IF(AND(H259="",I259="",J259=""),"not started",IF(OR(H259="",I259="",J259=""),"incomplete",IF(OR(M259="",N259=""),"no source","complete"))))</f>
        <v/>
      </c>
    </row>
    <row r="260">
      <c r="A260" s="7" t="inlineStr">
        <is>
          <t>SCR</t>
        </is>
      </c>
      <c r="B260" s="7" t="inlineStr">
        <is>
          <t>MCCLOSKEY S190-3DT</t>
        </is>
      </c>
      <c r="C260" s="7" t="n">
        <v>2</v>
      </c>
      <c r="D260" s="8" t="inlineStr">
        <is>
          <t>HYD</t>
        </is>
      </c>
      <c r="E260" s="8" t="inlineStr">
        <is>
          <t>Hydraulic</t>
        </is>
      </c>
      <c r="F260" s="8" t="inlineStr">
        <is>
          <t>Гидравлика</t>
        </is>
      </c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6" t="n"/>
      <c r="Q260" s="15" t="n"/>
      <c r="R260" s="13">
        <f>IF(UPPER(G260)="N","not fitted",IF(AND(H260="",I260="",J260=""),"not started",IF(OR(H260="",I260="",J260=""),"incomplete",IF(OR(M260="",N260=""),"no source","complete"))))</f>
        <v/>
      </c>
    </row>
    <row r="261">
      <c r="A261" s="7" t="inlineStr">
        <is>
          <t>SCR</t>
        </is>
      </c>
      <c r="B261" s="7" t="inlineStr">
        <is>
          <t>MCCLOSKEY S190-3DT</t>
        </is>
      </c>
      <c r="C261" s="7" t="n">
        <v>2</v>
      </c>
      <c r="D261" s="8" t="inlineStr">
        <is>
          <t>DRV</t>
        </is>
      </c>
      <c r="E261" s="8" t="inlineStr">
        <is>
          <t>Drive gearbox</t>
        </is>
      </c>
      <c r="F261" s="8" t="inlineStr">
        <is>
          <t>Редуктор привода</t>
        </is>
      </c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6" t="n"/>
      <c r="Q261" s="15" t="n"/>
      <c r="R261" s="13">
        <f>IF(UPPER(G261)="N","not fitted",IF(AND(H261="",I261="",J261=""),"not started",IF(OR(H261="",I261="",J261=""),"incomplete",IF(OR(M261="",N261=""),"no source","complete"))))</f>
        <v/>
      </c>
    </row>
    <row r="262">
      <c r="A262" s="7" t="inlineStr">
        <is>
          <t>SCR</t>
        </is>
      </c>
      <c r="B262" s="7" t="inlineStr">
        <is>
          <t>MCCLOSKEY S190-3DT</t>
        </is>
      </c>
      <c r="C262" s="7" t="n">
        <v>2</v>
      </c>
      <c r="D262" s="8" t="inlineStr">
        <is>
          <t>VIB</t>
        </is>
      </c>
      <c r="E262" s="8" t="inlineStr">
        <is>
          <t>Vibrator / screen box</t>
        </is>
      </c>
      <c r="F262" s="8" t="inlineStr">
        <is>
          <t>Вибратор / короб грохота</t>
        </is>
      </c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6" t="n"/>
      <c r="Q262" s="15" t="n"/>
      <c r="R262" s="13">
        <f>IF(UPPER(G262)="N","not fitted",IF(AND(H262="",I262="",J262=""),"not started",IF(OR(H262="",I262="",J262=""),"incomplete",IF(OR(M262="",N262=""),"no source","complete"))))</f>
        <v/>
      </c>
    </row>
    <row r="263">
      <c r="A263" s="7" t="inlineStr">
        <is>
          <t>SCR</t>
        </is>
      </c>
      <c r="B263" s="7" t="inlineStr">
        <is>
          <t>NMS MT1860SR</t>
        </is>
      </c>
      <c r="C263" s="7" t="n">
        <v>2</v>
      </c>
      <c r="D263" s="8" t="inlineStr">
        <is>
          <t>ENG</t>
        </is>
      </c>
      <c r="E263" s="8" t="inlineStr">
        <is>
          <t>Engine</t>
        </is>
      </c>
      <c r="F263" s="8" t="inlineStr">
        <is>
          <t>Двигатель</t>
        </is>
      </c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6" t="n"/>
      <c r="Q263" s="15" t="n"/>
      <c r="R263" s="13">
        <f>IF(UPPER(G263)="N","not fitted",IF(AND(H263="",I263="",J263=""),"not started",IF(OR(H263="",I263="",J263=""),"incomplete",IF(OR(M263="",N263=""),"no source","complete"))))</f>
        <v/>
      </c>
    </row>
    <row r="264">
      <c r="A264" s="7" t="inlineStr">
        <is>
          <t>SCR</t>
        </is>
      </c>
      <c r="B264" s="7" t="inlineStr">
        <is>
          <t>NMS MT1860SR</t>
        </is>
      </c>
      <c r="C264" s="7" t="n">
        <v>2</v>
      </c>
      <c r="D264" s="8" t="inlineStr">
        <is>
          <t>HYD</t>
        </is>
      </c>
      <c r="E264" s="8" t="inlineStr">
        <is>
          <t>Hydraulic</t>
        </is>
      </c>
      <c r="F264" s="8" t="inlineStr">
        <is>
          <t>Гидравлика</t>
        </is>
      </c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6" t="n"/>
      <c r="Q264" s="15" t="n"/>
      <c r="R264" s="13">
        <f>IF(UPPER(G264)="N","not fitted",IF(AND(H264="",I264="",J264=""),"not started",IF(OR(H264="",I264="",J264=""),"incomplete",IF(OR(M264="",N264=""),"no source","complete"))))</f>
        <v/>
      </c>
    </row>
    <row r="265">
      <c r="A265" s="7" t="inlineStr">
        <is>
          <t>SCR</t>
        </is>
      </c>
      <c r="B265" s="7" t="inlineStr">
        <is>
          <t>NMS MT1860SR</t>
        </is>
      </c>
      <c r="C265" s="7" t="n">
        <v>2</v>
      </c>
      <c r="D265" s="8" t="inlineStr">
        <is>
          <t>DRV</t>
        </is>
      </c>
      <c r="E265" s="8" t="inlineStr">
        <is>
          <t>Drive gearbox</t>
        </is>
      </c>
      <c r="F265" s="8" t="inlineStr">
        <is>
          <t>Редуктор привода</t>
        </is>
      </c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6" t="n"/>
      <c r="Q265" s="15" t="n"/>
      <c r="R265" s="13">
        <f>IF(UPPER(G265)="N","not fitted",IF(AND(H265="",I265="",J265=""),"not started",IF(OR(H265="",I265="",J265=""),"incomplete",IF(OR(M265="",N265=""),"no source","complete"))))</f>
        <v/>
      </c>
    </row>
    <row r="266">
      <c r="A266" s="7" t="inlineStr">
        <is>
          <t>SCR</t>
        </is>
      </c>
      <c r="B266" s="7" t="inlineStr">
        <is>
          <t>NMS MT1860SR</t>
        </is>
      </c>
      <c r="C266" s="7" t="n">
        <v>2</v>
      </c>
      <c r="D266" s="8" t="inlineStr">
        <is>
          <t>VIB</t>
        </is>
      </c>
      <c r="E266" s="8" t="inlineStr">
        <is>
          <t>Vibrator / screen box</t>
        </is>
      </c>
      <c r="F266" s="8" t="inlineStr">
        <is>
          <t>Вибратор / короб грохота</t>
        </is>
      </c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6" t="n"/>
      <c r="Q266" s="15" t="n"/>
      <c r="R266" s="13">
        <f>IF(UPPER(G266)="N","not fitted",IF(AND(H266="",I266="",J266=""),"not started",IF(OR(H266="",I266="",J266=""),"incomplete",IF(OR(M266="",N266=""),"no source","complete"))))</f>
        <v/>
      </c>
    </row>
  </sheetData>
  <autoFilter ref="A1:R266"/>
  <dataValidations count="1">
    <dataValidation sqref="G2:G266" showDropDown="0" showInputMessage="0" showErrorMessage="0" allowBlank="1" promptTitle="Fitted?" prompt="Y if this model has this compartment, N if not.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44" customWidth="1" min="3" max="3"/>
    <col width="17" customWidth="1" min="4" max="4"/>
    <col width="24" customWidth="1" min="5" max="5"/>
    <col width="16" customWidth="1" min="6" max="6"/>
    <col width="14" customWidth="1" min="7" max="7"/>
    <col width="16" customWidth="1" min="8" max="8"/>
    <col width="30" customWidth="1" min="9" max="9"/>
  </cols>
  <sheetData>
    <row r="1" ht="40" customHeight="1">
      <c r="A1" s="6" t="inlineStr">
        <is>
          <t>Product name (as printed on the label)</t>
        </is>
      </c>
      <c r="B1" s="6" t="inlineStr">
        <is>
          <t>Grade</t>
        </is>
      </c>
      <c r="C1" s="6" t="inlineStr">
        <is>
          <t>Specifications it claims (verbatim from the PDS)</t>
        </is>
      </c>
      <c r="D1" s="6" t="inlineStr">
        <is>
          <t>Lowest ambient it is rated to (°C)</t>
        </is>
      </c>
      <c r="E1" s="6" t="inlineStr">
        <is>
          <t>Where it is held</t>
        </is>
      </c>
      <c r="F1" s="6" t="inlineStr">
        <is>
          <t>Tank / drum ID</t>
        </is>
      </c>
      <c r="G1" s="6" t="inlineStr">
        <is>
          <t>Approx. stock (L)</t>
        </is>
      </c>
      <c r="H1" s="6" t="inlineStr">
        <is>
          <t>Photo of label taken?</t>
        </is>
      </c>
      <c r="I1" s="6" t="inlineStr">
        <is>
          <t>Notes</t>
        </is>
      </c>
    </row>
    <row r="2">
      <c r="A2" s="7" t="inlineStr">
        <is>
          <t>Mobil Delvac 1 5W-40</t>
        </is>
      </c>
      <c r="B2" s="7" t="inlineStr">
        <is>
          <t>5W-40 synth</t>
        </is>
      </c>
      <c r="C2" s="7" t="inlineStr">
        <is>
          <t>API CK-4, Cat ECF-3, Komatsu EO-DH</t>
        </is>
      </c>
      <c r="D2" s="7" t="n">
        <v>-40</v>
      </c>
      <c r="E2" s="15" t="inlineStr"/>
      <c r="F2" s="15" t="inlineStr"/>
      <c r="G2" s="15" t="inlineStr"/>
      <c r="H2" s="15" t="inlineStr"/>
      <c r="I2" s="15" t="inlineStr"/>
    </row>
    <row r="3">
      <c r="A3" s="7" t="inlineStr">
        <is>
          <t>Cat Arctic DEO SYN 0W-40</t>
        </is>
      </c>
      <c r="B3" s="7" t="inlineStr">
        <is>
          <t>0W-40 arctic synth</t>
        </is>
      </c>
      <c r="C3" s="7" t="inlineStr">
        <is>
          <t>Cat ECF-3, API CK-4</t>
        </is>
      </c>
      <c r="D3" s="7" t="n">
        <v>-45</v>
      </c>
      <c r="E3" s="15" t="inlineStr"/>
      <c r="F3" s="15" t="inlineStr"/>
      <c r="G3" s="15" t="inlineStr"/>
      <c r="H3" s="15" t="inlineStr"/>
      <c r="I3" s="15" t="inlineStr"/>
    </row>
    <row r="4">
      <c r="A4" s="7" t="inlineStr">
        <is>
          <t>Lukoil Avangard Ultra 15W-40</t>
        </is>
      </c>
      <c r="B4" s="7" t="inlineStr">
        <is>
          <t>15W-40</t>
        </is>
      </c>
      <c r="C4" s="7" t="inlineStr">
        <is>
          <t>API CI-4</t>
        </is>
      </c>
      <c r="D4" s="7" t="n">
        <v>-15</v>
      </c>
      <c r="E4" s="15" t="inlineStr"/>
      <c r="F4" s="15" t="inlineStr"/>
      <c r="G4" s="15" t="inlineStr"/>
      <c r="H4" s="15" t="inlineStr"/>
      <c r="I4" s="15" t="inlineStr"/>
    </row>
    <row r="5">
      <c r="A5" s="7" t="inlineStr">
        <is>
          <t>Shell Spirax S4 TXM</t>
        </is>
      </c>
      <c r="B5" s="7" t="inlineStr">
        <is>
          <t>SAE 10W</t>
        </is>
      </c>
      <c r="C5" s="7" t="inlineStr">
        <is>
          <t>CAT TO-4, KES 07.868.1, Allison C-4</t>
        </is>
      </c>
      <c r="D5" s="7" t="n">
        <v>-40</v>
      </c>
      <c r="E5" s="15" t="inlineStr"/>
      <c r="F5" s="15" t="inlineStr"/>
      <c r="G5" s="15" t="inlineStr"/>
      <c r="H5" s="15" t="inlineStr"/>
      <c r="I5" s="15" t="inlineStr"/>
    </row>
    <row r="6">
      <c r="A6" s="7" t="inlineStr">
        <is>
          <t>Komatsu Powertrain TO-10</t>
        </is>
      </c>
      <c r="B6" s="7" t="inlineStr">
        <is>
          <t>SAE 10W</t>
        </is>
      </c>
      <c r="C6" s="7" t="inlineStr">
        <is>
          <t>KES 07.868.1, CAT TO-4</t>
        </is>
      </c>
      <c r="D6" s="7" t="n">
        <v>-40</v>
      </c>
      <c r="E6" s="15" t="inlineStr"/>
      <c r="F6" s="15" t="inlineStr"/>
      <c r="G6" s="15" t="inlineStr"/>
      <c r="H6" s="15" t="inlineStr"/>
      <c r="I6" s="15" t="inlineStr"/>
    </row>
    <row r="7">
      <c r="A7" s="7" t="inlineStr">
        <is>
          <t>Cat TDTO-TMS (arctic)</t>
        </is>
      </c>
      <c r="B7" s="7" t="inlineStr">
        <is>
          <t>TDTO-TMS (arctic)</t>
        </is>
      </c>
      <c r="C7" s="7" t="inlineStr">
        <is>
          <t>CAT TO-4, TO-4M</t>
        </is>
      </c>
      <c r="D7" s="7" t="n">
        <v>-45</v>
      </c>
      <c r="E7" s="15" t="inlineStr"/>
      <c r="F7" s="15" t="inlineStr"/>
      <c r="G7" s="15" t="inlineStr"/>
      <c r="H7" s="15" t="inlineStr"/>
      <c r="I7" s="15" t="inlineStr"/>
    </row>
    <row r="8">
      <c r="A8" s="7" t="inlineStr">
        <is>
          <t>Generic TO-4 SAE 30</t>
        </is>
      </c>
      <c r="B8" s="7" t="inlineStr">
        <is>
          <t>SAE 30</t>
        </is>
      </c>
      <c r="C8" s="7" t="inlineStr">
        <is>
          <t>CAT TO-4</t>
        </is>
      </c>
      <c r="D8" s="7" t="n">
        <v>-10</v>
      </c>
      <c r="E8" s="15" t="inlineStr"/>
      <c r="F8" s="15" t="inlineStr"/>
      <c r="G8" s="15" t="inlineStr"/>
      <c r="H8" s="15" t="inlineStr"/>
      <c r="I8" s="15" t="inlineStr"/>
    </row>
    <row r="9">
      <c r="A9" s="7" t="inlineStr">
        <is>
          <t>Cat HYDO Advanced 10</t>
        </is>
      </c>
      <c r="B9" s="7" t="inlineStr">
        <is>
          <t>HYDO Adv 10</t>
        </is>
      </c>
      <c r="C9" s="7" t="inlineStr">
        <is>
          <t>Cat HYDO Advanced, ISO VG 32</t>
        </is>
      </c>
      <c r="D9" s="7" t="n">
        <v>-30</v>
      </c>
      <c r="E9" s="15" t="inlineStr"/>
      <c r="F9" s="15" t="inlineStr"/>
      <c r="G9" s="15" t="inlineStr"/>
      <c r="H9" s="15" t="inlineStr"/>
      <c r="I9" s="15" t="inlineStr"/>
    </row>
    <row r="10">
      <c r="A10" s="7" t="inlineStr">
        <is>
          <t>HVLP 32 arctic</t>
        </is>
      </c>
      <c r="B10" s="7" t="inlineStr">
        <is>
          <t>ISO VG 32</t>
        </is>
      </c>
      <c r="C10" s="7" t="inlineStr">
        <is>
          <t>DIN 51524-3, ISO VG 32</t>
        </is>
      </c>
      <c r="D10" s="7" t="n">
        <v>-35</v>
      </c>
      <c r="E10" s="15" t="inlineStr"/>
      <c r="F10" s="15" t="inlineStr"/>
      <c r="G10" s="15" t="inlineStr"/>
      <c r="H10" s="15" t="inlineStr"/>
      <c r="I10" s="15" t="inlineStr"/>
    </row>
    <row r="11">
      <c r="A11" s="7" t="inlineStr">
        <is>
          <t>HVLP 22 arctic synth</t>
        </is>
      </c>
      <c r="B11" s="7" t="inlineStr">
        <is>
          <t>ISO VG 22</t>
        </is>
      </c>
      <c r="C11" s="7" t="inlineStr">
        <is>
          <t>DIN 51524-3, ISO VG 22, ISO VG 32, Hitachi Super EX</t>
        </is>
      </c>
      <c r="D11" s="7" t="n">
        <v>-45</v>
      </c>
      <c r="E11" s="15" t="inlineStr"/>
      <c r="F11" s="15" t="inlineStr"/>
      <c r="G11" s="15" t="inlineStr"/>
      <c r="H11" s="15" t="inlineStr"/>
      <c r="I11" s="15" t="inlineStr"/>
    </row>
    <row r="12">
      <c r="A12" s="7" t="inlineStr">
        <is>
          <t>HLP 46</t>
        </is>
      </c>
      <c r="B12" s="7" t="inlineStr">
        <is>
          <t>ISO VG 46</t>
        </is>
      </c>
      <c r="C12" s="7" t="inlineStr">
        <is>
          <t>DIN 51524-2, ISO VG 46</t>
        </is>
      </c>
      <c r="D12" s="7" t="n">
        <v>-10</v>
      </c>
      <c r="E12" s="15" t="inlineStr"/>
      <c r="F12" s="15" t="inlineStr"/>
      <c r="G12" s="15" t="inlineStr"/>
      <c r="H12" s="15" t="inlineStr"/>
      <c r="I12" s="15" t="inlineStr"/>
    </row>
    <row r="13">
      <c r="A13" s="7" t="inlineStr">
        <is>
          <t>Mobilube SHC 75W-90</t>
        </is>
      </c>
      <c r="B13" s="7" t="inlineStr">
        <is>
          <t>75W-90 synth</t>
        </is>
      </c>
      <c r="C13" s="7" t="inlineStr">
        <is>
          <t>API GL-5</t>
        </is>
      </c>
      <c r="D13" s="7" t="n">
        <v>-45</v>
      </c>
      <c r="E13" s="15" t="inlineStr"/>
      <c r="F13" s="15" t="inlineStr"/>
      <c r="G13" s="15" t="inlineStr"/>
      <c r="H13" s="15" t="inlineStr"/>
      <c r="I13" s="15" t="inlineStr"/>
    </row>
    <row r="14">
      <c r="A14" s="7" t="inlineStr">
        <is>
          <t>Gear oil 80W-90</t>
        </is>
      </c>
      <c r="B14" s="7" t="inlineStr">
        <is>
          <t>80W-90</t>
        </is>
      </c>
      <c r="C14" s="7" t="inlineStr">
        <is>
          <t>API GL-5</t>
        </is>
      </c>
      <c r="D14" s="7" t="n">
        <v>-20</v>
      </c>
      <c r="E14" s="15" t="inlineStr"/>
      <c r="F14" s="15" t="inlineStr"/>
      <c r="G14" s="15" t="inlineStr"/>
      <c r="H14" s="15" t="inlineStr"/>
      <c r="I14" s="15" t="inlineStr"/>
    </row>
    <row r="15">
      <c r="A15" s="7" t="inlineStr">
        <is>
          <t>UTTO universal tractor fluid</t>
        </is>
      </c>
      <c r="B15" s="7" t="inlineStr">
        <is>
          <t>SAE 10W</t>
        </is>
      </c>
      <c r="C15" s="7" t="inlineStr">
        <is>
          <t>Wet brake WB-101</t>
        </is>
      </c>
      <c r="D15" s="7" t="n">
        <v>-25</v>
      </c>
      <c r="E15" s="15" t="inlineStr"/>
      <c r="F15" s="15" t="inlineStr"/>
      <c r="G15" s="15" t="inlineStr"/>
      <c r="H15" s="15" t="inlineStr"/>
      <c r="I15" s="15" t="inlineStr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8">
      <c r="A48" s="2" t="inlineStr">
        <is>
          <t>Blue rows are what the app currently believes is available. Correct them, and add anything on site that is missing — including drums you suspect are wrong.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26" customWidth="1" min="4" max="4"/>
    <col width="16" customWidth="1" min="5" max="5"/>
    <col width="30" customWidth="1" min="6" max="6"/>
    <col width="14" customWidth="1" min="7" max="7"/>
  </cols>
  <sheetData>
    <row r="1">
      <c r="A1" s="1" t="inlineStr">
        <is>
          <t>Units the register records by make only</t>
        </is>
      </c>
    </row>
    <row r="2">
      <c r="A2" s="2" t="inlineStr">
        <is>
          <t>A capacity cannot be attached to "KOMATSU". Where somebody has identified the machine, the app uses those figures today — but the register is still wrong and these stay listed until the model is recorded in 1C.</t>
        </is>
      </c>
    </row>
    <row r="4">
      <c r="A4" s="6" t="inlineStr">
        <is>
          <t>Class</t>
        </is>
      </c>
      <c r="B4" s="6" t="inlineStr">
        <is>
          <t>Recorded as</t>
        </is>
      </c>
      <c r="C4" s="6" t="inlineStr">
        <is>
          <t>Units</t>
        </is>
      </c>
      <c r="D4" s="6" t="inlineStr">
        <is>
          <t>Identified as</t>
        </is>
      </c>
      <c r="E4" s="6" t="inlineStr">
        <is>
          <t>By</t>
        </is>
      </c>
      <c r="F4" s="6" t="inlineStr">
        <is>
          <t>Actual model (confirm / fill in)</t>
        </is>
      </c>
      <c r="G4" s="6" t="inlineStr">
        <is>
          <t>Fixed in 1C?</t>
        </is>
      </c>
    </row>
    <row r="5">
      <c r="A5" s="7" t="inlineStr">
        <is>
          <t>AT</t>
        </is>
      </c>
      <c r="B5" s="7" t="inlineStr">
        <is>
          <t>KOMATSU</t>
        </is>
      </c>
      <c r="C5" s="7" t="n">
        <v>27</v>
      </c>
      <c r="D5" s="18" t="inlineStr">
        <is>
          <t>KOMATSU HM400</t>
        </is>
      </c>
      <c r="E5" s="18" t="inlineStr">
        <is>
          <t>R. Marrero</t>
        </is>
      </c>
      <c r="F5" s="15" t="n"/>
      <c r="G5" s="15" t="n"/>
    </row>
    <row r="6">
      <c r="A6" s="7" t="inlineStr">
        <is>
          <t>LDR</t>
        </is>
      </c>
      <c r="B6" s="7" t="inlineStr">
        <is>
          <t>ELAZ</t>
        </is>
      </c>
      <c r="C6" s="7" t="n">
        <v>2</v>
      </c>
      <c r="D6" s="7" t="inlineStr"/>
      <c r="E6" s="7" t="inlineStr"/>
      <c r="F6" s="15" t="n"/>
      <c r="G6" s="15" t="n"/>
    </row>
    <row r="7">
      <c r="A7" s="7" t="inlineStr">
        <is>
          <t>LDR</t>
        </is>
      </c>
      <c r="B7" s="7" t="inlineStr">
        <is>
          <t>HYUNDAI</t>
        </is>
      </c>
      <c r="C7" s="7" t="n">
        <v>3</v>
      </c>
      <c r="D7" s="7" t="inlineStr"/>
      <c r="E7" s="7" t="inlineStr"/>
      <c r="F7" s="15" t="n"/>
      <c r="G7" s="15" t="n"/>
    </row>
    <row r="8">
      <c r="A8" s="7" t="inlineStr">
        <is>
          <t>LDR</t>
        </is>
      </c>
      <c r="B8" s="7" t="inlineStr">
        <is>
          <t>KOMATSU</t>
        </is>
      </c>
      <c r="C8" s="7" t="n">
        <v>5</v>
      </c>
      <c r="D8" s="7" t="inlineStr"/>
      <c r="E8" s="7" t="inlineStr"/>
      <c r="F8" s="15" t="n"/>
      <c r="G8" s="15" t="n"/>
    </row>
    <row r="9">
      <c r="B9" s="4" t="inlineStr">
        <is>
          <t>Total</t>
        </is>
      </c>
      <c r="C9" s="4">
        <f>SUM(C5:C8)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70" customWidth="1" min="3" max="3"/>
  </cols>
  <sheetData>
    <row r="1">
      <c r="A1" s="1" t="inlineStr">
        <is>
          <t>Site constants</t>
        </is>
      </c>
    </row>
    <row r="2">
      <c r="A2" s="2" t="inlineStr">
        <is>
          <t>Every cold-weather verdict is computed against these. Getting the design minimum wrong changes which products qualify.</t>
        </is>
      </c>
    </row>
    <row r="4">
      <c r="A4" s="19" t="inlineStr">
        <is>
          <t>Item</t>
        </is>
      </c>
      <c r="B4" s="19" t="inlineStr">
        <is>
          <t>Value</t>
        </is>
      </c>
      <c r="C4" s="19" t="inlineStr">
        <is>
          <t>Note</t>
        </is>
      </c>
    </row>
    <row r="5">
      <c r="A5" s="8" t="inlineStr">
        <is>
          <t>Design minimum ambient (°C)</t>
        </is>
      </c>
      <c r="B5" s="15" t="n">
        <v>-40</v>
      </c>
      <c r="C5" s="20" t="inlineStr">
        <is>
          <t>The temperature the oil must still work at — usually not the record low.</t>
        </is>
      </c>
    </row>
    <row r="6">
      <c r="A6" s="8" t="inlineStr">
        <is>
          <t>Record winter low (°C)</t>
        </is>
      </c>
      <c r="B6" s="15" t="n">
        <v>-45</v>
      </c>
      <c r="C6" s="20" t="inlineStr">
        <is>
          <t>Reference only.</t>
        </is>
      </c>
    </row>
    <row r="7">
      <c r="A7" s="8" t="inlineStr">
        <is>
          <t>Summer high (°C)</t>
        </is>
      </c>
      <c r="B7" s="15" t="n">
        <v>28</v>
      </c>
      <c r="C7" s="20" t="inlineStr"/>
    </row>
    <row r="8">
      <c r="A8" s="8" t="inlineStr">
        <is>
          <t>Operating hours per machine per year</t>
        </is>
      </c>
      <c r="B8" s="15" t="n">
        <v>5000</v>
      </c>
      <c r="C8" s="20" t="inlineStr">
        <is>
          <t>Drives how fast an audit goes stale.</t>
        </is>
      </c>
    </row>
    <row r="9">
      <c r="A9" s="8" t="inlineStr">
        <is>
          <t>Lube audit crews available</t>
        </is>
      </c>
      <c r="B9" s="15" t="n">
        <v>2</v>
      </c>
      <c r="C9" s="20" t="inlineStr"/>
    </row>
    <row r="10">
      <c r="A10" s="8" t="inlineStr">
        <is>
          <t>Compartments one crew can audit per day</t>
        </is>
      </c>
      <c r="B10" s="15" t="n">
        <v>6</v>
      </c>
      <c r="C10" s="20" t="inlineStr"/>
    </row>
    <row r="11">
      <c r="A11" s="8" t="inlineStr">
        <is>
          <t>Oil analysis laboratory</t>
        </is>
      </c>
      <c r="B11" s="15" t="inlineStr"/>
      <c r="C11" s="20" t="inlineStr">
        <is>
          <t>Name, and whether they can export results as CSV.</t>
        </is>
      </c>
    </row>
    <row r="12">
      <c r="A12" s="8" t="inlineStr">
        <is>
          <t>Who signs off the site standard</t>
        </is>
      </c>
      <c r="B12" s="15" t="inlineStr"/>
      <c r="C12" s="20" t="inlineStr">
        <is>
          <t>One name. A standard anyone can change is not a standard.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2026-08-18T01:09:35Z</dcterms:created>
  <dcterms:modified xsi:type="dcterms:W3CDTF">2026-08-18T01:09:35Z</dcterms:modified>
</cp:coreProperties>
</file>