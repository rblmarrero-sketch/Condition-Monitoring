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hkinSN\Desktop\РАБОТА\КЛИЕНТЫ\Баимская\"/>
    </mc:Choice>
  </mc:AlternateContent>
  <xr:revisionPtr revIDLastSave="0" documentId="13_ncr:1_{B87CDCEA-C4A8-4D91-A225-A520F11587AB}" xr6:coauthVersionLast="47" xr6:coauthVersionMax="47" xr10:uidLastSave="{00000000-0000-0000-0000-000000000000}"/>
  <bookViews>
    <workbookView xWindow="-28920" yWindow="-120" windowWidth="29040" windowHeight="15990" xr2:uid="{6251A129-6FF2-420F-A40F-3C71A4B1D9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92" i="1"/>
  <c r="J91" i="1"/>
  <c r="J90" i="1"/>
  <c r="J84" i="1"/>
  <c r="J83" i="1"/>
  <c r="J82" i="1"/>
  <c r="J81" i="1"/>
  <c r="J77" i="1"/>
  <c r="J76" i="1"/>
  <c r="J75" i="1"/>
  <c r="J74" i="1"/>
  <c r="J69" i="1"/>
  <c r="J68" i="1"/>
  <c r="J67" i="1"/>
  <c r="J36" i="1"/>
  <c r="J52" i="1"/>
  <c r="J59" i="1"/>
  <c r="J66" i="1"/>
  <c r="J63" i="1"/>
  <c r="J62" i="1"/>
  <c r="J61" i="1"/>
  <c r="J60" i="1"/>
  <c r="J53" i="1"/>
  <c r="J41" i="1"/>
  <c r="J39" i="1"/>
  <c r="J38" i="1"/>
  <c r="J37" i="1"/>
  <c r="J34" i="1"/>
  <c r="J32" i="1"/>
  <c r="J31" i="1"/>
  <c r="J30" i="1"/>
  <c r="J29" i="1"/>
</calcChain>
</file>

<file path=xl/sharedStrings.xml><?xml version="1.0" encoding="utf-8"?>
<sst xmlns="http://schemas.openxmlformats.org/spreadsheetml/2006/main" count="574" uniqueCount="213">
  <si>
    <t>Fleet</t>
  </si>
  <si>
    <t>Model</t>
  </si>
  <si>
    <t>Component</t>
  </si>
  <si>
    <t>OEM specs</t>
  </si>
  <si>
    <t>Included in the 2027 RAS</t>
  </si>
  <si>
    <t>Attached the specs (yes/no)</t>
  </si>
  <si>
    <t>Frequency</t>
  </si>
  <si>
    <t>Engine</t>
  </si>
  <si>
    <t>Dozer</t>
  </si>
  <si>
    <t xml:space="preserve">Excavator </t>
  </si>
  <si>
    <t>Shantui SD60</t>
  </si>
  <si>
    <t>LiuGong 990FH</t>
  </si>
  <si>
    <t>LiuGong CLG970E</t>
  </si>
  <si>
    <t xml:space="preserve">Grader </t>
  </si>
  <si>
    <t>LiuGong CLG426</t>
  </si>
  <si>
    <t xml:space="preserve">Loader </t>
  </si>
  <si>
    <t>LiuGong CLGF330</t>
  </si>
  <si>
    <t>Hydraulic</t>
  </si>
  <si>
    <t>Grease</t>
  </si>
  <si>
    <t>Coolant</t>
  </si>
  <si>
    <t>Transmission and Torque converter</t>
  </si>
  <si>
    <t>Axles</t>
  </si>
  <si>
    <t>2000 hrs</t>
  </si>
  <si>
    <t>1000 hrs</t>
  </si>
  <si>
    <t>250 hrs</t>
  </si>
  <si>
    <t>Volume per machine (liters for oil/ kg for grease)</t>
  </si>
  <si>
    <t xml:space="preserve">front axle 37 / rear axle 37 </t>
  </si>
  <si>
    <t>API GL-5 85W-90 gear oil for heavy load vehicle</t>
  </si>
  <si>
    <t>Teboil Hypoid 75W-90</t>
  </si>
  <si>
    <t>R134a</t>
  </si>
  <si>
    <t>#2 molybdenium disulfide lithium-based grease</t>
  </si>
  <si>
    <t>Comments</t>
  </si>
  <si>
    <t>#8 hydraulic-transmission oil</t>
  </si>
  <si>
    <t>Winter: API CH-4 5W-40. Summer: API CH-4 15W-40</t>
  </si>
  <si>
    <t>Winter: HM-46 anti-wear hydraulic oil. Summer: HV-46 low temperature antiwear hydraulic oil</t>
  </si>
  <si>
    <t>• API GL-4, GL-5, GL-4/5, MT-1
• MIL-PRF-2105E
• SAE J2360
• MB 235.0/235.8
• MAN 341 Type E3, Z2, 342 Type M3
• Scania STO 1:0
• Volvo 97312
• ZF TE-ML 02B, 05A, 12L, 12N, 16F, 17B, 19C, 21A</t>
  </si>
  <si>
    <t>Axles, tandem, gearcase</t>
  </si>
  <si>
    <t>Winter: API CJ-4 0W-40. Summer: API CH-4 15W-40</t>
  </si>
  <si>
    <t>Winter: Shell Spirax S4 TXM 10W-30. Summer: API CH-4 15W-40</t>
  </si>
  <si>
    <t>Teboil Wetol W 5W-30</t>
  </si>
  <si>
    <t>Drills</t>
  </si>
  <si>
    <t>Hanjin</t>
  </si>
  <si>
    <t>Sunward 165</t>
  </si>
  <si>
    <t>Sunward 250</t>
  </si>
  <si>
    <t>Showels</t>
  </si>
  <si>
    <t>WK-35</t>
  </si>
  <si>
    <t>WK-55</t>
  </si>
  <si>
    <t>Trucks</t>
  </si>
  <si>
    <t>NHL NTE 150</t>
  </si>
  <si>
    <t>NHL NTE 360</t>
  </si>
  <si>
    <t>NHL TR60</t>
  </si>
  <si>
    <t>From 20W-40 till 5W-40. lower -30C Chevron DELO 400 LE Synt</t>
  </si>
  <si>
    <t>Summer: SHC 680 OH, Winter: SHC460 OH</t>
  </si>
  <si>
    <t>Electric wheel reductor</t>
  </si>
  <si>
    <t>Hydraulic system</t>
  </si>
  <si>
    <t>Summer: SAE 30, Winter: SAE 10W, Arctic: Chevron Texamatic 1888</t>
  </si>
  <si>
    <t>Suspention cylinders</t>
  </si>
  <si>
    <t>Centralize Lubrication</t>
  </si>
  <si>
    <t>Front wheel grease</t>
  </si>
  <si>
    <t>Electric drive system motor</t>
  </si>
  <si>
    <t>Chevron Ulti-Plex Synt Grease EP</t>
  </si>
  <si>
    <t>SHC100</t>
  </si>
  <si>
    <t>0.12</t>
  </si>
  <si>
    <t>OAT</t>
  </si>
  <si>
    <t>5000 hrs</t>
  </si>
  <si>
    <t>3000 hrs (synt)/ 500hrs (mineral)</t>
  </si>
  <si>
    <t>Transmission</t>
  </si>
  <si>
    <t>Differential planetary gears power takeoff</t>
  </si>
  <si>
    <t>Grease fittings drivelines steering column</t>
  </si>
  <si>
    <t>Ride cylinders</t>
  </si>
  <si>
    <t>Engine oil with 1% sulphated ash. Sulphated ash must not exceed 1,85% limit/ API CH or CI-4. From 20W-40 till 5W-20</t>
  </si>
  <si>
    <t>Heavy Duty coolant</t>
  </si>
  <si>
    <t>API GL-5, MIL-L-2105D 80W-90LS, DELO Syn-Gear XDM 75W-90</t>
  </si>
  <si>
    <t>Fully synt lithium based ester. -60 to - 30 NLGI 00 Mobil LiFu SHC007. -30 to - 10 NLGI 0 Mobil LiFu SHC007, -10 to +10 NLGI 01, +10 NLGI 2</t>
  </si>
  <si>
    <t>Front wheel bearings</t>
  </si>
  <si>
    <t>Wide temperature range -extreme pressure antiwear synt grease. Chevron Ulti-Plex Synt Grease EP</t>
  </si>
  <si>
    <t>28 (front) + 34 (rear) = 62</t>
  </si>
  <si>
    <t>216 (main tank) + 61 (steering tank) = 276</t>
  </si>
  <si>
    <t>Power train (including torque converter, transmission and bevel gear case)</t>
  </si>
  <si>
    <t>Winter: SAE 10W. Summer: SAE 30</t>
  </si>
  <si>
    <t>Damper case</t>
  </si>
  <si>
    <t>Final drive case (each side)</t>
  </si>
  <si>
    <t>Pivot shaft case (each side)</t>
  </si>
  <si>
    <t>Hydraulic oil tank</t>
  </si>
  <si>
    <t>Idler (each)</t>
  </si>
  <si>
    <t>Track roller (each)</t>
  </si>
  <si>
    <t>Carrier roller (each)</t>
  </si>
  <si>
    <t>Bogie cartridge pin (each)</t>
  </si>
  <si>
    <t>Lubricant points</t>
  </si>
  <si>
    <t>Cooling</t>
  </si>
  <si>
    <t>SAE 10W-30 API CH</t>
  </si>
  <si>
    <t>SAE 30</t>
  </si>
  <si>
    <t>SAE 10W</t>
  </si>
  <si>
    <t>SAE 85W-140</t>
  </si>
  <si>
    <t>Recommendation. Option #2</t>
  </si>
  <si>
    <t>2.1</t>
  </si>
  <si>
    <t>61</t>
  </si>
  <si>
    <t>18</t>
  </si>
  <si>
    <t>280</t>
  </si>
  <si>
    <t>1</t>
  </si>
  <si>
    <t>1.4</t>
  </si>
  <si>
    <t>0.8</t>
  </si>
  <si>
    <t>0.095</t>
  </si>
  <si>
    <t>122</t>
  </si>
  <si>
    <t>Swing reduction gear</t>
  </si>
  <si>
    <t>Travel reduction gear</t>
  </si>
  <si>
    <t>Winter: API CI-4 0W-30. Summer: API CI-4 10W-30</t>
  </si>
  <si>
    <t>Extreme pressure graphene reinforced grease</t>
  </si>
  <si>
    <t>75W-90 API GL-5</t>
  </si>
  <si>
    <t>L-VG 46W long service life and wide temperature range anti-wear hydraulic oil</t>
  </si>
  <si>
    <t>Specs. Option#2</t>
  </si>
  <si>
    <t>API CH-4 0W-30</t>
  </si>
  <si>
    <t>500 hrs</t>
  </si>
  <si>
    <t>ISO VG32</t>
  </si>
  <si>
    <t>Rotation gear box</t>
  </si>
  <si>
    <t>Mobil SHC 626</t>
  </si>
  <si>
    <t>Engine gear box</t>
  </si>
  <si>
    <t>60% antifreeze 40% water</t>
  </si>
  <si>
    <t xml:space="preserve">Hydraulic </t>
  </si>
  <si>
    <t>Moly #2, SHC100</t>
  </si>
  <si>
    <t>Travel reducer</t>
  </si>
  <si>
    <t>Slewing reducer</t>
  </si>
  <si>
    <t>1500 hrs</t>
  </si>
  <si>
    <t>-40 antifreeze</t>
  </si>
  <si>
    <t>SAE 30, 75W-90, BP gear 220</t>
  </si>
  <si>
    <t>antiwear oil L-HV46, Univis N32 (above-48)</t>
  </si>
  <si>
    <t>API CF-4 5W-30 - 15W-40</t>
  </si>
  <si>
    <t xml:space="preserve">Summer: Teboil Super HPD Plus 15W-40  </t>
  </si>
  <si>
    <t>SAE 30, ISO 220</t>
  </si>
  <si>
    <t>Hoist Gearbox</t>
  </si>
  <si>
    <t>Slew gearbox</t>
  </si>
  <si>
    <t>Propel gearbox</t>
  </si>
  <si>
    <t>Crowd gearbox</t>
  </si>
  <si>
    <t>ISO 320</t>
  </si>
  <si>
    <t>ISO 150</t>
  </si>
  <si>
    <t>Compressor</t>
  </si>
  <si>
    <t>Atlas Copco</t>
  </si>
  <si>
    <t>4000 hrs</t>
  </si>
  <si>
    <t>2x370</t>
  </si>
  <si>
    <t>2x490</t>
  </si>
  <si>
    <t>LEMARC CARTERRA SH 150</t>
  </si>
  <si>
    <t>Lemarc recommendation</t>
  </si>
  <si>
    <t>LEMARC CARTERRA SH 220</t>
  </si>
  <si>
    <t>LEMARC FROSTGUARD G12+ Extra</t>
  </si>
  <si>
    <t>3X370</t>
  </si>
  <si>
    <t>2X850</t>
  </si>
  <si>
    <t>• API GL-4
• Allison C4
• CAT TO-2
• Case NH CNH MAT 3505 / 3509 / 3525
• Case MS B6, 1206, 1207
• Ford / New Holland ESN-M2C 86B/C, 134D
• Ford / New Holland FNHA-2-C-200.00
• John Deere J20C
• Kubota UDT Fluid
• MF CMS M 1100, 1127A/B, 1143, 1145
• Sauer Sundstrand
• Denison HF-0, HF-1, HF-2
• Vickers I-280-S, M 2950 S
• Valtra G2-08</t>
  </si>
  <si>
    <t>• API CI-4
• MB 228.3
• Volvo VDS-3
• Caterpillar ECF-2
• Cummins CES 20078
• MTU Oil Category 2
• ZF TE-ML 04C/04P
• ПАО «Автодизель» (ЯМЗ)
• ACEA E4/E7
• MAN M 3275
• Renault VI RLD-2
• MACK EO-N
• Deutz DQC III-18
• JASO DH-1
• John Deere JDQ 78A
• ПАО «Тутаевский моторный завод»</t>
  </si>
  <si>
    <t>LEMARC HYDRARD HVLP-ZF LT 32</t>
  </si>
  <si>
    <t>LEMARC LEGUARD AC 5W30</t>
  </si>
  <si>
    <t>LEMARC LEGUARD 0W-40</t>
  </si>
  <si>
    <t>LEMARC HYDRARD XV 32</t>
  </si>
  <si>
    <t>Lubricant oil</t>
  </si>
  <si>
    <t>LEMARC AEROGUARD SH 46</t>
  </si>
  <si>
    <t>Teboil Sypres Extra 68</t>
  </si>
  <si>
    <t>TEBOIL COMPRESSOR OIL SHV 46</t>
  </si>
  <si>
    <t xml:space="preserve">Very good performance 75W-90 GL-5 lubricants at PV-275HP, Smartroc D65, DM45HP, DMLHP.  </t>
  </si>
  <si>
    <t>TEBOIL FLUID ES-MAX</t>
  </si>
  <si>
    <t>TEBOIL SYPRES EXTRA 680</t>
  </si>
  <si>
    <t>• ISO 6743-3 L-DAJ
• DIN 51506 VDL
• ISO 6521-2 L-DAJ</t>
  </si>
  <si>
    <t>TEBOIL HYPOID 75W-90</t>
  </si>
  <si>
    <t xml:space="preserve"> LEMARC HYDRARD HVLP-ZF LT 32</t>
  </si>
  <si>
    <t>LEMARC GEAPARD X5 75W140</t>
  </si>
  <si>
    <t>L-HM46 anti wear hydraulic oil, HS plus 22 ultra-low temperature hydraulic oil</t>
  </si>
  <si>
    <t>LS required</t>
  </si>
  <si>
    <t>DongFeng DF6</t>
  </si>
  <si>
    <t>FAW CA3250</t>
  </si>
  <si>
    <t>FAW CA1121</t>
  </si>
  <si>
    <t>API CF-4 5W-40</t>
  </si>
  <si>
    <t>8000 km</t>
  </si>
  <si>
    <t>50000 km</t>
  </si>
  <si>
    <t>API GL-5 80W-90, 85W-90</t>
  </si>
  <si>
    <t>24000 km</t>
  </si>
  <si>
    <t>11,5 each</t>
  </si>
  <si>
    <t>SAE J2360 required after 09.2024</t>
  </si>
  <si>
    <t>API CI-4 5W-40</t>
  </si>
  <si>
    <t>Axle</t>
  </si>
  <si>
    <t>Transfer case</t>
  </si>
  <si>
    <t>ACEA C3 5W-30</t>
  </si>
  <si>
    <t>API CF</t>
  </si>
  <si>
    <t>TEBOIL DIAMOND CARAT III 0W-30</t>
  </si>
  <si>
    <t xml:space="preserve">Winter: Teboil Hydraulic Polar 32ZF Summer: Teboil Hydraulic 32S </t>
  </si>
  <si>
    <t>Transmission manual</t>
  </si>
  <si>
    <t>TEBOIL FLUID S</t>
  </si>
  <si>
    <t>ATF III</t>
  </si>
  <si>
    <t>API GL-4 75W-90</t>
  </si>
  <si>
    <t>API GL-5 85W-90</t>
  </si>
  <si>
    <t>LUKOIL SYNTHOFLEX ARCTIC 1-100 HD</t>
  </si>
  <si>
    <t>Grease open gears</t>
  </si>
  <si>
    <t>Sgrease closed units</t>
  </si>
  <si>
    <t>LUKOIL CARBOFLEX OG 000-1500 HD - winter
LUKOIL CARBOFLEX OG 0-4000 HD - summer</t>
  </si>
  <si>
    <t>LUKOIL SYNTHOFLEX EP 1,5-460</t>
  </si>
  <si>
    <t>LUKOIL SYNTHOFLEX 2-100</t>
  </si>
  <si>
    <t>TEBOIL SYPRES EXTRA 220</t>
  </si>
  <si>
    <t>TEBOIL SYPRES EXTRA 150</t>
  </si>
  <si>
    <t>TEBOIL FLUID TO-4 SYNTHETIC SAE 5W-30</t>
  </si>
  <si>
    <t>TEBOIL HYPOID M SAE 75W-140</t>
  </si>
  <si>
    <t> Allison C4
 Caterpillar TO-4М
 Komatsu KES 07.868-1
 ZF TE-ML 03C/07F</t>
  </si>
  <si>
    <t> API GL-5
 MIL-L-2105D
 SCANIA STO 1:0</t>
  </si>
  <si>
    <t>No</t>
  </si>
  <si>
    <t>Grease closed units</t>
  </si>
  <si>
    <r>
      <t xml:space="preserve">there is no 75w90 with </t>
    </r>
    <r>
      <rPr>
        <b/>
        <sz val="11"/>
        <color theme="1"/>
        <rFont val="Calibri"/>
        <family val="2"/>
        <charset val="204"/>
        <scheme val="minor"/>
      </rPr>
      <t>LS</t>
    </r>
    <r>
      <rPr>
        <sz val="11"/>
        <color theme="1"/>
        <rFont val="Calibri"/>
        <family val="2"/>
        <charset val="204"/>
        <scheme val="minor"/>
      </rPr>
      <t xml:space="preserve"> additives product in portfolio</t>
    </r>
  </si>
  <si>
    <t xml:space="preserve">changed to better all season grease </t>
  </si>
  <si>
    <t>TEBOIL SYPRES EXTRA 320</t>
  </si>
  <si>
    <t>Volume per year, ltrs (approx.) need to be verified. Based on 6000 operation hours per 1 year.</t>
  </si>
  <si>
    <t>no</t>
  </si>
  <si>
    <t>Check type of engine</t>
  </si>
  <si>
    <t>Engine M9T. Option #1</t>
  </si>
  <si>
    <t>Engine ZD25T5. Option #2</t>
  </si>
  <si>
    <t>yes</t>
  </si>
  <si>
    <t xml:space="preserve"> -</t>
  </si>
  <si>
    <t>not at the actual active product base. Need to launch.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</si>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</sst>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left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6779-8416-4030-B9CD-293F714E67CF}">
  <dimension ref="A1:P122"/>
  <sheetViews>
    <sheetView tabSelected="1" zoomScale="70" zoomScaleNormal="70" workbookViewId="0">
      <pane ySplit="1" topLeftCell="A26" activePane="bottomLeft" state="frozen"/>
      <selection pane="bottomLeft" activeCell="B22" sqref="B22:B27"/>
    </sheetView>
  </sheetViews>
  <sheetFormatPr defaultRowHeight="14.5" x14ac:dyDescent="0.35"/>
  <cols>
    <col min="1" max="1" width="12.453125" style="4" customWidth="1"/>
    <col min="2" max="2" width="21.453125" style="4" customWidth="1"/>
    <col min="3" max="4" width="42.1796875" style="4" customWidth="1"/>
    <col min="5" max="5" width="23" style="4" customWidth="1"/>
    <col min="6" max="6" width="34.453125" style="4" customWidth="1"/>
    <col min="7" max="7" width="28.1796875" style="4" customWidth="1"/>
    <col min="8" max="8" width="26.1796875" style="5" customWidth="1"/>
    <col min="9" max="10" width="25" style="5" customWidth="1"/>
    <col min="11" max="11" width="28.81640625" style="5" customWidth="1"/>
    <col min="12" max="12" width="39.1796875" style="5" customWidth="1"/>
    <col min="13" max="13" width="37.1796875" style="1" customWidth="1"/>
    <col min="14" max="16" width="8.81640625" style="1"/>
  </cols>
  <sheetData>
    <row r="1" spans="1:16" s="3" customFormat="1" ht="58" x14ac:dyDescent="0.35">
      <c r="A1" s="4" t="s">
        <v>0</v>
      </c>
      <c r="B1" s="4" t="s">
        <v>1</v>
      </c>
      <c r="C1" s="4" t="s">
        <v>2</v>
      </c>
      <c r="D1" s="45" t="s">
        <v>3</v>
      </c>
      <c r="E1" s="4" t="s">
        <v>4</v>
      </c>
      <c r="F1" s="4" t="s">
        <v>141</v>
      </c>
      <c r="G1" s="4" t="s">
        <v>5</v>
      </c>
      <c r="H1" s="4" t="s">
        <v>25</v>
      </c>
      <c r="I1" s="4" t="s">
        <v>6</v>
      </c>
      <c r="J1" s="4" t="s">
        <v>204</v>
      </c>
      <c r="K1" s="4" t="s">
        <v>94</v>
      </c>
      <c r="L1" s="4" t="s">
        <v>110</v>
      </c>
      <c r="M1" s="2" t="s">
        <v>31</v>
      </c>
      <c r="N1" s="2"/>
      <c r="O1" s="2"/>
      <c r="P1" s="2"/>
    </row>
    <row r="2" spans="1:16" x14ac:dyDescent="0.35">
      <c r="A2" s="42" t="s">
        <v>8</v>
      </c>
      <c r="B2" s="39" t="s">
        <v>10</v>
      </c>
      <c r="C2" s="6" t="s">
        <v>7</v>
      </c>
      <c r="D2" s="6" t="s">
        <v>90</v>
      </c>
      <c r="E2" s="4" t="s">
        <v>209</v>
      </c>
      <c r="F2" s="4" t="s">
        <v>150</v>
      </c>
      <c r="G2" s="6"/>
      <c r="H2" s="7">
        <v>70</v>
      </c>
      <c r="I2" s="8"/>
      <c r="J2" s="8"/>
      <c r="K2" s="8"/>
      <c r="L2" s="8"/>
      <c r="M2" s="9"/>
    </row>
    <row r="3" spans="1:16" ht="58" x14ac:dyDescent="0.35">
      <c r="A3" s="43"/>
      <c r="B3" s="40"/>
      <c r="C3" s="4" t="s">
        <v>78</v>
      </c>
      <c r="D3" s="4" t="s">
        <v>79</v>
      </c>
      <c r="E3" s="4" t="s">
        <v>209</v>
      </c>
      <c r="F3" s="4" t="s">
        <v>149</v>
      </c>
      <c r="H3" s="10">
        <v>275</v>
      </c>
      <c r="K3" s="4" t="s">
        <v>195</v>
      </c>
      <c r="L3" s="4" t="s">
        <v>197</v>
      </c>
      <c r="M3" s="11"/>
    </row>
    <row r="4" spans="1:16" ht="58" x14ac:dyDescent="0.35">
      <c r="A4" s="43"/>
      <c r="B4" s="40"/>
      <c r="C4" s="4" t="s">
        <v>80</v>
      </c>
      <c r="D4" s="4" t="s">
        <v>91</v>
      </c>
      <c r="E4" s="4" t="s">
        <v>209</v>
      </c>
      <c r="F4" s="4" t="s">
        <v>149</v>
      </c>
      <c r="H4" s="10" t="s">
        <v>95</v>
      </c>
      <c r="K4" s="4" t="s">
        <v>195</v>
      </c>
      <c r="L4" s="4" t="s">
        <v>197</v>
      </c>
      <c r="M4" s="11"/>
    </row>
    <row r="5" spans="1:16" ht="58" x14ac:dyDescent="0.35">
      <c r="A5" s="43"/>
      <c r="B5" s="40"/>
      <c r="C5" s="4" t="s">
        <v>81</v>
      </c>
      <c r="D5" s="4" t="s">
        <v>91</v>
      </c>
      <c r="E5" s="4" t="s">
        <v>209</v>
      </c>
      <c r="F5" s="4" t="s">
        <v>149</v>
      </c>
      <c r="H5" s="10" t="s">
        <v>96</v>
      </c>
      <c r="K5" s="4" t="s">
        <v>195</v>
      </c>
      <c r="L5" s="4" t="s">
        <v>197</v>
      </c>
      <c r="M5" s="11"/>
    </row>
    <row r="6" spans="1:16" ht="58" x14ac:dyDescent="0.35">
      <c r="A6" s="43"/>
      <c r="B6" s="40"/>
      <c r="C6" s="4" t="s">
        <v>82</v>
      </c>
      <c r="D6" s="4" t="s">
        <v>91</v>
      </c>
      <c r="E6" s="4" t="s">
        <v>209</v>
      </c>
      <c r="F6" s="4" t="s">
        <v>149</v>
      </c>
      <c r="H6" s="10" t="s">
        <v>97</v>
      </c>
      <c r="K6" s="4" t="s">
        <v>195</v>
      </c>
      <c r="L6" s="4" t="s">
        <v>197</v>
      </c>
      <c r="M6" s="11"/>
    </row>
    <row r="7" spans="1:16" ht="58" x14ac:dyDescent="0.35">
      <c r="A7" s="43"/>
      <c r="B7" s="40"/>
      <c r="C7" s="4" t="s">
        <v>83</v>
      </c>
      <c r="D7" s="4" t="s">
        <v>92</v>
      </c>
      <c r="E7" s="4" t="s">
        <v>209</v>
      </c>
      <c r="F7" s="4" t="s">
        <v>149</v>
      </c>
      <c r="H7" s="10" t="s">
        <v>98</v>
      </c>
      <c r="K7" s="4" t="s">
        <v>195</v>
      </c>
      <c r="L7" s="4" t="s">
        <v>197</v>
      </c>
      <c r="M7" s="11"/>
    </row>
    <row r="8" spans="1:16" ht="43.5" x14ac:dyDescent="0.35">
      <c r="A8" s="43"/>
      <c r="B8" s="40"/>
      <c r="C8" s="4" t="s">
        <v>84</v>
      </c>
      <c r="D8" s="4" t="s">
        <v>93</v>
      </c>
      <c r="E8" s="4" t="s">
        <v>209</v>
      </c>
      <c r="F8" s="4" t="s">
        <v>162</v>
      </c>
      <c r="H8" s="10" t="s">
        <v>99</v>
      </c>
      <c r="K8" s="4" t="s">
        <v>196</v>
      </c>
      <c r="L8" s="4" t="s">
        <v>198</v>
      </c>
      <c r="M8" s="11"/>
    </row>
    <row r="9" spans="1:16" ht="43.5" x14ac:dyDescent="0.35">
      <c r="A9" s="43"/>
      <c r="B9" s="40"/>
      <c r="C9" s="4" t="s">
        <v>85</v>
      </c>
      <c r="D9" s="4" t="s">
        <v>93</v>
      </c>
      <c r="E9" s="4" t="s">
        <v>209</v>
      </c>
      <c r="F9" s="4" t="s">
        <v>162</v>
      </c>
      <c r="H9" s="10" t="s">
        <v>100</v>
      </c>
      <c r="K9" s="4" t="s">
        <v>196</v>
      </c>
      <c r="L9" s="4" t="s">
        <v>198</v>
      </c>
      <c r="M9" s="11"/>
    </row>
    <row r="10" spans="1:16" ht="43.5" x14ac:dyDescent="0.35">
      <c r="A10" s="43"/>
      <c r="B10" s="40"/>
      <c r="C10" s="4" t="s">
        <v>86</v>
      </c>
      <c r="D10" s="4" t="s">
        <v>93</v>
      </c>
      <c r="E10" s="4" t="s">
        <v>209</v>
      </c>
      <c r="F10" s="4" t="s">
        <v>162</v>
      </c>
      <c r="H10" s="10" t="s">
        <v>101</v>
      </c>
      <c r="K10" s="4" t="s">
        <v>196</v>
      </c>
      <c r="L10" s="4" t="s">
        <v>198</v>
      </c>
      <c r="M10" s="11"/>
    </row>
    <row r="11" spans="1:16" ht="43.5" x14ac:dyDescent="0.35">
      <c r="A11" s="43"/>
      <c r="B11" s="40"/>
      <c r="C11" s="4" t="s">
        <v>87</v>
      </c>
      <c r="D11" s="4" t="s">
        <v>93</v>
      </c>
      <c r="E11" s="4" t="s">
        <v>209</v>
      </c>
      <c r="F11" s="4" t="s">
        <v>162</v>
      </c>
      <c r="H11" s="10" t="s">
        <v>102</v>
      </c>
      <c r="K11" s="4" t="s">
        <v>196</v>
      </c>
      <c r="L11" s="4" t="s">
        <v>198</v>
      </c>
      <c r="M11" s="11"/>
    </row>
    <row r="12" spans="1:16" x14ac:dyDescent="0.35">
      <c r="A12" s="43"/>
      <c r="B12" s="40"/>
      <c r="C12" s="4" t="s">
        <v>88</v>
      </c>
      <c r="E12" s="4" t="s">
        <v>209</v>
      </c>
      <c r="F12" s="4" t="s">
        <v>187</v>
      </c>
      <c r="H12" s="10"/>
      <c r="M12" s="11" t="s">
        <v>202</v>
      </c>
    </row>
    <row r="13" spans="1:16" x14ac:dyDescent="0.35">
      <c r="A13" s="44"/>
      <c r="B13" s="41"/>
      <c r="C13" s="12" t="s">
        <v>89</v>
      </c>
      <c r="D13" s="12"/>
      <c r="E13" s="4" t="s">
        <v>209</v>
      </c>
      <c r="F13" s="4" t="s">
        <v>143</v>
      </c>
      <c r="G13" s="12"/>
      <c r="H13" s="13" t="s">
        <v>103</v>
      </c>
      <c r="I13" s="14"/>
      <c r="J13" s="14"/>
      <c r="K13" s="14"/>
      <c r="L13" s="14"/>
      <c r="M13" s="15"/>
    </row>
    <row r="14" spans="1:16" x14ac:dyDescent="0.35">
      <c r="E14" s="26"/>
      <c r="F14" s="26"/>
    </row>
    <row r="15" spans="1:16" ht="29" x14ac:dyDescent="0.35">
      <c r="A15" s="39" t="s">
        <v>9</v>
      </c>
      <c r="B15" s="36" t="s">
        <v>11</v>
      </c>
      <c r="C15" s="6" t="s">
        <v>7</v>
      </c>
      <c r="D15" s="6" t="s">
        <v>106</v>
      </c>
      <c r="E15" s="4" t="s">
        <v>209</v>
      </c>
      <c r="F15" s="4" t="s">
        <v>150</v>
      </c>
      <c r="G15" s="6"/>
      <c r="H15" s="8"/>
      <c r="I15" s="8"/>
      <c r="J15" s="8"/>
      <c r="K15" s="8"/>
      <c r="L15" s="8"/>
      <c r="M15" s="9"/>
    </row>
    <row r="16" spans="1:16" x14ac:dyDescent="0.35">
      <c r="A16" s="40"/>
      <c r="B16" s="37"/>
      <c r="C16" s="4" t="s">
        <v>18</v>
      </c>
      <c r="D16" s="4" t="s">
        <v>107</v>
      </c>
      <c r="E16" s="4" t="s">
        <v>209</v>
      </c>
      <c r="F16" s="4" t="s">
        <v>187</v>
      </c>
      <c r="M16" s="11"/>
    </row>
    <row r="17" spans="1:13" x14ac:dyDescent="0.35">
      <c r="A17" s="40"/>
      <c r="B17" s="37"/>
      <c r="C17" s="4" t="s">
        <v>19</v>
      </c>
      <c r="E17" s="4" t="s">
        <v>209</v>
      </c>
      <c r="F17" s="4" t="s">
        <v>143</v>
      </c>
      <c r="M17" s="11"/>
    </row>
    <row r="18" spans="1:13" x14ac:dyDescent="0.35">
      <c r="A18" s="40"/>
      <c r="B18" s="37"/>
      <c r="C18" s="4" t="s">
        <v>104</v>
      </c>
      <c r="D18" s="4" t="s">
        <v>108</v>
      </c>
      <c r="E18" s="4" t="s">
        <v>209</v>
      </c>
      <c r="F18" s="4" t="s">
        <v>160</v>
      </c>
      <c r="M18" s="11"/>
    </row>
    <row r="19" spans="1:13" x14ac:dyDescent="0.35">
      <c r="A19" s="40"/>
      <c r="B19" s="37"/>
      <c r="C19" s="4" t="s">
        <v>105</v>
      </c>
      <c r="D19" s="4" t="s">
        <v>108</v>
      </c>
      <c r="E19" s="4" t="s">
        <v>209</v>
      </c>
      <c r="F19" s="4" t="s">
        <v>160</v>
      </c>
      <c r="M19" s="11"/>
    </row>
    <row r="20" spans="1:13" ht="43.5" x14ac:dyDescent="0.35">
      <c r="A20" s="40"/>
      <c r="B20" s="38"/>
      <c r="C20" s="12" t="s">
        <v>17</v>
      </c>
      <c r="D20" s="12" t="s">
        <v>109</v>
      </c>
      <c r="E20" s="4" t="s">
        <v>209</v>
      </c>
      <c r="F20" s="4" t="s">
        <v>148</v>
      </c>
      <c r="G20" s="12"/>
      <c r="H20" s="14"/>
      <c r="I20" s="14"/>
      <c r="J20" s="14"/>
      <c r="K20" s="12" t="s">
        <v>181</v>
      </c>
      <c r="L20" s="14"/>
      <c r="M20" s="15"/>
    </row>
    <row r="21" spans="1:13" x14ac:dyDescent="0.35">
      <c r="A21" s="40"/>
      <c r="E21" s="26"/>
      <c r="F21" s="26"/>
    </row>
    <row r="22" spans="1:13" ht="29" x14ac:dyDescent="0.35">
      <c r="A22" s="40"/>
      <c r="B22" s="39" t="s">
        <v>12</v>
      </c>
      <c r="C22" s="6" t="s">
        <v>7</v>
      </c>
      <c r="D22" s="6" t="s">
        <v>106</v>
      </c>
      <c r="E22" s="4" t="s">
        <v>209</v>
      </c>
      <c r="F22" s="4" t="s">
        <v>150</v>
      </c>
      <c r="G22" s="6"/>
      <c r="H22" s="8"/>
      <c r="I22" s="8"/>
      <c r="J22" s="8"/>
      <c r="K22" s="8"/>
      <c r="L22" s="8"/>
      <c r="M22" s="9"/>
    </row>
    <row r="23" spans="1:13" x14ac:dyDescent="0.35">
      <c r="A23" s="40"/>
      <c r="B23" s="40"/>
      <c r="C23" s="4" t="s">
        <v>18</v>
      </c>
      <c r="D23" s="4" t="s">
        <v>107</v>
      </c>
      <c r="E23" s="4" t="s">
        <v>209</v>
      </c>
      <c r="F23" s="4" t="s">
        <v>187</v>
      </c>
      <c r="M23" s="11"/>
    </row>
    <row r="24" spans="1:13" x14ac:dyDescent="0.35">
      <c r="A24" s="40"/>
      <c r="B24" s="40"/>
      <c r="C24" s="4" t="s">
        <v>19</v>
      </c>
      <c r="E24" s="4" t="s">
        <v>209</v>
      </c>
      <c r="F24" s="4" t="s">
        <v>143</v>
      </c>
      <c r="M24" s="11"/>
    </row>
    <row r="25" spans="1:13" x14ac:dyDescent="0.35">
      <c r="A25" s="40"/>
      <c r="B25" s="40"/>
      <c r="C25" s="4" t="s">
        <v>104</v>
      </c>
      <c r="D25" s="4" t="s">
        <v>108</v>
      </c>
      <c r="E25" s="4" t="s">
        <v>209</v>
      </c>
      <c r="F25" s="4" t="s">
        <v>160</v>
      </c>
      <c r="M25" s="11"/>
    </row>
    <row r="26" spans="1:13" x14ac:dyDescent="0.35">
      <c r="A26" s="40"/>
      <c r="B26" s="40"/>
      <c r="C26" s="4" t="s">
        <v>105</v>
      </c>
      <c r="D26" s="4" t="s">
        <v>108</v>
      </c>
      <c r="E26" s="4" t="s">
        <v>209</v>
      </c>
      <c r="F26" s="4" t="s">
        <v>160</v>
      </c>
      <c r="M26" s="11"/>
    </row>
    <row r="27" spans="1:13" ht="43.5" x14ac:dyDescent="0.35">
      <c r="A27" s="41"/>
      <c r="B27" s="41"/>
      <c r="C27" s="12" t="s">
        <v>17</v>
      </c>
      <c r="D27" s="12" t="s">
        <v>109</v>
      </c>
      <c r="E27" s="4" t="s">
        <v>209</v>
      </c>
      <c r="F27" s="4" t="s">
        <v>148</v>
      </c>
      <c r="G27" s="12"/>
      <c r="H27" s="14"/>
      <c r="I27" s="14"/>
      <c r="J27" s="14"/>
      <c r="K27" s="12" t="s">
        <v>181</v>
      </c>
      <c r="L27" s="14"/>
      <c r="M27" s="15"/>
    </row>
    <row r="28" spans="1:13" x14ac:dyDescent="0.35">
      <c r="E28" s="26"/>
      <c r="F28" s="26"/>
    </row>
    <row r="29" spans="1:13" ht="232" x14ac:dyDescent="0.35">
      <c r="A29" s="39" t="s">
        <v>13</v>
      </c>
      <c r="B29" s="39" t="s">
        <v>14</v>
      </c>
      <c r="C29" s="6" t="s">
        <v>7</v>
      </c>
      <c r="D29" s="6" t="s">
        <v>37</v>
      </c>
      <c r="E29" s="4" t="s">
        <v>209</v>
      </c>
      <c r="F29" s="4" t="s">
        <v>150</v>
      </c>
      <c r="G29" s="6"/>
      <c r="H29" s="8">
        <v>18</v>
      </c>
      <c r="I29" s="8" t="s">
        <v>112</v>
      </c>
      <c r="J29" s="8">
        <f>12*18</f>
        <v>216</v>
      </c>
      <c r="K29" s="6" t="s">
        <v>127</v>
      </c>
      <c r="L29" s="6" t="s">
        <v>147</v>
      </c>
      <c r="M29" s="9"/>
    </row>
    <row r="30" spans="1:13" ht="43.5" x14ac:dyDescent="0.35">
      <c r="A30" s="40"/>
      <c r="B30" s="40"/>
      <c r="C30" s="4" t="s">
        <v>17</v>
      </c>
      <c r="D30" s="4" t="s">
        <v>163</v>
      </c>
      <c r="E30" s="4" t="s">
        <v>209</v>
      </c>
      <c r="F30" s="4" t="s">
        <v>148</v>
      </c>
      <c r="H30" s="5">
        <v>165</v>
      </c>
      <c r="I30" s="5" t="s">
        <v>22</v>
      </c>
      <c r="J30" s="5">
        <f>165*3</f>
        <v>495</v>
      </c>
      <c r="K30" s="4" t="s">
        <v>181</v>
      </c>
      <c r="M30" s="11"/>
    </row>
    <row r="31" spans="1:13" ht="203" x14ac:dyDescent="0.35">
      <c r="A31" s="40"/>
      <c r="B31" s="40"/>
      <c r="C31" s="4" t="s">
        <v>20</v>
      </c>
      <c r="D31" s="4" t="s">
        <v>38</v>
      </c>
      <c r="E31" s="4" t="s">
        <v>209</v>
      </c>
      <c r="F31" s="4" t="s">
        <v>149</v>
      </c>
      <c r="H31" s="5">
        <v>33</v>
      </c>
      <c r="I31" s="5" t="s">
        <v>22</v>
      </c>
      <c r="J31" s="5">
        <f>33*3</f>
        <v>99</v>
      </c>
      <c r="K31" s="4" t="s">
        <v>39</v>
      </c>
      <c r="L31" s="4" t="s">
        <v>146</v>
      </c>
      <c r="M31" s="11"/>
    </row>
    <row r="32" spans="1:13" x14ac:dyDescent="0.35">
      <c r="A32" s="40"/>
      <c r="B32" s="40"/>
      <c r="C32" s="4" t="s">
        <v>36</v>
      </c>
      <c r="F32" s="24" t="s">
        <v>210</v>
      </c>
      <c r="H32" s="5">
        <v>106</v>
      </c>
      <c r="I32" s="5" t="s">
        <v>23</v>
      </c>
      <c r="J32" s="5">
        <f>106*6</f>
        <v>636</v>
      </c>
      <c r="M32" s="11"/>
    </row>
    <row r="33" spans="1:13" x14ac:dyDescent="0.35">
      <c r="A33" s="40"/>
      <c r="B33" s="40"/>
      <c r="C33" s="4" t="s">
        <v>18</v>
      </c>
      <c r="E33" s="4" t="s">
        <v>209</v>
      </c>
      <c r="F33" s="4" t="s">
        <v>187</v>
      </c>
      <c r="M33" s="11"/>
    </row>
    <row r="34" spans="1:13" x14ac:dyDescent="0.35">
      <c r="A34" s="41"/>
      <c r="B34" s="41"/>
      <c r="C34" s="12" t="s">
        <v>19</v>
      </c>
      <c r="D34" s="12"/>
      <c r="E34" s="4" t="s">
        <v>209</v>
      </c>
      <c r="F34" s="4" t="s">
        <v>143</v>
      </c>
      <c r="G34" s="12"/>
      <c r="H34" s="14">
        <v>40</v>
      </c>
      <c r="I34" s="14" t="s">
        <v>22</v>
      </c>
      <c r="J34" s="14">
        <f>40*3</f>
        <v>120</v>
      </c>
      <c r="K34" s="14"/>
      <c r="L34" s="14"/>
      <c r="M34" s="15"/>
    </row>
    <row r="35" spans="1:13" x14ac:dyDescent="0.35">
      <c r="E35" s="26"/>
      <c r="F35" s="26"/>
    </row>
    <row r="36" spans="1:13" ht="232" x14ac:dyDescent="0.35">
      <c r="A36" s="39" t="s">
        <v>15</v>
      </c>
      <c r="B36" s="39" t="s">
        <v>16</v>
      </c>
      <c r="C36" s="6" t="s">
        <v>7</v>
      </c>
      <c r="D36" s="6" t="s">
        <v>33</v>
      </c>
      <c r="E36" s="4" t="s">
        <v>209</v>
      </c>
      <c r="F36" s="4" t="s">
        <v>150</v>
      </c>
      <c r="G36" s="6"/>
      <c r="H36" s="8">
        <v>22</v>
      </c>
      <c r="I36" s="8" t="s">
        <v>24</v>
      </c>
      <c r="J36" s="8">
        <f>22*24</f>
        <v>528</v>
      </c>
      <c r="K36" s="6" t="s">
        <v>127</v>
      </c>
      <c r="L36" s="6" t="s">
        <v>147</v>
      </c>
      <c r="M36" s="9"/>
    </row>
    <row r="37" spans="1:13" ht="43.5" x14ac:dyDescent="0.35">
      <c r="A37" s="40"/>
      <c r="B37" s="40"/>
      <c r="C37" s="4" t="s">
        <v>17</v>
      </c>
      <c r="D37" s="4" t="s">
        <v>34</v>
      </c>
      <c r="E37" s="4" t="s">
        <v>209</v>
      </c>
      <c r="F37" s="4" t="s">
        <v>161</v>
      </c>
      <c r="H37" s="5">
        <v>310</v>
      </c>
      <c r="I37" s="5" t="s">
        <v>23</v>
      </c>
      <c r="J37" s="5">
        <f>310*6</f>
        <v>1860</v>
      </c>
      <c r="K37" s="4" t="s">
        <v>181</v>
      </c>
      <c r="M37" s="11"/>
    </row>
    <row r="38" spans="1:13" ht="203" x14ac:dyDescent="0.35">
      <c r="A38" s="40"/>
      <c r="B38" s="40"/>
      <c r="C38" s="4" t="s">
        <v>20</v>
      </c>
      <c r="D38" s="4" t="s">
        <v>32</v>
      </c>
      <c r="E38" s="4" t="s">
        <v>209</v>
      </c>
      <c r="F38" s="4" t="s">
        <v>149</v>
      </c>
      <c r="H38" s="5">
        <v>45</v>
      </c>
      <c r="I38" s="5" t="s">
        <v>23</v>
      </c>
      <c r="J38" s="5">
        <f>45*6</f>
        <v>270</v>
      </c>
      <c r="K38" s="4" t="s">
        <v>39</v>
      </c>
      <c r="L38" s="4" t="s">
        <v>146</v>
      </c>
      <c r="M38" s="16"/>
    </row>
    <row r="39" spans="1:13" ht="130.5" x14ac:dyDescent="0.35">
      <c r="A39" s="40"/>
      <c r="B39" s="40"/>
      <c r="C39" s="4" t="s">
        <v>21</v>
      </c>
      <c r="D39" s="4" t="s">
        <v>27</v>
      </c>
      <c r="E39" s="4" t="s">
        <v>209</v>
      </c>
      <c r="F39" s="4" t="s">
        <v>28</v>
      </c>
      <c r="G39" s="5"/>
      <c r="H39" s="5" t="s">
        <v>26</v>
      </c>
      <c r="I39" s="5" t="s">
        <v>23</v>
      </c>
      <c r="J39" s="5">
        <f>74*6</f>
        <v>444</v>
      </c>
      <c r="L39" s="4" t="s">
        <v>35</v>
      </c>
      <c r="M39" s="11"/>
    </row>
    <row r="40" spans="1:13" x14ac:dyDescent="0.35">
      <c r="A40" s="40"/>
      <c r="B40" s="40"/>
      <c r="C40" s="4" t="s">
        <v>18</v>
      </c>
      <c r="D40" s="4" t="s">
        <v>30</v>
      </c>
      <c r="E40" s="4" t="s">
        <v>209</v>
      </c>
      <c r="F40" s="4" t="s">
        <v>187</v>
      </c>
      <c r="M40" s="11"/>
    </row>
    <row r="41" spans="1:13" x14ac:dyDescent="0.35">
      <c r="A41" s="41"/>
      <c r="B41" s="41"/>
      <c r="C41" s="12" t="s">
        <v>19</v>
      </c>
      <c r="D41" s="12" t="s">
        <v>29</v>
      </c>
      <c r="E41" s="4" t="s">
        <v>209</v>
      </c>
      <c r="F41" s="4" t="s">
        <v>143</v>
      </c>
      <c r="G41" s="12"/>
      <c r="H41" s="14">
        <v>35</v>
      </c>
      <c r="I41" s="14" t="s">
        <v>22</v>
      </c>
      <c r="J41" s="14">
        <f>35*3</f>
        <v>105</v>
      </c>
      <c r="K41" s="14"/>
      <c r="L41" s="14"/>
      <c r="M41" s="15"/>
    </row>
    <row r="42" spans="1:13" x14ac:dyDescent="0.35">
      <c r="E42" s="26"/>
      <c r="F42" s="26"/>
    </row>
    <row r="43" spans="1:13" ht="232" x14ac:dyDescent="0.35">
      <c r="A43" s="42" t="s">
        <v>40</v>
      </c>
      <c r="B43" s="39" t="s">
        <v>41</v>
      </c>
      <c r="C43" s="17" t="s">
        <v>7</v>
      </c>
      <c r="D43" s="6" t="s">
        <v>111</v>
      </c>
      <c r="E43" s="4" t="s">
        <v>209</v>
      </c>
      <c r="F43" s="4" t="s">
        <v>150</v>
      </c>
      <c r="G43" s="6"/>
      <c r="H43" s="8"/>
      <c r="I43" s="8" t="s">
        <v>112</v>
      </c>
      <c r="J43" s="8"/>
      <c r="K43" s="6" t="s">
        <v>127</v>
      </c>
      <c r="L43" s="6" t="s">
        <v>147</v>
      </c>
      <c r="M43" s="9"/>
    </row>
    <row r="44" spans="1:13" x14ac:dyDescent="0.35">
      <c r="A44" s="43"/>
      <c r="B44" s="40"/>
      <c r="C44" s="18" t="s">
        <v>118</v>
      </c>
      <c r="D44" s="4" t="s">
        <v>113</v>
      </c>
      <c r="E44" s="4" t="s">
        <v>209</v>
      </c>
      <c r="F44" s="4" t="s">
        <v>151</v>
      </c>
      <c r="I44" s="5" t="s">
        <v>22</v>
      </c>
      <c r="M44" s="11"/>
    </row>
    <row r="45" spans="1:13" x14ac:dyDescent="0.35">
      <c r="A45" s="43"/>
      <c r="B45" s="40"/>
      <c r="C45" s="18" t="s">
        <v>114</v>
      </c>
      <c r="D45" s="4" t="s">
        <v>115</v>
      </c>
      <c r="E45" s="4" t="s">
        <v>209</v>
      </c>
      <c r="F45" s="4" t="s">
        <v>154</v>
      </c>
      <c r="I45" s="5" t="s">
        <v>22</v>
      </c>
      <c r="M45" s="11"/>
    </row>
    <row r="46" spans="1:13" x14ac:dyDescent="0.35">
      <c r="A46" s="43"/>
      <c r="B46" s="40"/>
      <c r="C46" s="18" t="s">
        <v>116</v>
      </c>
      <c r="D46" s="4" t="s">
        <v>115</v>
      </c>
      <c r="E46" s="4" t="s">
        <v>209</v>
      </c>
      <c r="F46" s="4" t="s">
        <v>154</v>
      </c>
      <c r="I46" s="5" t="s">
        <v>22</v>
      </c>
      <c r="M46" s="11"/>
    </row>
    <row r="47" spans="1:13" ht="43.5" x14ac:dyDescent="0.35">
      <c r="A47" s="43"/>
      <c r="B47" s="40"/>
      <c r="C47" s="18" t="s">
        <v>135</v>
      </c>
      <c r="E47" s="4" t="s">
        <v>209</v>
      </c>
      <c r="F47" s="4" t="s">
        <v>153</v>
      </c>
      <c r="K47" s="4" t="s">
        <v>155</v>
      </c>
      <c r="L47" s="4" t="s">
        <v>159</v>
      </c>
      <c r="M47" s="11"/>
    </row>
    <row r="48" spans="1:13" x14ac:dyDescent="0.35">
      <c r="A48" s="43"/>
      <c r="B48" s="40"/>
      <c r="C48" s="18" t="s">
        <v>19</v>
      </c>
      <c r="D48" s="4" t="s">
        <v>117</v>
      </c>
      <c r="E48" s="4" t="s">
        <v>209</v>
      </c>
      <c r="F48" s="4" t="s">
        <v>143</v>
      </c>
      <c r="I48" s="5" t="s">
        <v>22</v>
      </c>
      <c r="M48" s="11"/>
    </row>
    <row r="49" spans="1:13" ht="43.5" x14ac:dyDescent="0.35">
      <c r="A49" s="43"/>
      <c r="B49" s="40"/>
      <c r="C49" s="18" t="s">
        <v>152</v>
      </c>
      <c r="E49" s="4" t="s">
        <v>209</v>
      </c>
      <c r="F49" s="4" t="s">
        <v>153</v>
      </c>
      <c r="K49" s="4" t="s">
        <v>160</v>
      </c>
      <c r="M49" s="11" t="s">
        <v>156</v>
      </c>
    </row>
    <row r="50" spans="1:13" x14ac:dyDescent="0.35">
      <c r="A50" s="43"/>
      <c r="B50" s="41"/>
      <c r="C50" s="19" t="s">
        <v>18</v>
      </c>
      <c r="D50" s="12"/>
      <c r="E50" s="4" t="s">
        <v>209</v>
      </c>
      <c r="F50" s="4" t="s">
        <v>187</v>
      </c>
      <c r="G50" s="12"/>
      <c r="H50" s="14"/>
      <c r="I50" s="14"/>
      <c r="J50" s="14"/>
      <c r="K50" s="14"/>
      <c r="L50" s="14"/>
      <c r="M50" s="15"/>
    </row>
    <row r="51" spans="1:13" x14ac:dyDescent="0.35">
      <c r="A51" s="40"/>
      <c r="E51" s="26"/>
      <c r="F51" s="26"/>
    </row>
    <row r="52" spans="1:13" ht="232" x14ac:dyDescent="0.35">
      <c r="A52" s="40"/>
      <c r="B52" s="39" t="s">
        <v>42</v>
      </c>
      <c r="C52" s="17" t="s">
        <v>7</v>
      </c>
      <c r="D52" s="20" t="s">
        <v>126</v>
      </c>
      <c r="E52" s="4" t="s">
        <v>209</v>
      </c>
      <c r="F52" s="4" t="s">
        <v>150</v>
      </c>
      <c r="G52" s="6"/>
      <c r="H52" s="8">
        <v>54</v>
      </c>
      <c r="I52" s="8" t="s">
        <v>24</v>
      </c>
      <c r="J52" s="8">
        <f>54*24</f>
        <v>1296</v>
      </c>
      <c r="K52" s="6" t="s">
        <v>127</v>
      </c>
      <c r="L52" s="6" t="s">
        <v>147</v>
      </c>
      <c r="M52" s="9"/>
    </row>
    <row r="53" spans="1:13" ht="29" x14ac:dyDescent="0.35">
      <c r="A53" s="40"/>
      <c r="B53" s="40"/>
      <c r="C53" s="18" t="s">
        <v>118</v>
      </c>
      <c r="D53" s="21" t="s">
        <v>125</v>
      </c>
      <c r="E53" s="4" t="s">
        <v>209</v>
      </c>
      <c r="F53" s="4" t="s">
        <v>151</v>
      </c>
      <c r="H53" s="5">
        <v>550</v>
      </c>
      <c r="I53" s="5" t="s">
        <v>122</v>
      </c>
      <c r="J53" s="5">
        <f>550*4</f>
        <v>2200</v>
      </c>
      <c r="L53" s="4" t="s">
        <v>181</v>
      </c>
      <c r="M53" s="11"/>
    </row>
    <row r="54" spans="1:13" x14ac:dyDescent="0.35">
      <c r="A54" s="40"/>
      <c r="B54" s="40"/>
      <c r="C54" s="18" t="s">
        <v>120</v>
      </c>
      <c r="D54" s="21" t="s">
        <v>124</v>
      </c>
      <c r="E54" s="4" t="s">
        <v>209</v>
      </c>
      <c r="F54" s="4" t="s">
        <v>160</v>
      </c>
      <c r="I54" s="5" t="s">
        <v>23</v>
      </c>
      <c r="M54" s="11"/>
    </row>
    <row r="55" spans="1:13" x14ac:dyDescent="0.35">
      <c r="A55" s="40"/>
      <c r="B55" s="40"/>
      <c r="C55" s="18" t="s">
        <v>121</v>
      </c>
      <c r="D55" s="21" t="s">
        <v>124</v>
      </c>
      <c r="E55" s="4" t="s">
        <v>209</v>
      </c>
      <c r="F55" s="4" t="s">
        <v>160</v>
      </c>
      <c r="I55" s="5" t="s">
        <v>23</v>
      </c>
      <c r="M55" s="11"/>
    </row>
    <row r="56" spans="1:13" x14ac:dyDescent="0.35">
      <c r="A56" s="40"/>
      <c r="B56" s="40"/>
      <c r="C56" s="18" t="s">
        <v>19</v>
      </c>
      <c r="D56" s="21" t="s">
        <v>123</v>
      </c>
      <c r="E56" s="4" t="s">
        <v>209</v>
      </c>
      <c r="F56" s="4" t="s">
        <v>143</v>
      </c>
      <c r="I56" s="5" t="s">
        <v>23</v>
      </c>
      <c r="M56" s="11"/>
    </row>
    <row r="57" spans="1:13" x14ac:dyDescent="0.35">
      <c r="A57" s="40"/>
      <c r="B57" s="41"/>
      <c r="C57" s="19" t="s">
        <v>18</v>
      </c>
      <c r="D57" s="12" t="s">
        <v>119</v>
      </c>
      <c r="E57" s="4" t="s">
        <v>209</v>
      </c>
      <c r="F57" s="4" t="s">
        <v>187</v>
      </c>
      <c r="G57" s="12"/>
      <c r="H57" s="14"/>
      <c r="I57" s="14"/>
      <c r="J57" s="14"/>
      <c r="K57" s="14"/>
      <c r="L57" s="14"/>
      <c r="M57" s="15"/>
    </row>
    <row r="58" spans="1:13" x14ac:dyDescent="0.35">
      <c r="A58" s="40"/>
      <c r="E58" s="26"/>
      <c r="F58" s="26"/>
    </row>
    <row r="59" spans="1:13" ht="232" x14ac:dyDescent="0.35">
      <c r="A59" s="40"/>
      <c r="B59" s="39" t="s">
        <v>43</v>
      </c>
      <c r="C59" s="17" t="s">
        <v>7</v>
      </c>
      <c r="D59" s="20" t="s">
        <v>126</v>
      </c>
      <c r="E59" s="4" t="s">
        <v>209</v>
      </c>
      <c r="F59" s="4" t="s">
        <v>150</v>
      </c>
      <c r="G59" s="6"/>
      <c r="H59" s="8">
        <v>54</v>
      </c>
      <c r="I59" s="8" t="s">
        <v>24</v>
      </c>
      <c r="J59" s="8">
        <f>54*24</f>
        <v>1296</v>
      </c>
      <c r="K59" s="6" t="s">
        <v>127</v>
      </c>
      <c r="L59" s="6" t="s">
        <v>147</v>
      </c>
      <c r="M59" s="9"/>
    </row>
    <row r="60" spans="1:13" ht="29" x14ac:dyDescent="0.35">
      <c r="A60" s="40"/>
      <c r="B60" s="40"/>
      <c r="C60" s="18" t="s">
        <v>118</v>
      </c>
      <c r="D60" s="21" t="s">
        <v>125</v>
      </c>
      <c r="E60" s="4" t="s">
        <v>209</v>
      </c>
      <c r="F60" s="4" t="s">
        <v>151</v>
      </c>
      <c r="H60" s="5">
        <v>720</v>
      </c>
      <c r="I60" s="5" t="s">
        <v>122</v>
      </c>
      <c r="J60" s="5">
        <f>720*4</f>
        <v>2880</v>
      </c>
      <c r="L60" s="4" t="s">
        <v>181</v>
      </c>
      <c r="M60" s="11"/>
    </row>
    <row r="61" spans="1:13" x14ac:dyDescent="0.35">
      <c r="A61" s="40"/>
      <c r="B61" s="40"/>
      <c r="C61" s="18" t="s">
        <v>120</v>
      </c>
      <c r="D61" s="21" t="s">
        <v>128</v>
      </c>
      <c r="E61" s="4" t="s">
        <v>209</v>
      </c>
      <c r="F61" s="4" t="s">
        <v>142</v>
      </c>
      <c r="H61" s="5">
        <v>40</v>
      </c>
      <c r="I61" s="5" t="s">
        <v>23</v>
      </c>
      <c r="J61" s="5">
        <f>40*6</f>
        <v>240</v>
      </c>
      <c r="L61" s="4" t="s">
        <v>193</v>
      </c>
      <c r="M61" s="11"/>
    </row>
    <row r="62" spans="1:13" x14ac:dyDescent="0.35">
      <c r="A62" s="40"/>
      <c r="B62" s="40"/>
      <c r="C62" s="18" t="s">
        <v>121</v>
      </c>
      <c r="D62" s="21" t="s">
        <v>128</v>
      </c>
      <c r="E62" s="4" t="s">
        <v>209</v>
      </c>
      <c r="F62" s="4" t="s">
        <v>142</v>
      </c>
      <c r="H62" s="5">
        <v>140</v>
      </c>
      <c r="I62" s="5" t="s">
        <v>23</v>
      </c>
      <c r="J62" s="5">
        <f>140*6</f>
        <v>840</v>
      </c>
      <c r="L62" s="4" t="s">
        <v>193</v>
      </c>
      <c r="M62" s="11"/>
    </row>
    <row r="63" spans="1:13" x14ac:dyDescent="0.35">
      <c r="A63" s="40"/>
      <c r="B63" s="40"/>
      <c r="C63" s="18" t="s">
        <v>19</v>
      </c>
      <c r="D63" s="21" t="s">
        <v>123</v>
      </c>
      <c r="E63" s="4" t="s">
        <v>209</v>
      </c>
      <c r="F63" s="4" t="s">
        <v>143</v>
      </c>
      <c r="H63" s="5">
        <v>60</v>
      </c>
      <c r="I63" s="5" t="s">
        <v>23</v>
      </c>
      <c r="J63" s="5">
        <f>60*6</f>
        <v>360</v>
      </c>
      <c r="M63" s="11"/>
    </row>
    <row r="64" spans="1:13" x14ac:dyDescent="0.35">
      <c r="A64" s="41"/>
      <c r="B64" s="41"/>
      <c r="C64" s="19" t="s">
        <v>18</v>
      </c>
      <c r="D64" s="12" t="s">
        <v>119</v>
      </c>
      <c r="E64" s="4" t="s">
        <v>209</v>
      </c>
      <c r="F64" s="4" t="s">
        <v>187</v>
      </c>
      <c r="G64" s="12"/>
      <c r="H64" s="14"/>
      <c r="I64" s="14"/>
      <c r="J64" s="14"/>
      <c r="K64" s="14"/>
      <c r="L64" s="14"/>
      <c r="M64" s="15"/>
    </row>
    <row r="65" spans="1:13" x14ac:dyDescent="0.35">
      <c r="E65" s="26"/>
      <c r="F65" s="26"/>
    </row>
    <row r="66" spans="1:13" ht="29" x14ac:dyDescent="0.35">
      <c r="A66" s="39" t="s">
        <v>44</v>
      </c>
      <c r="B66" s="39" t="s">
        <v>45</v>
      </c>
      <c r="C66" s="17" t="s">
        <v>129</v>
      </c>
      <c r="D66" s="29" t="s">
        <v>133</v>
      </c>
      <c r="E66" s="34" t="s">
        <v>205</v>
      </c>
      <c r="F66" s="34" t="s">
        <v>210</v>
      </c>
      <c r="G66" s="6"/>
      <c r="H66" s="8">
        <v>511</v>
      </c>
      <c r="I66" s="8" t="s">
        <v>112</v>
      </c>
      <c r="J66" s="8">
        <f>511*12</f>
        <v>6132</v>
      </c>
      <c r="K66" s="8"/>
      <c r="L66" s="33" t="s">
        <v>203</v>
      </c>
      <c r="M66" s="32" t="s">
        <v>211</v>
      </c>
    </row>
    <row r="67" spans="1:13" ht="29" x14ac:dyDescent="0.35">
      <c r="A67" s="40"/>
      <c r="B67" s="40"/>
      <c r="C67" s="18" t="s">
        <v>130</v>
      </c>
      <c r="D67" s="22" t="s">
        <v>133</v>
      </c>
      <c r="E67" s="34" t="s">
        <v>205</v>
      </c>
      <c r="F67" s="34" t="s">
        <v>210</v>
      </c>
      <c r="H67" s="5" t="s">
        <v>138</v>
      </c>
      <c r="I67" s="5" t="s">
        <v>112</v>
      </c>
      <c r="J67" s="5">
        <f>370*2*12</f>
        <v>8880</v>
      </c>
      <c r="L67" s="34" t="s">
        <v>203</v>
      </c>
      <c r="M67" s="32" t="s">
        <v>211</v>
      </c>
    </row>
    <row r="68" spans="1:13" x14ac:dyDescent="0.35">
      <c r="A68" s="40"/>
      <c r="B68" s="40"/>
      <c r="C68" s="18" t="s">
        <v>131</v>
      </c>
      <c r="D68" s="4" t="s">
        <v>134</v>
      </c>
      <c r="E68" s="4" t="s">
        <v>209</v>
      </c>
      <c r="F68" s="4" t="s">
        <v>140</v>
      </c>
      <c r="H68" s="5" t="s">
        <v>139</v>
      </c>
      <c r="I68" s="5" t="s">
        <v>112</v>
      </c>
      <c r="J68" s="5">
        <f>490*2*12</f>
        <v>11760</v>
      </c>
      <c r="L68" s="4" t="s">
        <v>194</v>
      </c>
      <c r="M68" s="11"/>
    </row>
    <row r="69" spans="1:13" ht="29" x14ac:dyDescent="0.35">
      <c r="A69" s="40"/>
      <c r="B69" s="40"/>
      <c r="C69" s="18" t="s">
        <v>132</v>
      </c>
      <c r="D69" s="22" t="s">
        <v>133</v>
      </c>
      <c r="E69" s="34" t="s">
        <v>205</v>
      </c>
      <c r="F69" s="34" t="s">
        <v>210</v>
      </c>
      <c r="H69" s="5">
        <v>757</v>
      </c>
      <c r="I69" s="5" t="s">
        <v>112</v>
      </c>
      <c r="J69" s="5">
        <f>757*12</f>
        <v>9084</v>
      </c>
      <c r="L69" s="34" t="s">
        <v>203</v>
      </c>
      <c r="M69" s="32" t="s">
        <v>211</v>
      </c>
    </row>
    <row r="70" spans="1:13" ht="58" x14ac:dyDescent="0.35">
      <c r="A70" s="40"/>
      <c r="B70" s="40"/>
      <c r="C70" s="18" t="s">
        <v>188</v>
      </c>
      <c r="E70" s="4" t="s">
        <v>209</v>
      </c>
      <c r="F70" s="4" t="s">
        <v>190</v>
      </c>
      <c r="M70" s="11"/>
    </row>
    <row r="71" spans="1:13" x14ac:dyDescent="0.35">
      <c r="A71" s="40"/>
      <c r="B71" s="40"/>
      <c r="C71" s="18" t="s">
        <v>189</v>
      </c>
      <c r="E71" s="4" t="s">
        <v>209</v>
      </c>
      <c r="F71" s="4" t="s">
        <v>187</v>
      </c>
      <c r="M71" s="11"/>
    </row>
    <row r="72" spans="1:13" x14ac:dyDescent="0.35">
      <c r="A72" s="40"/>
      <c r="B72" s="41"/>
      <c r="C72" s="19" t="s">
        <v>135</v>
      </c>
      <c r="D72" s="12" t="s">
        <v>136</v>
      </c>
      <c r="E72" s="34" t="s">
        <v>212</v>
      </c>
      <c r="F72" s="34" t="s">
        <v>212</v>
      </c>
      <c r="G72" s="12"/>
      <c r="H72" s="14"/>
      <c r="I72" s="14" t="s">
        <v>137</v>
      </c>
      <c r="J72" s="14"/>
      <c r="K72" s="14"/>
      <c r="L72" s="14"/>
      <c r="M72" s="15"/>
    </row>
    <row r="73" spans="1:13" x14ac:dyDescent="0.35">
      <c r="A73" s="40"/>
      <c r="D73" s="26"/>
      <c r="E73" s="26"/>
      <c r="F73" s="26"/>
    </row>
    <row r="74" spans="1:13" ht="29" x14ac:dyDescent="0.35">
      <c r="A74" s="40"/>
      <c r="B74" s="39" t="s">
        <v>46</v>
      </c>
      <c r="C74" s="17" t="s">
        <v>129</v>
      </c>
      <c r="D74" s="22" t="s">
        <v>133</v>
      </c>
      <c r="E74" s="34" t="s">
        <v>205</v>
      </c>
      <c r="F74" s="34" t="s">
        <v>210</v>
      </c>
      <c r="G74" s="6"/>
      <c r="H74" s="8">
        <v>1000</v>
      </c>
      <c r="I74" s="8" t="s">
        <v>112</v>
      </c>
      <c r="J74" s="8">
        <f>1000*12</f>
        <v>12000</v>
      </c>
      <c r="K74" s="8"/>
      <c r="L74" s="29" t="s">
        <v>203</v>
      </c>
      <c r="M74" s="32" t="s">
        <v>211</v>
      </c>
    </row>
    <row r="75" spans="1:13" ht="29" x14ac:dyDescent="0.35">
      <c r="A75" s="40"/>
      <c r="B75" s="40"/>
      <c r="C75" s="18" t="s">
        <v>130</v>
      </c>
      <c r="D75" s="22" t="s">
        <v>133</v>
      </c>
      <c r="E75" s="34" t="s">
        <v>205</v>
      </c>
      <c r="F75" s="34" t="s">
        <v>210</v>
      </c>
      <c r="H75" s="5" t="s">
        <v>144</v>
      </c>
      <c r="I75" s="5" t="s">
        <v>112</v>
      </c>
      <c r="J75" s="5">
        <f>370*2*12</f>
        <v>8880</v>
      </c>
      <c r="L75" s="22" t="s">
        <v>203</v>
      </c>
      <c r="M75" s="32" t="s">
        <v>211</v>
      </c>
    </row>
    <row r="76" spans="1:13" x14ac:dyDescent="0.35">
      <c r="A76" s="40"/>
      <c r="B76" s="40"/>
      <c r="C76" s="18" t="s">
        <v>131</v>
      </c>
      <c r="D76" s="4" t="s">
        <v>134</v>
      </c>
      <c r="E76" s="4" t="s">
        <v>209</v>
      </c>
      <c r="F76" s="4" t="s">
        <v>140</v>
      </c>
      <c r="H76" s="5" t="s">
        <v>145</v>
      </c>
      <c r="I76" s="5" t="s">
        <v>112</v>
      </c>
      <c r="J76" s="5">
        <f>850*2*12</f>
        <v>20400</v>
      </c>
      <c r="L76" s="4" t="s">
        <v>194</v>
      </c>
      <c r="M76" s="11"/>
    </row>
    <row r="77" spans="1:13" ht="29" x14ac:dyDescent="0.35">
      <c r="A77" s="40"/>
      <c r="B77" s="40"/>
      <c r="C77" s="18" t="s">
        <v>132</v>
      </c>
      <c r="D77" s="22" t="s">
        <v>133</v>
      </c>
      <c r="E77" s="34" t="s">
        <v>205</v>
      </c>
      <c r="F77" s="34" t="s">
        <v>210</v>
      </c>
      <c r="H77" s="5">
        <v>450</v>
      </c>
      <c r="I77" s="5" t="s">
        <v>112</v>
      </c>
      <c r="J77" s="5">
        <f>450*12</f>
        <v>5400</v>
      </c>
      <c r="L77" s="22" t="s">
        <v>203</v>
      </c>
      <c r="M77" s="32" t="s">
        <v>211</v>
      </c>
    </row>
    <row r="78" spans="1:13" ht="58" x14ac:dyDescent="0.35">
      <c r="A78" s="40"/>
      <c r="B78" s="40"/>
      <c r="C78" s="18" t="s">
        <v>188</v>
      </c>
      <c r="E78" s="4" t="s">
        <v>209</v>
      </c>
      <c r="F78" s="4" t="s">
        <v>190</v>
      </c>
      <c r="M78" s="11"/>
    </row>
    <row r="79" spans="1:13" x14ac:dyDescent="0.35">
      <c r="A79" s="41"/>
      <c r="B79" s="41"/>
      <c r="C79" s="18" t="s">
        <v>200</v>
      </c>
      <c r="E79" s="4" t="s">
        <v>209</v>
      </c>
      <c r="F79" s="4" t="s">
        <v>187</v>
      </c>
      <c r="M79" s="11"/>
    </row>
    <row r="80" spans="1:13" x14ac:dyDescent="0.35">
      <c r="C80" s="26"/>
      <c r="D80" s="26"/>
      <c r="E80" s="26"/>
      <c r="F80" s="26"/>
      <c r="G80" s="26"/>
      <c r="H80" s="27"/>
      <c r="I80" s="27"/>
      <c r="J80" s="27"/>
      <c r="K80" s="27"/>
      <c r="L80" s="27"/>
      <c r="M80" s="28"/>
    </row>
    <row r="81" spans="1:13" ht="232" x14ac:dyDescent="0.35">
      <c r="A81" s="39" t="s">
        <v>47</v>
      </c>
      <c r="B81" s="36" t="s">
        <v>48</v>
      </c>
      <c r="C81" s="4" t="s">
        <v>7</v>
      </c>
      <c r="D81" s="4" t="s">
        <v>51</v>
      </c>
      <c r="E81" s="4" t="s">
        <v>209</v>
      </c>
      <c r="F81" s="4" t="s">
        <v>150</v>
      </c>
      <c r="H81" s="5">
        <v>212</v>
      </c>
      <c r="I81" s="5" t="s">
        <v>24</v>
      </c>
      <c r="J81" s="5">
        <f>212*24</f>
        <v>5088</v>
      </c>
      <c r="K81" s="4" t="s">
        <v>127</v>
      </c>
      <c r="L81" s="4" t="s">
        <v>147</v>
      </c>
      <c r="M81" s="11"/>
    </row>
    <row r="82" spans="1:13" ht="29" x14ac:dyDescent="0.35">
      <c r="A82" s="40"/>
      <c r="B82" s="37"/>
      <c r="C82" s="4" t="s">
        <v>53</v>
      </c>
      <c r="D82" s="4" t="s">
        <v>52</v>
      </c>
      <c r="E82" s="4" t="s">
        <v>209</v>
      </c>
      <c r="F82" s="4" t="s">
        <v>158</v>
      </c>
      <c r="H82" s="5">
        <v>50</v>
      </c>
      <c r="I82" s="5" t="s">
        <v>65</v>
      </c>
      <c r="J82" s="5">
        <f>50*2</f>
        <v>100</v>
      </c>
      <c r="M82" s="11"/>
    </row>
    <row r="83" spans="1:13" ht="29" x14ac:dyDescent="0.35">
      <c r="A83" s="40"/>
      <c r="B83" s="37"/>
      <c r="C83" s="4" t="s">
        <v>54</v>
      </c>
      <c r="D83" s="4" t="s">
        <v>55</v>
      </c>
      <c r="E83" s="22" t="s">
        <v>199</v>
      </c>
      <c r="F83" s="4" t="s">
        <v>157</v>
      </c>
      <c r="H83" s="5">
        <v>1000</v>
      </c>
      <c r="I83" s="5" t="s">
        <v>64</v>
      </c>
      <c r="J83" s="5">
        <f>1000*6/5</f>
        <v>1200</v>
      </c>
      <c r="M83" s="11"/>
    </row>
    <row r="84" spans="1:13" ht="29" x14ac:dyDescent="0.35">
      <c r="A84" s="40"/>
      <c r="B84" s="37"/>
      <c r="C84" s="4" t="s">
        <v>56</v>
      </c>
      <c r="D84" s="4" t="s">
        <v>55</v>
      </c>
      <c r="E84" s="22" t="s">
        <v>199</v>
      </c>
      <c r="F84" s="4" t="s">
        <v>157</v>
      </c>
      <c r="H84" s="5">
        <v>170</v>
      </c>
      <c r="I84" s="5" t="s">
        <v>64</v>
      </c>
      <c r="J84" s="5">
        <f>170*6/5</f>
        <v>204</v>
      </c>
      <c r="M84" s="11"/>
    </row>
    <row r="85" spans="1:13" x14ac:dyDescent="0.35">
      <c r="A85" s="40"/>
      <c r="B85" s="37"/>
      <c r="C85" s="4" t="s">
        <v>57</v>
      </c>
      <c r="E85" s="4" t="s">
        <v>209</v>
      </c>
      <c r="F85" s="4" t="s">
        <v>187</v>
      </c>
      <c r="H85" s="5">
        <v>30</v>
      </c>
      <c r="M85" s="11"/>
    </row>
    <row r="86" spans="1:13" x14ac:dyDescent="0.35">
      <c r="A86" s="40"/>
      <c r="B86" s="37"/>
      <c r="C86" s="22" t="s">
        <v>58</v>
      </c>
      <c r="D86" s="4" t="s">
        <v>60</v>
      </c>
      <c r="E86" s="34" t="s">
        <v>199</v>
      </c>
      <c r="F86" s="34" t="s">
        <v>191</v>
      </c>
      <c r="H86" s="5">
        <v>36</v>
      </c>
      <c r="M86" s="11"/>
    </row>
    <row r="87" spans="1:13" x14ac:dyDescent="0.35">
      <c r="A87" s="40"/>
      <c r="B87" s="37"/>
      <c r="C87" s="22" t="s">
        <v>59</v>
      </c>
      <c r="D87" s="4" t="s">
        <v>61</v>
      </c>
      <c r="E87" s="34" t="s">
        <v>199</v>
      </c>
      <c r="F87" s="34" t="s">
        <v>192</v>
      </c>
      <c r="H87" s="5" t="s">
        <v>62</v>
      </c>
      <c r="M87" s="11"/>
    </row>
    <row r="88" spans="1:13" x14ac:dyDescent="0.35">
      <c r="A88" s="40"/>
      <c r="B88" s="38"/>
      <c r="C88" s="12" t="s">
        <v>19</v>
      </c>
      <c r="D88" s="12" t="s">
        <v>63</v>
      </c>
      <c r="E88" s="4" t="s">
        <v>209</v>
      </c>
      <c r="F88" s="4" t="s">
        <v>143</v>
      </c>
      <c r="G88" s="12"/>
      <c r="H88" s="14"/>
      <c r="I88" s="14"/>
      <c r="J88" s="14"/>
      <c r="K88" s="14"/>
      <c r="L88" s="14"/>
      <c r="M88" s="15"/>
    </row>
    <row r="89" spans="1:13" x14ac:dyDescent="0.35">
      <c r="A89" s="40"/>
      <c r="E89" s="26"/>
      <c r="F89" s="26"/>
    </row>
    <row r="90" spans="1:13" ht="232" x14ac:dyDescent="0.35">
      <c r="A90" s="40"/>
      <c r="B90" s="36" t="s">
        <v>49</v>
      </c>
      <c r="C90" s="6" t="s">
        <v>7</v>
      </c>
      <c r="D90" s="6" t="s">
        <v>51</v>
      </c>
      <c r="E90" s="4" t="s">
        <v>209</v>
      </c>
      <c r="F90" s="4" t="s">
        <v>150</v>
      </c>
      <c r="G90" s="6"/>
      <c r="H90" s="8">
        <v>212</v>
      </c>
      <c r="I90" s="8" t="s">
        <v>24</v>
      </c>
      <c r="J90" s="8">
        <f>212*24</f>
        <v>5088</v>
      </c>
      <c r="K90" s="6" t="s">
        <v>127</v>
      </c>
      <c r="L90" s="6" t="s">
        <v>147</v>
      </c>
      <c r="M90" s="9"/>
    </row>
    <row r="91" spans="1:13" x14ac:dyDescent="0.35">
      <c r="A91" s="40"/>
      <c r="B91" s="37"/>
      <c r="C91" s="4" t="s">
        <v>19</v>
      </c>
      <c r="D91" s="4" t="s">
        <v>63</v>
      </c>
      <c r="E91" s="4" t="s">
        <v>209</v>
      </c>
      <c r="F91" s="4" t="s">
        <v>143</v>
      </c>
      <c r="H91" s="5">
        <v>480</v>
      </c>
      <c r="J91" s="5">
        <f>50*2</f>
        <v>100</v>
      </c>
      <c r="M91" s="11"/>
    </row>
    <row r="92" spans="1:13" ht="29" x14ac:dyDescent="0.35">
      <c r="A92" s="40"/>
      <c r="B92" s="37"/>
      <c r="C92" s="4" t="s">
        <v>53</v>
      </c>
      <c r="D92" s="4" t="s">
        <v>52</v>
      </c>
      <c r="E92" s="4" t="s">
        <v>209</v>
      </c>
      <c r="F92" s="4" t="s">
        <v>158</v>
      </c>
      <c r="H92" s="5">
        <v>50</v>
      </c>
      <c r="I92" s="5" t="s">
        <v>65</v>
      </c>
      <c r="J92" s="5">
        <f>1000*6/5</f>
        <v>1200</v>
      </c>
      <c r="M92" s="11"/>
    </row>
    <row r="93" spans="1:13" ht="29" x14ac:dyDescent="0.35">
      <c r="A93" s="40"/>
      <c r="B93" s="37"/>
      <c r="C93" s="4" t="s">
        <v>54</v>
      </c>
      <c r="D93" s="4" t="s">
        <v>55</v>
      </c>
      <c r="E93" s="34" t="s">
        <v>199</v>
      </c>
      <c r="F93" s="34" t="s">
        <v>157</v>
      </c>
      <c r="H93" s="5">
        <v>1000</v>
      </c>
      <c r="I93" s="5" t="s">
        <v>64</v>
      </c>
      <c r="J93" s="5">
        <f>170*6/5</f>
        <v>204</v>
      </c>
      <c r="M93" s="11"/>
    </row>
    <row r="94" spans="1:13" ht="29" x14ac:dyDescent="0.35">
      <c r="A94" s="40"/>
      <c r="B94" s="37"/>
      <c r="C94" s="4" t="s">
        <v>56</v>
      </c>
      <c r="D94" s="4" t="s">
        <v>55</v>
      </c>
      <c r="E94" s="34" t="s">
        <v>199</v>
      </c>
      <c r="F94" s="34" t="s">
        <v>157</v>
      </c>
      <c r="H94" s="5">
        <v>170</v>
      </c>
      <c r="I94" s="5" t="s">
        <v>64</v>
      </c>
      <c r="M94" s="11"/>
    </row>
    <row r="95" spans="1:13" x14ac:dyDescent="0.35">
      <c r="A95" s="40"/>
      <c r="B95" s="37"/>
      <c r="C95" s="4" t="s">
        <v>57</v>
      </c>
      <c r="E95" s="4" t="s">
        <v>209</v>
      </c>
      <c r="F95" s="4" t="s">
        <v>187</v>
      </c>
      <c r="H95" s="5">
        <v>30</v>
      </c>
      <c r="M95" s="11"/>
    </row>
    <row r="96" spans="1:13" x14ac:dyDescent="0.35">
      <c r="A96" s="40"/>
      <c r="B96" s="37"/>
      <c r="C96" s="22" t="s">
        <v>58</v>
      </c>
      <c r="D96" s="4" t="s">
        <v>60</v>
      </c>
      <c r="E96" s="34" t="s">
        <v>199</v>
      </c>
      <c r="F96" s="34" t="s">
        <v>191</v>
      </c>
      <c r="H96" s="5">
        <v>36</v>
      </c>
      <c r="M96" s="11"/>
    </row>
    <row r="97" spans="1:13" x14ac:dyDescent="0.35">
      <c r="A97" s="40"/>
      <c r="B97" s="38"/>
      <c r="C97" s="23" t="s">
        <v>59</v>
      </c>
      <c r="D97" s="12" t="s">
        <v>61</v>
      </c>
      <c r="E97" s="34" t="s">
        <v>199</v>
      </c>
      <c r="F97" s="34" t="s">
        <v>192</v>
      </c>
      <c r="G97" s="12"/>
      <c r="H97" s="14" t="s">
        <v>62</v>
      </c>
      <c r="I97" s="14"/>
      <c r="J97" s="14"/>
      <c r="K97" s="14"/>
      <c r="L97" s="14"/>
      <c r="M97" s="15"/>
    </row>
    <row r="98" spans="1:13" x14ac:dyDescent="0.35">
      <c r="A98" s="40"/>
      <c r="E98" s="26"/>
      <c r="F98" s="26"/>
    </row>
    <row r="99" spans="1:13" ht="43.5" x14ac:dyDescent="0.35">
      <c r="A99" s="40"/>
      <c r="B99" s="36" t="s">
        <v>50</v>
      </c>
      <c r="C99" s="6" t="s">
        <v>7</v>
      </c>
      <c r="D99" s="6" t="s">
        <v>70</v>
      </c>
      <c r="E99" s="4" t="s">
        <v>209</v>
      </c>
      <c r="F99" s="4" t="s">
        <v>150</v>
      </c>
      <c r="G99" s="6"/>
      <c r="H99" s="8">
        <v>70</v>
      </c>
      <c r="I99" s="8"/>
      <c r="J99" s="8"/>
      <c r="K99" s="8"/>
      <c r="L99" s="8"/>
      <c r="M99" s="9"/>
    </row>
    <row r="100" spans="1:13" ht="29" x14ac:dyDescent="0.35">
      <c r="A100" s="40"/>
      <c r="B100" s="37"/>
      <c r="C100" s="4" t="s">
        <v>66</v>
      </c>
      <c r="D100" s="4" t="s">
        <v>55</v>
      </c>
      <c r="E100" s="34" t="s">
        <v>199</v>
      </c>
      <c r="F100" s="34" t="s">
        <v>157</v>
      </c>
      <c r="H100" s="5">
        <v>130</v>
      </c>
      <c r="M100" s="11"/>
    </row>
    <row r="101" spans="1:13" ht="29" x14ac:dyDescent="0.35">
      <c r="A101" s="40"/>
      <c r="B101" s="37"/>
      <c r="C101" s="4" t="s">
        <v>54</v>
      </c>
      <c r="D101" s="4" t="s">
        <v>55</v>
      </c>
      <c r="E101" s="34" t="s">
        <v>199</v>
      </c>
      <c r="F101" s="34" t="s">
        <v>157</v>
      </c>
      <c r="H101" s="5" t="s">
        <v>77</v>
      </c>
      <c r="M101" s="11"/>
    </row>
    <row r="102" spans="1:13" x14ac:dyDescent="0.35">
      <c r="A102" s="40"/>
      <c r="B102" s="37"/>
      <c r="C102" s="4" t="s">
        <v>19</v>
      </c>
      <c r="D102" s="4" t="s">
        <v>71</v>
      </c>
      <c r="E102" s="4" t="s">
        <v>209</v>
      </c>
      <c r="F102" s="4" t="s">
        <v>143</v>
      </c>
      <c r="H102" s="5">
        <v>160</v>
      </c>
      <c r="M102" s="11"/>
    </row>
    <row r="103" spans="1:13" ht="29" x14ac:dyDescent="0.35">
      <c r="A103" s="40"/>
      <c r="B103" s="37"/>
      <c r="C103" s="4" t="s">
        <v>67</v>
      </c>
      <c r="D103" s="4" t="s">
        <v>72</v>
      </c>
      <c r="E103" s="34" t="s">
        <v>199</v>
      </c>
      <c r="F103" s="34" t="s">
        <v>201</v>
      </c>
      <c r="H103" s="5">
        <v>43</v>
      </c>
      <c r="M103" s="16" t="s">
        <v>164</v>
      </c>
    </row>
    <row r="104" spans="1:13" ht="43.5" x14ac:dyDescent="0.35">
      <c r="A104" s="40"/>
      <c r="B104" s="37"/>
      <c r="C104" s="4" t="s">
        <v>68</v>
      </c>
      <c r="D104" s="4" t="s">
        <v>73</v>
      </c>
      <c r="E104" s="4" t="s">
        <v>209</v>
      </c>
      <c r="F104" s="5" t="s">
        <v>187</v>
      </c>
      <c r="M104" s="11"/>
    </row>
    <row r="105" spans="1:13" ht="43.5" x14ac:dyDescent="0.35">
      <c r="A105" s="40"/>
      <c r="B105" s="37"/>
      <c r="C105" s="22" t="s">
        <v>74</v>
      </c>
      <c r="D105" s="4" t="s">
        <v>75</v>
      </c>
      <c r="E105" s="22" t="s">
        <v>199</v>
      </c>
      <c r="F105" s="25" t="s">
        <v>191</v>
      </c>
      <c r="M105" s="11"/>
    </row>
    <row r="106" spans="1:13" ht="29" x14ac:dyDescent="0.35">
      <c r="A106" s="40"/>
      <c r="B106" s="38"/>
      <c r="C106" s="12" t="s">
        <v>69</v>
      </c>
      <c r="D106" s="12" t="s">
        <v>55</v>
      </c>
      <c r="E106" s="34" t="s">
        <v>199</v>
      </c>
      <c r="F106" s="34" t="s">
        <v>157</v>
      </c>
      <c r="G106" s="12"/>
      <c r="H106" s="14" t="s">
        <v>76</v>
      </c>
      <c r="I106" s="14"/>
      <c r="J106" s="14"/>
      <c r="K106" s="14"/>
      <c r="L106" s="14"/>
      <c r="M106" s="15"/>
    </row>
    <row r="107" spans="1:13" x14ac:dyDescent="0.35">
      <c r="A107" s="40"/>
      <c r="E107" s="26"/>
      <c r="F107" s="26"/>
    </row>
    <row r="108" spans="1:13" x14ac:dyDescent="0.35">
      <c r="A108" s="40"/>
      <c r="B108" s="36" t="s">
        <v>166</v>
      </c>
      <c r="C108" s="6" t="s">
        <v>7</v>
      </c>
      <c r="D108" s="6" t="s">
        <v>168</v>
      </c>
      <c r="E108" s="4" t="s">
        <v>209</v>
      </c>
      <c r="F108" s="4" t="s">
        <v>150</v>
      </c>
      <c r="G108" s="6"/>
      <c r="H108" s="8">
        <v>26</v>
      </c>
      <c r="I108" s="8" t="s">
        <v>169</v>
      </c>
      <c r="J108" s="8"/>
      <c r="K108" s="8"/>
      <c r="L108" s="8"/>
      <c r="M108" s="9"/>
    </row>
    <row r="109" spans="1:13" x14ac:dyDescent="0.35">
      <c r="A109" s="40"/>
      <c r="B109" s="37"/>
      <c r="C109" s="4" t="s">
        <v>66</v>
      </c>
      <c r="D109" s="4" t="s">
        <v>171</v>
      </c>
      <c r="E109" s="4" t="s">
        <v>209</v>
      </c>
      <c r="F109" s="4" t="s">
        <v>160</v>
      </c>
      <c r="H109" s="5">
        <v>12</v>
      </c>
      <c r="I109" s="5" t="s">
        <v>170</v>
      </c>
      <c r="M109" s="11" t="s">
        <v>174</v>
      </c>
    </row>
    <row r="110" spans="1:13" x14ac:dyDescent="0.35">
      <c r="A110" s="40"/>
      <c r="B110" s="37"/>
      <c r="C110" s="4" t="s">
        <v>19</v>
      </c>
      <c r="E110" s="4" t="s">
        <v>209</v>
      </c>
      <c r="F110" s="4" t="s">
        <v>143</v>
      </c>
      <c r="M110" s="11"/>
    </row>
    <row r="111" spans="1:13" x14ac:dyDescent="0.35">
      <c r="A111" s="40"/>
      <c r="B111" s="38"/>
      <c r="C111" s="12" t="s">
        <v>21</v>
      </c>
      <c r="D111" s="12" t="s">
        <v>171</v>
      </c>
      <c r="E111" s="4" t="s">
        <v>209</v>
      </c>
      <c r="F111" s="4" t="s">
        <v>160</v>
      </c>
      <c r="G111" s="12"/>
      <c r="H111" s="14" t="s">
        <v>173</v>
      </c>
      <c r="I111" s="14" t="s">
        <v>172</v>
      </c>
      <c r="J111" s="14"/>
      <c r="K111" s="14"/>
      <c r="L111" s="14"/>
      <c r="M111" s="15" t="s">
        <v>174</v>
      </c>
    </row>
    <row r="112" spans="1:13" x14ac:dyDescent="0.35">
      <c r="A112" s="40"/>
      <c r="E112" s="26"/>
      <c r="F112" s="26"/>
    </row>
    <row r="113" spans="1:13" x14ac:dyDescent="0.35">
      <c r="A113" s="40"/>
      <c r="B113" s="36" t="s">
        <v>167</v>
      </c>
      <c r="C113" s="6" t="s">
        <v>7</v>
      </c>
      <c r="D113" s="6" t="s">
        <v>175</v>
      </c>
      <c r="E113" s="4" t="s">
        <v>209</v>
      </c>
      <c r="F113" s="4" t="s">
        <v>150</v>
      </c>
      <c r="G113" s="6"/>
      <c r="H113" s="8"/>
      <c r="I113" s="8"/>
      <c r="J113" s="8"/>
      <c r="K113" s="8"/>
      <c r="L113" s="8"/>
      <c r="M113" s="9"/>
    </row>
    <row r="114" spans="1:13" x14ac:dyDescent="0.35">
      <c r="A114" s="40"/>
      <c r="B114" s="37"/>
      <c r="C114" s="4" t="s">
        <v>66</v>
      </c>
      <c r="D114" s="4" t="s">
        <v>171</v>
      </c>
      <c r="E114" s="4" t="s">
        <v>209</v>
      </c>
      <c r="F114" s="4" t="s">
        <v>160</v>
      </c>
      <c r="M114" s="11"/>
    </row>
    <row r="115" spans="1:13" x14ac:dyDescent="0.35">
      <c r="A115" s="40"/>
      <c r="B115" s="37"/>
      <c r="C115" s="4" t="s">
        <v>19</v>
      </c>
      <c r="E115" s="4" t="s">
        <v>209</v>
      </c>
      <c r="F115" s="4" t="s">
        <v>143</v>
      </c>
      <c r="M115" s="11"/>
    </row>
    <row r="116" spans="1:13" x14ac:dyDescent="0.35">
      <c r="A116" s="40"/>
      <c r="B116" s="38"/>
      <c r="C116" s="12" t="s">
        <v>21</v>
      </c>
      <c r="D116" s="12" t="s">
        <v>171</v>
      </c>
      <c r="E116" s="4" t="s">
        <v>209</v>
      </c>
      <c r="F116" s="4" t="s">
        <v>160</v>
      </c>
      <c r="G116" s="12"/>
      <c r="H116" s="14"/>
      <c r="I116" s="14"/>
      <c r="J116" s="14"/>
      <c r="K116" s="14"/>
      <c r="L116" s="14"/>
      <c r="M116" s="15"/>
    </row>
    <row r="117" spans="1:13" x14ac:dyDescent="0.35">
      <c r="A117" s="40"/>
      <c r="E117" s="26"/>
      <c r="F117" s="26"/>
    </row>
    <row r="118" spans="1:13" x14ac:dyDescent="0.35">
      <c r="A118" s="40"/>
      <c r="B118" s="36" t="s">
        <v>165</v>
      </c>
      <c r="C118" s="30" t="s">
        <v>207</v>
      </c>
      <c r="D118" s="6" t="s">
        <v>178</v>
      </c>
      <c r="E118" s="34" t="s">
        <v>205</v>
      </c>
      <c r="F118" s="34" t="s">
        <v>180</v>
      </c>
      <c r="G118" s="6"/>
      <c r="H118" s="8">
        <v>6.4</v>
      </c>
      <c r="I118" s="8"/>
      <c r="J118" s="8"/>
      <c r="K118" s="8"/>
      <c r="L118" s="8"/>
      <c r="M118" s="9" t="s">
        <v>206</v>
      </c>
    </row>
    <row r="119" spans="1:13" x14ac:dyDescent="0.35">
      <c r="A119" s="40"/>
      <c r="B119" s="37"/>
      <c r="C119" s="31" t="s">
        <v>208</v>
      </c>
      <c r="D119" s="4" t="s">
        <v>179</v>
      </c>
      <c r="E119" s="4" t="s">
        <v>209</v>
      </c>
      <c r="F119" s="4" t="s">
        <v>150</v>
      </c>
      <c r="H119" s="5">
        <v>6</v>
      </c>
      <c r="M119" s="11" t="s">
        <v>206</v>
      </c>
    </row>
    <row r="120" spans="1:13" x14ac:dyDescent="0.35">
      <c r="A120" s="40"/>
      <c r="B120" s="37"/>
      <c r="C120" s="18" t="s">
        <v>182</v>
      </c>
      <c r="D120" s="4" t="s">
        <v>185</v>
      </c>
      <c r="E120" s="4" t="s">
        <v>209</v>
      </c>
      <c r="F120" s="4" t="s">
        <v>160</v>
      </c>
      <c r="H120" s="5">
        <v>3.2</v>
      </c>
      <c r="M120" s="11"/>
    </row>
    <row r="121" spans="1:13" x14ac:dyDescent="0.35">
      <c r="A121" s="40"/>
      <c r="B121" s="37"/>
      <c r="C121" s="18" t="s">
        <v>176</v>
      </c>
      <c r="D121" s="4" t="s">
        <v>186</v>
      </c>
      <c r="E121" s="4" t="s">
        <v>209</v>
      </c>
      <c r="F121" s="4" t="s">
        <v>160</v>
      </c>
      <c r="M121" s="11"/>
    </row>
    <row r="122" spans="1:13" x14ac:dyDescent="0.35">
      <c r="A122" s="41"/>
      <c r="B122" s="38"/>
      <c r="C122" s="19" t="s">
        <v>177</v>
      </c>
      <c r="D122" s="12" t="s">
        <v>184</v>
      </c>
      <c r="E122" s="35" t="s">
        <v>205</v>
      </c>
      <c r="F122" s="35" t="s">
        <v>183</v>
      </c>
      <c r="G122" s="12"/>
      <c r="H122" s="14"/>
      <c r="I122" s="14"/>
      <c r="J122" s="14"/>
      <c r="K122" s="14"/>
      <c r="L122" s="14"/>
      <c r="M122" s="15"/>
    </row>
  </sheetData>
  <mergeCells count="23">
    <mergeCell ref="B2:B13"/>
    <mergeCell ref="A2:A13"/>
    <mergeCell ref="B15:B20"/>
    <mergeCell ref="B22:B27"/>
    <mergeCell ref="A15:A27"/>
    <mergeCell ref="B29:B34"/>
    <mergeCell ref="A29:A34"/>
    <mergeCell ref="A43:A64"/>
    <mergeCell ref="B43:B50"/>
    <mergeCell ref="B52:B57"/>
    <mergeCell ref="B59:B64"/>
    <mergeCell ref="B108:B111"/>
    <mergeCell ref="B113:B116"/>
    <mergeCell ref="B118:B122"/>
    <mergeCell ref="A81:A122"/>
    <mergeCell ref="B36:B41"/>
    <mergeCell ref="A36:A41"/>
    <mergeCell ref="A66:A79"/>
    <mergeCell ref="B90:B97"/>
    <mergeCell ref="B81:B88"/>
    <mergeCell ref="B99:B106"/>
    <mergeCell ref="B66:B72"/>
    <mergeCell ref="B74:B79"/>
  </mergeCells>
  <phoneticPr fontId="1" type="noConversion"/>
  <pageMargins left="0.7" right="0.7" top="0.75" bottom="0.75" header="0.3" footer="0.3"/>
  <pageSetup orientation="portrait" r:id="rId1"/>
  <ignoredErrors>
    <ignoredError sqref="H5:H8 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Мошкин Сергей Николаевич</dc:creator>
  <cp:lastModifiedBy>Мошкин Сергей Николаевич</cp:lastModifiedBy>
  <dcterms:created xsi:type="dcterms:W3CDTF">2026-07-22T12:31:08Z</dcterms:created>
  <dcterms:modified xsi:type="dcterms:W3CDTF">2026-08-03T08:46:43Z</dcterms:modified>
</cp:coreProperties>
</file>