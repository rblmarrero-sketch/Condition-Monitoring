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827" codeName="{0730EB3F-75F1-03CD-C966-41DC9FD4AD36}"/>
  <workbookPr filterPrivacy="1" showInkAnnotation="0" codeName="ThisWorkbook" defaultThemeVersion="124226"/>
  <xr:revisionPtr revIDLastSave="0" documentId="13_ncr:1_{A3CB14CD-9B3A-40BF-B2D2-B0744899E15B}" xr6:coauthVersionLast="47" xr6:coauthVersionMax="47" xr10:uidLastSave="{00000000-0000-0000-0000-000000000000}"/>
  <bookViews>
    <workbookView xWindow="14190" yWindow="-21945" windowWidth="38640" windowHeight="21120" tabRatio="683" firstSheet="2" activeTab="4" xr2:uid="{00000000-000D-0000-FFFF-FFFF00000000}"/>
  </bookViews>
  <sheets>
    <sheet name="Label" sheetId="80" r:id="rId1"/>
    <sheet name="Data" sheetId="79" r:id="rId2"/>
    <sheet name="Summary" sheetId="82" r:id="rId3"/>
    <sheet name="Comparison" sheetId="83" r:id="rId4"/>
    <sheet name="Lube Frequency BMSK" sheetId="77" r:id="rId5"/>
    <sheet name="Lube Legend" sheetId="81" r:id="rId6"/>
    <sheet name="Crushing" sheetId="69" r:id="rId7"/>
    <sheet name="All Equipment" sheetId="78" r:id="rId8"/>
    <sheet name="HM400-3MO" sheetId="71" r:id="rId9"/>
    <sheet name="NHL TR60" sheetId="72" r:id="rId10"/>
    <sheet name="PC800-8EO" sheetId="73" r:id="rId11"/>
    <sheet name="PC2000-8" sheetId="74" r:id="rId12"/>
    <sheet name="D9R" sheetId="76" r:id="rId13"/>
    <sheet name="EX1200" sheetId="75" r:id="rId14"/>
    <sheet name="K D275" sheetId="66" r:id="rId15"/>
    <sheet name="KGD825-2" sheetId="67" r:id="rId16"/>
    <sheet name="Indicator" sheetId="84" r:id="rId17"/>
    <sheet name="Template indicator" sheetId="85" r:id="rId18"/>
    <sheet name="Using table (old)" sheetId="86" r:id="rId19"/>
    <sheet name="Using table" sheetId="87" r:id="rId20"/>
    <sheet name="Using table New" sheetId="88" r:id="rId21"/>
  </sheets>
  <functionGroups builtInGroupCount="19"/>
  <definedNames>
    <definedName name="_xlnm._FilterDatabase" localSheetId="1" hidden="1">Data!$A$1:$M$508</definedName>
    <definedName name="_xlnm._FilterDatabase" localSheetId="16" hidden="1">Indicator!$A$1:$E$24</definedName>
    <definedName name="_xlnm._FilterDatabase" localSheetId="4" hidden="1">'Lube Frequency BMSK'!$A$2:$JG$192</definedName>
    <definedName name="EPIROCDML" localSheetId="6">#REF!</definedName>
    <definedName name="EPIROCDML">#REF!</definedName>
    <definedName name="fghfg" localSheetId="7">#REF!</definedName>
    <definedName name="fghfg" localSheetId="6">#REF!</definedName>
    <definedName name="fghfg" localSheetId="12">#REF!</definedName>
    <definedName name="fghfg" localSheetId="13">#REF!</definedName>
    <definedName name="fghfg" localSheetId="8">#REF!</definedName>
    <definedName name="fghfg" localSheetId="14">#REF!</definedName>
    <definedName name="fghfg" localSheetId="15">#REF!</definedName>
    <definedName name="fghfg" localSheetId="4">#REF!</definedName>
    <definedName name="fghfg" localSheetId="9">#REF!</definedName>
    <definedName name="fghfg" localSheetId="11">#REF!</definedName>
    <definedName name="fghfg" localSheetId="10">#REF!</definedName>
    <definedName name="fghfg">#REF!</definedName>
    <definedName name="_xlnm.Print_Area" localSheetId="7">'All Equipment'!$A$1:$K$39</definedName>
    <definedName name="_xlnm.Print_Area" localSheetId="6">Crushing!$A$1:$O$25</definedName>
    <definedName name="_xlnm.Print_Area" localSheetId="12">D9R!$A$1:$K$39</definedName>
    <definedName name="_xlnm.Print_Area" localSheetId="1">Data!$A$1:$K$612</definedName>
    <definedName name="_xlnm.Print_Area" localSheetId="13">'EX1200'!$A$1:$K$39</definedName>
    <definedName name="_xlnm.Print_Area" localSheetId="8">'HM400-3MO'!$A$1:$K$39</definedName>
    <definedName name="_xlnm.Print_Area" localSheetId="14">'K D275'!$A$1:$K$42</definedName>
    <definedName name="_xlnm.Print_Area" localSheetId="15">'KGD825-2'!$A$1:$K$42</definedName>
    <definedName name="_xlnm.Print_Area" localSheetId="0">Label!$A$1:$F$9</definedName>
    <definedName name="_xlnm.Print_Area" localSheetId="4">'Lube Frequency BMSK'!$B$1:$LB$151</definedName>
    <definedName name="_xlnm.Print_Area" localSheetId="9">'NHL TR60'!$A$1:$K$39</definedName>
    <definedName name="_xlnm.Print_Area" localSheetId="11">'PC2000-8'!$A$1:$K$39</definedName>
    <definedName name="_xlnm.Print_Area" localSheetId="10">'PC800-8EO'!$A$1:$K$39</definedName>
    <definedName name="z" localSheetId="7">#REF!</definedName>
    <definedName name="z" localSheetId="6">#REF!</definedName>
    <definedName name="z" localSheetId="12">#REF!</definedName>
    <definedName name="z" localSheetId="13">#REF!</definedName>
    <definedName name="z" localSheetId="8">#REF!</definedName>
    <definedName name="z" localSheetId="14">#REF!</definedName>
    <definedName name="z" localSheetId="15">#REF!</definedName>
    <definedName name="z" localSheetId="4">#REF!</definedName>
    <definedName name="z" localSheetId="9">#REF!</definedName>
    <definedName name="z" localSheetId="11">#REF!</definedName>
    <definedName name="z" localSheetId="10">#REF!</definedName>
    <definedName name="z">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T123" i="77" l="1"/>
  <c r="GT122" i="77"/>
  <c r="DO120" i="77" l="1"/>
  <c r="DK120" i="77"/>
  <c r="DO119" i="77"/>
  <c r="DK119" i="77"/>
  <c r="W88" i="77" l="1"/>
  <c r="V88" i="77"/>
  <c r="P88" i="77"/>
  <c r="Q88" i="77"/>
  <c r="N88" i="77"/>
  <c r="I187" i="77" l="1" a="1"/>
  <c r="I187" i="77" s="1"/>
  <c r="I186" i="77" a="1"/>
  <c r="I186" i="77" s="1"/>
  <c r="J186" i="77" s="1"/>
  <c r="K186" i="77" s="1"/>
  <c r="I185" i="77" a="1"/>
  <c r="I185" i="77" s="1"/>
  <c r="I184" i="77" a="1"/>
  <c r="I184" i="77" s="1"/>
  <c r="I183" i="77" a="1"/>
  <c r="I183" i="77" s="1"/>
  <c r="I182" i="77" a="1"/>
  <c r="I182" i="77" s="1"/>
  <c r="I181" i="77" a="1"/>
  <c r="I181" i="77" s="1"/>
  <c r="I180" i="77" a="1"/>
  <c r="I180" i="77" s="1"/>
  <c r="I179" i="77" a="1"/>
  <c r="I179" i="77" s="1"/>
  <c r="I178" i="77" a="1"/>
  <c r="I178" i="77" s="1"/>
  <c r="I177" i="77" a="1"/>
  <c r="I177" i="77" s="1"/>
  <c r="J177" i="77" s="1"/>
  <c r="K177" i="77" s="1"/>
  <c r="I176" i="77" a="1"/>
  <c r="I176" i="77" s="1"/>
  <c r="J176" i="77" s="1"/>
  <c r="K176" i="77" s="1"/>
  <c r="I175" i="77" a="1"/>
  <c r="I175" i="77" s="1"/>
  <c r="I174" i="77" a="1"/>
  <c r="I174" i="77" s="1"/>
  <c r="I173" i="77" a="1"/>
  <c r="I173" i="77" s="1"/>
  <c r="I172" i="77" a="1"/>
  <c r="I172" i="77" s="1"/>
  <c r="I171" i="77" a="1"/>
  <c r="I171" i="77" s="1"/>
  <c r="I170" i="77" a="1"/>
  <c r="I170" i="77" s="1"/>
  <c r="I169" i="77" a="1"/>
  <c r="I169" i="77" s="1"/>
  <c r="I168" i="77" a="1"/>
  <c r="I168" i="77" s="1"/>
  <c r="I167" i="77" a="1"/>
  <c r="I167" i="77" s="1"/>
  <c r="I166" i="77" a="1"/>
  <c r="I166" i="77" s="1"/>
  <c r="I165" i="77" a="1"/>
  <c r="I165" i="77" s="1"/>
  <c r="I164" i="77" a="1"/>
  <c r="I164" i="77" s="1"/>
  <c r="I163" i="77" a="1"/>
  <c r="I163" i="77" s="1"/>
  <c r="J163" i="77" s="1"/>
  <c r="K163" i="77" s="1"/>
  <c r="I162" i="77" a="1"/>
  <c r="I162" i="77" s="1"/>
  <c r="I161" i="77" a="1"/>
  <c r="I161" i="77" s="1"/>
  <c r="I160" i="77" a="1"/>
  <c r="I160" i="77" s="1"/>
  <c r="I159" i="77" a="1"/>
  <c r="I159" i="77" s="1"/>
  <c r="I158" i="77" a="1"/>
  <c r="I158" i="77" s="1"/>
  <c r="I157" i="77" a="1"/>
  <c r="I157" i="77" s="1"/>
  <c r="I156" i="77" a="1"/>
  <c r="I156" i="77" s="1"/>
  <c r="I155" i="77" a="1"/>
  <c r="I155" i="77" s="1"/>
  <c r="I154" i="77" a="1"/>
  <c r="I154" i="77" s="1"/>
  <c r="J154" i="77" s="1"/>
  <c r="K154" i="77" s="1"/>
  <c r="I153" i="77" a="1"/>
  <c r="I153" i="77" s="1"/>
  <c r="I152" i="77" a="1"/>
  <c r="I152" i="77" s="1"/>
  <c r="I151" i="77" a="1"/>
  <c r="I151" i="77" s="1"/>
  <c r="I150" i="77" a="1"/>
  <c r="I150" i="77" s="1"/>
  <c r="I149" i="77" a="1"/>
  <c r="I149" i="77" s="1"/>
  <c r="I148" i="77" a="1"/>
  <c r="I148" i="77" s="1"/>
  <c r="I147" i="77" a="1"/>
  <c r="I147" i="77" s="1"/>
  <c r="I146" i="77" a="1"/>
  <c r="I146" i="77" s="1"/>
  <c r="J146" i="77" s="1"/>
  <c r="K146" i="77" s="1"/>
  <c r="I145" i="77" a="1"/>
  <c r="I145" i="77" s="1"/>
  <c r="I144" i="77" a="1"/>
  <c r="I144" i="77" s="1"/>
  <c r="J144" i="77" s="1"/>
  <c r="K144" i="77" s="1"/>
  <c r="I143" i="77" a="1"/>
  <c r="I143" i="77" s="1"/>
  <c r="I142" i="77" a="1"/>
  <c r="I142" i="77" s="1"/>
  <c r="J142" i="77" s="1"/>
  <c r="K142" i="77" s="1"/>
  <c r="I141" i="77" a="1"/>
  <c r="I141" i="77" s="1"/>
  <c r="I140" i="77" a="1"/>
  <c r="I140" i="77" s="1"/>
  <c r="I139" i="77" a="1"/>
  <c r="I139" i="77" s="1"/>
  <c r="I138" i="77" a="1"/>
  <c r="I138" i="77" s="1"/>
  <c r="I137" i="77" a="1"/>
  <c r="I137" i="77" s="1"/>
  <c r="I136" i="77" a="1"/>
  <c r="I136" i="77" s="1"/>
  <c r="I135" i="77" a="1"/>
  <c r="I135" i="77" s="1"/>
  <c r="I134" i="77" a="1"/>
  <c r="I134" i="77" s="1"/>
  <c r="J134" i="77" s="1"/>
  <c r="K134" i="77" s="1"/>
  <c r="I133" i="77" a="1"/>
  <c r="I133" i="77" s="1"/>
  <c r="I132" i="77" a="1"/>
  <c r="I132" i="77" s="1"/>
  <c r="I131" i="77" a="1"/>
  <c r="I131" i="77" s="1"/>
  <c r="I130" i="77" a="1"/>
  <c r="I130" i="77" s="1"/>
  <c r="I129" i="77" a="1"/>
  <c r="I129" i="77" s="1"/>
  <c r="I128" i="77" a="1"/>
  <c r="I128" i="77" s="1"/>
  <c r="I127" i="77" a="1"/>
  <c r="I127" i="77" s="1"/>
  <c r="I126" i="77" a="1"/>
  <c r="I126" i="77" s="1"/>
  <c r="I125" i="77" a="1"/>
  <c r="I125" i="77" s="1"/>
  <c r="I124" i="77" a="1"/>
  <c r="I124" i="77" s="1"/>
  <c r="I123" i="77" a="1"/>
  <c r="I123" i="77" s="1"/>
  <c r="I122" i="77" a="1"/>
  <c r="I122" i="77" s="1"/>
  <c r="I120" i="77" a="1"/>
  <c r="I120" i="77" s="1"/>
  <c r="J120" i="77" s="1"/>
  <c r="K120" i="77" s="1"/>
  <c r="I119" i="77" a="1"/>
  <c r="I119" i="77" s="1"/>
  <c r="I118" i="77" a="1"/>
  <c r="I118" i="77" s="1"/>
  <c r="I117" i="77" a="1"/>
  <c r="I117" i="77" s="1"/>
  <c r="I116" i="77" a="1"/>
  <c r="I116" i="77" s="1"/>
  <c r="J116" i="77" s="1"/>
  <c r="K116" i="77" s="1"/>
  <c r="I115" i="77" a="1"/>
  <c r="I115" i="77" s="1"/>
  <c r="J115" i="77" s="1"/>
  <c r="K115" i="77" s="1"/>
  <c r="I114" i="77" a="1"/>
  <c r="I114" i="77" s="1"/>
  <c r="I113" i="77" a="1"/>
  <c r="I113" i="77" s="1"/>
  <c r="I112" i="77" a="1"/>
  <c r="I112" i="77" s="1"/>
  <c r="J112" i="77" s="1"/>
  <c r="K112" i="77" s="1"/>
  <c r="I111" i="77" a="1"/>
  <c r="I111" i="77" s="1"/>
  <c r="I110" i="77" a="1"/>
  <c r="I110" i="77" s="1"/>
  <c r="I109" i="77" a="1"/>
  <c r="I109" i="77" s="1"/>
  <c r="I108" i="77" a="1"/>
  <c r="I108" i="77" s="1"/>
  <c r="I107" i="77" a="1"/>
  <c r="I107" i="77" s="1"/>
  <c r="J107" i="77" s="1"/>
  <c r="K107" i="77" s="1"/>
  <c r="I106" i="77" a="1"/>
  <c r="I106" i="77" s="1"/>
  <c r="I105" i="77" a="1"/>
  <c r="I105" i="77" s="1"/>
  <c r="I104" i="77" a="1"/>
  <c r="I104" i="77" s="1"/>
  <c r="I103" i="77" a="1"/>
  <c r="I103" i="77" s="1"/>
  <c r="J103" i="77" s="1"/>
  <c r="K103" i="77" s="1"/>
  <c r="I102" i="77" a="1"/>
  <c r="I102" i="77" s="1"/>
  <c r="I101" i="77" a="1"/>
  <c r="I101" i="77" s="1"/>
  <c r="I100" i="77" a="1"/>
  <c r="I100" i="77" s="1"/>
  <c r="I99" i="77" a="1"/>
  <c r="I99" i="77" s="1"/>
  <c r="I98" i="77" a="1"/>
  <c r="I98" i="77" s="1"/>
  <c r="J98" i="77" s="1"/>
  <c r="K98" i="77" s="1"/>
  <c r="I97" i="77" a="1"/>
  <c r="I97" i="77" s="1"/>
  <c r="I96" i="77" a="1"/>
  <c r="I96" i="77" s="1"/>
  <c r="I95" i="77" a="1"/>
  <c r="I95" i="77" s="1"/>
  <c r="I94" i="77" a="1"/>
  <c r="I94" i="77" s="1"/>
  <c r="I93" i="77" a="1"/>
  <c r="I93" i="77" s="1"/>
  <c r="I92" i="77" a="1"/>
  <c r="I92" i="77" s="1"/>
  <c r="I91" i="77" a="1"/>
  <c r="I91" i="77" s="1"/>
  <c r="I90" i="77" a="1"/>
  <c r="I90" i="77" s="1"/>
  <c r="I89" i="77" a="1"/>
  <c r="I89" i="77" s="1"/>
  <c r="I88" i="77" a="1"/>
  <c r="I88" i="77" s="1"/>
  <c r="J88" i="77" s="1"/>
  <c r="K88" i="77" s="1"/>
  <c r="I87" i="77" a="1"/>
  <c r="I87" i="77" s="1"/>
  <c r="I86" i="77" a="1"/>
  <c r="I86" i="77" s="1"/>
  <c r="I85" i="77" a="1"/>
  <c r="I85" i="77" s="1"/>
  <c r="I84" i="77" a="1"/>
  <c r="I84" i="77" s="1"/>
  <c r="J84" i="77" s="1"/>
  <c r="K84" i="77" s="1"/>
  <c r="I83" i="77" a="1"/>
  <c r="I83" i="77" s="1"/>
  <c r="I82" i="77" a="1"/>
  <c r="I82" i="77" s="1"/>
  <c r="I81" i="77" a="1"/>
  <c r="I81" i="77" s="1"/>
  <c r="I80" i="77" a="1"/>
  <c r="I80" i="77" s="1"/>
  <c r="I79" i="77" a="1"/>
  <c r="I79" i="77" s="1"/>
  <c r="J79" i="77" s="1"/>
  <c r="K79" i="77" s="1"/>
  <c r="I78" i="77" a="1"/>
  <c r="I78" i="77" s="1"/>
  <c r="I77" i="77" a="1"/>
  <c r="I77" i="77" s="1"/>
  <c r="I76" i="77" a="1"/>
  <c r="I76" i="77" s="1"/>
  <c r="I75" i="77" a="1"/>
  <c r="I75" i="77" s="1"/>
  <c r="J75" i="77" s="1"/>
  <c r="K75" i="77" s="1"/>
  <c r="I74" i="77" a="1"/>
  <c r="I74" i="77" s="1"/>
  <c r="J74" i="77" s="1"/>
  <c r="K74" i="77" s="1"/>
  <c r="I73" i="77" a="1"/>
  <c r="I73" i="77" s="1"/>
  <c r="I72" i="77" a="1"/>
  <c r="I72" i="77" s="1"/>
  <c r="I71" i="77" a="1"/>
  <c r="I71" i="77" s="1"/>
  <c r="J71" i="77" s="1"/>
  <c r="K71" i="77" s="1"/>
  <c r="I70" i="77" a="1"/>
  <c r="I70" i="77" s="1"/>
  <c r="J70" i="77" s="1"/>
  <c r="K70" i="77" s="1"/>
  <c r="I69" i="77" a="1"/>
  <c r="I69" i="77" s="1"/>
  <c r="I68" i="77" a="1"/>
  <c r="I68" i="77" s="1"/>
  <c r="I67" i="77" a="1"/>
  <c r="I67" i="77" s="1"/>
  <c r="J67" i="77" s="1"/>
  <c r="K67" i="77" s="1"/>
  <c r="I66" i="77" a="1"/>
  <c r="I66" i="77" s="1"/>
  <c r="I65" i="77" a="1"/>
  <c r="I65" i="77" s="1"/>
  <c r="I64" i="77" a="1"/>
  <c r="I64" i="77" s="1"/>
  <c r="I63" i="77" a="1"/>
  <c r="I63" i="77" s="1"/>
  <c r="I62" i="77" a="1"/>
  <c r="I62" i="77" s="1"/>
  <c r="I61" i="77" a="1"/>
  <c r="I61" i="77" s="1"/>
  <c r="I60" i="77" a="1"/>
  <c r="I60" i="77" s="1"/>
  <c r="I59" i="77" a="1"/>
  <c r="I59" i="77" s="1"/>
  <c r="I58" i="77" a="1"/>
  <c r="I58" i="77" s="1"/>
  <c r="I57" i="77" a="1"/>
  <c r="I57" i="77" s="1"/>
  <c r="J57" i="77" s="1"/>
  <c r="K57" i="77" s="1"/>
  <c r="I56" i="77" a="1"/>
  <c r="I56" i="77" s="1"/>
  <c r="J56" i="77" s="1"/>
  <c r="K56" i="77" s="1"/>
  <c r="I55" i="77" a="1"/>
  <c r="I55" i="77" s="1"/>
  <c r="I54" i="77" a="1"/>
  <c r="I54" i="77" s="1"/>
  <c r="I53" i="77" a="1"/>
  <c r="I53" i="77" s="1"/>
  <c r="I52" i="77" a="1"/>
  <c r="I52" i="77" s="1"/>
  <c r="I51" i="77" a="1"/>
  <c r="I51" i="77" s="1"/>
  <c r="J51" i="77" s="1"/>
  <c r="K51" i="77" s="1"/>
  <c r="I50" i="77" a="1"/>
  <c r="I50" i="77" s="1"/>
  <c r="I49" i="77" a="1"/>
  <c r="I49" i="77" s="1"/>
  <c r="I48" i="77" a="1"/>
  <c r="I48" i="77" s="1"/>
  <c r="I47" i="77" a="1"/>
  <c r="I47" i="77" s="1"/>
  <c r="I46" i="77" a="1"/>
  <c r="I46" i="77" s="1"/>
  <c r="J46" i="77" s="1"/>
  <c r="K46" i="77" s="1"/>
  <c r="I45" i="77" a="1"/>
  <c r="I45" i="77" s="1"/>
  <c r="I44" i="77" a="1"/>
  <c r="I44" i="77" s="1"/>
  <c r="J44" i="77" s="1"/>
  <c r="K44" i="77" s="1"/>
  <c r="I43" i="77" a="1"/>
  <c r="I43" i="77" s="1"/>
  <c r="I42" i="77" a="1"/>
  <c r="I42" i="77" s="1"/>
  <c r="J42" i="77" s="1"/>
  <c r="K42" i="77" s="1"/>
  <c r="I41" i="77" a="1"/>
  <c r="I41" i="77" s="1"/>
  <c r="I40" i="77" a="1"/>
  <c r="I40" i="77" s="1"/>
  <c r="I39" i="77" a="1"/>
  <c r="I39" i="77" s="1"/>
  <c r="I38" i="77" a="1"/>
  <c r="I38" i="77" s="1"/>
  <c r="I37" i="77" a="1"/>
  <c r="I37" i="77" s="1"/>
  <c r="J37" i="77" s="1"/>
  <c r="K37" i="77" s="1"/>
  <c r="I36" i="77" a="1"/>
  <c r="I36" i="77" s="1"/>
  <c r="I35" i="77" a="1"/>
  <c r="I35" i="77" s="1"/>
  <c r="I34" i="77" a="1"/>
  <c r="I34" i="77" s="1"/>
  <c r="I33" i="77" a="1"/>
  <c r="I33" i="77" s="1"/>
  <c r="J33" i="77" s="1"/>
  <c r="K33" i="77" s="1"/>
  <c r="I32" i="77" a="1"/>
  <c r="I32" i="77" s="1"/>
  <c r="I31" i="77" a="1"/>
  <c r="I31" i="77" s="1"/>
  <c r="J31" i="77" s="1"/>
  <c r="K31" i="77" s="1"/>
  <c r="I121" i="77" a="1"/>
  <c r="I121" i="77" s="1"/>
  <c r="AE187" i="77"/>
  <c r="AC187" i="77"/>
  <c r="T187" i="77"/>
  <c r="O187" i="77"/>
  <c r="F184" i="82"/>
  <c r="G183" i="82"/>
  <c r="F183" i="82"/>
  <c r="G182" i="82"/>
  <c r="F182" i="82"/>
  <c r="G181" i="82"/>
  <c r="F181" i="82"/>
  <c r="G180" i="82"/>
  <c r="F180" i="82"/>
  <c r="G179" i="82"/>
  <c r="F179" i="82"/>
  <c r="F172" i="82"/>
  <c r="G171" i="82"/>
  <c r="F171" i="82"/>
  <c r="G170" i="82"/>
  <c r="F170" i="82"/>
  <c r="G169" i="82"/>
  <c r="F169" i="82"/>
  <c r="G168" i="82"/>
  <c r="F168" i="82"/>
  <c r="G167" i="82"/>
  <c r="F167" i="82"/>
  <c r="D8" i="83"/>
  <c r="D7" i="83"/>
  <c r="D6" i="83"/>
  <c r="LG186" i="77"/>
  <c r="LF186" i="77"/>
  <c r="LG185" i="77"/>
  <c r="LF185" i="77"/>
  <c r="LG184" i="77"/>
  <c r="LF184" i="77"/>
  <c r="LG183" i="77"/>
  <c r="LF183" i="77"/>
  <c r="LG182" i="77"/>
  <c r="LF182" i="77"/>
  <c r="LG181" i="77"/>
  <c r="LF181" i="77"/>
  <c r="LG180" i="77"/>
  <c r="LF180" i="77"/>
  <c r="LG179" i="77"/>
  <c r="LF179" i="77"/>
  <c r="LG178" i="77"/>
  <c r="LF178" i="77"/>
  <c r="LG177" i="77"/>
  <c r="LF177" i="77"/>
  <c r="LG176" i="77"/>
  <c r="LF176" i="77"/>
  <c r="LG175" i="77"/>
  <c r="LF175" i="77"/>
  <c r="LG174" i="77"/>
  <c r="LF174" i="77"/>
  <c r="LG173" i="77"/>
  <c r="LF173" i="77"/>
  <c r="LG172" i="77"/>
  <c r="LF172" i="77"/>
  <c r="LG171" i="77"/>
  <c r="LF171" i="77"/>
  <c r="LG170" i="77"/>
  <c r="LF170" i="77"/>
  <c r="LG169" i="77"/>
  <c r="LF169" i="77"/>
  <c r="LG168" i="77"/>
  <c r="LF168" i="77"/>
  <c r="LG167" i="77"/>
  <c r="LF167" i="77"/>
  <c r="LG166" i="77"/>
  <c r="LF166" i="77"/>
  <c r="LG165" i="77"/>
  <c r="LF165" i="77"/>
  <c r="LG164" i="77"/>
  <c r="LF164" i="77"/>
  <c r="LG163" i="77"/>
  <c r="LF163" i="77"/>
  <c r="LG162" i="77"/>
  <c r="LF162" i="77"/>
  <c r="LG161" i="77"/>
  <c r="LF161" i="77"/>
  <c r="LG160" i="77"/>
  <c r="LF160" i="77"/>
  <c r="LG159" i="77"/>
  <c r="LF159" i="77"/>
  <c r="LG158" i="77"/>
  <c r="LF158" i="77"/>
  <c r="LG157" i="77"/>
  <c r="LF157" i="77"/>
  <c r="LG156" i="77"/>
  <c r="LF156" i="77"/>
  <c r="LG155" i="77"/>
  <c r="LF155" i="77"/>
  <c r="LG154" i="77"/>
  <c r="LF154" i="77"/>
  <c r="LG153" i="77"/>
  <c r="LF153" i="77"/>
  <c r="LG152" i="77"/>
  <c r="LF152" i="77"/>
  <c r="LG151" i="77"/>
  <c r="LF151" i="77"/>
  <c r="LG150" i="77"/>
  <c r="LF150" i="77"/>
  <c r="LG149" i="77"/>
  <c r="LF149" i="77"/>
  <c r="LG148" i="77"/>
  <c r="LF148" i="77"/>
  <c r="LG147" i="77"/>
  <c r="LF147" i="77"/>
  <c r="LG146" i="77"/>
  <c r="LF146" i="77"/>
  <c r="LG145" i="77"/>
  <c r="LF145" i="77"/>
  <c r="LG144" i="77"/>
  <c r="LF144" i="77"/>
  <c r="LG143" i="77"/>
  <c r="LF143" i="77"/>
  <c r="LG142" i="77"/>
  <c r="LF142" i="77"/>
  <c r="LG141" i="77"/>
  <c r="LF141" i="77"/>
  <c r="LG140" i="77"/>
  <c r="LF140" i="77"/>
  <c r="LG139" i="77"/>
  <c r="LF139" i="77"/>
  <c r="LG138" i="77"/>
  <c r="LF138" i="77"/>
  <c r="LG137" i="77"/>
  <c r="LF137" i="77"/>
  <c r="LG136" i="77"/>
  <c r="LF136" i="77"/>
  <c r="LG135" i="77"/>
  <c r="LF135" i="77"/>
  <c r="LG134" i="77"/>
  <c r="LF134" i="77"/>
  <c r="LG133" i="77"/>
  <c r="LF133" i="77"/>
  <c r="LG132" i="77"/>
  <c r="LF132" i="77"/>
  <c r="LG131" i="77"/>
  <c r="LF131" i="77"/>
  <c r="LG130" i="77"/>
  <c r="LF130" i="77"/>
  <c r="LG129" i="77"/>
  <c r="LF129" i="77"/>
  <c r="LG128" i="77"/>
  <c r="LF128" i="77"/>
  <c r="LG127" i="77"/>
  <c r="LF127" i="77"/>
  <c r="LG126" i="77"/>
  <c r="LF126" i="77"/>
  <c r="LG125" i="77"/>
  <c r="LF125" i="77"/>
  <c r="LG124" i="77"/>
  <c r="LF124" i="77"/>
  <c r="LG123" i="77"/>
  <c r="LF123" i="77"/>
  <c r="LG122" i="77"/>
  <c r="LF122" i="77"/>
  <c r="LG121" i="77"/>
  <c r="LF121" i="77"/>
  <c r="LG120" i="77"/>
  <c r="LF120" i="77"/>
  <c r="LG119" i="77"/>
  <c r="LF119" i="77"/>
  <c r="LG118" i="77"/>
  <c r="LF118" i="77"/>
  <c r="LG117" i="77"/>
  <c r="LF117" i="77"/>
  <c r="LG116" i="77"/>
  <c r="LF116" i="77"/>
  <c r="LG115" i="77"/>
  <c r="LF115" i="77"/>
  <c r="LG114" i="77"/>
  <c r="LF114" i="77"/>
  <c r="LG113" i="77"/>
  <c r="LF113" i="77"/>
  <c r="LG112" i="77"/>
  <c r="LF112" i="77"/>
  <c r="LG111" i="77"/>
  <c r="LF111" i="77"/>
  <c r="LG110" i="77"/>
  <c r="LF110" i="77"/>
  <c r="LG109" i="77"/>
  <c r="LF109" i="77"/>
  <c r="LG108" i="77"/>
  <c r="LF108" i="77"/>
  <c r="LG107" i="77"/>
  <c r="LF107" i="77"/>
  <c r="LG106" i="77"/>
  <c r="LF106" i="77"/>
  <c r="LG105" i="77"/>
  <c r="LF105" i="77"/>
  <c r="LG104" i="77"/>
  <c r="LF104" i="77"/>
  <c r="LG103" i="77"/>
  <c r="LF103" i="77"/>
  <c r="LG102" i="77"/>
  <c r="LF102" i="77"/>
  <c r="LG101" i="77"/>
  <c r="LF101" i="77"/>
  <c r="LG100" i="77"/>
  <c r="LF100" i="77"/>
  <c r="LG99" i="77"/>
  <c r="LF99" i="77"/>
  <c r="LG98" i="77"/>
  <c r="LF98" i="77"/>
  <c r="LG97" i="77"/>
  <c r="LF97" i="77"/>
  <c r="LG96" i="77"/>
  <c r="LF96" i="77"/>
  <c r="LG95" i="77"/>
  <c r="LF95" i="77"/>
  <c r="LG94" i="77"/>
  <c r="LF94" i="77"/>
  <c r="LG93" i="77"/>
  <c r="LF93" i="77"/>
  <c r="LG92" i="77"/>
  <c r="LF92" i="77"/>
  <c r="LG91" i="77"/>
  <c r="LF91" i="77"/>
  <c r="LG90" i="77"/>
  <c r="LF90" i="77"/>
  <c r="LG89" i="77"/>
  <c r="LF89" i="77"/>
  <c r="LG88" i="77"/>
  <c r="LF88" i="77"/>
  <c r="LG87" i="77"/>
  <c r="LF87" i="77"/>
  <c r="LG86" i="77"/>
  <c r="LF86" i="77"/>
  <c r="LG85" i="77"/>
  <c r="LF85" i="77"/>
  <c r="LG84" i="77"/>
  <c r="LF84" i="77"/>
  <c r="LG83" i="77"/>
  <c r="LF83" i="77"/>
  <c r="LG82" i="77"/>
  <c r="LF82" i="77"/>
  <c r="LG81" i="77"/>
  <c r="LF81" i="77"/>
  <c r="LG80" i="77"/>
  <c r="LF80" i="77"/>
  <c r="LG79" i="77"/>
  <c r="LF79" i="77"/>
  <c r="LG78" i="77"/>
  <c r="LF78" i="77"/>
  <c r="LG77" i="77"/>
  <c r="LF77" i="77"/>
  <c r="LG76" i="77"/>
  <c r="LF76" i="77"/>
  <c r="LG75" i="77"/>
  <c r="LF75" i="77"/>
  <c r="LG74" i="77"/>
  <c r="LF74" i="77"/>
  <c r="LG73" i="77"/>
  <c r="LF73" i="77"/>
  <c r="LG72" i="77"/>
  <c r="LF72" i="77"/>
  <c r="LG71" i="77"/>
  <c r="LF71" i="77"/>
  <c r="LG70" i="77"/>
  <c r="LF70" i="77"/>
  <c r="LG69" i="77"/>
  <c r="LF69" i="77"/>
  <c r="LG68" i="77"/>
  <c r="LF68" i="77"/>
  <c r="LG67" i="77"/>
  <c r="LF67" i="77"/>
  <c r="LG66" i="77"/>
  <c r="LF66" i="77"/>
  <c r="LG65" i="77"/>
  <c r="LF65" i="77"/>
  <c r="LG64" i="77"/>
  <c r="LF64" i="77"/>
  <c r="LG63" i="77"/>
  <c r="LF63" i="77"/>
  <c r="LG62" i="77"/>
  <c r="LF62" i="77"/>
  <c r="LG61" i="77"/>
  <c r="LF61" i="77"/>
  <c r="LG60" i="77"/>
  <c r="LF60" i="77"/>
  <c r="LG59" i="77"/>
  <c r="LF59" i="77"/>
  <c r="LG58" i="77"/>
  <c r="LF58" i="77"/>
  <c r="LG57" i="77"/>
  <c r="LF57" i="77"/>
  <c r="LG56" i="77"/>
  <c r="LF56" i="77"/>
  <c r="LG55" i="77"/>
  <c r="LF55" i="77"/>
  <c r="LG54" i="77"/>
  <c r="LF54" i="77"/>
  <c r="LG53" i="77"/>
  <c r="LF53" i="77"/>
  <c r="LG52" i="77"/>
  <c r="LF52" i="77"/>
  <c r="LG51" i="77"/>
  <c r="LF51" i="77"/>
  <c r="LG50" i="77"/>
  <c r="LF50" i="77"/>
  <c r="LG49" i="77"/>
  <c r="LF49" i="77"/>
  <c r="LG48" i="77"/>
  <c r="LF48" i="77"/>
  <c r="LG47" i="77"/>
  <c r="LF47" i="77"/>
  <c r="LG46" i="77"/>
  <c r="LF46" i="77"/>
  <c r="LG45" i="77"/>
  <c r="LF45" i="77"/>
  <c r="LG44" i="77"/>
  <c r="LF44" i="77"/>
  <c r="LG43" i="77"/>
  <c r="LF43" i="77"/>
  <c r="LG42" i="77"/>
  <c r="LF42" i="77"/>
  <c r="LG41" i="77"/>
  <c r="LF41" i="77"/>
  <c r="LG40" i="77"/>
  <c r="LF40" i="77"/>
  <c r="LG39" i="77"/>
  <c r="LF39" i="77"/>
  <c r="LG38" i="77"/>
  <c r="LF38" i="77"/>
  <c r="LG37" i="77"/>
  <c r="LF37" i="77"/>
  <c r="LG36" i="77"/>
  <c r="LF36" i="77"/>
  <c r="LG35" i="77"/>
  <c r="LF35" i="77"/>
  <c r="LG34" i="77"/>
  <c r="LF34" i="77"/>
  <c r="LG33" i="77"/>
  <c r="LF33" i="77"/>
  <c r="LG32" i="77"/>
  <c r="LF32" i="77"/>
  <c r="LG31" i="77"/>
  <c r="LF31" i="77"/>
  <c r="I1" i="82"/>
  <c r="D161" i="82"/>
  <c r="C161" i="82"/>
  <c r="B161" i="82"/>
  <c r="A161" i="82"/>
  <c r="F161" i="82" s="1"/>
  <c r="D160" i="82"/>
  <c r="C160" i="82"/>
  <c r="B160" i="82"/>
  <c r="A160" i="82"/>
  <c r="F160" i="82" s="1"/>
  <c r="D159" i="82"/>
  <c r="C159" i="82"/>
  <c r="B159" i="82"/>
  <c r="A159" i="82"/>
  <c r="F159" i="82" s="1"/>
  <c r="D158" i="82"/>
  <c r="C158" i="82"/>
  <c r="B158" i="82"/>
  <c r="A158" i="82"/>
  <c r="F158" i="82" s="1"/>
  <c r="D157" i="82"/>
  <c r="C157" i="82"/>
  <c r="B157" i="82"/>
  <c r="A157" i="82"/>
  <c r="F157" i="82" s="1"/>
  <c r="D156" i="82"/>
  <c r="C156" i="82"/>
  <c r="B156" i="82"/>
  <c r="A156" i="82"/>
  <c r="F156" i="82" s="1"/>
  <c r="D155" i="82"/>
  <c r="C155" i="82"/>
  <c r="B155" i="82"/>
  <c r="A155" i="82"/>
  <c r="F155" i="82" s="1"/>
  <c r="D154" i="82"/>
  <c r="C154" i="82"/>
  <c r="B154" i="82"/>
  <c r="A154" i="82"/>
  <c r="F154" i="82" s="1"/>
  <c r="D153" i="82"/>
  <c r="C153" i="82"/>
  <c r="B153" i="82"/>
  <c r="A153" i="82"/>
  <c r="F153" i="82" s="1"/>
  <c r="D152" i="82"/>
  <c r="C152" i="82"/>
  <c r="B152" i="82"/>
  <c r="A152" i="82"/>
  <c r="F152" i="82" s="1"/>
  <c r="D151" i="82"/>
  <c r="C151" i="82"/>
  <c r="B151" i="82"/>
  <c r="A151" i="82"/>
  <c r="F151" i="82" s="1"/>
  <c r="D150" i="82"/>
  <c r="C150" i="82"/>
  <c r="B150" i="82"/>
  <c r="A150" i="82"/>
  <c r="F150" i="82" s="1"/>
  <c r="D149" i="82"/>
  <c r="C149" i="82"/>
  <c r="B149" i="82"/>
  <c r="A149" i="82"/>
  <c r="F149" i="82" s="1"/>
  <c r="D148" i="82"/>
  <c r="C148" i="82"/>
  <c r="B148" i="82"/>
  <c r="A148" i="82"/>
  <c r="F148" i="82" s="1"/>
  <c r="D147" i="82"/>
  <c r="C147" i="82"/>
  <c r="B147" i="82"/>
  <c r="A147" i="82"/>
  <c r="F147" i="82" s="1"/>
  <c r="D146" i="82"/>
  <c r="C146" i="82"/>
  <c r="B146" i="82"/>
  <c r="A146" i="82"/>
  <c r="F146" i="82" s="1"/>
  <c r="D145" i="82"/>
  <c r="C145" i="82"/>
  <c r="B145" i="82"/>
  <c r="A145" i="82"/>
  <c r="F145" i="82" s="1"/>
  <c r="D144" i="82"/>
  <c r="C144" i="82"/>
  <c r="B144" i="82"/>
  <c r="A144" i="82"/>
  <c r="F144" i="82" s="1"/>
  <c r="D143" i="82"/>
  <c r="C143" i="82"/>
  <c r="B143" i="82"/>
  <c r="A143" i="82"/>
  <c r="F143" i="82" s="1"/>
  <c r="D142" i="82"/>
  <c r="C142" i="82"/>
  <c r="B142" i="82"/>
  <c r="A142" i="82"/>
  <c r="F142" i="82" s="1"/>
  <c r="D141" i="82"/>
  <c r="C141" i="82"/>
  <c r="B141" i="82"/>
  <c r="A141" i="82"/>
  <c r="F141" i="82" s="1"/>
  <c r="D140" i="82"/>
  <c r="C140" i="82"/>
  <c r="B140" i="82"/>
  <c r="A140" i="82"/>
  <c r="F140" i="82" s="1"/>
  <c r="D139" i="82"/>
  <c r="C139" i="82"/>
  <c r="B139" i="82"/>
  <c r="A139" i="82"/>
  <c r="F139" i="82" s="1"/>
  <c r="D138" i="82"/>
  <c r="C138" i="82"/>
  <c r="B138" i="82"/>
  <c r="A138" i="82"/>
  <c r="F138" i="82" s="1"/>
  <c r="D137" i="82"/>
  <c r="C137" i="82"/>
  <c r="B137" i="82"/>
  <c r="A137" i="82"/>
  <c r="F137" i="82" s="1"/>
  <c r="D136" i="82"/>
  <c r="C136" i="82"/>
  <c r="B136" i="82"/>
  <c r="A136" i="82"/>
  <c r="F136" i="82" s="1"/>
  <c r="D135" i="82"/>
  <c r="C135" i="82"/>
  <c r="B135" i="82"/>
  <c r="A135" i="82"/>
  <c r="F135" i="82" s="1"/>
  <c r="D134" i="82"/>
  <c r="C134" i="82"/>
  <c r="B134" i="82"/>
  <c r="A134" i="82"/>
  <c r="F134" i="82" s="1"/>
  <c r="D133" i="82"/>
  <c r="C133" i="82"/>
  <c r="B133" i="82"/>
  <c r="A133" i="82"/>
  <c r="F133" i="82" s="1"/>
  <c r="D132" i="82"/>
  <c r="C132" i="82"/>
  <c r="B132" i="82"/>
  <c r="A132" i="82"/>
  <c r="F132" i="82" s="1"/>
  <c r="D131" i="82"/>
  <c r="C131" i="82"/>
  <c r="B131" i="82"/>
  <c r="A131" i="82"/>
  <c r="F131" i="82" s="1"/>
  <c r="D130" i="82"/>
  <c r="C130" i="82"/>
  <c r="B130" i="82"/>
  <c r="A130" i="82"/>
  <c r="F130" i="82" s="1"/>
  <c r="D129" i="82"/>
  <c r="C129" i="82"/>
  <c r="B129" i="82"/>
  <c r="A129" i="82"/>
  <c r="F129" i="82" s="1"/>
  <c r="D128" i="82"/>
  <c r="C128" i="82"/>
  <c r="B128" i="82"/>
  <c r="A128" i="82"/>
  <c r="F128" i="82" s="1"/>
  <c r="D127" i="82"/>
  <c r="C127" i="82"/>
  <c r="B127" i="82"/>
  <c r="A127" i="82"/>
  <c r="F127" i="82" s="1"/>
  <c r="D126" i="82"/>
  <c r="C126" i="82"/>
  <c r="B126" i="82"/>
  <c r="A126" i="82"/>
  <c r="F126" i="82" s="1"/>
  <c r="D125" i="82"/>
  <c r="C125" i="82"/>
  <c r="B125" i="82"/>
  <c r="A125" i="82"/>
  <c r="F125" i="82" s="1"/>
  <c r="D124" i="82"/>
  <c r="C124" i="82"/>
  <c r="B124" i="82"/>
  <c r="A124" i="82"/>
  <c r="F124" i="82" s="1"/>
  <c r="D123" i="82"/>
  <c r="C123" i="82"/>
  <c r="B123" i="82"/>
  <c r="A123" i="82"/>
  <c r="F123" i="82" s="1"/>
  <c r="D122" i="82"/>
  <c r="C122" i="82"/>
  <c r="B122" i="82"/>
  <c r="A122" i="82"/>
  <c r="F122" i="82" s="1"/>
  <c r="D121" i="82"/>
  <c r="C121" i="82"/>
  <c r="B121" i="82"/>
  <c r="A121" i="82"/>
  <c r="F121" i="82" s="1"/>
  <c r="D120" i="82"/>
  <c r="C120" i="82"/>
  <c r="B120" i="82"/>
  <c r="A120" i="82"/>
  <c r="F120" i="82" s="1"/>
  <c r="D119" i="82"/>
  <c r="C119" i="82"/>
  <c r="B119" i="82"/>
  <c r="A119" i="82"/>
  <c r="F119" i="82" s="1"/>
  <c r="D118" i="82"/>
  <c r="C118" i="82"/>
  <c r="B118" i="82"/>
  <c r="A118" i="82"/>
  <c r="F118" i="82" s="1"/>
  <c r="D117" i="82"/>
  <c r="C117" i="82"/>
  <c r="B117" i="82"/>
  <c r="A117" i="82"/>
  <c r="F117" i="82" s="1"/>
  <c r="D116" i="82"/>
  <c r="C116" i="82"/>
  <c r="B116" i="82"/>
  <c r="A116" i="82"/>
  <c r="F116" i="82" s="1"/>
  <c r="D115" i="82"/>
  <c r="C115" i="82"/>
  <c r="B115" i="82"/>
  <c r="A115" i="82"/>
  <c r="F115" i="82" s="1"/>
  <c r="D114" i="82"/>
  <c r="C114" i="82"/>
  <c r="B114" i="82"/>
  <c r="A114" i="82"/>
  <c r="F114" i="82" s="1"/>
  <c r="D113" i="82"/>
  <c r="C113" i="82"/>
  <c r="B113" i="82"/>
  <c r="A113" i="82"/>
  <c r="F113" i="82" s="1"/>
  <c r="D112" i="82"/>
  <c r="C112" i="82"/>
  <c r="B112" i="82"/>
  <c r="A112" i="82"/>
  <c r="F112" i="82" s="1"/>
  <c r="D111" i="82"/>
  <c r="C111" i="82"/>
  <c r="B111" i="82"/>
  <c r="A111" i="82"/>
  <c r="F111" i="82" s="1"/>
  <c r="D110" i="82"/>
  <c r="C110" i="82"/>
  <c r="B110" i="82"/>
  <c r="A110" i="82"/>
  <c r="F110" i="82" s="1"/>
  <c r="D109" i="82"/>
  <c r="C109" i="82"/>
  <c r="B109" i="82"/>
  <c r="A109" i="82"/>
  <c r="F109" i="82" s="1"/>
  <c r="D108" i="82"/>
  <c r="C108" i="82"/>
  <c r="B108" i="82"/>
  <c r="A108" i="82"/>
  <c r="F108" i="82" s="1"/>
  <c r="D107" i="82"/>
  <c r="C107" i="82"/>
  <c r="B107" i="82"/>
  <c r="A107" i="82"/>
  <c r="F107" i="82" s="1"/>
  <c r="D106" i="82"/>
  <c r="C106" i="82"/>
  <c r="B106" i="82"/>
  <c r="A106" i="82"/>
  <c r="F106" i="82" s="1"/>
  <c r="D105" i="82"/>
  <c r="C105" i="82"/>
  <c r="B105" i="82"/>
  <c r="A105" i="82"/>
  <c r="F105" i="82" s="1"/>
  <c r="D104" i="82"/>
  <c r="C104" i="82"/>
  <c r="B104" i="82"/>
  <c r="A104" i="82"/>
  <c r="F104" i="82" s="1"/>
  <c r="D103" i="82"/>
  <c r="C103" i="82"/>
  <c r="B103" i="82"/>
  <c r="A103" i="82"/>
  <c r="F103" i="82" s="1"/>
  <c r="D102" i="82"/>
  <c r="C102" i="82"/>
  <c r="B102" i="82"/>
  <c r="A102" i="82"/>
  <c r="F102" i="82" s="1"/>
  <c r="D101" i="82"/>
  <c r="C101" i="82"/>
  <c r="B101" i="82"/>
  <c r="A101" i="82"/>
  <c r="F101" i="82" s="1"/>
  <c r="D100" i="82"/>
  <c r="C100" i="82"/>
  <c r="B100" i="82"/>
  <c r="A100" i="82"/>
  <c r="F100" i="82" s="1"/>
  <c r="D99" i="82"/>
  <c r="C99" i="82"/>
  <c r="B99" i="82"/>
  <c r="A99" i="82"/>
  <c r="F99" i="82" s="1"/>
  <c r="D98" i="82"/>
  <c r="C98" i="82"/>
  <c r="B98" i="82"/>
  <c r="A98" i="82"/>
  <c r="F98" i="82" s="1"/>
  <c r="D97" i="82"/>
  <c r="C97" i="82"/>
  <c r="B97" i="82"/>
  <c r="A97" i="82"/>
  <c r="F97" i="82" s="1"/>
  <c r="D96" i="82"/>
  <c r="C96" i="82"/>
  <c r="B96" i="82"/>
  <c r="A96" i="82"/>
  <c r="F96" i="82" s="1"/>
  <c r="D95" i="82"/>
  <c r="C95" i="82"/>
  <c r="B95" i="82"/>
  <c r="A95" i="82"/>
  <c r="F95" i="82" s="1"/>
  <c r="D94" i="82"/>
  <c r="C94" i="82"/>
  <c r="B94" i="82"/>
  <c r="A94" i="82"/>
  <c r="F94" i="82" s="1"/>
  <c r="D93" i="82"/>
  <c r="C93" i="82"/>
  <c r="B93" i="82"/>
  <c r="A93" i="82"/>
  <c r="F93" i="82" s="1"/>
  <c r="D92" i="82"/>
  <c r="C92" i="82"/>
  <c r="B92" i="82"/>
  <c r="A92" i="82"/>
  <c r="F92" i="82" s="1"/>
  <c r="D91" i="82"/>
  <c r="C91" i="82"/>
  <c r="B91" i="82"/>
  <c r="A91" i="82"/>
  <c r="F91" i="82" s="1"/>
  <c r="D90" i="82"/>
  <c r="C90" i="82"/>
  <c r="B90" i="82"/>
  <c r="A90" i="82"/>
  <c r="F90" i="82" s="1"/>
  <c r="D89" i="82"/>
  <c r="C89" i="82"/>
  <c r="B89" i="82"/>
  <c r="A89" i="82"/>
  <c r="F89" i="82" s="1"/>
  <c r="D88" i="82"/>
  <c r="C88" i="82"/>
  <c r="B88" i="82"/>
  <c r="A88" i="82"/>
  <c r="F88" i="82" s="1"/>
  <c r="D87" i="82"/>
  <c r="C87" i="82"/>
  <c r="B87" i="82"/>
  <c r="A87" i="82"/>
  <c r="F87" i="82" s="1"/>
  <c r="D86" i="82"/>
  <c r="C86" i="82"/>
  <c r="B86" i="82"/>
  <c r="A86" i="82"/>
  <c r="F86" i="82" s="1"/>
  <c r="D85" i="82"/>
  <c r="C85" i="82"/>
  <c r="B85" i="82"/>
  <c r="A85" i="82"/>
  <c r="F85" i="82" s="1"/>
  <c r="D84" i="82"/>
  <c r="C84" i="82"/>
  <c r="B84" i="82"/>
  <c r="A84" i="82"/>
  <c r="F84" i="82" s="1"/>
  <c r="D83" i="82"/>
  <c r="C83" i="82"/>
  <c r="B83" i="82"/>
  <c r="A83" i="82"/>
  <c r="F83" i="82" s="1"/>
  <c r="D82" i="82"/>
  <c r="C82" i="82"/>
  <c r="B82" i="82"/>
  <c r="A82" i="82"/>
  <c r="F82" i="82" s="1"/>
  <c r="D81" i="82"/>
  <c r="C81" i="82"/>
  <c r="B81" i="82"/>
  <c r="A81" i="82"/>
  <c r="F81" i="82" s="1"/>
  <c r="D80" i="82"/>
  <c r="C80" i="82"/>
  <c r="B80" i="82"/>
  <c r="A80" i="82"/>
  <c r="F80" i="82" s="1"/>
  <c r="D79" i="82"/>
  <c r="C79" i="82"/>
  <c r="B79" i="82"/>
  <c r="A79" i="82"/>
  <c r="F79" i="82" s="1"/>
  <c r="D78" i="82"/>
  <c r="C78" i="82"/>
  <c r="B78" i="82"/>
  <c r="A78" i="82"/>
  <c r="F78" i="82" s="1"/>
  <c r="D77" i="82"/>
  <c r="C77" i="82"/>
  <c r="B77" i="82"/>
  <c r="A77" i="82"/>
  <c r="F77" i="82" s="1"/>
  <c r="D76" i="82"/>
  <c r="C76" i="82"/>
  <c r="B76" i="82"/>
  <c r="A76" i="82"/>
  <c r="F76" i="82" s="1"/>
  <c r="D75" i="82"/>
  <c r="C75" i="82"/>
  <c r="B75" i="82"/>
  <c r="A75" i="82"/>
  <c r="F75" i="82" s="1"/>
  <c r="D74" i="82"/>
  <c r="C74" i="82"/>
  <c r="B74" i="82"/>
  <c r="A74" i="82"/>
  <c r="F74" i="82" s="1"/>
  <c r="D73" i="82"/>
  <c r="C73" i="82"/>
  <c r="B73" i="82"/>
  <c r="A73" i="82"/>
  <c r="F73" i="82" s="1"/>
  <c r="D72" i="82"/>
  <c r="C72" i="82"/>
  <c r="B72" i="82"/>
  <c r="A72" i="82"/>
  <c r="F72" i="82" s="1"/>
  <c r="D71" i="82"/>
  <c r="C71" i="82"/>
  <c r="B71" i="82"/>
  <c r="A71" i="82"/>
  <c r="F71" i="82" s="1"/>
  <c r="D70" i="82"/>
  <c r="C70" i="82"/>
  <c r="B70" i="82"/>
  <c r="A70" i="82"/>
  <c r="F70" i="82" s="1"/>
  <c r="D69" i="82"/>
  <c r="C69" i="82"/>
  <c r="B69" i="82"/>
  <c r="A69" i="82"/>
  <c r="F69" i="82" s="1"/>
  <c r="D68" i="82"/>
  <c r="C68" i="82"/>
  <c r="B68" i="82"/>
  <c r="A68" i="82"/>
  <c r="F68" i="82" s="1"/>
  <c r="D67" i="82"/>
  <c r="C67" i="82"/>
  <c r="B67" i="82"/>
  <c r="A67" i="82"/>
  <c r="F67" i="82" s="1"/>
  <c r="D66" i="82"/>
  <c r="C66" i="82"/>
  <c r="B66" i="82"/>
  <c r="A66" i="82"/>
  <c r="F66" i="82" s="1"/>
  <c r="D65" i="82"/>
  <c r="C65" i="82"/>
  <c r="B65" i="82"/>
  <c r="A65" i="82"/>
  <c r="F65" i="82" s="1"/>
  <c r="D64" i="82"/>
  <c r="C64" i="82"/>
  <c r="B64" i="82"/>
  <c r="A64" i="82"/>
  <c r="F64" i="82" s="1"/>
  <c r="D63" i="82"/>
  <c r="C63" i="82"/>
  <c r="B63" i="82"/>
  <c r="A63" i="82"/>
  <c r="F63" i="82" s="1"/>
  <c r="D62" i="82"/>
  <c r="C62" i="82"/>
  <c r="B62" i="82"/>
  <c r="A62" i="82"/>
  <c r="F62" i="82" s="1"/>
  <c r="D61" i="82"/>
  <c r="C61" i="82"/>
  <c r="B61" i="82"/>
  <c r="A61" i="82"/>
  <c r="F61" i="82" s="1"/>
  <c r="D60" i="82"/>
  <c r="C60" i="82"/>
  <c r="B60" i="82"/>
  <c r="A60" i="82"/>
  <c r="F60" i="82" s="1"/>
  <c r="D59" i="82"/>
  <c r="C59" i="82"/>
  <c r="B59" i="82"/>
  <c r="A59" i="82"/>
  <c r="F59" i="82" s="1"/>
  <c r="D58" i="82"/>
  <c r="C58" i="82"/>
  <c r="B58" i="82"/>
  <c r="A58" i="82"/>
  <c r="F58" i="82" s="1"/>
  <c r="D57" i="82"/>
  <c r="C57" i="82"/>
  <c r="B57" i="82"/>
  <c r="A57" i="82"/>
  <c r="F57" i="82" s="1"/>
  <c r="D56" i="82"/>
  <c r="C56" i="82"/>
  <c r="B56" i="82"/>
  <c r="A56" i="82"/>
  <c r="F56" i="82" s="1"/>
  <c r="D55" i="82"/>
  <c r="C55" i="82"/>
  <c r="B55" i="82"/>
  <c r="A55" i="82"/>
  <c r="F55" i="82" s="1"/>
  <c r="D54" i="82"/>
  <c r="C54" i="82"/>
  <c r="B54" i="82"/>
  <c r="A54" i="82"/>
  <c r="F54" i="82" s="1"/>
  <c r="D53" i="82"/>
  <c r="C53" i="82"/>
  <c r="B53" i="82"/>
  <c r="A53" i="82"/>
  <c r="F53" i="82" s="1"/>
  <c r="D52" i="82"/>
  <c r="C52" i="82"/>
  <c r="B52" i="82"/>
  <c r="A52" i="82"/>
  <c r="F52" i="82" s="1"/>
  <c r="D51" i="82"/>
  <c r="C51" i="82"/>
  <c r="B51" i="82"/>
  <c r="A51" i="82"/>
  <c r="F51" i="82" s="1"/>
  <c r="D50" i="82"/>
  <c r="C50" i="82"/>
  <c r="B50" i="82"/>
  <c r="A50" i="82"/>
  <c r="F50" i="82" s="1"/>
  <c r="D49" i="82"/>
  <c r="C49" i="82"/>
  <c r="B49" i="82"/>
  <c r="A49" i="82"/>
  <c r="F49" i="82" s="1"/>
  <c r="D48" i="82"/>
  <c r="C48" i="82"/>
  <c r="B48" i="82"/>
  <c r="A48" i="82"/>
  <c r="F48" i="82" s="1"/>
  <c r="D47" i="82"/>
  <c r="C47" i="82"/>
  <c r="B47" i="82"/>
  <c r="A47" i="82"/>
  <c r="F47" i="82" s="1"/>
  <c r="D46" i="82"/>
  <c r="C46" i="82"/>
  <c r="B46" i="82"/>
  <c r="A46" i="82"/>
  <c r="F46" i="82" s="1"/>
  <c r="D45" i="82"/>
  <c r="C45" i="82"/>
  <c r="B45" i="82"/>
  <c r="A45" i="82"/>
  <c r="F45" i="82" s="1"/>
  <c r="D44" i="82"/>
  <c r="C44" i="82"/>
  <c r="B44" i="82"/>
  <c r="A44" i="82"/>
  <c r="F44" i="82" s="1"/>
  <c r="D43" i="82"/>
  <c r="C43" i="82"/>
  <c r="B43" i="82"/>
  <c r="A43" i="82"/>
  <c r="F43" i="82" s="1"/>
  <c r="D42" i="82"/>
  <c r="C42" i="82"/>
  <c r="B42" i="82"/>
  <c r="A42" i="82"/>
  <c r="F42" i="82" s="1"/>
  <c r="D41" i="82"/>
  <c r="C41" i="82"/>
  <c r="B41" i="82"/>
  <c r="A41" i="82"/>
  <c r="F41" i="82" s="1"/>
  <c r="D40" i="82"/>
  <c r="C40" i="82"/>
  <c r="B40" i="82"/>
  <c r="A40" i="82"/>
  <c r="F40" i="82" s="1"/>
  <c r="D39" i="82"/>
  <c r="C39" i="82"/>
  <c r="B39" i="82"/>
  <c r="A39" i="82"/>
  <c r="F39" i="82" s="1"/>
  <c r="D38" i="82"/>
  <c r="C38" i="82"/>
  <c r="B38" i="82"/>
  <c r="A38" i="82"/>
  <c r="F38" i="82" s="1"/>
  <c r="D37" i="82"/>
  <c r="C37" i="82"/>
  <c r="B37" i="82"/>
  <c r="A37" i="82"/>
  <c r="F37" i="82" s="1"/>
  <c r="D36" i="82"/>
  <c r="C36" i="82"/>
  <c r="B36" i="82"/>
  <c r="A36" i="82"/>
  <c r="F36" i="82" s="1"/>
  <c r="D35" i="82"/>
  <c r="C35" i="82"/>
  <c r="B35" i="82"/>
  <c r="A35" i="82"/>
  <c r="F35" i="82" s="1"/>
  <c r="D34" i="82"/>
  <c r="C34" i="82"/>
  <c r="B34" i="82"/>
  <c r="A34" i="82"/>
  <c r="F34" i="82" s="1"/>
  <c r="D33" i="82"/>
  <c r="C33" i="82"/>
  <c r="B33" i="82"/>
  <c r="A33" i="82"/>
  <c r="F33" i="82" s="1"/>
  <c r="D32" i="82"/>
  <c r="C32" i="82"/>
  <c r="B32" i="82"/>
  <c r="A32" i="82"/>
  <c r="F32" i="82" s="1"/>
  <c r="D31" i="82"/>
  <c r="C31" i="82"/>
  <c r="B31" i="82"/>
  <c r="A31" i="82"/>
  <c r="F31" i="82" s="1"/>
  <c r="D30" i="82"/>
  <c r="C30" i="82"/>
  <c r="B30" i="82"/>
  <c r="A30" i="82"/>
  <c r="F30" i="82" s="1"/>
  <c r="D29" i="82"/>
  <c r="C29" i="82"/>
  <c r="B29" i="82"/>
  <c r="A29" i="82"/>
  <c r="F29" i="82" s="1"/>
  <c r="D28" i="82"/>
  <c r="C28" i="82"/>
  <c r="B28" i="82"/>
  <c r="A28" i="82"/>
  <c r="F28" i="82" s="1"/>
  <c r="D27" i="82"/>
  <c r="C27" i="82"/>
  <c r="B27" i="82"/>
  <c r="A27" i="82"/>
  <c r="F27" i="82" s="1"/>
  <c r="D26" i="82"/>
  <c r="C26" i="82"/>
  <c r="B26" i="82"/>
  <c r="A26" i="82"/>
  <c r="F26" i="82" s="1"/>
  <c r="D25" i="82"/>
  <c r="C25" i="82"/>
  <c r="B25" i="82"/>
  <c r="A25" i="82"/>
  <c r="F25" i="82" s="1"/>
  <c r="D24" i="82"/>
  <c r="C24" i="82"/>
  <c r="B24" i="82"/>
  <c r="A24" i="82"/>
  <c r="F24" i="82" s="1"/>
  <c r="D23" i="82"/>
  <c r="C23" i="82"/>
  <c r="B23" i="82"/>
  <c r="A23" i="82"/>
  <c r="F23" i="82" s="1"/>
  <c r="D22" i="82"/>
  <c r="C22" i="82"/>
  <c r="B22" i="82"/>
  <c r="A22" i="82"/>
  <c r="F22" i="82" s="1"/>
  <c r="D21" i="82"/>
  <c r="C21" i="82"/>
  <c r="B21" i="82"/>
  <c r="A21" i="82"/>
  <c r="F21" i="82" s="1"/>
  <c r="D20" i="82"/>
  <c r="C20" i="82"/>
  <c r="B20" i="82"/>
  <c r="A20" i="82"/>
  <c r="F20" i="82" s="1"/>
  <c r="D19" i="82"/>
  <c r="C19" i="82"/>
  <c r="B19" i="82"/>
  <c r="A19" i="82"/>
  <c r="F19" i="82" s="1"/>
  <c r="D18" i="82"/>
  <c r="C18" i="82"/>
  <c r="B18" i="82"/>
  <c r="A18" i="82"/>
  <c r="F18" i="82" s="1"/>
  <c r="D17" i="82"/>
  <c r="C17" i="82"/>
  <c r="B17" i="82"/>
  <c r="A17" i="82"/>
  <c r="F17" i="82" s="1"/>
  <c r="D16" i="82"/>
  <c r="C16" i="82"/>
  <c r="B16" i="82"/>
  <c r="A16" i="82"/>
  <c r="F16" i="82" s="1"/>
  <c r="D15" i="82"/>
  <c r="C15" i="82"/>
  <c r="B15" i="82"/>
  <c r="A15" i="82"/>
  <c r="F15" i="82" s="1"/>
  <c r="D14" i="82"/>
  <c r="C14" i="82"/>
  <c r="B14" i="82"/>
  <c r="A14" i="82"/>
  <c r="F14" i="82" s="1"/>
  <c r="D13" i="82"/>
  <c r="C13" i="82"/>
  <c r="B13" i="82"/>
  <c r="A13" i="82"/>
  <c r="F13" i="82" s="1"/>
  <c r="D12" i="82"/>
  <c r="C12" i="82"/>
  <c r="B12" i="82"/>
  <c r="A12" i="82"/>
  <c r="F12" i="82" s="1"/>
  <c r="D11" i="82"/>
  <c r="C11" i="82"/>
  <c r="B11" i="82"/>
  <c r="A11" i="82"/>
  <c r="F11" i="82" s="1"/>
  <c r="D10" i="82"/>
  <c r="C10" i="82"/>
  <c r="B10" i="82"/>
  <c r="A10" i="82"/>
  <c r="F10" i="82" s="1"/>
  <c r="D9" i="82"/>
  <c r="C9" i="82"/>
  <c r="B9" i="82"/>
  <c r="A9" i="82"/>
  <c r="F9" i="82" s="1"/>
  <c r="D8" i="82"/>
  <c r="C8" i="82"/>
  <c r="B8" i="82"/>
  <c r="A8" i="82"/>
  <c r="F8" i="82" s="1"/>
  <c r="D7" i="82"/>
  <c r="C7" i="82"/>
  <c r="B7" i="82"/>
  <c r="A7" i="82"/>
  <c r="F7" i="82" s="1"/>
  <c r="D6" i="82"/>
  <c r="C6" i="82"/>
  <c r="B6" i="82"/>
  <c r="A6" i="82"/>
  <c r="F6" i="82" s="1"/>
  <c r="LE186" i="77"/>
  <c r="LE185" i="77"/>
  <c r="LE184" i="77"/>
  <c r="LE183" i="77"/>
  <c r="LE182" i="77"/>
  <c r="LE181" i="77"/>
  <c r="LE180" i="77"/>
  <c r="LE179" i="77"/>
  <c r="LE178" i="77"/>
  <c r="LE177" i="77"/>
  <c r="LE176" i="77"/>
  <c r="LE175" i="77"/>
  <c r="LE174" i="77"/>
  <c r="LE173" i="77"/>
  <c r="LE172" i="77"/>
  <c r="LE171" i="77"/>
  <c r="LE170" i="77"/>
  <c r="LE169" i="77"/>
  <c r="LE168" i="77"/>
  <c r="LE167" i="77"/>
  <c r="LE166" i="77"/>
  <c r="LE165" i="77"/>
  <c r="LE164" i="77"/>
  <c r="LE163" i="77"/>
  <c r="LE162" i="77"/>
  <c r="LE161" i="77"/>
  <c r="LE160" i="77"/>
  <c r="LE159" i="77"/>
  <c r="LE158" i="77"/>
  <c r="LE157" i="77"/>
  <c r="LE156" i="77"/>
  <c r="LE155" i="77"/>
  <c r="LE154" i="77"/>
  <c r="LE153" i="77"/>
  <c r="LE152" i="77"/>
  <c r="LE151" i="77"/>
  <c r="LE150" i="77"/>
  <c r="LE149" i="77"/>
  <c r="LE148" i="77"/>
  <c r="LE147" i="77"/>
  <c r="LE146" i="77"/>
  <c r="LE145" i="77"/>
  <c r="LE144" i="77"/>
  <c r="LE143" i="77"/>
  <c r="LE142" i="77"/>
  <c r="LE141" i="77"/>
  <c r="LE140" i="77"/>
  <c r="LE139" i="77"/>
  <c r="LE138" i="77"/>
  <c r="LE137" i="77"/>
  <c r="LE136" i="77"/>
  <c r="LE135" i="77"/>
  <c r="LE134" i="77"/>
  <c r="LE133" i="77"/>
  <c r="LE132" i="77"/>
  <c r="LE131" i="77"/>
  <c r="LE130" i="77"/>
  <c r="LE129" i="77"/>
  <c r="LE128" i="77"/>
  <c r="LE127" i="77"/>
  <c r="LE126" i="77"/>
  <c r="LE125" i="77"/>
  <c r="LE124" i="77"/>
  <c r="LE123" i="77"/>
  <c r="LE122" i="77"/>
  <c r="LE121" i="77"/>
  <c r="LE120" i="77"/>
  <c r="LE119" i="77"/>
  <c r="LE118" i="77"/>
  <c r="LE117" i="77"/>
  <c r="LE116" i="77"/>
  <c r="LE115" i="77"/>
  <c r="LE114" i="77"/>
  <c r="LE113" i="77"/>
  <c r="LE112" i="77"/>
  <c r="LE111" i="77"/>
  <c r="LE110" i="77"/>
  <c r="LE109" i="77"/>
  <c r="LE108" i="77"/>
  <c r="LE107" i="77"/>
  <c r="LE106" i="77"/>
  <c r="LE105" i="77"/>
  <c r="LE104" i="77"/>
  <c r="LE103" i="77"/>
  <c r="LE102" i="77"/>
  <c r="LE101" i="77"/>
  <c r="LE100" i="77"/>
  <c r="LE99" i="77"/>
  <c r="LE98" i="77"/>
  <c r="LE97" i="77"/>
  <c r="LE96" i="77"/>
  <c r="LE95" i="77"/>
  <c r="LE94" i="77"/>
  <c r="LE93" i="77"/>
  <c r="LE92" i="77"/>
  <c r="LE91" i="77"/>
  <c r="LE90" i="77"/>
  <c r="LE89" i="77"/>
  <c r="LE88" i="77"/>
  <c r="LE87" i="77"/>
  <c r="LE86" i="77"/>
  <c r="LE85" i="77"/>
  <c r="LE84" i="77"/>
  <c r="LE83" i="77"/>
  <c r="LE82" i="77"/>
  <c r="LE81" i="77"/>
  <c r="LE80" i="77"/>
  <c r="LE79" i="77"/>
  <c r="LE78" i="77"/>
  <c r="LE77" i="77"/>
  <c r="LE76" i="77"/>
  <c r="LE75" i="77"/>
  <c r="LE74" i="77"/>
  <c r="LE73" i="77"/>
  <c r="LE72" i="77"/>
  <c r="LE71" i="77"/>
  <c r="LE70" i="77"/>
  <c r="LE69" i="77"/>
  <c r="LE68" i="77"/>
  <c r="LE67" i="77"/>
  <c r="LE66" i="77"/>
  <c r="LE65" i="77"/>
  <c r="LE64" i="77"/>
  <c r="LE63" i="77"/>
  <c r="LE62" i="77"/>
  <c r="LE61" i="77"/>
  <c r="LE60" i="77"/>
  <c r="LE59" i="77"/>
  <c r="LE58" i="77"/>
  <c r="LE57" i="77"/>
  <c r="LE56" i="77"/>
  <c r="LE55" i="77"/>
  <c r="LE54" i="77"/>
  <c r="LE53" i="77"/>
  <c r="LE52" i="77"/>
  <c r="LE51" i="77"/>
  <c r="LE50" i="77"/>
  <c r="LE49" i="77"/>
  <c r="LE48" i="77"/>
  <c r="LE47" i="77"/>
  <c r="LE46" i="77"/>
  <c r="LE45" i="77"/>
  <c r="LE44" i="77"/>
  <c r="LE43" i="77"/>
  <c r="LE42" i="77"/>
  <c r="LE41" i="77"/>
  <c r="LE40" i="77"/>
  <c r="LE39" i="77"/>
  <c r="LE38" i="77"/>
  <c r="LE37" i="77"/>
  <c r="LE36" i="77"/>
  <c r="LE35" i="77"/>
  <c r="LE34" i="77"/>
  <c r="LE33" i="77"/>
  <c r="LE32" i="77"/>
  <c r="LE31" i="77"/>
  <c r="LD186" i="77"/>
  <c r="LC186" i="77"/>
  <c r="LB186" i="77"/>
  <c r="LD185" i="77"/>
  <c r="LC185" i="77"/>
  <c r="LB185" i="77"/>
  <c r="LD184" i="77"/>
  <c r="LC184" i="77"/>
  <c r="LB184" i="77"/>
  <c r="LD183" i="77"/>
  <c r="LC183" i="77"/>
  <c r="LB183" i="77"/>
  <c r="LD182" i="77"/>
  <c r="LC182" i="77"/>
  <c r="LB182" i="77"/>
  <c r="LD181" i="77"/>
  <c r="LC181" i="77"/>
  <c r="LB181" i="77"/>
  <c r="LD180" i="77"/>
  <c r="LC180" i="77"/>
  <c r="LB180" i="77"/>
  <c r="LD179" i="77"/>
  <c r="LC179" i="77"/>
  <c r="LB179" i="77"/>
  <c r="LD178" i="77"/>
  <c r="LC178" i="77"/>
  <c r="LB178" i="77"/>
  <c r="LD177" i="77"/>
  <c r="LC177" i="77"/>
  <c r="LB177" i="77"/>
  <c r="LD176" i="77"/>
  <c r="LC176" i="77"/>
  <c r="LB176" i="77"/>
  <c r="LD175" i="77"/>
  <c r="LC175" i="77"/>
  <c r="LB175" i="77"/>
  <c r="LD174" i="77"/>
  <c r="LC174" i="77"/>
  <c r="LB174" i="77"/>
  <c r="LD173" i="77"/>
  <c r="LC173" i="77"/>
  <c r="LB173" i="77"/>
  <c r="LD172" i="77"/>
  <c r="LC172" i="77"/>
  <c r="LB172" i="77"/>
  <c r="LD171" i="77"/>
  <c r="LC171" i="77"/>
  <c r="LB171" i="77"/>
  <c r="LD170" i="77"/>
  <c r="LC170" i="77"/>
  <c r="LB170" i="77"/>
  <c r="LD169" i="77"/>
  <c r="LC169" i="77"/>
  <c r="LB169" i="77"/>
  <c r="LD168" i="77"/>
  <c r="LC168" i="77"/>
  <c r="LB168" i="77"/>
  <c r="LD167" i="77"/>
  <c r="LC167" i="77"/>
  <c r="LB167" i="77"/>
  <c r="LD166" i="77"/>
  <c r="LC166" i="77"/>
  <c r="LB166" i="77"/>
  <c r="LD165" i="77"/>
  <c r="LC165" i="77"/>
  <c r="LB165" i="77"/>
  <c r="LD164" i="77"/>
  <c r="LC164" i="77"/>
  <c r="LB164" i="77"/>
  <c r="LD163" i="77"/>
  <c r="LC163" i="77"/>
  <c r="LB163" i="77"/>
  <c r="LD162" i="77"/>
  <c r="LC162" i="77"/>
  <c r="LB162" i="77"/>
  <c r="LD161" i="77"/>
  <c r="LC161" i="77"/>
  <c r="LB161" i="77"/>
  <c r="LD160" i="77"/>
  <c r="LC160" i="77"/>
  <c r="LB160" i="77"/>
  <c r="LD159" i="77"/>
  <c r="LC159" i="77"/>
  <c r="LB159" i="77"/>
  <c r="LD158" i="77"/>
  <c r="LC158" i="77"/>
  <c r="LB158" i="77"/>
  <c r="LD157" i="77"/>
  <c r="LC157" i="77"/>
  <c r="LB157" i="77"/>
  <c r="LD156" i="77"/>
  <c r="LC156" i="77"/>
  <c r="LB156" i="77"/>
  <c r="LD155" i="77"/>
  <c r="LC155" i="77"/>
  <c r="LB155" i="77"/>
  <c r="LD154" i="77"/>
  <c r="LC154" i="77"/>
  <c r="LB154" i="77"/>
  <c r="LD153" i="77"/>
  <c r="LC153" i="77"/>
  <c r="LB153" i="77"/>
  <c r="LD152" i="77"/>
  <c r="LC152" i="77"/>
  <c r="LB152" i="77"/>
  <c r="LD151" i="77"/>
  <c r="LC151" i="77"/>
  <c r="LB151" i="77"/>
  <c r="LD150" i="77"/>
  <c r="LC150" i="77"/>
  <c r="LB150" i="77"/>
  <c r="LD149" i="77"/>
  <c r="LC149" i="77"/>
  <c r="LB149" i="77"/>
  <c r="LD148" i="77"/>
  <c r="LC148" i="77"/>
  <c r="LB148" i="77"/>
  <c r="LD147" i="77"/>
  <c r="LC147" i="77"/>
  <c r="LB147" i="77"/>
  <c r="LD146" i="77"/>
  <c r="LC146" i="77"/>
  <c r="LB146" i="77"/>
  <c r="LD145" i="77"/>
  <c r="LC145" i="77"/>
  <c r="LB145" i="77"/>
  <c r="LD144" i="77"/>
  <c r="LC144" i="77"/>
  <c r="LB144" i="77"/>
  <c r="LD143" i="77"/>
  <c r="LC143" i="77"/>
  <c r="LB143" i="77"/>
  <c r="LD142" i="77"/>
  <c r="LC142" i="77"/>
  <c r="LB142" i="77"/>
  <c r="LD141" i="77"/>
  <c r="LC141" i="77"/>
  <c r="LB141" i="77"/>
  <c r="LD140" i="77"/>
  <c r="LC140" i="77"/>
  <c r="LB140" i="77"/>
  <c r="LD139" i="77"/>
  <c r="LC139" i="77"/>
  <c r="LB139" i="77"/>
  <c r="LD138" i="77"/>
  <c r="LC138" i="77"/>
  <c r="LB138" i="77"/>
  <c r="LD137" i="77"/>
  <c r="LC137" i="77"/>
  <c r="LB137" i="77"/>
  <c r="LD136" i="77"/>
  <c r="LC136" i="77"/>
  <c r="LB136" i="77"/>
  <c r="LD135" i="77"/>
  <c r="LC135" i="77"/>
  <c r="LB135" i="77"/>
  <c r="LD134" i="77"/>
  <c r="LC134" i="77"/>
  <c r="LB134" i="77"/>
  <c r="LD133" i="77"/>
  <c r="LC133" i="77"/>
  <c r="LB133" i="77"/>
  <c r="LD132" i="77"/>
  <c r="LC132" i="77"/>
  <c r="LB132" i="77"/>
  <c r="LD131" i="77"/>
  <c r="LC131" i="77"/>
  <c r="LB131" i="77"/>
  <c r="LD130" i="77"/>
  <c r="LC130" i="77"/>
  <c r="LB130" i="77"/>
  <c r="LD129" i="77"/>
  <c r="LC129" i="77"/>
  <c r="LB129" i="77"/>
  <c r="LD128" i="77"/>
  <c r="LC128" i="77"/>
  <c r="LB128" i="77"/>
  <c r="LD127" i="77"/>
  <c r="LC127" i="77"/>
  <c r="LB127" i="77"/>
  <c r="LD126" i="77"/>
  <c r="LC126" i="77"/>
  <c r="LB126" i="77"/>
  <c r="LD125" i="77"/>
  <c r="LC125" i="77"/>
  <c r="LB125" i="77"/>
  <c r="LD124" i="77"/>
  <c r="LC124" i="77"/>
  <c r="LB124" i="77"/>
  <c r="LD123" i="77"/>
  <c r="LC123" i="77"/>
  <c r="LB123" i="77"/>
  <c r="LD122" i="77"/>
  <c r="LC122" i="77"/>
  <c r="LB122" i="77"/>
  <c r="LD121" i="77"/>
  <c r="LC121" i="77"/>
  <c r="LB121" i="77"/>
  <c r="LD120" i="77"/>
  <c r="LC120" i="77"/>
  <c r="LB120" i="77"/>
  <c r="LD119" i="77"/>
  <c r="LC119" i="77"/>
  <c r="LB119" i="77"/>
  <c r="LD118" i="77"/>
  <c r="LC118" i="77"/>
  <c r="LB118" i="77"/>
  <c r="LD117" i="77"/>
  <c r="LC117" i="77"/>
  <c r="LB117" i="77"/>
  <c r="LD116" i="77"/>
  <c r="LC116" i="77"/>
  <c r="LB116" i="77"/>
  <c r="LD115" i="77"/>
  <c r="LC115" i="77"/>
  <c r="LB115" i="77"/>
  <c r="LD114" i="77"/>
  <c r="LC114" i="77"/>
  <c r="LB114" i="77"/>
  <c r="LD113" i="77"/>
  <c r="LC113" i="77"/>
  <c r="LB113" i="77"/>
  <c r="LD112" i="77"/>
  <c r="LC112" i="77"/>
  <c r="LB112" i="77"/>
  <c r="LD111" i="77"/>
  <c r="LC111" i="77"/>
  <c r="LB111" i="77"/>
  <c r="LD110" i="77"/>
  <c r="LC110" i="77"/>
  <c r="LB110" i="77"/>
  <c r="LD109" i="77"/>
  <c r="LC109" i="77"/>
  <c r="LB109" i="77"/>
  <c r="LD108" i="77"/>
  <c r="LC108" i="77"/>
  <c r="LB108" i="77"/>
  <c r="LD107" i="77"/>
  <c r="LC107" i="77"/>
  <c r="LB107" i="77"/>
  <c r="LD106" i="77"/>
  <c r="LC106" i="77"/>
  <c r="LB106" i="77"/>
  <c r="LD105" i="77"/>
  <c r="LC105" i="77"/>
  <c r="LB105" i="77"/>
  <c r="LD104" i="77"/>
  <c r="LC104" i="77"/>
  <c r="LB104" i="77"/>
  <c r="LD103" i="77"/>
  <c r="LC103" i="77"/>
  <c r="LB103" i="77"/>
  <c r="LD102" i="77"/>
  <c r="LC102" i="77"/>
  <c r="LB102" i="77"/>
  <c r="LD101" i="77"/>
  <c r="LC101" i="77"/>
  <c r="LB101" i="77"/>
  <c r="LD100" i="77"/>
  <c r="LC100" i="77"/>
  <c r="LB100" i="77"/>
  <c r="LD99" i="77"/>
  <c r="LC99" i="77"/>
  <c r="LB99" i="77"/>
  <c r="LD98" i="77"/>
  <c r="LC98" i="77"/>
  <c r="LB98" i="77"/>
  <c r="LD97" i="77"/>
  <c r="LC97" i="77"/>
  <c r="LB97" i="77"/>
  <c r="LD96" i="77"/>
  <c r="LC96" i="77"/>
  <c r="LB96" i="77"/>
  <c r="LD95" i="77"/>
  <c r="LC95" i="77"/>
  <c r="LB95" i="77"/>
  <c r="LD94" i="77"/>
  <c r="LC94" i="77"/>
  <c r="LB94" i="77"/>
  <c r="LD93" i="77"/>
  <c r="LC93" i="77"/>
  <c r="LB93" i="77"/>
  <c r="LD92" i="77"/>
  <c r="LC92" i="77"/>
  <c r="LB92" i="77"/>
  <c r="LD91" i="77"/>
  <c r="LC91" i="77"/>
  <c r="LB91" i="77"/>
  <c r="LD90" i="77"/>
  <c r="LC90" i="77"/>
  <c r="LB90" i="77"/>
  <c r="LD89" i="77"/>
  <c r="LC89" i="77"/>
  <c r="LB89" i="77"/>
  <c r="LD88" i="77"/>
  <c r="LC88" i="77"/>
  <c r="LB88" i="77"/>
  <c r="LD87" i="77"/>
  <c r="LC87" i="77"/>
  <c r="LB87" i="77"/>
  <c r="LD86" i="77"/>
  <c r="LC86" i="77"/>
  <c r="LB86" i="77"/>
  <c r="LD85" i="77"/>
  <c r="LC85" i="77"/>
  <c r="LB85" i="77"/>
  <c r="LD84" i="77"/>
  <c r="LC84" i="77"/>
  <c r="LB84" i="77"/>
  <c r="LD83" i="77"/>
  <c r="LC83" i="77"/>
  <c r="LB83" i="77"/>
  <c r="LD82" i="77"/>
  <c r="LC82" i="77"/>
  <c r="LB82" i="77"/>
  <c r="LD81" i="77"/>
  <c r="LC81" i="77"/>
  <c r="LB81" i="77"/>
  <c r="LD80" i="77"/>
  <c r="LC80" i="77"/>
  <c r="LB80" i="77"/>
  <c r="LD79" i="77"/>
  <c r="LC79" i="77"/>
  <c r="LB79" i="77"/>
  <c r="LD78" i="77"/>
  <c r="LC78" i="77"/>
  <c r="LB78" i="77"/>
  <c r="LD77" i="77"/>
  <c r="LC77" i="77"/>
  <c r="LB77" i="77"/>
  <c r="LD76" i="77"/>
  <c r="LC76" i="77"/>
  <c r="LB76" i="77"/>
  <c r="LD75" i="77"/>
  <c r="LC75" i="77"/>
  <c r="LB75" i="77"/>
  <c r="LD74" i="77"/>
  <c r="LC74" i="77"/>
  <c r="LB74" i="77"/>
  <c r="LD73" i="77"/>
  <c r="LC73" i="77"/>
  <c r="LB73" i="77"/>
  <c r="LD72" i="77"/>
  <c r="LC72" i="77"/>
  <c r="LB72" i="77"/>
  <c r="LD71" i="77"/>
  <c r="LC71" i="77"/>
  <c r="LB71" i="77"/>
  <c r="LD70" i="77"/>
  <c r="LC70" i="77"/>
  <c r="LB70" i="77"/>
  <c r="LD69" i="77"/>
  <c r="LC69" i="77"/>
  <c r="LB69" i="77"/>
  <c r="LD68" i="77"/>
  <c r="LC68" i="77"/>
  <c r="LB68" i="77"/>
  <c r="LD67" i="77"/>
  <c r="LC67" i="77"/>
  <c r="LB67" i="77"/>
  <c r="LD66" i="77"/>
  <c r="LC66" i="77"/>
  <c r="LB66" i="77"/>
  <c r="LD65" i="77"/>
  <c r="LC65" i="77"/>
  <c r="LB65" i="77"/>
  <c r="LD64" i="77"/>
  <c r="LC64" i="77"/>
  <c r="LB64" i="77"/>
  <c r="LD63" i="77"/>
  <c r="LC63" i="77"/>
  <c r="LB63" i="77"/>
  <c r="LD62" i="77"/>
  <c r="LC62" i="77"/>
  <c r="LB62" i="77"/>
  <c r="LD61" i="77"/>
  <c r="LC61" i="77"/>
  <c r="LB61" i="77"/>
  <c r="LD60" i="77"/>
  <c r="LC60" i="77"/>
  <c r="LB60" i="77"/>
  <c r="LD59" i="77"/>
  <c r="LC59" i="77"/>
  <c r="LB59" i="77"/>
  <c r="LD58" i="77"/>
  <c r="LC58" i="77"/>
  <c r="LB58" i="77"/>
  <c r="LD57" i="77"/>
  <c r="LC57" i="77"/>
  <c r="LB57" i="77"/>
  <c r="LD56" i="77"/>
  <c r="LC56" i="77"/>
  <c r="LB56" i="77"/>
  <c r="LD55" i="77"/>
  <c r="LC55" i="77"/>
  <c r="LB55" i="77"/>
  <c r="LD54" i="77"/>
  <c r="LC54" i="77"/>
  <c r="LB54" i="77"/>
  <c r="LD53" i="77"/>
  <c r="LC53" i="77"/>
  <c r="LB53" i="77"/>
  <c r="LD52" i="77"/>
  <c r="LC52" i="77"/>
  <c r="LB52" i="77"/>
  <c r="LD51" i="77"/>
  <c r="LC51" i="77"/>
  <c r="LB51" i="77"/>
  <c r="LD50" i="77"/>
  <c r="LC50" i="77"/>
  <c r="LB50" i="77"/>
  <c r="LD49" i="77"/>
  <c r="LC49" i="77"/>
  <c r="LB49" i="77"/>
  <c r="LD48" i="77"/>
  <c r="LC48" i="77"/>
  <c r="LB48" i="77"/>
  <c r="LD47" i="77"/>
  <c r="LC47" i="77"/>
  <c r="LB47" i="77"/>
  <c r="LD46" i="77"/>
  <c r="LC46" i="77"/>
  <c r="LB46" i="77"/>
  <c r="LD45" i="77"/>
  <c r="LC45" i="77"/>
  <c r="LB45" i="77"/>
  <c r="LD44" i="77"/>
  <c r="LC44" i="77"/>
  <c r="LB44" i="77"/>
  <c r="LD43" i="77"/>
  <c r="LC43" i="77"/>
  <c r="LB43" i="77"/>
  <c r="LD42" i="77"/>
  <c r="LC42" i="77"/>
  <c r="LB42" i="77"/>
  <c r="LD41" i="77"/>
  <c r="LC41" i="77"/>
  <c r="LB41" i="77"/>
  <c r="LD40" i="77"/>
  <c r="LC40" i="77"/>
  <c r="LB40" i="77"/>
  <c r="LD39" i="77"/>
  <c r="LC39" i="77"/>
  <c r="LB39" i="77"/>
  <c r="LD38" i="77"/>
  <c r="LC38" i="77"/>
  <c r="LB38" i="77"/>
  <c r="LD37" i="77"/>
  <c r="LC37" i="77"/>
  <c r="LB37" i="77"/>
  <c r="LD36" i="77"/>
  <c r="LC36" i="77"/>
  <c r="LB36" i="77"/>
  <c r="LD35" i="77"/>
  <c r="LC35" i="77"/>
  <c r="LB35" i="77"/>
  <c r="LD34" i="77"/>
  <c r="LC34" i="77"/>
  <c r="LB34" i="77"/>
  <c r="LD33" i="77"/>
  <c r="LC33" i="77"/>
  <c r="LB33" i="77"/>
  <c r="LD32" i="77"/>
  <c r="LC32" i="77"/>
  <c r="LB32" i="77"/>
  <c r="LD31" i="77"/>
  <c r="LC31" i="77"/>
  <c r="LB31" i="77"/>
  <c r="KZ186" i="77"/>
  <c r="KZ185" i="77"/>
  <c r="KY185" i="77"/>
  <c r="KZ184" i="77"/>
  <c r="KY184" i="77"/>
  <c r="KZ183" i="77"/>
  <c r="KZ182" i="77"/>
  <c r="KY182" i="77"/>
  <c r="KZ181" i="77"/>
  <c r="KY181" i="77"/>
  <c r="KZ180" i="77"/>
  <c r="KY180" i="77"/>
  <c r="KZ179" i="77"/>
  <c r="KY179" i="77"/>
  <c r="KZ178" i="77"/>
  <c r="KY178" i="77"/>
  <c r="KZ177" i="77"/>
  <c r="KY177" i="77"/>
  <c r="KZ176" i="77"/>
  <c r="KY176" i="77"/>
  <c r="KZ175" i="77"/>
  <c r="KY175" i="77"/>
  <c r="KZ174" i="77"/>
  <c r="KY174" i="77"/>
  <c r="KZ173" i="77"/>
  <c r="KY173" i="77"/>
  <c r="KZ172" i="77"/>
  <c r="KY172" i="77"/>
  <c r="KZ171" i="77"/>
  <c r="KY171" i="77"/>
  <c r="KZ170" i="77"/>
  <c r="KY170" i="77"/>
  <c r="KZ169" i="77"/>
  <c r="KY169" i="77"/>
  <c r="KZ166" i="77"/>
  <c r="KY166" i="77"/>
  <c r="KZ165" i="77"/>
  <c r="KY165" i="77"/>
  <c r="KZ164" i="77"/>
  <c r="KY164" i="77"/>
  <c r="KZ163" i="77"/>
  <c r="KY163" i="77"/>
  <c r="KZ162" i="77"/>
  <c r="KY162" i="77"/>
  <c r="KZ161" i="77"/>
  <c r="KY161" i="77"/>
  <c r="KZ160" i="77"/>
  <c r="KY160" i="77"/>
  <c r="KZ159" i="77"/>
  <c r="KY159" i="77"/>
  <c r="KZ158" i="77"/>
  <c r="KY158" i="77"/>
  <c r="KZ157" i="77"/>
  <c r="KY157" i="77"/>
  <c r="KZ156" i="77"/>
  <c r="KZ155" i="77"/>
  <c r="KY155" i="77"/>
  <c r="KZ154" i="77"/>
  <c r="KY154" i="77"/>
  <c r="KZ153" i="77"/>
  <c r="KY153" i="77"/>
  <c r="KZ152" i="77"/>
  <c r="KY152" i="77"/>
  <c r="KZ151" i="77"/>
  <c r="KY151" i="77"/>
  <c r="KZ150" i="77"/>
  <c r="KZ149" i="77"/>
  <c r="KY149" i="77"/>
  <c r="KZ148" i="77"/>
  <c r="KY148" i="77"/>
  <c r="KZ147" i="77"/>
  <c r="KY147" i="77"/>
  <c r="KZ146" i="77"/>
  <c r="KZ145" i="77"/>
  <c r="KZ144" i="77"/>
  <c r="KZ143" i="77"/>
  <c r="KY143" i="77"/>
  <c r="KZ141" i="77"/>
  <c r="KY141" i="77"/>
  <c r="KZ140" i="77"/>
  <c r="KY140" i="77"/>
  <c r="KZ139" i="77"/>
  <c r="KZ138" i="77"/>
  <c r="KY138" i="77"/>
  <c r="KZ137" i="77"/>
  <c r="KY137" i="77"/>
  <c r="KZ136" i="77"/>
  <c r="KY136" i="77"/>
  <c r="KZ135" i="77"/>
  <c r="KY135" i="77"/>
  <c r="KZ134" i="77"/>
  <c r="KY134" i="77"/>
  <c r="KZ133" i="77"/>
  <c r="KY133" i="77"/>
  <c r="KZ132" i="77"/>
  <c r="KY132" i="77"/>
  <c r="KZ131" i="77"/>
  <c r="KY131" i="77"/>
  <c r="KZ130" i="77"/>
  <c r="KY130" i="77"/>
  <c r="KZ129" i="77"/>
  <c r="KY129" i="77"/>
  <c r="KZ128" i="77"/>
  <c r="KY128" i="77"/>
  <c r="KZ127" i="77"/>
  <c r="KZ126" i="77"/>
  <c r="KZ125" i="77"/>
  <c r="KY125" i="77"/>
  <c r="KZ124" i="77"/>
  <c r="KY124" i="77"/>
  <c r="KZ123" i="77"/>
  <c r="KY123" i="77"/>
  <c r="KZ122" i="77"/>
  <c r="KY122" i="77"/>
  <c r="KZ121" i="77"/>
  <c r="KY121" i="77"/>
  <c r="KZ120" i="77"/>
  <c r="KY120" i="77"/>
  <c r="KZ119" i="77"/>
  <c r="KY119" i="77"/>
  <c r="KZ118" i="77"/>
  <c r="KY118" i="77"/>
  <c r="KZ117" i="77"/>
  <c r="KY117" i="77"/>
  <c r="KZ116" i="77"/>
  <c r="KY116" i="77"/>
  <c r="KZ115" i="77"/>
  <c r="KY115" i="77"/>
  <c r="KZ114" i="77"/>
  <c r="KY114" i="77"/>
  <c r="KZ113" i="77"/>
  <c r="KY113" i="77"/>
  <c r="KZ112" i="77"/>
  <c r="KY112" i="77"/>
  <c r="KZ111" i="77"/>
  <c r="KY111" i="77"/>
  <c r="KZ110" i="77"/>
  <c r="KY110" i="77"/>
  <c r="KZ109" i="77"/>
  <c r="KY109" i="77"/>
  <c r="KZ108" i="77"/>
  <c r="KY108" i="77"/>
  <c r="KZ107" i="77"/>
  <c r="KY107" i="77"/>
  <c r="KZ106" i="77"/>
  <c r="KY106" i="77"/>
  <c r="KZ105" i="77"/>
  <c r="KY105" i="77"/>
  <c r="KZ104" i="77"/>
  <c r="KY104" i="77"/>
  <c r="KZ103" i="77"/>
  <c r="KY103" i="77"/>
  <c r="KZ102" i="77"/>
  <c r="KY102" i="77"/>
  <c r="KZ101" i="77"/>
  <c r="KY101" i="77"/>
  <c r="KZ100" i="77"/>
  <c r="KY100" i="77"/>
  <c r="KZ99" i="77"/>
  <c r="KY99" i="77"/>
  <c r="KZ98" i="77"/>
  <c r="KY98" i="77"/>
  <c r="KZ97" i="77"/>
  <c r="KY97" i="77"/>
  <c r="KZ96" i="77"/>
  <c r="KY96" i="77"/>
  <c r="KZ95" i="77"/>
  <c r="KY95" i="77"/>
  <c r="KZ94" i="77"/>
  <c r="KY94" i="77"/>
  <c r="KZ93" i="77"/>
  <c r="KY93" i="77"/>
  <c r="KZ92" i="77"/>
  <c r="KY92" i="77"/>
  <c r="KZ91" i="77"/>
  <c r="KY91" i="77"/>
  <c r="KZ90" i="77"/>
  <c r="KY90" i="77"/>
  <c r="KZ88" i="77"/>
  <c r="KY88" i="77"/>
  <c r="KZ87" i="77"/>
  <c r="KY87" i="77"/>
  <c r="KZ86" i="77"/>
  <c r="KY86" i="77"/>
  <c r="KZ85" i="77"/>
  <c r="KY85" i="77"/>
  <c r="KZ84" i="77"/>
  <c r="KY84" i="77"/>
  <c r="KZ83" i="77"/>
  <c r="KY83" i="77"/>
  <c r="KZ82" i="77"/>
  <c r="KY82" i="77"/>
  <c r="KZ81" i="77"/>
  <c r="KY81" i="77"/>
  <c r="KZ80" i="77"/>
  <c r="KY80" i="77"/>
  <c r="KZ79" i="77"/>
  <c r="KY79" i="77"/>
  <c r="KZ78" i="77"/>
  <c r="KY78" i="77"/>
  <c r="KZ77" i="77"/>
  <c r="KY77" i="77"/>
  <c r="KZ76" i="77"/>
  <c r="KY76" i="77"/>
  <c r="KZ75" i="77"/>
  <c r="KY75" i="77"/>
  <c r="KZ74" i="77"/>
  <c r="KY74" i="77"/>
  <c r="KZ73" i="77"/>
  <c r="KY73" i="77"/>
  <c r="KZ72" i="77"/>
  <c r="KY72" i="77"/>
  <c r="KZ71" i="77"/>
  <c r="KY71" i="77"/>
  <c r="KZ70" i="77"/>
  <c r="KY70" i="77"/>
  <c r="KZ69" i="77"/>
  <c r="KY69" i="77"/>
  <c r="KZ68" i="77"/>
  <c r="KY68" i="77"/>
  <c r="KZ67" i="77"/>
  <c r="KY67" i="77"/>
  <c r="KZ66" i="77"/>
  <c r="KY66" i="77"/>
  <c r="KZ65" i="77"/>
  <c r="KY65" i="77"/>
  <c r="KZ64" i="77"/>
  <c r="KY64" i="77"/>
  <c r="KZ63" i="77"/>
  <c r="KY63" i="77"/>
  <c r="KZ62" i="77"/>
  <c r="KY62" i="77"/>
  <c r="KZ61" i="77"/>
  <c r="KY61" i="77"/>
  <c r="KZ60" i="77"/>
  <c r="KY60" i="77"/>
  <c r="KZ59" i="77"/>
  <c r="KY59" i="77"/>
  <c r="KZ58" i="77"/>
  <c r="KY58" i="77"/>
  <c r="KZ57" i="77"/>
  <c r="KY57" i="77"/>
  <c r="KZ56" i="77"/>
  <c r="KY56" i="77"/>
  <c r="KZ55" i="77"/>
  <c r="KY55" i="77"/>
  <c r="KZ54" i="77"/>
  <c r="KY54" i="77"/>
  <c r="KZ53" i="77"/>
  <c r="KY53" i="77"/>
  <c r="KZ52" i="77"/>
  <c r="KY52" i="77"/>
  <c r="KZ51" i="77"/>
  <c r="KY51" i="77"/>
  <c r="KZ50" i="77"/>
  <c r="KY50" i="77"/>
  <c r="KZ49" i="77"/>
  <c r="KY49" i="77"/>
  <c r="KZ48" i="77"/>
  <c r="KY48" i="77"/>
  <c r="KZ47" i="77"/>
  <c r="KY47" i="77"/>
  <c r="KZ46" i="77"/>
  <c r="KY46" i="77"/>
  <c r="KZ45" i="77"/>
  <c r="KY45" i="77"/>
  <c r="KZ44" i="77"/>
  <c r="KY44" i="77"/>
  <c r="KZ43" i="77"/>
  <c r="KY43" i="77"/>
  <c r="KZ42" i="77"/>
  <c r="KY42" i="77"/>
  <c r="KZ41" i="77"/>
  <c r="KZ40" i="77"/>
  <c r="KY40" i="77"/>
  <c r="KZ39" i="77"/>
  <c r="KY39" i="77"/>
  <c r="KZ38" i="77"/>
  <c r="KY38" i="77"/>
  <c r="KZ37" i="77"/>
  <c r="KY37" i="77"/>
  <c r="KZ36" i="77"/>
  <c r="KY36" i="77"/>
  <c r="KZ35" i="77"/>
  <c r="KY35" i="77"/>
  <c r="KZ34" i="77"/>
  <c r="KY34" i="77"/>
  <c r="KZ33" i="77"/>
  <c r="KY33" i="77"/>
  <c r="KZ32" i="77"/>
  <c r="KY32" i="77"/>
  <c r="AE186" i="77"/>
  <c r="AC186" i="77"/>
  <c r="T186" i="77"/>
  <c r="AE185" i="77"/>
  <c r="AC185" i="77"/>
  <c r="T185" i="77"/>
  <c r="AE184" i="77"/>
  <c r="AC184" i="77"/>
  <c r="T184" i="77"/>
  <c r="AE183" i="77"/>
  <c r="AC183" i="77"/>
  <c r="T183" i="77"/>
  <c r="AE182" i="77"/>
  <c r="AC182" i="77"/>
  <c r="T182" i="77"/>
  <c r="AE181" i="77"/>
  <c r="AC181" i="77"/>
  <c r="T181" i="77"/>
  <c r="AE180" i="77"/>
  <c r="AC180" i="77"/>
  <c r="T180" i="77"/>
  <c r="AE179" i="77"/>
  <c r="AC179" i="77"/>
  <c r="T179" i="77"/>
  <c r="AE178" i="77"/>
  <c r="AC178" i="77"/>
  <c r="T178" i="77"/>
  <c r="AE177" i="77"/>
  <c r="AC177" i="77"/>
  <c r="T177" i="77"/>
  <c r="AE176" i="77"/>
  <c r="AC176" i="77"/>
  <c r="T176" i="77"/>
  <c r="AE175" i="77"/>
  <c r="AC175" i="77"/>
  <c r="T175" i="77"/>
  <c r="AE174" i="77"/>
  <c r="AC174" i="77"/>
  <c r="T174" i="77"/>
  <c r="AE173" i="77"/>
  <c r="AC173" i="77"/>
  <c r="T173" i="77"/>
  <c r="AE172" i="77"/>
  <c r="AC172" i="77"/>
  <c r="T172" i="77"/>
  <c r="AE171" i="77"/>
  <c r="AC171" i="77"/>
  <c r="T171" i="77"/>
  <c r="AE170" i="77"/>
  <c r="AC170" i="77"/>
  <c r="T170" i="77"/>
  <c r="AE169" i="77"/>
  <c r="AC169" i="77"/>
  <c r="T169" i="77"/>
  <c r="AE168" i="77"/>
  <c r="AC168" i="77"/>
  <c r="T168" i="77"/>
  <c r="AE167" i="77"/>
  <c r="AC167" i="77"/>
  <c r="T167" i="77"/>
  <c r="AE166" i="77"/>
  <c r="AC166" i="77"/>
  <c r="T166" i="77"/>
  <c r="AE165" i="77"/>
  <c r="AC165" i="77"/>
  <c r="T165" i="77"/>
  <c r="AE164" i="77"/>
  <c r="AC164" i="77"/>
  <c r="T164" i="77"/>
  <c r="AE163" i="77"/>
  <c r="AC163" i="77"/>
  <c r="T163" i="77"/>
  <c r="AE162" i="77"/>
  <c r="AC162" i="77"/>
  <c r="T162" i="77"/>
  <c r="AE161" i="77"/>
  <c r="AC161" i="77"/>
  <c r="T161" i="77"/>
  <c r="AE160" i="77"/>
  <c r="AC160" i="77"/>
  <c r="T160" i="77"/>
  <c r="AE159" i="77"/>
  <c r="AC159" i="77"/>
  <c r="T159" i="77"/>
  <c r="AE158" i="77"/>
  <c r="AC158" i="77"/>
  <c r="T158" i="77"/>
  <c r="AE157" i="77"/>
  <c r="AC157" i="77"/>
  <c r="T157" i="77"/>
  <c r="AE156" i="77"/>
  <c r="AC156" i="77"/>
  <c r="T156" i="77"/>
  <c r="AE155" i="77"/>
  <c r="AC155" i="77"/>
  <c r="T155" i="77"/>
  <c r="AE154" i="77"/>
  <c r="AC154" i="77"/>
  <c r="T154" i="77"/>
  <c r="AE153" i="77"/>
  <c r="AC153" i="77"/>
  <c r="T153" i="77"/>
  <c r="AE152" i="77"/>
  <c r="AC152" i="77"/>
  <c r="T152" i="77"/>
  <c r="AE151" i="77"/>
  <c r="AC151" i="77"/>
  <c r="T151" i="77"/>
  <c r="AE150" i="77"/>
  <c r="AC150" i="77"/>
  <c r="T150" i="77"/>
  <c r="AE149" i="77"/>
  <c r="AC149" i="77"/>
  <c r="T149" i="77"/>
  <c r="AE148" i="77"/>
  <c r="AC148" i="77"/>
  <c r="T148" i="77"/>
  <c r="AE147" i="77"/>
  <c r="AC147" i="77"/>
  <c r="T147" i="77"/>
  <c r="AE146" i="77"/>
  <c r="AC146" i="77"/>
  <c r="T146" i="77"/>
  <c r="AE145" i="77"/>
  <c r="AC145" i="77"/>
  <c r="T145" i="77"/>
  <c r="AE144" i="77"/>
  <c r="AC144" i="77"/>
  <c r="T144" i="77"/>
  <c r="AE143" i="77"/>
  <c r="AC143" i="77"/>
  <c r="T143" i="77"/>
  <c r="AE142" i="77"/>
  <c r="AC142" i="77"/>
  <c r="T142" i="77"/>
  <c r="T141" i="77"/>
  <c r="T140" i="77"/>
  <c r="AE139" i="77"/>
  <c r="AC139" i="77"/>
  <c r="T139" i="77"/>
  <c r="AE138" i="77"/>
  <c r="AC138" i="77"/>
  <c r="T138" i="77"/>
  <c r="AE137" i="77"/>
  <c r="T137" i="77"/>
  <c r="AE136" i="77"/>
  <c r="T136" i="77"/>
  <c r="AE135" i="77"/>
  <c r="AC135" i="77"/>
  <c r="T135" i="77"/>
  <c r="AE134" i="77"/>
  <c r="T134" i="77"/>
  <c r="AE133" i="77"/>
  <c r="T133" i="77"/>
  <c r="AE132" i="77"/>
  <c r="T132" i="77"/>
  <c r="AE131" i="77"/>
  <c r="T131" i="77"/>
  <c r="AE130" i="77"/>
  <c r="T130" i="77"/>
  <c r="AE129" i="77"/>
  <c r="T129" i="77"/>
  <c r="AE128" i="77"/>
  <c r="T128" i="77"/>
  <c r="AE127" i="77"/>
  <c r="AC127" i="77"/>
  <c r="T127" i="77"/>
  <c r="AE126" i="77"/>
  <c r="AC126" i="77"/>
  <c r="T126" i="77"/>
  <c r="AE125" i="77"/>
  <c r="AC125" i="77"/>
  <c r="T125" i="77"/>
  <c r="AE124" i="77"/>
  <c r="T124" i="77"/>
  <c r="AE123" i="77"/>
  <c r="T123" i="77"/>
  <c r="AE122" i="77"/>
  <c r="T122" i="77"/>
  <c r="T121" i="77"/>
  <c r="AE120" i="77"/>
  <c r="T120" i="77"/>
  <c r="AE119" i="77"/>
  <c r="T119" i="77"/>
  <c r="AE118" i="77"/>
  <c r="AC118" i="77"/>
  <c r="T118" i="77"/>
  <c r="AE117" i="77"/>
  <c r="AC117" i="77"/>
  <c r="T117" i="77"/>
  <c r="AE116" i="77"/>
  <c r="T116" i="77"/>
  <c r="AE115" i="77"/>
  <c r="T115" i="77"/>
  <c r="AE114" i="77"/>
  <c r="T114" i="77"/>
  <c r="AE113" i="77"/>
  <c r="T113" i="77"/>
  <c r="AE112" i="77"/>
  <c r="T112" i="77"/>
  <c r="AE111" i="77"/>
  <c r="AC111" i="77"/>
  <c r="T111" i="77"/>
  <c r="AE110" i="77"/>
  <c r="AC110" i="77"/>
  <c r="T110" i="77"/>
  <c r="AE109" i="77"/>
  <c r="AC109" i="77"/>
  <c r="T109" i="77"/>
  <c r="AE108" i="77"/>
  <c r="AC108" i="77"/>
  <c r="T108" i="77"/>
  <c r="AE107" i="77"/>
  <c r="AC107" i="77"/>
  <c r="T107" i="77"/>
  <c r="AE106" i="77"/>
  <c r="AC106" i="77"/>
  <c r="T106" i="77"/>
  <c r="AE105" i="77"/>
  <c r="AC105" i="77"/>
  <c r="T105" i="77"/>
  <c r="AE104" i="77"/>
  <c r="T104" i="77"/>
  <c r="AE103" i="77"/>
  <c r="T103" i="77"/>
  <c r="AE102" i="77"/>
  <c r="T102" i="77"/>
  <c r="AE101" i="77"/>
  <c r="T101" i="77"/>
  <c r="AE100" i="77"/>
  <c r="AC100" i="77"/>
  <c r="T100" i="77"/>
  <c r="AE99" i="77"/>
  <c r="AC99" i="77"/>
  <c r="T99" i="77"/>
  <c r="AE98" i="77"/>
  <c r="AC98" i="77"/>
  <c r="T98" i="77"/>
  <c r="AE97" i="77"/>
  <c r="AC97" i="77"/>
  <c r="T97" i="77"/>
  <c r="AE96" i="77"/>
  <c r="AC96" i="77"/>
  <c r="T96" i="77"/>
  <c r="AE95" i="77"/>
  <c r="AC95" i="77"/>
  <c r="T95" i="77"/>
  <c r="AE94" i="77"/>
  <c r="AC94" i="77"/>
  <c r="T94" i="77"/>
  <c r="AE93" i="77"/>
  <c r="AC93" i="77"/>
  <c r="T93" i="77"/>
  <c r="AE92" i="77"/>
  <c r="AC92" i="77"/>
  <c r="T92" i="77"/>
  <c r="AE91" i="77"/>
  <c r="T91" i="77"/>
  <c r="AE90" i="77"/>
  <c r="T90" i="77"/>
  <c r="AE88" i="77"/>
  <c r="T88" i="77"/>
  <c r="AE87" i="77"/>
  <c r="T87" i="77"/>
  <c r="AE86" i="77"/>
  <c r="T86" i="77"/>
  <c r="AE85" i="77"/>
  <c r="T85" i="77"/>
  <c r="AE84" i="77"/>
  <c r="T84" i="77"/>
  <c r="AE83" i="77"/>
  <c r="AC83" i="77"/>
  <c r="T83" i="77"/>
  <c r="AE82" i="77"/>
  <c r="AC82" i="77"/>
  <c r="T82" i="77"/>
  <c r="AE81" i="77"/>
  <c r="AC81" i="77"/>
  <c r="T81" i="77"/>
  <c r="AE80" i="77"/>
  <c r="AC80" i="77"/>
  <c r="T80" i="77"/>
  <c r="AE79" i="77"/>
  <c r="AC79" i="77"/>
  <c r="T79" i="77"/>
  <c r="AE78" i="77"/>
  <c r="AC78" i="77"/>
  <c r="T78" i="77"/>
  <c r="AE77" i="77"/>
  <c r="AC77" i="77"/>
  <c r="T77" i="77"/>
  <c r="AE76" i="77"/>
  <c r="AC76" i="77"/>
  <c r="T76" i="77"/>
  <c r="AE75" i="77"/>
  <c r="AC75" i="77"/>
  <c r="T75" i="77"/>
  <c r="AE74" i="77"/>
  <c r="T74" i="77"/>
  <c r="AE73" i="77"/>
  <c r="AC73" i="77"/>
  <c r="T73" i="77"/>
  <c r="AE72" i="77"/>
  <c r="AC72" i="77"/>
  <c r="T72" i="77"/>
  <c r="AE71" i="77"/>
  <c r="T71" i="77"/>
  <c r="AE70" i="77"/>
  <c r="T70" i="77"/>
  <c r="AE69" i="77"/>
  <c r="T69" i="77"/>
  <c r="AE68" i="77"/>
  <c r="T68" i="77"/>
  <c r="AE67" i="77"/>
  <c r="T67" i="77"/>
  <c r="AE66" i="77"/>
  <c r="AC66" i="77"/>
  <c r="T66" i="77"/>
  <c r="AE65" i="77"/>
  <c r="AC65" i="77"/>
  <c r="T65" i="77"/>
  <c r="AE64" i="77"/>
  <c r="AC64" i="77"/>
  <c r="T64" i="77"/>
  <c r="AE63" i="77"/>
  <c r="AC63" i="77"/>
  <c r="T63" i="77"/>
  <c r="AE62" i="77"/>
  <c r="AC62" i="77"/>
  <c r="T62" i="77"/>
  <c r="AE61" i="77"/>
  <c r="AC61" i="77"/>
  <c r="T61" i="77"/>
  <c r="AE60" i="77"/>
  <c r="AC60" i="77"/>
  <c r="T60" i="77"/>
  <c r="AE59" i="77"/>
  <c r="AC59" i="77"/>
  <c r="T59" i="77"/>
  <c r="AE58" i="77"/>
  <c r="AC58" i="77"/>
  <c r="T58" i="77"/>
  <c r="AE57" i="77"/>
  <c r="AC57" i="77"/>
  <c r="T57" i="77"/>
  <c r="AE56" i="77"/>
  <c r="AC56" i="77"/>
  <c r="T56" i="77"/>
  <c r="AE55" i="77"/>
  <c r="AC55" i="77"/>
  <c r="T55" i="77"/>
  <c r="AE54" i="77"/>
  <c r="AC54" i="77"/>
  <c r="T54" i="77"/>
  <c r="AE53" i="77"/>
  <c r="AC53" i="77"/>
  <c r="T53" i="77"/>
  <c r="AE52" i="77"/>
  <c r="AC52" i="77"/>
  <c r="T52" i="77"/>
  <c r="AE51" i="77"/>
  <c r="AC51" i="77"/>
  <c r="T51" i="77"/>
  <c r="AE50" i="77"/>
  <c r="AC50" i="77"/>
  <c r="T50" i="77"/>
  <c r="AE49" i="77"/>
  <c r="AC49" i="77"/>
  <c r="T49" i="77"/>
  <c r="AE48" i="77"/>
  <c r="AC48" i="77"/>
  <c r="T48" i="77"/>
  <c r="AE47" i="77"/>
  <c r="AC47" i="77"/>
  <c r="T47" i="77"/>
  <c r="AE46" i="77"/>
  <c r="AC46" i="77"/>
  <c r="T46" i="77"/>
  <c r="AE45" i="77"/>
  <c r="AC45" i="77"/>
  <c r="T45" i="77"/>
  <c r="AE44" i="77"/>
  <c r="AC44" i="77"/>
  <c r="T44" i="77"/>
  <c r="AE43" i="77"/>
  <c r="AC43" i="77"/>
  <c r="T43" i="77"/>
  <c r="AE42" i="77"/>
  <c r="AC42" i="77"/>
  <c r="T42" i="77"/>
  <c r="AE41" i="77"/>
  <c r="AC41" i="77"/>
  <c r="T41" i="77"/>
  <c r="AE40" i="77"/>
  <c r="AC40" i="77"/>
  <c r="T40" i="77"/>
  <c r="AE39" i="77"/>
  <c r="AC39" i="77"/>
  <c r="T39" i="77"/>
  <c r="AE38" i="77"/>
  <c r="T38" i="77"/>
  <c r="AE37" i="77"/>
  <c r="AC37" i="77"/>
  <c r="T37" i="77"/>
  <c r="AE36" i="77"/>
  <c r="AC36" i="77"/>
  <c r="T36" i="77"/>
  <c r="AE35" i="77"/>
  <c r="AC35" i="77"/>
  <c r="T35" i="77"/>
  <c r="AE34" i="77"/>
  <c r="AC34" i="77"/>
  <c r="T34" i="77"/>
  <c r="AE33" i="77"/>
  <c r="AC33" i="77"/>
  <c r="T33" i="77"/>
  <c r="AE32" i="77"/>
  <c r="T32" i="77"/>
  <c r="M127" i="77"/>
  <c r="O186" i="77"/>
  <c r="M186" i="77"/>
  <c r="O185" i="77"/>
  <c r="M185" i="77"/>
  <c r="O184" i="77"/>
  <c r="M184" i="77"/>
  <c r="O183" i="77"/>
  <c r="O182" i="77"/>
  <c r="O181" i="77"/>
  <c r="O180" i="77"/>
  <c r="O179" i="77"/>
  <c r="M179" i="77"/>
  <c r="O178" i="77"/>
  <c r="O177" i="77"/>
  <c r="O176" i="77"/>
  <c r="O175" i="77"/>
  <c r="O174" i="77"/>
  <c r="O173" i="77"/>
  <c r="O172" i="77"/>
  <c r="O171" i="77"/>
  <c r="O170" i="77"/>
  <c r="O169" i="77"/>
  <c r="O168" i="77"/>
  <c r="O167" i="77"/>
  <c r="O166" i="77"/>
  <c r="O165" i="77"/>
  <c r="O164" i="77"/>
  <c r="O163" i="77"/>
  <c r="O162" i="77"/>
  <c r="O161" i="77"/>
  <c r="O160" i="77"/>
  <c r="O159" i="77"/>
  <c r="O158" i="77"/>
  <c r="O157" i="77"/>
  <c r="O156" i="77"/>
  <c r="O155" i="77"/>
  <c r="O154" i="77"/>
  <c r="O153" i="77"/>
  <c r="O152" i="77"/>
  <c r="O151" i="77"/>
  <c r="M151" i="77"/>
  <c r="O150" i="77"/>
  <c r="O149" i="77"/>
  <c r="O148" i="77"/>
  <c r="O147" i="77"/>
  <c r="O146" i="77"/>
  <c r="O145" i="77"/>
  <c r="O144" i="77"/>
  <c r="O143" i="77"/>
  <c r="M143" i="77"/>
  <c r="O142" i="77"/>
  <c r="O139" i="77"/>
  <c r="O138" i="77"/>
  <c r="M138" i="77"/>
  <c r="O135" i="77"/>
  <c r="O127" i="77"/>
  <c r="O126" i="77"/>
  <c r="M126" i="77"/>
  <c r="O125" i="77"/>
  <c r="M125" i="77"/>
  <c r="O118" i="77"/>
  <c r="O117" i="77"/>
  <c r="M117" i="77"/>
  <c r="O111" i="77"/>
  <c r="O110" i="77"/>
  <c r="O109" i="77"/>
  <c r="O108" i="77"/>
  <c r="O107" i="77"/>
  <c r="O106" i="77"/>
  <c r="O105" i="77"/>
  <c r="O100" i="77"/>
  <c r="O99" i="77"/>
  <c r="M99" i="77"/>
  <c r="O98" i="77"/>
  <c r="M98" i="77"/>
  <c r="O97" i="77"/>
  <c r="M97" i="77"/>
  <c r="O96" i="77"/>
  <c r="M96" i="77"/>
  <c r="O95" i="77"/>
  <c r="M95" i="77"/>
  <c r="O94" i="77"/>
  <c r="M94" i="77"/>
  <c r="O93" i="77"/>
  <c r="M93" i="77"/>
  <c r="O83" i="77"/>
  <c r="M83" i="77"/>
  <c r="O82" i="77"/>
  <c r="O81" i="77"/>
  <c r="O80" i="77"/>
  <c r="O79" i="77"/>
  <c r="O78" i="77"/>
  <c r="O77" i="77"/>
  <c r="O76" i="77"/>
  <c r="O75" i="77"/>
  <c r="O73" i="77"/>
  <c r="O72" i="77"/>
  <c r="O66" i="77"/>
  <c r="M66" i="77"/>
  <c r="O65" i="77"/>
  <c r="M65" i="77"/>
  <c r="O64" i="77"/>
  <c r="O63" i="77"/>
  <c r="O62" i="77"/>
  <c r="M62" i="77"/>
  <c r="O61" i="77"/>
  <c r="O60" i="77"/>
  <c r="M60" i="77"/>
  <c r="O59" i="77"/>
  <c r="M59" i="77"/>
  <c r="O58" i="77"/>
  <c r="M58" i="77"/>
  <c r="O57" i="77"/>
  <c r="M57" i="77"/>
  <c r="O56" i="77"/>
  <c r="M56" i="77"/>
  <c r="O55" i="77"/>
  <c r="M55" i="77"/>
  <c r="O54" i="77"/>
  <c r="M54" i="77"/>
  <c r="O53" i="77"/>
  <c r="M53" i="77"/>
  <c r="O52" i="77"/>
  <c r="M52" i="77"/>
  <c r="O51" i="77"/>
  <c r="M51" i="77"/>
  <c r="O50" i="77"/>
  <c r="M50" i="77"/>
  <c r="O49" i="77"/>
  <c r="M49" i="77"/>
  <c r="O48" i="77"/>
  <c r="M48" i="77"/>
  <c r="O47" i="77"/>
  <c r="M47" i="77"/>
  <c r="O46" i="77"/>
  <c r="M46" i="77"/>
  <c r="O45" i="77"/>
  <c r="M45" i="77"/>
  <c r="O44" i="77"/>
  <c r="M44" i="77"/>
  <c r="O43" i="77"/>
  <c r="M43" i="77"/>
  <c r="O42" i="77"/>
  <c r="M42" i="77"/>
  <c r="O41" i="77"/>
  <c r="M41" i="77"/>
  <c r="O40" i="77"/>
  <c r="M40" i="77"/>
  <c r="O39" i="77"/>
  <c r="M39" i="77"/>
  <c r="O37" i="77"/>
  <c r="M37" i="77"/>
  <c r="O36" i="77"/>
  <c r="M36" i="77"/>
  <c r="O35" i="77"/>
  <c r="M35" i="77"/>
  <c r="O34" i="77"/>
  <c r="M34" i="77"/>
  <c r="O33" i="77"/>
  <c r="KZ31" i="77"/>
  <c r="KY31" i="77"/>
  <c r="AE31" i="77"/>
  <c r="AC31" i="77"/>
  <c r="T31" i="77"/>
  <c r="O31" i="77"/>
  <c r="G94" i="82" l="1"/>
  <c r="G15" i="82"/>
  <c r="G136" i="82"/>
  <c r="G160" i="82"/>
  <c r="G48" i="82"/>
  <c r="G64" i="82"/>
  <c r="G113" i="82"/>
  <c r="G137" i="82"/>
  <c r="I145" i="82"/>
  <c r="G81" i="82"/>
  <c r="G10" i="82"/>
  <c r="G18" i="82"/>
  <c r="G34" i="82"/>
  <c r="G66" i="82"/>
  <c r="G123" i="82"/>
  <c r="G155" i="82"/>
  <c r="G43" i="82"/>
  <c r="G67" i="82"/>
  <c r="G20" i="82"/>
  <c r="I28" i="82"/>
  <c r="G52" i="82"/>
  <c r="G92" i="82"/>
  <c r="G29" i="82"/>
  <c r="H125" i="82"/>
  <c r="G60" i="82"/>
  <c r="H74" i="82"/>
  <c r="G55" i="82"/>
  <c r="H60" i="82"/>
  <c r="G46" i="82"/>
  <c r="G74" i="82"/>
  <c r="H46" i="82"/>
  <c r="G132" i="82"/>
  <c r="B180" i="82"/>
  <c r="H180" i="82" s="1"/>
  <c r="G6" i="82"/>
  <c r="H6" i="82"/>
  <c r="I6" i="82"/>
  <c r="G150" i="82"/>
  <c r="G13" i="82"/>
  <c r="I27" i="82"/>
  <c r="G97" i="82"/>
  <c r="I111" i="82"/>
  <c r="G125" i="82"/>
  <c r="G139" i="82"/>
  <c r="B169" i="82"/>
  <c r="I169" i="82" s="1"/>
  <c r="H150" i="82"/>
  <c r="I125" i="82"/>
  <c r="I150" i="82"/>
  <c r="G153" i="82"/>
  <c r="D168" i="82"/>
  <c r="H126" i="82"/>
  <c r="I114" i="82"/>
  <c r="I128" i="82"/>
  <c r="I142" i="82"/>
  <c r="C180" i="82"/>
  <c r="G32" i="82"/>
  <c r="I126" i="82"/>
  <c r="H32" i="82"/>
  <c r="J162" i="77"/>
  <c r="K162" i="77" s="1"/>
  <c r="I156" i="82"/>
  <c r="I32" i="82"/>
  <c r="I46" i="82"/>
  <c r="I60" i="82"/>
  <c r="I74" i="82"/>
  <c r="J159" i="77"/>
  <c r="K159" i="77" s="1"/>
  <c r="G134" i="82"/>
  <c r="I146" i="82"/>
  <c r="H146" i="82"/>
  <c r="G146" i="82"/>
  <c r="H158" i="82"/>
  <c r="G158" i="82"/>
  <c r="D184" i="82"/>
  <c r="C184" i="82"/>
  <c r="I41" i="82"/>
  <c r="H41" i="82"/>
  <c r="G41" i="82"/>
  <c r="I159" i="82"/>
  <c r="H159" i="82"/>
  <c r="J173" i="77"/>
  <c r="K173" i="77" s="1"/>
  <c r="G148" i="82"/>
  <c r="J64" i="77"/>
  <c r="K64" i="77" s="1"/>
  <c r="G39" i="82"/>
  <c r="H83" i="82"/>
  <c r="G83" i="82"/>
  <c r="D167" i="82"/>
  <c r="C167" i="82"/>
  <c r="B167" i="82"/>
  <c r="I167" i="82" s="1"/>
  <c r="B179" i="82"/>
  <c r="I179" i="82" s="1"/>
  <c r="C179" i="82"/>
  <c r="C183" i="82"/>
  <c r="H33" i="82"/>
  <c r="I33" i="82"/>
  <c r="I47" i="82"/>
  <c r="H47" i="82"/>
  <c r="J101" i="77"/>
  <c r="K101" i="77" s="1"/>
  <c r="G76" i="82"/>
  <c r="I103" i="82"/>
  <c r="H103" i="82"/>
  <c r="C169" i="82"/>
  <c r="H69" i="82"/>
  <c r="G69" i="82"/>
  <c r="J129" i="77"/>
  <c r="K129" i="77" s="1"/>
  <c r="H104" i="82"/>
  <c r="I104" i="82"/>
  <c r="G104" i="82"/>
  <c r="I117" i="82"/>
  <c r="H117" i="82"/>
  <c r="C182" i="82"/>
  <c r="B182" i="82"/>
  <c r="I182" i="82" s="1"/>
  <c r="D170" i="82"/>
  <c r="C170" i="82"/>
  <c r="D182" i="82"/>
  <c r="B170" i="82"/>
  <c r="I170" i="82" s="1"/>
  <c r="D179" i="82"/>
  <c r="J143" i="77"/>
  <c r="K143" i="77" s="1"/>
  <c r="G118" i="82"/>
  <c r="J131" i="77"/>
  <c r="K131" i="77" s="1"/>
  <c r="G106" i="82"/>
  <c r="D172" i="82"/>
  <c r="B183" i="82"/>
  <c r="I183" i="82" s="1"/>
  <c r="H13" i="82"/>
  <c r="H20" i="82"/>
  <c r="H27" i="82"/>
  <c r="H34" i="82"/>
  <c r="H48" i="82"/>
  <c r="H55" i="82"/>
  <c r="H62" i="82"/>
  <c r="H76" i="82"/>
  <c r="H90" i="82"/>
  <c r="H97" i="82"/>
  <c r="H111" i="82"/>
  <c r="H118" i="82"/>
  <c r="H132" i="82"/>
  <c r="H139" i="82"/>
  <c r="H153" i="82"/>
  <c r="H160" i="82"/>
  <c r="I13" i="82"/>
  <c r="G17" i="82"/>
  <c r="I20" i="82"/>
  <c r="G24" i="82"/>
  <c r="G31" i="82"/>
  <c r="I34" i="82"/>
  <c r="G38" i="82"/>
  <c r="G45" i="82"/>
  <c r="I48" i="82"/>
  <c r="I55" i="82"/>
  <c r="G59" i="82"/>
  <c r="I62" i="82"/>
  <c r="I69" i="82"/>
  <c r="G73" i="82"/>
  <c r="I76" i="82"/>
  <c r="G80" i="82"/>
  <c r="I83" i="82"/>
  <c r="G87" i="82"/>
  <c r="I90" i="82"/>
  <c r="I97" i="82"/>
  <c r="G101" i="82"/>
  <c r="G108" i="82"/>
  <c r="G115" i="82"/>
  <c r="I118" i="82"/>
  <c r="G122" i="82"/>
  <c r="G129" i="82"/>
  <c r="I132" i="82"/>
  <c r="I139" i="82"/>
  <c r="G143" i="82"/>
  <c r="I153" i="82"/>
  <c r="G157" i="82"/>
  <c r="I160" i="82"/>
  <c r="D171" i="82"/>
  <c r="C171" i="82"/>
  <c r="B171" i="82"/>
  <c r="I171" i="82" s="1"/>
  <c r="D183" i="82"/>
  <c r="B184" i="82"/>
  <c r="H184" i="82" s="1"/>
  <c r="H10" i="82"/>
  <c r="H17" i="82"/>
  <c r="H24" i="82"/>
  <c r="H31" i="82"/>
  <c r="H38" i="82"/>
  <c r="H45" i="82"/>
  <c r="H52" i="82"/>
  <c r="H59" i="82"/>
  <c r="H66" i="82"/>
  <c r="H73" i="82"/>
  <c r="H80" i="82"/>
  <c r="H87" i="82"/>
  <c r="H94" i="82"/>
  <c r="H101" i="82"/>
  <c r="H108" i="82"/>
  <c r="H115" i="82"/>
  <c r="H122" i="82"/>
  <c r="H129" i="82"/>
  <c r="H136" i="82"/>
  <c r="H143" i="82"/>
  <c r="H157" i="82"/>
  <c r="H7" i="82"/>
  <c r="H14" i="82"/>
  <c r="H21" i="82"/>
  <c r="H28" i="82"/>
  <c r="H35" i="82"/>
  <c r="H42" i="82"/>
  <c r="H49" i="82"/>
  <c r="H56" i="82"/>
  <c r="H63" i="82"/>
  <c r="H70" i="82"/>
  <c r="H77" i="82"/>
  <c r="H84" i="82"/>
  <c r="H91" i="82"/>
  <c r="H98" i="82"/>
  <c r="H105" i="82"/>
  <c r="H112" i="82"/>
  <c r="H119" i="82"/>
  <c r="H133" i="82"/>
  <c r="H140" i="82"/>
  <c r="H147" i="82"/>
  <c r="H154" i="82"/>
  <c r="H161" i="82"/>
  <c r="C168" i="82"/>
  <c r="B168" i="82"/>
  <c r="D180" i="82"/>
  <c r="I7" i="82"/>
  <c r="G11" i="82"/>
  <c r="I14" i="82"/>
  <c r="I21" i="82"/>
  <c r="G25" i="82"/>
  <c r="I35" i="82"/>
  <c r="I42" i="82"/>
  <c r="I49" i="82"/>
  <c r="G53" i="82"/>
  <c r="I56" i="82"/>
  <c r="I63" i="82"/>
  <c r="I70" i="82"/>
  <c r="I77" i="82"/>
  <c r="I84" i="82"/>
  <c r="G88" i="82"/>
  <c r="I91" i="82"/>
  <c r="G95" i="82"/>
  <c r="I98" i="82"/>
  <c r="G102" i="82"/>
  <c r="I105" i="82"/>
  <c r="G109" i="82"/>
  <c r="I112" i="82"/>
  <c r="G116" i="82"/>
  <c r="I119" i="82"/>
  <c r="G130" i="82"/>
  <c r="I133" i="82"/>
  <c r="I140" i="82"/>
  <c r="G144" i="82"/>
  <c r="I147" i="82"/>
  <c r="G151" i="82"/>
  <c r="I154" i="82"/>
  <c r="I161" i="82"/>
  <c r="B172" i="82"/>
  <c r="H172" i="82" s="1"/>
  <c r="D181" i="82"/>
  <c r="C181" i="82"/>
  <c r="B181" i="82"/>
  <c r="D169" i="82"/>
  <c r="H11" i="82"/>
  <c r="H18" i="82"/>
  <c r="H25" i="82"/>
  <c r="H39" i="82"/>
  <c r="H53" i="82"/>
  <c r="H67" i="82"/>
  <c r="H81" i="82"/>
  <c r="H88" i="82"/>
  <c r="H95" i="82"/>
  <c r="H102" i="82"/>
  <c r="H109" i="82"/>
  <c r="H116" i="82"/>
  <c r="H123" i="82"/>
  <c r="H130" i="82"/>
  <c r="H137" i="82"/>
  <c r="H144" i="82"/>
  <c r="H151" i="82"/>
  <c r="C172" i="82"/>
  <c r="G8" i="82"/>
  <c r="I11" i="82"/>
  <c r="I18" i="82"/>
  <c r="G22" i="82"/>
  <c r="I25" i="82"/>
  <c r="G36" i="82"/>
  <c r="I39" i="82"/>
  <c r="G50" i="82"/>
  <c r="I53" i="82"/>
  <c r="G57" i="82"/>
  <c r="I67" i="82"/>
  <c r="G71" i="82"/>
  <c r="G78" i="82"/>
  <c r="I81" i="82"/>
  <c r="G85" i="82"/>
  <c r="I88" i="82"/>
  <c r="I95" i="82"/>
  <c r="G99" i="82"/>
  <c r="I102" i="82"/>
  <c r="I109" i="82"/>
  <c r="I116" i="82"/>
  <c r="G120" i="82"/>
  <c r="I123" i="82"/>
  <c r="G127" i="82"/>
  <c r="I130" i="82"/>
  <c r="I137" i="82"/>
  <c r="G141" i="82"/>
  <c r="I144" i="82"/>
  <c r="I151" i="82"/>
  <c r="I158" i="82"/>
  <c r="G7" i="82"/>
  <c r="I10" i="82"/>
  <c r="G14" i="82"/>
  <c r="I17" i="82"/>
  <c r="G21" i="82"/>
  <c r="I24" i="82"/>
  <c r="G28" i="82"/>
  <c r="I31" i="82"/>
  <c r="G35" i="82"/>
  <c r="I38" i="82"/>
  <c r="G42" i="82"/>
  <c r="I45" i="82"/>
  <c r="G49" i="82"/>
  <c r="I52" i="82"/>
  <c r="G56" i="82"/>
  <c r="I59" i="82"/>
  <c r="G63" i="82"/>
  <c r="I66" i="82"/>
  <c r="G70" i="82"/>
  <c r="I73" i="82"/>
  <c r="G77" i="82"/>
  <c r="I80" i="82"/>
  <c r="G84" i="82"/>
  <c r="I87" i="82"/>
  <c r="G91" i="82"/>
  <c r="I94" i="82"/>
  <c r="G98" i="82"/>
  <c r="I101" i="82"/>
  <c r="G105" i="82"/>
  <c r="I108" i="82"/>
  <c r="G112" i="82"/>
  <c r="I115" i="82"/>
  <c r="G119" i="82"/>
  <c r="I122" i="82"/>
  <c r="G126" i="82"/>
  <c r="I129" i="82"/>
  <c r="G133" i="82"/>
  <c r="I136" i="82"/>
  <c r="G140" i="82"/>
  <c r="I143" i="82"/>
  <c r="G147" i="82"/>
  <c r="G154" i="82"/>
  <c r="I157" i="82"/>
  <c r="G161" i="82"/>
  <c r="H8" i="82"/>
  <c r="H15" i="82"/>
  <c r="H22" i="82"/>
  <c r="H29" i="82"/>
  <c r="H36" i="82"/>
  <c r="H43" i="82"/>
  <c r="H50" i="82"/>
  <c r="H57" i="82"/>
  <c r="H64" i="82"/>
  <c r="H71" i="82"/>
  <c r="H78" i="82"/>
  <c r="H85" i="82"/>
  <c r="H92" i="82"/>
  <c r="H99" i="82"/>
  <c r="H106" i="82"/>
  <c r="H113" i="82"/>
  <c r="H120" i="82"/>
  <c r="H127" i="82"/>
  <c r="H134" i="82"/>
  <c r="H141" i="82"/>
  <c r="H148" i="82"/>
  <c r="H155" i="82"/>
  <c r="I8" i="82"/>
  <c r="G12" i="82"/>
  <c r="I15" i="82"/>
  <c r="G19" i="82"/>
  <c r="I22" i="82"/>
  <c r="G26" i="82"/>
  <c r="I29" i="82"/>
  <c r="G33" i="82"/>
  <c r="I36" i="82"/>
  <c r="G40" i="82"/>
  <c r="I43" i="82"/>
  <c r="G47" i="82"/>
  <c r="I50" i="82"/>
  <c r="G54" i="82"/>
  <c r="I57" i="82"/>
  <c r="G61" i="82"/>
  <c r="I64" i="82"/>
  <c r="G68" i="82"/>
  <c r="I71" i="82"/>
  <c r="G75" i="82"/>
  <c r="I78" i="82"/>
  <c r="G82" i="82"/>
  <c r="I85" i="82"/>
  <c r="G89" i="82"/>
  <c r="I92" i="82"/>
  <c r="G96" i="82"/>
  <c r="I99" i="82"/>
  <c r="G103" i="82"/>
  <c r="I106" i="82"/>
  <c r="G110" i="82"/>
  <c r="I113" i="82"/>
  <c r="G117" i="82"/>
  <c r="I120" i="82"/>
  <c r="G124" i="82"/>
  <c r="I127" i="82"/>
  <c r="G131" i="82"/>
  <c r="I134" i="82"/>
  <c r="G138" i="82"/>
  <c r="I141" i="82"/>
  <c r="G145" i="82"/>
  <c r="I148" i="82"/>
  <c r="G152" i="82"/>
  <c r="I155" i="82"/>
  <c r="G159" i="82"/>
  <c r="H12" i="82"/>
  <c r="H26" i="82"/>
  <c r="H40" i="82"/>
  <c r="H54" i="82"/>
  <c r="H61" i="82"/>
  <c r="H68" i="82"/>
  <c r="H75" i="82"/>
  <c r="H82" i="82"/>
  <c r="H89" i="82"/>
  <c r="H96" i="82"/>
  <c r="H110" i="82"/>
  <c r="H124" i="82"/>
  <c r="H131" i="82"/>
  <c r="H138" i="82"/>
  <c r="H145" i="82"/>
  <c r="H152" i="82"/>
  <c r="G9" i="82"/>
  <c r="I12" i="82"/>
  <c r="G16" i="82"/>
  <c r="G23" i="82"/>
  <c r="I26" i="82"/>
  <c r="G30" i="82"/>
  <c r="G37" i="82"/>
  <c r="I40" i="82"/>
  <c r="G44" i="82"/>
  <c r="G51" i="82"/>
  <c r="I54" i="82"/>
  <c r="G58" i="82"/>
  <c r="I61" i="82"/>
  <c r="G65" i="82"/>
  <c r="I68" i="82"/>
  <c r="G72" i="82"/>
  <c r="I75" i="82"/>
  <c r="G79" i="82"/>
  <c r="I82" i="82"/>
  <c r="G86" i="82"/>
  <c r="I89" i="82"/>
  <c r="G93" i="82"/>
  <c r="I96" i="82"/>
  <c r="G100" i="82"/>
  <c r="G107" i="82"/>
  <c r="I110" i="82"/>
  <c r="G114" i="82"/>
  <c r="G121" i="82"/>
  <c r="I124" i="82"/>
  <c r="G128" i="82"/>
  <c r="I131" i="82"/>
  <c r="G135" i="82"/>
  <c r="I138" i="82"/>
  <c r="G142" i="82"/>
  <c r="G149" i="82"/>
  <c r="I152" i="82"/>
  <c r="G156" i="82"/>
  <c r="H19" i="82"/>
  <c r="H9" i="82"/>
  <c r="H16" i="82"/>
  <c r="H23" i="82"/>
  <c r="H30" i="82"/>
  <c r="H37" i="82"/>
  <c r="H44" i="82"/>
  <c r="H51" i="82"/>
  <c r="H58" i="82"/>
  <c r="H65" i="82"/>
  <c r="H72" i="82"/>
  <c r="H79" i="82"/>
  <c r="H86" i="82"/>
  <c r="H93" i="82"/>
  <c r="H100" i="82"/>
  <c r="H107" i="82"/>
  <c r="H114" i="82"/>
  <c r="H121" i="82"/>
  <c r="H128" i="82"/>
  <c r="H135" i="82"/>
  <c r="H142" i="82"/>
  <c r="H149" i="82"/>
  <c r="H156" i="82"/>
  <c r="I19" i="82"/>
  <c r="I9" i="82"/>
  <c r="I16" i="82"/>
  <c r="I23" i="82"/>
  <c r="G27" i="82"/>
  <c r="I30" i="82"/>
  <c r="I37" i="82"/>
  <c r="I44" i="82"/>
  <c r="I51" i="82"/>
  <c r="I58" i="82"/>
  <c r="G62" i="82"/>
  <c r="I65" i="82"/>
  <c r="I72" i="82"/>
  <c r="I79" i="82"/>
  <c r="I86" i="82"/>
  <c r="G90" i="82"/>
  <c r="I93" i="82"/>
  <c r="I100" i="82"/>
  <c r="I107" i="82"/>
  <c r="G111" i="82"/>
  <c r="I121" i="82"/>
  <c r="I135" i="82"/>
  <c r="I149" i="82"/>
  <c r="J187" i="77"/>
  <c r="K187" i="77" s="1"/>
  <c r="B162" i="82"/>
  <c r="C162" i="82"/>
  <c r="D162" i="82"/>
  <c r="J85" i="77"/>
  <c r="K85" i="77" s="1"/>
  <c r="J32" i="77"/>
  <c r="K32" i="77" s="1"/>
  <c r="J122" i="77"/>
  <c r="K122" i="77" s="1"/>
  <c r="J36" i="77"/>
  <c r="K36" i="77" s="1"/>
  <c r="J102" i="77"/>
  <c r="K102" i="77" s="1"/>
  <c r="J156" i="77"/>
  <c r="K156" i="77" s="1"/>
  <c r="J78" i="77"/>
  <c r="K78" i="77" s="1"/>
  <c r="J100" i="77"/>
  <c r="K100" i="77" s="1"/>
  <c r="J114" i="77"/>
  <c r="K114" i="77" s="1"/>
  <c r="J157" i="77"/>
  <c r="K157" i="77" s="1"/>
  <c r="J93" i="77"/>
  <c r="K93" i="77" s="1"/>
  <c r="J158" i="77"/>
  <c r="K158" i="77" s="1"/>
  <c r="J172" i="77"/>
  <c r="K172" i="77" s="1"/>
  <c r="J50" i="77"/>
  <c r="K50" i="77" s="1"/>
  <c r="J72" i="77"/>
  <c r="K72" i="77" s="1"/>
  <c r="J168" i="77"/>
  <c r="K168" i="77" s="1"/>
  <c r="J128" i="77"/>
  <c r="K128" i="77" s="1"/>
  <c r="J58" i="77"/>
  <c r="K58" i="77" s="1"/>
  <c r="J65" i="77"/>
  <c r="K65" i="77" s="1"/>
  <c r="J130" i="77"/>
  <c r="K130" i="77" s="1"/>
  <c r="J184" i="77"/>
  <c r="K184" i="77" s="1"/>
  <c r="J170" i="77"/>
  <c r="K170" i="77" s="1"/>
  <c r="J149" i="77"/>
  <c r="K149" i="77" s="1"/>
  <c r="J160" i="77"/>
  <c r="K160" i="77" s="1"/>
  <c r="J135" i="77"/>
  <c r="K135" i="77" s="1"/>
  <c r="J174" i="77"/>
  <c r="K174" i="77" s="1"/>
  <c r="J60" i="77"/>
  <c r="K60" i="77" s="1"/>
  <c r="J86" i="77"/>
  <c r="K86" i="77" s="1"/>
  <c r="J121" i="77"/>
  <c r="K121" i="77" s="1"/>
  <c r="J108" i="77"/>
  <c r="K108" i="77" s="1"/>
  <c r="J38" i="77"/>
  <c r="K38" i="77" s="1"/>
  <c r="J80" i="77"/>
  <c r="K80" i="77" s="1"/>
  <c r="J150" i="77"/>
  <c r="K150" i="77" s="1"/>
  <c r="J52" i="77"/>
  <c r="K52" i="77" s="1"/>
  <c r="J43" i="77"/>
  <c r="K43" i="77" s="1"/>
  <c r="J94" i="77"/>
  <c r="K94" i="77" s="1"/>
  <c r="J66" i="77"/>
  <c r="K66" i="77" s="1"/>
  <c r="J164" i="77"/>
  <c r="K164" i="77" s="1"/>
  <c r="J136" i="77"/>
  <c r="K136" i="77" s="1"/>
  <c r="J175" i="77"/>
  <c r="K175" i="77" s="1"/>
  <c r="J35" i="77"/>
  <c r="K35" i="77" s="1"/>
  <c r="J53" i="77"/>
  <c r="K53" i="77" s="1"/>
  <c r="J133" i="77"/>
  <c r="K133" i="77" s="1"/>
  <c r="J54" i="77"/>
  <c r="K54" i="77" s="1"/>
  <c r="J89" i="77"/>
  <c r="K89" i="77" s="1"/>
  <c r="J178" i="77"/>
  <c r="K178" i="77" s="1"/>
  <c r="J171" i="77"/>
  <c r="K171" i="77" s="1"/>
  <c r="J180" i="77"/>
  <c r="K180" i="77" s="1"/>
  <c r="J125" i="77"/>
  <c r="K125" i="77" s="1"/>
  <c r="J151" i="77"/>
  <c r="K151" i="77" s="1"/>
  <c r="J45" i="77"/>
  <c r="K45" i="77" s="1"/>
  <c r="J111" i="77"/>
  <c r="K111" i="77" s="1"/>
  <c r="J119" i="77"/>
  <c r="K119" i="77" s="1"/>
  <c r="J137" i="77"/>
  <c r="K137" i="77" s="1"/>
  <c r="J155" i="77"/>
  <c r="K155" i="77" s="1"/>
  <c r="J182" i="77"/>
  <c r="K182" i="77" s="1"/>
  <c r="J99" i="77"/>
  <c r="K99" i="77" s="1"/>
  <c r="J152" i="77"/>
  <c r="K152" i="77" s="1"/>
  <c r="J126" i="77"/>
  <c r="K126" i="77" s="1"/>
  <c r="J183" i="77"/>
  <c r="K183" i="77" s="1"/>
  <c r="J179" i="77"/>
  <c r="K179" i="77" s="1"/>
  <c r="J109" i="77"/>
  <c r="K109" i="77" s="1"/>
  <c r="J145" i="77"/>
  <c r="K145" i="77" s="1"/>
  <c r="J181" i="77"/>
  <c r="K181" i="77" s="1"/>
  <c r="J139" i="77"/>
  <c r="K139" i="77" s="1"/>
  <c r="J147" i="77"/>
  <c r="K147" i="77" s="1"/>
  <c r="J97" i="77"/>
  <c r="K97" i="77" s="1"/>
  <c r="J105" i="77"/>
  <c r="K105" i="77" s="1"/>
  <c r="J123" i="77"/>
  <c r="K123" i="77" s="1"/>
  <c r="J61" i="77"/>
  <c r="K61" i="77" s="1"/>
  <c r="J127" i="77"/>
  <c r="K127" i="77" s="1"/>
  <c r="J138" i="77"/>
  <c r="K138" i="77" s="1"/>
  <c r="J40" i="77"/>
  <c r="K40" i="77" s="1"/>
  <c r="J49" i="77"/>
  <c r="K49" i="77" s="1"/>
  <c r="J59" i="77"/>
  <c r="K59" i="77" s="1"/>
  <c r="J41" i="77"/>
  <c r="K41" i="77" s="1"/>
  <c r="J68" i="77"/>
  <c r="K68" i="77" s="1"/>
  <c r="J113" i="77"/>
  <c r="K113" i="77" s="1"/>
  <c r="J165" i="77"/>
  <c r="K165" i="77" s="1"/>
  <c r="J185" i="77"/>
  <c r="K185" i="77" s="1"/>
  <c r="J34" i="77"/>
  <c r="K34" i="77" s="1"/>
  <c r="J124" i="77"/>
  <c r="K124" i="77" s="1"/>
  <c r="J83" i="77"/>
  <c r="K83" i="77" s="1"/>
  <c r="J91" i="77"/>
  <c r="K91" i="77" s="1"/>
  <c r="J110" i="77"/>
  <c r="K110" i="77" s="1"/>
  <c r="J47" i="77"/>
  <c r="K47" i="77" s="1"/>
  <c r="J39" i="77"/>
  <c r="K39" i="77" s="1"/>
  <c r="J48" i="77"/>
  <c r="K48" i="77" s="1"/>
  <c r="J69" i="77"/>
  <c r="K69" i="77" s="1"/>
  <c r="J77" i="77"/>
  <c r="K77" i="77" s="1"/>
  <c r="J87" i="77"/>
  <c r="K87" i="77" s="1"/>
  <c r="J95" i="77"/>
  <c r="K95" i="77" s="1"/>
  <c r="J140" i="77"/>
  <c r="K140" i="77" s="1"/>
  <c r="J166" i="77"/>
  <c r="K166" i="77" s="1"/>
  <c r="J169" i="77"/>
  <c r="K169" i="77" s="1"/>
  <c r="J55" i="77"/>
  <c r="K55" i="77" s="1"/>
  <c r="J63" i="77"/>
  <c r="K63" i="77" s="1"/>
  <c r="J73" i="77"/>
  <c r="K73" i="77" s="1"/>
  <c r="J81" i="77"/>
  <c r="K81" i="77" s="1"/>
  <c r="J153" i="77"/>
  <c r="K153" i="77" s="1"/>
  <c r="J82" i="77"/>
  <c r="K82" i="77" s="1"/>
  <c r="J117" i="77"/>
  <c r="K117" i="77" s="1"/>
  <c r="J161" i="77"/>
  <c r="K161" i="77" s="1"/>
  <c r="J96" i="77"/>
  <c r="K96" i="77" s="1"/>
  <c r="J141" i="77"/>
  <c r="K141" i="77" s="1"/>
  <c r="J167" i="77"/>
  <c r="K167" i="77" s="1"/>
  <c r="J62" i="77"/>
  <c r="K62" i="77" s="1"/>
  <c r="J76" i="77"/>
  <c r="K76" i="77" s="1"/>
  <c r="J90" i="77"/>
  <c r="K90" i="77" s="1"/>
  <c r="J104" i="77"/>
  <c r="K104" i="77" s="1"/>
  <c r="J118" i="77"/>
  <c r="K118" i="77" s="1"/>
  <c r="J132" i="77"/>
  <c r="K132" i="77" s="1"/>
  <c r="J92" i="77"/>
  <c r="K92" i="77" s="1"/>
  <c r="J106" i="77"/>
  <c r="K106" i="77" s="1"/>
  <c r="J148" i="77"/>
  <c r="K148" i="77" s="1"/>
  <c r="L186" i="77"/>
  <c r="L185" i="77"/>
  <c r="L184" i="77"/>
  <c r="L183" i="77"/>
  <c r="L182" i="77"/>
  <c r="L181" i="77"/>
  <c r="L180" i="77"/>
  <c r="L179" i="77"/>
  <c r="L178" i="77"/>
  <c r="L177" i="77"/>
  <c r="L176" i="77"/>
  <c r="L175" i="77"/>
  <c r="L174" i="77"/>
  <c r="L173" i="77"/>
  <c r="L172" i="77"/>
  <c r="L171" i="77"/>
  <c r="L170" i="77"/>
  <c r="L169" i="77"/>
  <c r="L168" i="77"/>
  <c r="L167" i="77"/>
  <c r="L166" i="77"/>
  <c r="L165" i="77"/>
  <c r="L164" i="77"/>
  <c r="L163" i="77"/>
  <c r="L162" i="77"/>
  <c r="L161" i="77"/>
  <c r="L160" i="77"/>
  <c r="L159" i="77"/>
  <c r="L158" i="77"/>
  <c r="L157" i="77"/>
  <c r="L156" i="77"/>
  <c r="L155" i="77"/>
  <c r="L154" i="77"/>
  <c r="L153" i="77"/>
  <c r="L152" i="77"/>
  <c r="L151" i="77"/>
  <c r="L150" i="77"/>
  <c r="L149" i="77"/>
  <c r="L148" i="77"/>
  <c r="L147" i="77"/>
  <c r="L146" i="77"/>
  <c r="L145" i="77"/>
  <c r="L144" i="77"/>
  <c r="L143" i="77"/>
  <c r="L142" i="77"/>
  <c r="L141" i="77"/>
  <c r="O141" i="77" s="1"/>
  <c r="L140" i="77"/>
  <c r="L139" i="77"/>
  <c r="L138" i="77"/>
  <c r="L137" i="77"/>
  <c r="L136" i="77"/>
  <c r="L135" i="77"/>
  <c r="L134" i="77"/>
  <c r="L133" i="77"/>
  <c r="AC133" i="77" s="1"/>
  <c r="L132" i="77"/>
  <c r="L131" i="77"/>
  <c r="L130" i="77"/>
  <c r="L129" i="77"/>
  <c r="L128" i="77"/>
  <c r="L127" i="77"/>
  <c r="KY127" i="77" s="1"/>
  <c r="L126" i="77"/>
  <c r="L125" i="77"/>
  <c r="L124" i="77"/>
  <c r="AC124" i="77" s="1"/>
  <c r="L123" i="77"/>
  <c r="AC123" i="77" s="1"/>
  <c r="L122" i="77"/>
  <c r="AC122" i="77" s="1"/>
  <c r="L121" i="77"/>
  <c r="AE121" i="77" s="1"/>
  <c r="L120" i="77"/>
  <c r="O120" i="77" s="1"/>
  <c r="L119" i="77"/>
  <c r="O119" i="77" s="1"/>
  <c r="L118" i="77"/>
  <c r="L117" i="77"/>
  <c r="L116" i="77"/>
  <c r="M116" i="77" s="1"/>
  <c r="L115" i="77"/>
  <c r="AC115" i="77" s="1"/>
  <c r="L114" i="77"/>
  <c r="AC114" i="77" s="1"/>
  <c r="L113" i="77"/>
  <c r="AC113" i="77" s="1"/>
  <c r="L112" i="77"/>
  <c r="AC112" i="77" s="1"/>
  <c r="L111" i="77"/>
  <c r="L110" i="77"/>
  <c r="L109" i="77"/>
  <c r="L108" i="77"/>
  <c r="L107" i="77"/>
  <c r="L106" i="77"/>
  <c r="L105" i="77"/>
  <c r="L104" i="77"/>
  <c r="L103" i="77"/>
  <c r="L102" i="77"/>
  <c r="L100" i="77"/>
  <c r="L99" i="77"/>
  <c r="L98" i="77"/>
  <c r="L97" i="77"/>
  <c r="L96" i="77"/>
  <c r="L95" i="77"/>
  <c r="L94" i="77"/>
  <c r="L93" i="77"/>
  <c r="L92" i="77"/>
  <c r="O92" i="77" s="1"/>
  <c r="L91" i="77"/>
  <c r="L90" i="77"/>
  <c r="L89" i="77"/>
  <c r="L88" i="77"/>
  <c r="L87" i="77"/>
  <c r="L86" i="77"/>
  <c r="L85" i="77"/>
  <c r="L84" i="77"/>
  <c r="L83" i="77"/>
  <c r="L82" i="77"/>
  <c r="L81" i="77"/>
  <c r="L80" i="77"/>
  <c r="L79" i="77"/>
  <c r="L78" i="77"/>
  <c r="L77" i="77"/>
  <c r="L76" i="77"/>
  <c r="L75" i="77"/>
  <c r="L74" i="77"/>
  <c r="L73" i="77"/>
  <c r="L72" i="77"/>
  <c r="L71" i="77"/>
  <c r="L70" i="77"/>
  <c r="L69" i="77"/>
  <c r="L68" i="77"/>
  <c r="L67" i="77"/>
  <c r="L66" i="77"/>
  <c r="L65" i="77"/>
  <c r="L64" i="77"/>
  <c r="L63" i="77"/>
  <c r="L62" i="77"/>
  <c r="L61" i="77"/>
  <c r="L60" i="77"/>
  <c r="L59" i="77"/>
  <c r="L58" i="77"/>
  <c r="L57" i="77"/>
  <c r="L56" i="77"/>
  <c r="L55" i="77"/>
  <c r="L54" i="77"/>
  <c r="L53" i="77"/>
  <c r="L52" i="77"/>
  <c r="L51" i="77"/>
  <c r="L50" i="77"/>
  <c r="L49" i="77"/>
  <c r="L48" i="77"/>
  <c r="L47" i="77"/>
  <c r="L46" i="77"/>
  <c r="L45" i="77"/>
  <c r="L44" i="77"/>
  <c r="L43" i="77"/>
  <c r="L42" i="77"/>
  <c r="L41" i="77"/>
  <c r="L40" i="77"/>
  <c r="L39" i="77"/>
  <c r="L38" i="77"/>
  <c r="L37" i="77"/>
  <c r="L36" i="77"/>
  <c r="L35" i="77"/>
  <c r="L34" i="77"/>
  <c r="L33" i="77"/>
  <c r="L32" i="77"/>
  <c r="AC32" i="77" s="1"/>
  <c r="L31" i="77"/>
  <c r="L30" i="77"/>
  <c r="M30" i="77" s="1"/>
  <c r="L29" i="77"/>
  <c r="M29" i="77" s="1"/>
  <c r="L28" i="77"/>
  <c r="O28" i="77" s="1"/>
  <c r="L27" i="77"/>
  <c r="L26" i="77"/>
  <c r="L25" i="77"/>
  <c r="L24" i="77"/>
  <c r="T24" i="77" s="1"/>
  <c r="L23" i="77"/>
  <c r="R23" i="77" s="1"/>
  <c r="L22" i="77"/>
  <c r="AC22" i="77" s="1"/>
  <c r="L21" i="77"/>
  <c r="R21" i="77" s="1"/>
  <c r="L20" i="77"/>
  <c r="R20" i="77" s="1"/>
  <c r="L19" i="77"/>
  <c r="AC19" i="77" s="1"/>
  <c r="L18" i="77"/>
  <c r="L17" i="77"/>
  <c r="L16" i="77"/>
  <c r="R16" i="77" s="1"/>
  <c r="L15" i="77"/>
  <c r="AE15" i="77" s="1"/>
  <c r="L14" i="77"/>
  <c r="R14" i="77" s="1"/>
  <c r="L13" i="77"/>
  <c r="X13" i="77" s="1"/>
  <c r="L12" i="77"/>
  <c r="AE12" i="77" s="1"/>
  <c r="L11" i="77"/>
  <c r="AC11" i="77" s="1"/>
  <c r="L10" i="77"/>
  <c r="L9" i="77"/>
  <c r="L8" i="77"/>
  <c r="O8" i="77" s="1"/>
  <c r="L7" i="77"/>
  <c r="O7" i="77" s="1"/>
  <c r="L6" i="77"/>
  <c r="O6" i="77" s="1"/>
  <c r="L5" i="77"/>
  <c r="AE5" i="77" s="1"/>
  <c r="L4" i="77"/>
  <c r="R4" i="77" s="1"/>
  <c r="L3" i="77"/>
  <c r="O3" i="77" s="1"/>
  <c r="A781" i="79"/>
  <c r="A780" i="79"/>
  <c r="A779" i="79"/>
  <c r="A778" i="79"/>
  <c r="A777" i="79"/>
  <c r="A776" i="79"/>
  <c r="A775" i="79"/>
  <c r="A774" i="79"/>
  <c r="A773" i="79"/>
  <c r="A772" i="79"/>
  <c r="A771" i="79"/>
  <c r="A770" i="79"/>
  <c r="A769" i="79"/>
  <c r="A768" i="79"/>
  <c r="A767" i="79"/>
  <c r="A766" i="79"/>
  <c r="A765" i="79"/>
  <c r="A764" i="79"/>
  <c r="A763" i="79"/>
  <c r="A762" i="79"/>
  <c r="A761" i="79"/>
  <c r="A760" i="79"/>
  <c r="A759" i="79"/>
  <c r="A758" i="79"/>
  <c r="A757" i="79"/>
  <c r="A756" i="79"/>
  <c r="A755" i="79"/>
  <c r="A754" i="79"/>
  <c r="A753" i="79"/>
  <c r="A752" i="79"/>
  <c r="A751" i="79"/>
  <c r="A750" i="79"/>
  <c r="A749" i="79"/>
  <c r="A748" i="79"/>
  <c r="A747" i="79"/>
  <c r="A746" i="79"/>
  <c r="A745" i="79"/>
  <c r="A744" i="79"/>
  <c r="A743" i="79"/>
  <c r="A742" i="79"/>
  <c r="A741" i="79"/>
  <c r="A740" i="79"/>
  <c r="A739" i="79"/>
  <c r="A738" i="79"/>
  <c r="A737" i="79"/>
  <c r="A736" i="79"/>
  <c r="A735" i="79"/>
  <c r="A734" i="79"/>
  <c r="A733" i="79"/>
  <c r="A732" i="79"/>
  <c r="A731" i="79"/>
  <c r="A730" i="79"/>
  <c r="A729" i="79"/>
  <c r="A728" i="79"/>
  <c r="A727" i="79"/>
  <c r="A726" i="79"/>
  <c r="A725" i="79"/>
  <c r="A724" i="79"/>
  <c r="A723" i="79"/>
  <c r="A722" i="79"/>
  <c r="A721" i="79"/>
  <c r="A720" i="79"/>
  <c r="A719" i="79"/>
  <c r="A718" i="79"/>
  <c r="A717" i="79"/>
  <c r="A716" i="79"/>
  <c r="A715" i="79"/>
  <c r="A714" i="79"/>
  <c r="A713" i="79"/>
  <c r="A712" i="79"/>
  <c r="A711" i="79"/>
  <c r="A710" i="79"/>
  <c r="A709" i="79"/>
  <c r="A708" i="79"/>
  <c r="A707" i="79"/>
  <c r="A706" i="79"/>
  <c r="A705" i="79"/>
  <c r="A704" i="79"/>
  <c r="A703" i="79"/>
  <c r="A702" i="79"/>
  <c r="A701" i="79"/>
  <c r="A700" i="79"/>
  <c r="A699" i="79"/>
  <c r="A698" i="79"/>
  <c r="A697" i="79"/>
  <c r="A696" i="79"/>
  <c r="A695" i="79"/>
  <c r="A694" i="79"/>
  <c r="A693" i="79"/>
  <c r="A692" i="79"/>
  <c r="A691" i="79"/>
  <c r="A690" i="79"/>
  <c r="A689" i="79"/>
  <c r="A688" i="79"/>
  <c r="A687" i="79"/>
  <c r="A686" i="79"/>
  <c r="A685" i="79"/>
  <c r="A684" i="79"/>
  <c r="A683" i="79"/>
  <c r="A682" i="79"/>
  <c r="A681" i="79"/>
  <c r="A680" i="79"/>
  <c r="A679" i="79"/>
  <c r="A678" i="79"/>
  <c r="A677" i="79"/>
  <c r="A676" i="79"/>
  <c r="A675" i="79"/>
  <c r="A674" i="79"/>
  <c r="A673" i="79"/>
  <c r="A672" i="79"/>
  <c r="A671" i="79"/>
  <c r="A670" i="79"/>
  <c r="A669" i="79"/>
  <c r="A668" i="79"/>
  <c r="A667" i="79"/>
  <c r="A666" i="79"/>
  <c r="A665" i="79"/>
  <c r="A664" i="79"/>
  <c r="A663" i="79"/>
  <c r="A662" i="79"/>
  <c r="A661" i="79"/>
  <c r="A660" i="79"/>
  <c r="A659" i="79"/>
  <c r="A658" i="79"/>
  <c r="A657" i="79"/>
  <c r="A656" i="79"/>
  <c r="A655" i="79"/>
  <c r="A654" i="79"/>
  <c r="A653" i="79"/>
  <c r="A652" i="79"/>
  <c r="A651" i="79"/>
  <c r="A650" i="79"/>
  <c r="A649" i="79"/>
  <c r="A648" i="79"/>
  <c r="A647" i="79"/>
  <c r="A646" i="79"/>
  <c r="A645" i="79"/>
  <c r="A644" i="79"/>
  <c r="A643" i="79"/>
  <c r="A642" i="79"/>
  <c r="A641" i="79"/>
  <c r="A640" i="79"/>
  <c r="A639" i="79"/>
  <c r="A638" i="79"/>
  <c r="A637" i="79"/>
  <c r="A636" i="79"/>
  <c r="A635" i="79"/>
  <c r="A634" i="79"/>
  <c r="A633" i="79"/>
  <c r="A632" i="79"/>
  <c r="A631" i="79"/>
  <c r="A630" i="79"/>
  <c r="A629" i="79"/>
  <c r="A628" i="79"/>
  <c r="A627" i="79"/>
  <c r="A626" i="79"/>
  <c r="A625" i="79"/>
  <c r="A624" i="79"/>
  <c r="A623" i="79"/>
  <c r="A622" i="79"/>
  <c r="A621" i="79"/>
  <c r="A620" i="79"/>
  <c r="A619" i="79"/>
  <c r="A618" i="79"/>
  <c r="A617" i="79"/>
  <c r="A616" i="79"/>
  <c r="A615" i="79"/>
  <c r="A614" i="79"/>
  <c r="A613" i="79"/>
  <c r="A612" i="79"/>
  <c r="A611" i="79"/>
  <c r="A610" i="79"/>
  <c r="A609" i="79"/>
  <c r="A608" i="79"/>
  <c r="A607" i="79"/>
  <c r="A606" i="79"/>
  <c r="A605" i="79"/>
  <c r="A604" i="79"/>
  <c r="A603" i="79"/>
  <c r="A602" i="79"/>
  <c r="A601" i="79"/>
  <c r="A600" i="79"/>
  <c r="A599" i="79"/>
  <c r="A598" i="79"/>
  <c r="A597" i="79"/>
  <c r="A596" i="79"/>
  <c r="A595" i="79"/>
  <c r="A594" i="79"/>
  <c r="A593" i="79"/>
  <c r="A592" i="79"/>
  <c r="A591" i="79"/>
  <c r="A590" i="79"/>
  <c r="A589" i="79"/>
  <c r="A588" i="79"/>
  <c r="A587" i="79"/>
  <c r="A586" i="79"/>
  <c r="A585" i="79"/>
  <c r="A584" i="79"/>
  <c r="A583" i="79"/>
  <c r="A582" i="79"/>
  <c r="A581" i="79"/>
  <c r="A580" i="79"/>
  <c r="A579" i="79"/>
  <c r="A578" i="79"/>
  <c r="A577" i="79"/>
  <c r="A576" i="79"/>
  <c r="A575" i="79"/>
  <c r="A574" i="79"/>
  <c r="A573" i="79"/>
  <c r="A572" i="79"/>
  <c r="A571" i="79"/>
  <c r="A570" i="79"/>
  <c r="A569" i="79"/>
  <c r="A568" i="79"/>
  <c r="A567" i="79"/>
  <c r="A566" i="79"/>
  <c r="A565" i="79"/>
  <c r="A564" i="79"/>
  <c r="A563" i="79"/>
  <c r="A562" i="79"/>
  <c r="A561" i="79"/>
  <c r="A560" i="79"/>
  <c r="A559" i="79"/>
  <c r="A558" i="79"/>
  <c r="A557" i="79"/>
  <c r="A556" i="79"/>
  <c r="A555" i="79"/>
  <c r="A554" i="79"/>
  <c r="A553" i="79"/>
  <c r="A552" i="79"/>
  <c r="A551" i="79"/>
  <c r="A550" i="79"/>
  <c r="A549" i="79"/>
  <c r="A548" i="79"/>
  <c r="A547" i="79"/>
  <c r="A546" i="79"/>
  <c r="A545" i="79"/>
  <c r="A544" i="79"/>
  <c r="A543" i="79"/>
  <c r="A542" i="79"/>
  <c r="A541" i="79"/>
  <c r="A540" i="79"/>
  <c r="A539" i="79"/>
  <c r="A538" i="79"/>
  <c r="A537" i="79"/>
  <c r="A536" i="79"/>
  <c r="A535" i="79"/>
  <c r="A534" i="79"/>
  <c r="A533" i="79"/>
  <c r="A532" i="79"/>
  <c r="A531" i="79"/>
  <c r="A530" i="79"/>
  <c r="A529" i="79"/>
  <c r="A528" i="79"/>
  <c r="A527" i="79"/>
  <c r="A526" i="79"/>
  <c r="A525" i="79"/>
  <c r="A524" i="79"/>
  <c r="A523" i="79"/>
  <c r="A522" i="79"/>
  <c r="A521" i="79"/>
  <c r="A520" i="79"/>
  <c r="A519" i="79"/>
  <c r="A518" i="79"/>
  <c r="A517" i="79"/>
  <c r="A516" i="79"/>
  <c r="A515" i="79"/>
  <c r="A514" i="79"/>
  <c r="A513" i="79"/>
  <c r="A512" i="79"/>
  <c r="A511" i="79"/>
  <c r="A510" i="79"/>
  <c r="A509" i="79"/>
  <c r="A455" i="79"/>
  <c r="A456" i="79"/>
  <c r="A457" i="79"/>
  <c r="A458" i="79"/>
  <c r="A459" i="79"/>
  <c r="A460" i="79"/>
  <c r="A461" i="79"/>
  <c r="A462" i="79"/>
  <c r="A463" i="79"/>
  <c r="A464" i="79"/>
  <c r="A465" i="79"/>
  <c r="A466" i="79"/>
  <c r="A467" i="79"/>
  <c r="A468" i="79"/>
  <c r="A469" i="79"/>
  <c r="A470" i="79"/>
  <c r="A471" i="79"/>
  <c r="A472" i="79"/>
  <c r="A473" i="79"/>
  <c r="A474" i="79"/>
  <c r="A475" i="79"/>
  <c r="A476" i="79"/>
  <c r="A477" i="79"/>
  <c r="A478" i="79"/>
  <c r="A479" i="79"/>
  <c r="A480" i="79"/>
  <c r="A481" i="79"/>
  <c r="A482" i="79"/>
  <c r="A483" i="79"/>
  <c r="A484" i="79"/>
  <c r="A485" i="79"/>
  <c r="A486" i="79"/>
  <c r="A487" i="79"/>
  <c r="A488" i="79"/>
  <c r="A489" i="79"/>
  <c r="A490" i="79"/>
  <c r="A491" i="79"/>
  <c r="A492" i="79"/>
  <c r="A493" i="79"/>
  <c r="A494" i="79"/>
  <c r="A495" i="79"/>
  <c r="A496" i="79"/>
  <c r="A497" i="79"/>
  <c r="A498" i="79"/>
  <c r="A499" i="79"/>
  <c r="A500" i="79"/>
  <c r="A501" i="79"/>
  <c r="A502" i="79"/>
  <c r="A503" i="79"/>
  <c r="A504" i="79"/>
  <c r="A505" i="79"/>
  <c r="A506" i="79"/>
  <c r="A507" i="79"/>
  <c r="A508" i="79"/>
  <c r="A425" i="79"/>
  <c r="A426" i="79"/>
  <c r="A427" i="79"/>
  <c r="A428" i="79"/>
  <c r="A429" i="79"/>
  <c r="A430" i="79"/>
  <c r="A431" i="79"/>
  <c r="A432" i="79"/>
  <c r="A433" i="79"/>
  <c r="A434" i="79"/>
  <c r="A435" i="79"/>
  <c r="A436" i="79"/>
  <c r="A437" i="79"/>
  <c r="A438" i="79"/>
  <c r="A439" i="79"/>
  <c r="A440" i="79"/>
  <c r="A441" i="79"/>
  <c r="A442" i="79"/>
  <c r="A443" i="79"/>
  <c r="A444" i="79"/>
  <c r="A445" i="79"/>
  <c r="A446" i="79"/>
  <c r="A447" i="79"/>
  <c r="A448" i="79"/>
  <c r="A449" i="79"/>
  <c r="A450" i="79"/>
  <c r="A451" i="79"/>
  <c r="A452" i="79"/>
  <c r="A453" i="79"/>
  <c r="A454" i="79"/>
  <c r="A392" i="79"/>
  <c r="A393" i="79"/>
  <c r="A394" i="79"/>
  <c r="A395" i="79"/>
  <c r="A396" i="79"/>
  <c r="A397" i="79"/>
  <c r="A398" i="79"/>
  <c r="A399" i="79"/>
  <c r="A400" i="79"/>
  <c r="A401" i="79"/>
  <c r="A402" i="79"/>
  <c r="A403" i="79"/>
  <c r="A404" i="79"/>
  <c r="A405" i="79"/>
  <c r="A406" i="79"/>
  <c r="A407" i="79"/>
  <c r="A408" i="79"/>
  <c r="A409" i="79"/>
  <c r="A410" i="79"/>
  <c r="A411" i="79"/>
  <c r="A412" i="79"/>
  <c r="A413" i="79"/>
  <c r="A414" i="79"/>
  <c r="A415" i="79"/>
  <c r="A416" i="79"/>
  <c r="A417" i="79"/>
  <c r="A418" i="79"/>
  <c r="A419" i="79"/>
  <c r="A420" i="79"/>
  <c r="A421" i="79"/>
  <c r="A422" i="79"/>
  <c r="A423" i="79"/>
  <c r="A424" i="79"/>
  <c r="AC116" i="77" l="1"/>
  <c r="O116" i="77"/>
  <c r="O32" i="77"/>
  <c r="M7" i="77"/>
  <c r="AE24" i="77"/>
  <c r="AE29" i="77"/>
  <c r="O21" i="77"/>
  <c r="AC16" i="77"/>
  <c r="AC29" i="77"/>
  <c r="O5" i="77"/>
  <c r="AC15" i="77"/>
  <c r="B17" i="83"/>
  <c r="C17" i="83" s="1"/>
  <c r="M16" i="77"/>
  <c r="T15" i="77"/>
  <c r="O13" i="77"/>
  <c r="T29" i="77"/>
  <c r="X29" i="77"/>
  <c r="R29" i="77"/>
  <c r="O30" i="77"/>
  <c r="R30" i="77"/>
  <c r="T16" i="77"/>
  <c r="AE30" i="77"/>
  <c r="T30" i="77"/>
  <c r="O16" i="77"/>
  <c r="X30" i="77"/>
  <c r="AC14" i="77"/>
  <c r="AE7" i="77"/>
  <c r="AE16" i="77"/>
  <c r="AC20" i="77"/>
  <c r="O4" i="77"/>
  <c r="T20" i="77"/>
  <c r="AE28" i="77"/>
  <c r="H169" i="82"/>
  <c r="H167" i="82"/>
  <c r="H179" i="82"/>
  <c r="B14" i="83"/>
  <c r="D14" i="83" s="1"/>
  <c r="I180" i="82"/>
  <c r="I162" i="82"/>
  <c r="H170" i="82"/>
  <c r="B16" i="83"/>
  <c r="X4" i="77"/>
  <c r="G162" i="82"/>
  <c r="H162" i="82"/>
  <c r="AC4" i="77"/>
  <c r="X5" i="77"/>
  <c r="M20" i="77"/>
  <c r="T4" i="77"/>
  <c r="X6" i="77"/>
  <c r="AE20" i="77"/>
  <c r="R5" i="77"/>
  <c r="M21" i="77"/>
  <c r="T5" i="77"/>
  <c r="X8" i="77"/>
  <c r="AE22" i="77"/>
  <c r="AC30" i="77"/>
  <c r="M28" i="77"/>
  <c r="T12" i="77"/>
  <c r="X22" i="77"/>
  <c r="M4" i="77"/>
  <c r="AE4" i="77"/>
  <c r="M6" i="77"/>
  <c r="O20" i="77"/>
  <c r="AC5" i="77"/>
  <c r="R6" i="77"/>
  <c r="M22" i="77"/>
  <c r="T6" i="77"/>
  <c r="X20" i="77"/>
  <c r="R8" i="77"/>
  <c r="M24" i="77"/>
  <c r="T7" i="77"/>
  <c r="X21" i="77"/>
  <c r="R24" i="77"/>
  <c r="T13" i="77"/>
  <c r="X23" i="77"/>
  <c r="AC21" i="77"/>
  <c r="R28" i="77"/>
  <c r="T14" i="77"/>
  <c r="X24" i="77"/>
  <c r="H171" i="82"/>
  <c r="M5" i="77"/>
  <c r="D173" i="82"/>
  <c r="D185" i="82"/>
  <c r="C185" i="82"/>
  <c r="C173" i="82"/>
  <c r="F112" i="77"/>
  <c r="R112" i="77"/>
  <c r="O112" i="77"/>
  <c r="M112" i="77"/>
  <c r="X112" i="77"/>
  <c r="KY41" i="77"/>
  <c r="R41" i="77"/>
  <c r="X41" i="77"/>
  <c r="R97" i="77"/>
  <c r="X97" i="77"/>
  <c r="KZ168" i="77"/>
  <c r="KY168" i="77"/>
  <c r="M168" i="77"/>
  <c r="X168" i="77"/>
  <c r="R168" i="77"/>
  <c r="AC13" i="77"/>
  <c r="X42" i="77"/>
  <c r="R42" i="77"/>
  <c r="R84" i="77"/>
  <c r="AC84" i="77"/>
  <c r="X84" i="77"/>
  <c r="O84" i="77"/>
  <c r="M84" i="77"/>
  <c r="H84" i="77"/>
  <c r="F84" i="77"/>
  <c r="G84" i="77"/>
  <c r="R155" i="77"/>
  <c r="X155" i="77"/>
  <c r="M155" i="77"/>
  <c r="AC12" i="77"/>
  <c r="O22" i="77"/>
  <c r="X12" i="77"/>
  <c r="KY15" i="77"/>
  <c r="KZ15" i="77"/>
  <c r="KZ29" i="77"/>
  <c r="KY29" i="77"/>
  <c r="R43" i="77"/>
  <c r="X43" i="77"/>
  <c r="X57" i="77"/>
  <c r="R57" i="77"/>
  <c r="O71" i="77"/>
  <c r="M71" i="77"/>
  <c r="AC71" i="77"/>
  <c r="X71" i="77"/>
  <c r="H71" i="77"/>
  <c r="G71" i="77"/>
  <c r="R71" i="77"/>
  <c r="F71" i="77"/>
  <c r="M85" i="77"/>
  <c r="X85" i="77"/>
  <c r="O85" i="77"/>
  <c r="H85" i="77"/>
  <c r="G85" i="77"/>
  <c r="F85" i="77"/>
  <c r="R85" i="77"/>
  <c r="AC85" i="77"/>
  <c r="R99" i="77"/>
  <c r="X99" i="77"/>
  <c r="R114" i="77"/>
  <c r="O114" i="77"/>
  <c r="G114" i="77"/>
  <c r="H114" i="77"/>
  <c r="F114" i="77"/>
  <c r="X114" i="77"/>
  <c r="M114" i="77"/>
  <c r="AC128" i="77"/>
  <c r="X128" i="77"/>
  <c r="R128" i="77"/>
  <c r="O128" i="77"/>
  <c r="H128" i="77"/>
  <c r="F128" i="77"/>
  <c r="G128" i="77"/>
  <c r="M128" i="77"/>
  <c r="R142" i="77"/>
  <c r="KZ142" i="77"/>
  <c r="KY142" i="77"/>
  <c r="M142" i="77"/>
  <c r="X142" i="77"/>
  <c r="KY156" i="77"/>
  <c r="X156" i="77"/>
  <c r="M156" i="77"/>
  <c r="R156" i="77"/>
  <c r="R170" i="77"/>
  <c r="M170" i="77"/>
  <c r="X170" i="77"/>
  <c r="R184" i="77"/>
  <c r="X184" i="77"/>
  <c r="B185" i="82"/>
  <c r="I185" i="82"/>
  <c r="I168" i="82"/>
  <c r="X127" i="77"/>
  <c r="R15" i="77"/>
  <c r="M8" i="77"/>
  <c r="O23" i="77"/>
  <c r="AE6" i="77"/>
  <c r="KZ16" i="77"/>
  <c r="KY16" i="77"/>
  <c r="KY30" i="77"/>
  <c r="KZ30" i="77"/>
  <c r="X44" i="77"/>
  <c r="R44" i="77"/>
  <c r="X58" i="77"/>
  <c r="R58" i="77"/>
  <c r="R72" i="77"/>
  <c r="X72" i="77"/>
  <c r="M72" i="77"/>
  <c r="O86" i="77"/>
  <c r="M86" i="77"/>
  <c r="AC86" i="77"/>
  <c r="X86" i="77"/>
  <c r="G86" i="77"/>
  <c r="H86" i="77"/>
  <c r="F86" i="77"/>
  <c r="R86" i="77"/>
  <c r="X100" i="77"/>
  <c r="R100" i="77"/>
  <c r="M100" i="77"/>
  <c r="X115" i="77"/>
  <c r="M115" i="77"/>
  <c r="G115" i="77"/>
  <c r="H115" i="77"/>
  <c r="F115" i="77"/>
  <c r="O115" i="77"/>
  <c r="R115" i="77"/>
  <c r="AC129" i="77"/>
  <c r="G129" i="77"/>
  <c r="M129" i="77"/>
  <c r="H129" i="77"/>
  <c r="F129" i="77"/>
  <c r="X129" i="77"/>
  <c r="O129" i="77"/>
  <c r="R129" i="77"/>
  <c r="X143" i="77"/>
  <c r="R143" i="77"/>
  <c r="X157" i="77"/>
  <c r="R157" i="77"/>
  <c r="M157" i="77"/>
  <c r="X171" i="77"/>
  <c r="M171" i="77"/>
  <c r="R171" i="77"/>
  <c r="X185" i="77"/>
  <c r="R185" i="77"/>
  <c r="H185" i="82"/>
  <c r="H168" i="82"/>
  <c r="O26" i="77"/>
  <c r="KZ26" i="77"/>
  <c r="KY26" i="77"/>
  <c r="AC68" i="77"/>
  <c r="O68" i="77"/>
  <c r="F68" i="77"/>
  <c r="X68" i="77"/>
  <c r="M68" i="77"/>
  <c r="G68" i="77"/>
  <c r="H68" i="77"/>
  <c r="R68" i="77"/>
  <c r="X125" i="77"/>
  <c r="R125" i="77"/>
  <c r="KY13" i="77"/>
  <c r="KZ13" i="77"/>
  <c r="X55" i="77"/>
  <c r="R55" i="77"/>
  <c r="KY126" i="77"/>
  <c r="R126" i="77"/>
  <c r="X126" i="77"/>
  <c r="KZ14" i="77"/>
  <c r="KY14" i="77"/>
  <c r="X113" i="77"/>
  <c r="M113" i="77"/>
  <c r="R113" i="77"/>
  <c r="H113" i="77"/>
  <c r="G113" i="77"/>
  <c r="F113" i="77"/>
  <c r="O113" i="77"/>
  <c r="M12" i="77"/>
  <c r="O24" i="77"/>
  <c r="X14" i="77"/>
  <c r="AE3" i="77"/>
  <c r="KY3" i="77"/>
  <c r="KZ3" i="77"/>
  <c r="O17" i="77"/>
  <c r="KZ17" i="77"/>
  <c r="KY17" i="77"/>
  <c r="X45" i="77"/>
  <c r="R45" i="77"/>
  <c r="X59" i="77"/>
  <c r="R59" i="77"/>
  <c r="X73" i="77"/>
  <c r="M73" i="77"/>
  <c r="R73" i="77"/>
  <c r="X87" i="77"/>
  <c r="M87" i="77"/>
  <c r="AC87" i="77"/>
  <c r="H87" i="77"/>
  <c r="G87" i="77"/>
  <c r="R87" i="77"/>
  <c r="O87" i="77"/>
  <c r="F87" i="77"/>
  <c r="O102" i="77"/>
  <c r="AC102" i="77"/>
  <c r="F102" i="77"/>
  <c r="R102" i="77"/>
  <c r="X102" i="77"/>
  <c r="H102" i="77"/>
  <c r="G102" i="77"/>
  <c r="M102" i="77"/>
  <c r="X116" i="77"/>
  <c r="R116" i="77"/>
  <c r="M130" i="77"/>
  <c r="R130" i="77"/>
  <c r="AC130" i="77"/>
  <c r="X130" i="77"/>
  <c r="G130" i="77"/>
  <c r="F130" i="77"/>
  <c r="H130" i="77"/>
  <c r="O130" i="77"/>
  <c r="M144" i="77"/>
  <c r="KY144" i="77"/>
  <c r="X144" i="77"/>
  <c r="R144" i="77"/>
  <c r="M158" i="77"/>
  <c r="R158" i="77"/>
  <c r="X158" i="77"/>
  <c r="M172" i="77"/>
  <c r="R172" i="77"/>
  <c r="X172" i="77"/>
  <c r="KY186" i="77"/>
  <c r="X186" i="77"/>
  <c r="R186" i="77"/>
  <c r="I173" i="82"/>
  <c r="H173" i="82"/>
  <c r="AC28" i="77"/>
  <c r="AC7" i="77"/>
  <c r="M13" i="77"/>
  <c r="T21" i="77"/>
  <c r="X15" i="77"/>
  <c r="AE8" i="77"/>
  <c r="KZ4" i="77"/>
  <c r="KY4" i="77"/>
  <c r="O18" i="77"/>
  <c r="KZ18" i="77"/>
  <c r="KY18" i="77"/>
  <c r="X32" i="77"/>
  <c r="M32" i="77"/>
  <c r="R32" i="77"/>
  <c r="X46" i="77"/>
  <c r="R46" i="77"/>
  <c r="R60" i="77"/>
  <c r="X60" i="77"/>
  <c r="X74" i="77"/>
  <c r="R74" i="77"/>
  <c r="O74" i="77"/>
  <c r="F74" i="77"/>
  <c r="M74" i="77"/>
  <c r="AC74" i="77"/>
  <c r="G74" i="77"/>
  <c r="H74" i="77"/>
  <c r="M88" i="77"/>
  <c r="AC88" i="77"/>
  <c r="X88" i="77"/>
  <c r="R88" i="77"/>
  <c r="O88" i="77"/>
  <c r="H88" i="77"/>
  <c r="F88" i="77"/>
  <c r="G88" i="77"/>
  <c r="X103" i="77"/>
  <c r="H103" i="77"/>
  <c r="G103" i="77"/>
  <c r="R103" i="77"/>
  <c r="F103" i="77"/>
  <c r="AC103" i="77"/>
  <c r="O103" i="77"/>
  <c r="M103" i="77"/>
  <c r="X117" i="77"/>
  <c r="R117" i="77"/>
  <c r="X131" i="77"/>
  <c r="M131" i="77"/>
  <c r="F131" i="77"/>
  <c r="H131" i="77"/>
  <c r="O131" i="77"/>
  <c r="G131" i="77"/>
  <c r="R131" i="77"/>
  <c r="AC131" i="77"/>
  <c r="R145" i="77"/>
  <c r="KY145" i="77"/>
  <c r="M145" i="77"/>
  <c r="X145" i="77"/>
  <c r="M159" i="77"/>
  <c r="X159" i="77"/>
  <c r="R159" i="77"/>
  <c r="R173" i="77"/>
  <c r="M173" i="77"/>
  <c r="X173" i="77"/>
  <c r="H183" i="82"/>
  <c r="AC24" i="77"/>
  <c r="AC6" i="77"/>
  <c r="M14" i="77"/>
  <c r="O29" i="77"/>
  <c r="T22" i="77"/>
  <c r="X16" i="77"/>
  <c r="KZ5" i="77"/>
  <c r="KY5" i="77"/>
  <c r="AE19" i="77"/>
  <c r="KZ19" i="77"/>
  <c r="KY19" i="77"/>
  <c r="R33" i="77"/>
  <c r="M33" i="77"/>
  <c r="X33" i="77"/>
  <c r="R47" i="77"/>
  <c r="X47" i="77"/>
  <c r="X61" i="77"/>
  <c r="M61" i="77"/>
  <c r="R61" i="77"/>
  <c r="R75" i="77"/>
  <c r="X75" i="77"/>
  <c r="M75" i="77"/>
  <c r="KZ89" i="77"/>
  <c r="R89" i="77"/>
  <c r="AE89" i="77"/>
  <c r="AC89" i="77"/>
  <c r="O89" i="77"/>
  <c r="M89" i="77"/>
  <c r="G89" i="77"/>
  <c r="X89" i="77"/>
  <c r="F89" i="77"/>
  <c r="H89" i="77"/>
  <c r="T89" i="77"/>
  <c r="KY89" i="77"/>
  <c r="AC104" i="77"/>
  <c r="R104" i="77"/>
  <c r="X104" i="77"/>
  <c r="O104" i="77"/>
  <c r="M104" i="77"/>
  <c r="H104" i="77"/>
  <c r="F104" i="77"/>
  <c r="G104" i="77"/>
  <c r="R118" i="77"/>
  <c r="M118" i="77"/>
  <c r="X118" i="77"/>
  <c r="AC132" i="77"/>
  <c r="X132" i="77"/>
  <c r="O132" i="77"/>
  <c r="M132" i="77"/>
  <c r="F132" i="77"/>
  <c r="R132" i="77"/>
  <c r="H132" i="77"/>
  <c r="G132" i="77"/>
  <c r="X146" i="77"/>
  <c r="KY146" i="77"/>
  <c r="M146" i="77"/>
  <c r="R146" i="77"/>
  <c r="R160" i="77"/>
  <c r="X160" i="77"/>
  <c r="M160" i="77"/>
  <c r="X174" i="77"/>
  <c r="M174" i="77"/>
  <c r="R174" i="77"/>
  <c r="H182" i="82"/>
  <c r="KZ12" i="77"/>
  <c r="KY12" i="77"/>
  <c r="X40" i="77"/>
  <c r="R40" i="77"/>
  <c r="R54" i="77"/>
  <c r="X54" i="77"/>
  <c r="R82" i="77"/>
  <c r="X82" i="77"/>
  <c r="M82" i="77"/>
  <c r="R96" i="77"/>
  <c r="X96" i="77"/>
  <c r="R111" i="77"/>
  <c r="X111" i="77"/>
  <c r="M111" i="77"/>
  <c r="X139" i="77"/>
  <c r="KY139" i="77"/>
  <c r="R139" i="77"/>
  <c r="M139" i="77"/>
  <c r="X153" i="77"/>
  <c r="M153" i="77"/>
  <c r="R153" i="77"/>
  <c r="KZ167" i="77"/>
  <c r="X167" i="77"/>
  <c r="KY167" i="77"/>
  <c r="R167" i="77"/>
  <c r="M167" i="77"/>
  <c r="X181" i="77"/>
  <c r="M181" i="77"/>
  <c r="R181" i="77"/>
  <c r="R12" i="77"/>
  <c r="AE27" i="77"/>
  <c r="KZ27" i="77"/>
  <c r="KY27" i="77"/>
  <c r="X83" i="77"/>
  <c r="R83" i="77"/>
  <c r="G140" i="77"/>
  <c r="M140" i="77"/>
  <c r="R140" i="77"/>
  <c r="AE140" i="77"/>
  <c r="AC140" i="77"/>
  <c r="H140" i="77"/>
  <c r="O140" i="77"/>
  <c r="F140" i="77"/>
  <c r="X140" i="77"/>
  <c r="M154" i="77"/>
  <c r="X154" i="77"/>
  <c r="R154" i="77"/>
  <c r="R182" i="77"/>
  <c r="M182" i="77"/>
  <c r="X182" i="77"/>
  <c r="R13" i="77"/>
  <c r="KZ28" i="77"/>
  <c r="KY28" i="77"/>
  <c r="X56" i="77"/>
  <c r="R56" i="77"/>
  <c r="AC70" i="77"/>
  <c r="M70" i="77"/>
  <c r="G70" i="77"/>
  <c r="H70" i="77"/>
  <c r="R70" i="77"/>
  <c r="X70" i="77"/>
  <c r="F70" i="77"/>
  <c r="O70" i="77"/>
  <c r="X98" i="77"/>
  <c r="R98" i="77"/>
  <c r="M141" i="77"/>
  <c r="X141" i="77"/>
  <c r="R141" i="77"/>
  <c r="H141" i="77"/>
  <c r="G141" i="77"/>
  <c r="F141" i="77"/>
  <c r="AE141" i="77"/>
  <c r="AC141" i="77"/>
  <c r="M169" i="77"/>
  <c r="X169" i="77"/>
  <c r="R169" i="77"/>
  <c r="KY183" i="77"/>
  <c r="X183" i="77"/>
  <c r="M183" i="77"/>
  <c r="R183" i="77"/>
  <c r="I181" i="82"/>
  <c r="H181" i="82"/>
  <c r="M31" i="77"/>
  <c r="R31" i="77"/>
  <c r="X31" i="77"/>
  <c r="AC23" i="77"/>
  <c r="R22" i="77"/>
  <c r="M15" i="77"/>
  <c r="T23" i="77"/>
  <c r="AE13" i="77"/>
  <c r="KZ6" i="77"/>
  <c r="KY6" i="77"/>
  <c r="KZ20" i="77"/>
  <c r="KY20" i="77"/>
  <c r="X34" i="77"/>
  <c r="R34" i="77"/>
  <c r="X48" i="77"/>
  <c r="R48" i="77"/>
  <c r="X62" i="77"/>
  <c r="R62" i="77"/>
  <c r="M76" i="77"/>
  <c r="X76" i="77"/>
  <c r="R76" i="77"/>
  <c r="X90" i="77"/>
  <c r="R90" i="77"/>
  <c r="O90" i="77"/>
  <c r="M90" i="77"/>
  <c r="AC90" i="77"/>
  <c r="F90" i="77"/>
  <c r="H90" i="77"/>
  <c r="G90" i="77"/>
  <c r="R105" i="77"/>
  <c r="M105" i="77"/>
  <c r="X105" i="77"/>
  <c r="X119" i="77"/>
  <c r="R119" i="77"/>
  <c r="M119" i="77"/>
  <c r="G119" i="77"/>
  <c r="AC119" i="77"/>
  <c r="H119" i="77"/>
  <c r="F119" i="77"/>
  <c r="O133" i="77"/>
  <c r="H133" i="77"/>
  <c r="G133" i="77"/>
  <c r="X133" i="77"/>
  <c r="R133" i="77"/>
  <c r="M133" i="77"/>
  <c r="F133" i="77"/>
  <c r="M147" i="77"/>
  <c r="R147" i="77"/>
  <c r="X147" i="77"/>
  <c r="X161" i="77"/>
  <c r="M161" i="77"/>
  <c r="R161" i="77"/>
  <c r="R175" i="77"/>
  <c r="X175" i="77"/>
  <c r="M175" i="77"/>
  <c r="AC8" i="77"/>
  <c r="AE14" i="77"/>
  <c r="X7" i="77"/>
  <c r="KZ7" i="77"/>
  <c r="KY7" i="77"/>
  <c r="KZ21" i="77"/>
  <c r="KY21" i="77"/>
  <c r="X35" i="77"/>
  <c r="R35" i="77"/>
  <c r="R49" i="77"/>
  <c r="X49" i="77"/>
  <c r="X63" i="77"/>
  <c r="M63" i="77"/>
  <c r="R63" i="77"/>
  <c r="X77" i="77"/>
  <c r="R77" i="77"/>
  <c r="M77" i="77"/>
  <c r="AC91" i="77"/>
  <c r="M91" i="77"/>
  <c r="O91" i="77"/>
  <c r="F91" i="77"/>
  <c r="R91" i="77"/>
  <c r="H91" i="77"/>
  <c r="G91" i="77"/>
  <c r="X91" i="77"/>
  <c r="X106" i="77"/>
  <c r="R106" i="77"/>
  <c r="M106" i="77"/>
  <c r="AC120" i="77"/>
  <c r="R120" i="77"/>
  <c r="M120" i="77"/>
  <c r="X120" i="77"/>
  <c r="F120" i="77"/>
  <c r="G120" i="77"/>
  <c r="H120" i="77"/>
  <c r="R134" i="77"/>
  <c r="O134" i="77"/>
  <c r="M134" i="77"/>
  <c r="AC134" i="77"/>
  <c r="X134" i="77"/>
  <c r="X148" i="77"/>
  <c r="R148" i="77"/>
  <c r="M148" i="77"/>
  <c r="M162" i="77"/>
  <c r="X162" i="77"/>
  <c r="R162" i="77"/>
  <c r="X176" i="77"/>
  <c r="R176" i="77"/>
  <c r="M176" i="77"/>
  <c r="R127" i="77"/>
  <c r="B15" i="83"/>
  <c r="R69" i="77"/>
  <c r="X69" i="77"/>
  <c r="H69" i="77"/>
  <c r="G69" i="77"/>
  <c r="F69" i="77"/>
  <c r="AC69" i="77"/>
  <c r="O69" i="77"/>
  <c r="M69" i="77"/>
  <c r="O12" i="77"/>
  <c r="T28" i="77"/>
  <c r="KZ8" i="77"/>
  <c r="KY8" i="77"/>
  <c r="KY22" i="77"/>
  <c r="KZ22" i="77"/>
  <c r="R36" i="77"/>
  <c r="X36" i="77"/>
  <c r="X50" i="77"/>
  <c r="R50" i="77"/>
  <c r="M64" i="77"/>
  <c r="X64" i="77"/>
  <c r="R64" i="77"/>
  <c r="R78" i="77"/>
  <c r="M78" i="77"/>
  <c r="X78" i="77"/>
  <c r="X92" i="77"/>
  <c r="M92" i="77"/>
  <c r="R92" i="77"/>
  <c r="R107" i="77"/>
  <c r="M107" i="77"/>
  <c r="X107" i="77"/>
  <c r="R121" i="77"/>
  <c r="X121" i="77"/>
  <c r="H121" i="77"/>
  <c r="AC121" i="77"/>
  <c r="M121" i="77"/>
  <c r="O121" i="77"/>
  <c r="F121" i="77"/>
  <c r="G121" i="77"/>
  <c r="X135" i="77"/>
  <c r="R135" i="77"/>
  <c r="M135" i="77"/>
  <c r="R149" i="77"/>
  <c r="M149" i="77"/>
  <c r="X149" i="77"/>
  <c r="M163" i="77"/>
  <c r="R163" i="77"/>
  <c r="X163" i="77"/>
  <c r="M177" i="77"/>
  <c r="X177" i="77"/>
  <c r="R177" i="77"/>
  <c r="AC136" i="77"/>
  <c r="R136" i="77"/>
  <c r="O136" i="77"/>
  <c r="M136" i="77"/>
  <c r="F136" i="77"/>
  <c r="H136" i="77"/>
  <c r="G136" i="77"/>
  <c r="X136" i="77"/>
  <c r="AE9" i="77"/>
  <c r="KZ9" i="77"/>
  <c r="KY9" i="77"/>
  <c r="AE23" i="77"/>
  <c r="KY23" i="77"/>
  <c r="KZ23" i="77"/>
  <c r="R37" i="77"/>
  <c r="X37" i="77"/>
  <c r="R51" i="77"/>
  <c r="X51" i="77"/>
  <c r="R65" i="77"/>
  <c r="X65" i="77"/>
  <c r="R79" i="77"/>
  <c r="M79" i="77"/>
  <c r="X79" i="77"/>
  <c r="R93" i="77"/>
  <c r="X93" i="77"/>
  <c r="X108" i="77"/>
  <c r="M108" i="77"/>
  <c r="R108" i="77"/>
  <c r="X122" i="77"/>
  <c r="M122" i="77"/>
  <c r="O122" i="77"/>
  <c r="G122" i="77"/>
  <c r="F122" i="77"/>
  <c r="H122" i="77"/>
  <c r="R122" i="77"/>
  <c r="R150" i="77"/>
  <c r="X150" i="77"/>
  <c r="KY150" i="77"/>
  <c r="M150" i="77"/>
  <c r="R164" i="77"/>
  <c r="X164" i="77"/>
  <c r="M164" i="77"/>
  <c r="R178" i="77"/>
  <c r="X178" i="77"/>
  <c r="M178" i="77"/>
  <c r="O14" i="77"/>
  <c r="O10" i="77"/>
  <c r="KZ10" i="77"/>
  <c r="KY10" i="77"/>
  <c r="KY24" i="77"/>
  <c r="KZ24" i="77"/>
  <c r="X38" i="77"/>
  <c r="M38" i="77"/>
  <c r="AC38" i="77"/>
  <c r="F38" i="77"/>
  <c r="R38" i="77"/>
  <c r="H38" i="77"/>
  <c r="G38" i="77"/>
  <c r="O38" i="77"/>
  <c r="X52" i="77"/>
  <c r="R52" i="77"/>
  <c r="X66" i="77"/>
  <c r="R66" i="77"/>
  <c r="X80" i="77"/>
  <c r="M80" i="77"/>
  <c r="R80" i="77"/>
  <c r="X94" i="77"/>
  <c r="R94" i="77"/>
  <c r="M109" i="77"/>
  <c r="X109" i="77"/>
  <c r="R109" i="77"/>
  <c r="O123" i="77"/>
  <c r="H123" i="77"/>
  <c r="F123" i="77"/>
  <c r="G123" i="77"/>
  <c r="X123" i="77"/>
  <c r="R123" i="77"/>
  <c r="M123" i="77"/>
  <c r="M137" i="77"/>
  <c r="R137" i="77"/>
  <c r="AC137" i="77"/>
  <c r="X137" i="77"/>
  <c r="H137" i="77"/>
  <c r="G137" i="77"/>
  <c r="F137" i="77"/>
  <c r="O137" i="77"/>
  <c r="R151" i="77"/>
  <c r="X151" i="77"/>
  <c r="M165" i="77"/>
  <c r="X165" i="77"/>
  <c r="R165" i="77"/>
  <c r="X179" i="77"/>
  <c r="R179" i="77"/>
  <c r="R7" i="77"/>
  <c r="M23" i="77"/>
  <c r="O15" i="77"/>
  <c r="T8" i="77"/>
  <c r="X28" i="77"/>
  <c r="AE21" i="77"/>
  <c r="AE11" i="77"/>
  <c r="KZ11" i="77"/>
  <c r="KY11" i="77"/>
  <c r="M25" i="77"/>
  <c r="KZ25" i="77"/>
  <c r="KY25" i="77"/>
  <c r="R39" i="77"/>
  <c r="X39" i="77"/>
  <c r="X53" i="77"/>
  <c r="R53" i="77"/>
  <c r="R67" i="77"/>
  <c r="O67" i="77"/>
  <c r="M67" i="77"/>
  <c r="X67" i="77"/>
  <c r="F67" i="77"/>
  <c r="AC67" i="77"/>
  <c r="H67" i="77"/>
  <c r="G67" i="77"/>
  <c r="R81" i="77"/>
  <c r="M81" i="77"/>
  <c r="X81" i="77"/>
  <c r="X95" i="77"/>
  <c r="R95" i="77"/>
  <c r="M110" i="77"/>
  <c r="X110" i="77"/>
  <c r="R110" i="77"/>
  <c r="M124" i="77"/>
  <c r="X124" i="77"/>
  <c r="R124" i="77"/>
  <c r="F124" i="77"/>
  <c r="O124" i="77"/>
  <c r="R138" i="77"/>
  <c r="X138" i="77"/>
  <c r="R152" i="77"/>
  <c r="X152" i="77"/>
  <c r="M152" i="77"/>
  <c r="M166" i="77"/>
  <c r="R166" i="77"/>
  <c r="X166" i="77"/>
  <c r="M180" i="77"/>
  <c r="R180" i="77"/>
  <c r="X180" i="77"/>
  <c r="B173" i="82"/>
  <c r="O9" i="77"/>
  <c r="O19" i="77"/>
  <c r="T17" i="77"/>
  <c r="M17" i="77"/>
  <c r="O11" i="77"/>
  <c r="X25" i="77"/>
  <c r="T9" i="77"/>
  <c r="R25" i="77"/>
  <c r="M9" i="77"/>
  <c r="X17" i="77"/>
  <c r="AE25" i="77"/>
  <c r="AC17" i="77"/>
  <c r="AC25" i="77"/>
  <c r="AC27" i="77"/>
  <c r="R17" i="77"/>
  <c r="R3" i="77"/>
  <c r="X9" i="77"/>
  <c r="AE17" i="77"/>
  <c r="AC9" i="77"/>
  <c r="O25" i="77"/>
  <c r="T25" i="77"/>
  <c r="R9" i="77"/>
  <c r="O27" i="77"/>
  <c r="AC26" i="77"/>
  <c r="AC18" i="77"/>
  <c r="AC10" i="77"/>
  <c r="R10" i="77"/>
  <c r="R18" i="77"/>
  <c r="R26" i="77"/>
  <c r="AC3" i="77"/>
  <c r="M10" i="77"/>
  <c r="M18" i="77"/>
  <c r="M26" i="77"/>
  <c r="T3" i="77"/>
  <c r="T11" i="77"/>
  <c r="T19" i="77"/>
  <c r="T27" i="77"/>
  <c r="X10" i="77"/>
  <c r="X18" i="77"/>
  <c r="X26" i="77"/>
  <c r="T26" i="77"/>
  <c r="R11" i="77"/>
  <c r="R19" i="77"/>
  <c r="R27" i="77"/>
  <c r="M3" i="77"/>
  <c r="M11" i="77"/>
  <c r="M19" i="77"/>
  <c r="M27" i="77"/>
  <c r="X3" i="77"/>
  <c r="X11" i="77"/>
  <c r="X19" i="77"/>
  <c r="X27" i="77"/>
  <c r="T10" i="77"/>
  <c r="AE10" i="77"/>
  <c r="AE18" i="77"/>
  <c r="AE26" i="77"/>
  <c r="T18" i="77"/>
  <c r="A285" i="79"/>
  <c r="A286" i="79"/>
  <c r="A287" i="79"/>
  <c r="A288" i="79"/>
  <c r="A289" i="79"/>
  <c r="A290" i="79"/>
  <c r="A291" i="79"/>
  <c r="A292" i="79"/>
  <c r="A293" i="79"/>
  <c r="A294" i="79"/>
  <c r="A295" i="79"/>
  <c r="A296" i="79"/>
  <c r="A297" i="79"/>
  <c r="A298" i="79"/>
  <c r="A299" i="79"/>
  <c r="A300" i="79"/>
  <c r="A301" i="79"/>
  <c r="A302" i="79"/>
  <c r="A303" i="79"/>
  <c r="A304" i="79"/>
  <c r="A305" i="79"/>
  <c r="A306" i="79"/>
  <c r="A307" i="79"/>
  <c r="A308" i="79"/>
  <c r="A309" i="79"/>
  <c r="A310" i="79"/>
  <c r="A311" i="79"/>
  <c r="A312" i="79"/>
  <c r="A313" i="79"/>
  <c r="A314" i="79"/>
  <c r="A315" i="79"/>
  <c r="A316" i="79"/>
  <c r="A317" i="79"/>
  <c r="A318" i="79"/>
  <c r="A319" i="79"/>
  <c r="A320" i="79"/>
  <c r="A321" i="79"/>
  <c r="A322" i="79"/>
  <c r="A323" i="79"/>
  <c r="A324" i="79"/>
  <c r="A325" i="79"/>
  <c r="A326" i="79"/>
  <c r="A327" i="79"/>
  <c r="A328" i="79"/>
  <c r="A329" i="79"/>
  <c r="A330" i="79"/>
  <c r="A331" i="79"/>
  <c r="A332" i="79"/>
  <c r="A333" i="79"/>
  <c r="A334" i="79"/>
  <c r="A335" i="79"/>
  <c r="A336" i="79"/>
  <c r="A337" i="79"/>
  <c r="A338" i="79"/>
  <c r="A339" i="79"/>
  <c r="A340" i="79"/>
  <c r="A341" i="79"/>
  <c r="A342" i="79"/>
  <c r="A343" i="79"/>
  <c r="A344" i="79"/>
  <c r="A345" i="79"/>
  <c r="A346" i="79"/>
  <c r="A347" i="79"/>
  <c r="A348" i="79"/>
  <c r="A349" i="79"/>
  <c r="A350" i="79"/>
  <c r="A351" i="79"/>
  <c r="A352" i="79"/>
  <c r="A353" i="79"/>
  <c r="A354" i="79"/>
  <c r="A355" i="79"/>
  <c r="A356" i="79"/>
  <c r="A357" i="79"/>
  <c r="A358" i="79"/>
  <c r="A359" i="79"/>
  <c r="A360" i="79"/>
  <c r="A361" i="79"/>
  <c r="A362" i="79"/>
  <c r="A363" i="79"/>
  <c r="A364" i="79"/>
  <c r="A365" i="79"/>
  <c r="A366" i="79"/>
  <c r="A367" i="79"/>
  <c r="A368" i="79"/>
  <c r="A369" i="79"/>
  <c r="A370" i="79"/>
  <c r="A371" i="79"/>
  <c r="A372" i="79"/>
  <c r="A373" i="79"/>
  <c r="A374" i="79"/>
  <c r="A375" i="79"/>
  <c r="A376" i="79"/>
  <c r="A377" i="79"/>
  <c r="A378" i="79"/>
  <c r="A379" i="79"/>
  <c r="A380" i="79"/>
  <c r="A381" i="79"/>
  <c r="A382" i="79"/>
  <c r="A383" i="79"/>
  <c r="A384" i="79"/>
  <c r="A385" i="79"/>
  <c r="A386" i="79"/>
  <c r="A387" i="79"/>
  <c r="A388" i="79"/>
  <c r="A389" i="79"/>
  <c r="A390" i="79"/>
  <c r="A391" i="79"/>
  <c r="A275" i="79"/>
  <c r="A276" i="79"/>
  <c r="A277" i="79"/>
  <c r="A278" i="79"/>
  <c r="A279" i="79"/>
  <c r="A280" i="79"/>
  <c r="A281" i="79"/>
  <c r="A282" i="79"/>
  <c r="A283" i="79"/>
  <c r="A284" i="79"/>
  <c r="A176" i="79"/>
  <c r="A177" i="79"/>
  <c r="A178" i="79"/>
  <c r="A179" i="79"/>
  <c r="A180" i="79"/>
  <c r="A181" i="79"/>
  <c r="A182" i="79"/>
  <c r="A183" i="79"/>
  <c r="A184" i="79"/>
  <c r="A185" i="79"/>
  <c r="A186" i="79"/>
  <c r="A187" i="79"/>
  <c r="A188" i="79"/>
  <c r="A189" i="79"/>
  <c r="A190" i="79"/>
  <c r="A191" i="79"/>
  <c r="A192" i="79"/>
  <c r="A193" i="79"/>
  <c r="A194" i="79"/>
  <c r="A195" i="79"/>
  <c r="A196" i="79"/>
  <c r="A197" i="79"/>
  <c r="A198" i="79"/>
  <c r="A199" i="79"/>
  <c r="A200" i="79"/>
  <c r="A201" i="79"/>
  <c r="A202" i="79"/>
  <c r="A203" i="79"/>
  <c r="A204" i="79"/>
  <c r="A205" i="79"/>
  <c r="A206" i="79"/>
  <c r="A207" i="79"/>
  <c r="A208" i="79"/>
  <c r="A209" i="79"/>
  <c r="A210" i="79"/>
  <c r="A211" i="79"/>
  <c r="A212" i="79"/>
  <c r="A213" i="79"/>
  <c r="A214" i="79"/>
  <c r="A215" i="79"/>
  <c r="A216" i="79"/>
  <c r="A217" i="79"/>
  <c r="A218" i="79"/>
  <c r="A219" i="79"/>
  <c r="A220" i="79"/>
  <c r="A221" i="79"/>
  <c r="A222" i="79"/>
  <c r="A223" i="79"/>
  <c r="A224" i="79"/>
  <c r="A225" i="79"/>
  <c r="A226" i="79"/>
  <c r="A227" i="79"/>
  <c r="A228" i="79"/>
  <c r="A229" i="79"/>
  <c r="A230" i="79"/>
  <c r="A231" i="79"/>
  <c r="A232" i="79"/>
  <c r="A233" i="79"/>
  <c r="A234" i="79"/>
  <c r="A235" i="79"/>
  <c r="A236" i="79"/>
  <c r="A237" i="79"/>
  <c r="A238" i="79"/>
  <c r="A239" i="79"/>
  <c r="A240" i="79"/>
  <c r="A241" i="79"/>
  <c r="A242" i="79"/>
  <c r="A243" i="79"/>
  <c r="A244" i="79"/>
  <c r="A245" i="79"/>
  <c r="A246" i="79"/>
  <c r="A247" i="79"/>
  <c r="A248" i="79"/>
  <c r="A249" i="79"/>
  <c r="A250" i="79"/>
  <c r="A251" i="79"/>
  <c r="A252" i="79"/>
  <c r="A253" i="79"/>
  <c r="A254" i="79"/>
  <c r="A255" i="79"/>
  <c r="A256" i="79"/>
  <c r="A257" i="79"/>
  <c r="A258" i="79"/>
  <c r="A259" i="79"/>
  <c r="A260" i="79"/>
  <c r="A261" i="79"/>
  <c r="A262" i="79"/>
  <c r="A263" i="79"/>
  <c r="A264" i="79"/>
  <c r="A265" i="79"/>
  <c r="A266" i="79"/>
  <c r="A267" i="79"/>
  <c r="A268" i="79"/>
  <c r="A269" i="79"/>
  <c r="A270" i="79"/>
  <c r="A271" i="79"/>
  <c r="A272" i="79"/>
  <c r="A273" i="79"/>
  <c r="A274" i="79"/>
  <c r="A152" i="79"/>
  <c r="A153" i="79"/>
  <c r="A154" i="79"/>
  <c r="A155" i="79"/>
  <c r="A156" i="79"/>
  <c r="A157" i="79"/>
  <c r="A158" i="79"/>
  <c r="A159" i="79"/>
  <c r="A160" i="79"/>
  <c r="A161" i="79"/>
  <c r="A162" i="79"/>
  <c r="A163" i="79"/>
  <c r="A164" i="79"/>
  <c r="A165" i="79"/>
  <c r="A166" i="79"/>
  <c r="A167" i="79"/>
  <c r="A168" i="79"/>
  <c r="A169" i="79"/>
  <c r="A170" i="79"/>
  <c r="A171" i="79"/>
  <c r="A172" i="79"/>
  <c r="A173" i="79"/>
  <c r="A174" i="79"/>
  <c r="A175" i="79"/>
  <c r="A142" i="79"/>
  <c r="A143" i="79"/>
  <c r="A144" i="79"/>
  <c r="A145" i="79"/>
  <c r="A146" i="79"/>
  <c r="A147" i="79"/>
  <c r="A148" i="79"/>
  <c r="A149" i="79"/>
  <c r="A150" i="79"/>
  <c r="A151" i="79"/>
  <c r="AB88" i="77" l="1"/>
  <c r="Y88" i="77"/>
  <c r="C14" i="83"/>
  <c r="E14" i="83"/>
  <c r="C19" i="83"/>
  <c r="B18" i="83"/>
  <c r="D19" i="83"/>
  <c r="E18" i="83"/>
  <c r="D18" i="83"/>
  <c r="D16" i="83"/>
  <c r="C16" i="83"/>
  <c r="E16" i="83"/>
  <c r="E19" i="83"/>
  <c r="AE188" i="77"/>
  <c r="C18" i="83"/>
  <c r="C15" i="83"/>
  <c r="E15" i="83"/>
  <c r="D15" i="83"/>
  <c r="A98" i="79"/>
  <c r="A75" i="79"/>
  <c r="A141" i="79"/>
  <c r="A140" i="79"/>
  <c r="A139" i="79"/>
  <c r="A138" i="79"/>
  <c r="A137" i="79"/>
  <c r="A136" i="79"/>
  <c r="A135" i="79"/>
  <c r="A134" i="79"/>
  <c r="A133" i="79"/>
  <c r="A132" i="79"/>
  <c r="A131" i="79"/>
  <c r="A130" i="79"/>
  <c r="A129" i="79"/>
  <c r="A128" i="79"/>
  <c r="A127" i="79"/>
  <c r="A126" i="79"/>
  <c r="A125" i="79"/>
  <c r="A124" i="79"/>
  <c r="A123" i="79"/>
  <c r="A122" i="79"/>
  <c r="A121" i="79"/>
  <c r="A120" i="79"/>
  <c r="A119" i="79"/>
  <c r="A118" i="79"/>
  <c r="A117" i="79"/>
  <c r="A116" i="79"/>
  <c r="A115" i="79"/>
  <c r="A114" i="79"/>
  <c r="A113" i="79"/>
  <c r="A112" i="79"/>
  <c r="A111" i="79"/>
  <c r="A110" i="79"/>
  <c r="A109" i="79"/>
  <c r="A108" i="79"/>
  <c r="A107" i="79"/>
  <c r="A106" i="79"/>
  <c r="A105" i="79"/>
  <c r="A104" i="79"/>
  <c r="A103" i="79"/>
  <c r="A102" i="79"/>
  <c r="A101" i="79"/>
  <c r="A100" i="79"/>
  <c r="A99" i="79"/>
  <c r="A97" i="79"/>
  <c r="A96" i="79"/>
  <c r="A95" i="79"/>
  <c r="A94" i="79"/>
  <c r="A93" i="79"/>
  <c r="A92" i="79"/>
  <c r="A91" i="79"/>
  <c r="A90" i="79"/>
  <c r="A89" i="79"/>
  <c r="A88" i="79"/>
  <c r="A87" i="79"/>
  <c r="A86" i="79"/>
  <c r="A85" i="79"/>
  <c r="A84" i="79"/>
  <c r="A83" i="79"/>
  <c r="A82" i="79"/>
  <c r="A81" i="79"/>
  <c r="A80" i="79"/>
  <c r="A79" i="79"/>
  <c r="A78" i="79"/>
  <c r="A77" i="79"/>
  <c r="A76" i="79"/>
  <c r="A74" i="79"/>
  <c r="A73" i="79"/>
  <c r="A72" i="79"/>
  <c r="A71" i="79"/>
  <c r="A70" i="79"/>
  <c r="A69" i="79"/>
  <c r="A68" i="79"/>
  <c r="A67" i="79"/>
  <c r="A66" i="79"/>
  <c r="A65" i="79"/>
  <c r="A64" i="79"/>
  <c r="A63" i="79"/>
  <c r="A62" i="79"/>
  <c r="A61" i="79"/>
  <c r="A60" i="79"/>
  <c r="A59" i="79"/>
  <c r="A58" i="79"/>
  <c r="A57" i="79"/>
  <c r="A56" i="79"/>
  <c r="A55" i="79"/>
  <c r="A54" i="79"/>
  <c r="A53" i="79"/>
  <c r="A52" i="79"/>
  <c r="A51" i="79"/>
  <c r="A50" i="79"/>
  <c r="A49" i="79"/>
  <c r="A48" i="79"/>
  <c r="A47" i="79"/>
  <c r="A46" i="79"/>
  <c r="A45" i="79"/>
  <c r="A44" i="79"/>
  <c r="A43" i="79"/>
  <c r="A42" i="79"/>
  <c r="A41" i="79"/>
  <c r="A40" i="79"/>
  <c r="A39" i="79"/>
  <c r="A38" i="79"/>
  <c r="A37" i="79"/>
  <c r="A36" i="79"/>
  <c r="A35" i="79"/>
  <c r="A34" i="79"/>
  <c r="A33" i="79"/>
  <c r="A32" i="79"/>
  <c r="A31" i="79"/>
  <c r="A30" i="79"/>
  <c r="A29" i="79"/>
  <c r="A28" i="79"/>
  <c r="A27" i="79"/>
  <c r="A26" i="79"/>
  <c r="A25" i="79"/>
  <c r="A24" i="79"/>
  <c r="A23" i="79"/>
  <c r="A22" i="79"/>
  <c r="A21" i="79"/>
  <c r="A20" i="79"/>
  <c r="A19" i="79"/>
  <c r="A18" i="79"/>
  <c r="A17" i="79"/>
  <c r="A16" i="79"/>
  <c r="A15" i="79"/>
  <c r="A14" i="79"/>
  <c r="A13" i="79"/>
  <c r="A12" i="79"/>
  <c r="A11" i="79"/>
  <c r="A10" i="79"/>
  <c r="A9" i="79"/>
  <c r="A8" i="79"/>
  <c r="A7" i="79"/>
  <c r="A6" i="79"/>
  <c r="A5" i="79"/>
  <c r="A4" i="79"/>
  <c r="A3" i="79"/>
  <c r="A2" i="79"/>
  <c r="E188" i="77"/>
  <c r="K188" i="77"/>
  <c r="L101" i="77" l="1"/>
  <c r="X101" i="77" l="1"/>
  <c r="M101" i="77"/>
  <c r="O101" i="77"/>
  <c r="F101" i="77"/>
  <c r="R101" i="77"/>
  <c r="G101" i="77"/>
  <c r="AC101" i="77"/>
  <c r="H101" i="77"/>
  <c r="G112" i="77"/>
  <c r="G124" i="77"/>
  <c r="H112" i="77"/>
  <c r="H124" i="77"/>
  <c r="D188" i="77"/>
  <c r="C188" i="77"/>
  <c r="L187" i="77"/>
  <c r="A2" i="77"/>
  <c r="X187" i="77" l="1"/>
  <c r="R187" i="77"/>
  <c r="M187" i="77"/>
  <c r="KZ187" i="77"/>
  <c r="KZ188" i="77" s="1"/>
  <c r="KY187" i="77"/>
  <c r="KY188" i="77" s="1"/>
  <c r="L188" i="77"/>
  <c r="I188" i="77"/>
  <c r="AE189" i="77" l="1"/>
  <c r="KY189" i="77"/>
  <c r="KZ189" i="77"/>
  <c r="J188" i="77"/>
  <c r="AC188" i="77"/>
  <c r="AC189" i="77" s="1"/>
  <c r="X188" i="77"/>
  <c r="X189" i="77" s="1"/>
  <c r="O188" i="77"/>
  <c r="O189" i="77" s="1"/>
  <c r="R188" i="77"/>
  <c r="R189" i="77" s="1"/>
  <c r="T188" i="77"/>
  <c r="T189" i="77" s="1"/>
  <c r="M188" i="77"/>
  <c r="M189" i="77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tc={83A1E9AE-2718-4CFC-B97E-D03B8C43C365}</author>
  </authors>
  <commentList>
    <comment ref="L1" authorId="0" shapeId="0" xr:uid="{83A1E9AE-2718-4CFC-B97E-D03B8C43C365}">
      <text>
        <t>[Threaded comment]
Your version of Excel allows you to read this threaded comment; however, any edits to it will get removed if the file is opened in a newer version of Excel. Learn more: https://go.microsoft.com/fwlink/?linkid=870924
Comment:
    Mark Print only. If done it will change to Printed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Author</author>
  </authors>
  <commentList>
    <comment ref="G1" authorId="0" shapeId="0" xr:uid="{8F143C22-A793-46C7-A3BF-72D7FCFF440A}">
      <text>
        <r>
          <rPr>
            <b/>
            <sz val="9"/>
            <color indexed="81"/>
            <rFont val="Tahoma"/>
            <family val="2"/>
            <charset val="204"/>
          </rPr>
          <t>Author:</t>
        </r>
        <r>
          <rPr>
            <sz val="9"/>
            <color indexed="81"/>
            <rFont val="Tahoma"/>
            <family val="2"/>
            <charset val="204"/>
          </rPr>
          <t xml:space="preserve">
Editable input. USD/RUB spot ~78.6 (Jul 2026). Source: Yahoo/TradingEconomics. Update as needed.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Author</author>
  </authors>
  <commentList>
    <comment ref="AI11" authorId="0" shapeId="0" xr:uid="{6BFEEB77-7FF7-4AD2-9218-D16DC338E09A}">
      <text>
        <r>
          <rPr>
            <b/>
            <sz val="9"/>
            <color indexed="81"/>
            <rFont val="Tahoma"/>
            <family val="2"/>
            <charset val="204"/>
          </rPr>
          <t>VERIFY: typical placeholder engine oil. Confirm capacity &amp; grade from OEM manual.</t>
        </r>
      </text>
    </comment>
    <comment ref="AI24" authorId="0" shapeId="0" xr:uid="{B0F13AB8-25A9-43BB-AEFA-3868B3DF51DD}">
      <text>
        <r>
          <rPr>
            <b/>
            <sz val="9"/>
            <color indexed="81"/>
            <rFont val="Tahoma"/>
            <family val="2"/>
            <charset val="204"/>
          </rPr>
          <t>VERIFY: typical placeholder engine oil. Confirm capacity &amp; grade from OEM manual.</t>
        </r>
      </text>
    </comment>
    <comment ref="AI25" authorId="0" shapeId="0" xr:uid="{EB9C692B-5A12-4C97-88CA-CB78DB7C8272}">
      <text>
        <r>
          <rPr>
            <b/>
            <sz val="9"/>
            <color indexed="81"/>
            <rFont val="Tahoma"/>
            <family val="2"/>
            <charset val="204"/>
          </rPr>
          <t>VERIFY: typical placeholder engine oil. Confirm capacity &amp; grade from OEM manual.</t>
        </r>
      </text>
    </comment>
    <comment ref="AI26" authorId="0" shapeId="0" xr:uid="{9D03F4BF-7CBF-4077-866C-AB6B6672DE01}">
      <text>
        <r>
          <rPr>
            <b/>
            <sz val="9"/>
            <color indexed="81"/>
            <rFont val="Tahoma"/>
            <family val="2"/>
            <charset val="204"/>
          </rPr>
          <t>VERIFY: typical placeholder engine oil. Confirm capacity &amp; grade from OEM manual.</t>
        </r>
      </text>
    </comment>
    <comment ref="AI27" authorId="0" shapeId="0" xr:uid="{01A7A85F-BA02-4B6B-8254-4E74F0A1552F}">
      <text>
        <r>
          <rPr>
            <b/>
            <sz val="9"/>
            <color indexed="81"/>
            <rFont val="Tahoma"/>
            <family val="2"/>
            <charset val="204"/>
          </rPr>
          <t>VERIFY: typical placeholder engine oil. Confirm capacity &amp; grade from OEM manual.</t>
        </r>
      </text>
    </comment>
    <comment ref="AI28" authorId="0" shapeId="0" xr:uid="{B639D205-D12C-4936-A55B-BBFA00F05FC6}">
      <text>
        <r>
          <rPr>
            <b/>
            <sz val="9"/>
            <color indexed="81"/>
            <rFont val="Tahoma"/>
            <family val="2"/>
            <charset val="204"/>
          </rPr>
          <t>VERIFY: typical placeholder engine oil. Confirm capacity &amp; grade from OEM manual.</t>
        </r>
      </text>
    </comment>
    <comment ref="AI30" authorId="0" shapeId="0" xr:uid="{34FE5AC4-C0C5-40C8-BAA8-317A9B17D028}">
      <text>
        <r>
          <rPr>
            <b/>
            <sz val="9"/>
            <color indexed="81"/>
            <rFont val="Tahoma"/>
            <family val="2"/>
            <charset val="204"/>
          </rPr>
          <t>VERIFY: typical placeholder engine oil. Confirm capacity &amp; grade from OEM manual.</t>
        </r>
      </text>
    </comment>
    <comment ref="AI31" authorId="0" shapeId="0" xr:uid="{C263890F-A417-4314-80D7-DDE8E4F9DFC5}">
      <text>
        <r>
          <rPr>
            <b/>
            <sz val="9"/>
            <color indexed="81"/>
            <rFont val="Tahoma"/>
            <family val="2"/>
            <charset val="204"/>
          </rPr>
          <t>VERIFY: typical placeholder engine oil. Confirm capacity &amp; grade from OEM manual.</t>
        </r>
      </text>
    </comment>
    <comment ref="AI33" authorId="0" shapeId="0" xr:uid="{32B41E9B-76EB-4297-B07F-F9A0A590F01A}">
      <text>
        <r>
          <rPr>
            <b/>
            <sz val="9"/>
            <color indexed="81"/>
            <rFont val="Tahoma"/>
            <family val="2"/>
            <charset val="204"/>
          </rPr>
          <t>VERIFY: typical placeholder engine oil. Confirm capacity &amp; grade from OEM manual.</t>
        </r>
      </text>
    </comment>
    <comment ref="AT38" authorId="0" shapeId="0" xr:uid="{6F76DE03-7983-4F82-97B6-C20D5454A20F}">
      <text>
        <r>
          <rPr>
            <b/>
            <sz val="9"/>
            <color indexed="81"/>
            <rFont val="Tahoma"/>
            <family val="2"/>
            <charset val="204"/>
          </rPr>
          <t>Author:</t>
        </r>
        <r>
          <rPr>
            <sz val="9"/>
            <color indexed="81"/>
            <rFont val="Tahoma"/>
            <family val="2"/>
            <charset val="204"/>
          </rPr>
          <t xml:space="preserve">
VERIFY: typical Cat dozer hydraulic/powershift grade (Cat TO-4). Confirm from OEM manual. Source: Caterpillar Machine Fluids Recommendations.</t>
        </r>
      </text>
    </comment>
    <comment ref="BZ38" authorId="0" shapeId="0" xr:uid="{8D6ED4DC-8CBF-49C1-82DF-81BA852E99DD}">
      <text>
        <r>
          <rPr>
            <b/>
            <sz val="9"/>
            <color indexed="81"/>
            <rFont val="Tahoma"/>
            <family val="2"/>
            <charset val="204"/>
          </rPr>
          <t>Author:</t>
        </r>
        <r>
          <rPr>
            <sz val="9"/>
            <color indexed="81"/>
            <rFont val="Tahoma"/>
            <family val="2"/>
            <charset val="204"/>
          </rPr>
          <t xml:space="preserve">
VERIFY: typical Cat dozer final-drive grade (Cat TO-4 SAE 50). Confirm from OEM manual. Source: Caterpillar Machine Fluids Recommendations.</t>
        </r>
      </text>
    </comment>
    <comment ref="CD38" authorId="0" shapeId="0" xr:uid="{07276CB6-2581-4A9B-9EBF-BF4C9D56A4E8}">
      <text>
        <r>
          <rPr>
            <b/>
            <sz val="9"/>
            <color indexed="81"/>
            <rFont val="Tahoma"/>
            <family val="2"/>
            <charset val="204"/>
          </rPr>
          <t>Author:</t>
        </r>
        <r>
          <rPr>
            <sz val="9"/>
            <color indexed="81"/>
            <rFont val="Tahoma"/>
            <family val="2"/>
            <charset val="204"/>
          </rPr>
          <t xml:space="preserve">
VERIFY: typical Cat dozer final-drive grade (Cat TO-4 SAE 50). Confirm from OEM manual. Source: Caterpillar Machine Fluids Recommendations.</t>
        </r>
      </text>
    </comment>
    <comment ref="KS41" authorId="0" shapeId="0" xr:uid="{C969828C-1E74-4BF1-9EE6-B74FA5E00470}">
      <text>
        <r>
          <rPr>
            <b/>
            <sz val="9"/>
            <color indexed="81"/>
            <rFont val="Tahoma"/>
            <family val="2"/>
            <charset val="204"/>
          </rPr>
          <t>Author:</t>
        </r>
        <r>
          <rPr>
            <sz val="9"/>
            <color indexed="81"/>
            <rFont val="Tahoma"/>
            <family val="2"/>
            <charset val="204"/>
          </rPr>
          <t xml:space="preserve">
VERIFY: typical placeholder wire-rope lube qty (L). Confirm from OEM manual.</t>
        </r>
      </text>
    </comment>
    <comment ref="KT41" authorId="0" shapeId="0" xr:uid="{A82C22C8-37F6-4177-BF4F-A0C34D2F9C9B}">
      <text>
        <r>
          <rPr>
            <b/>
            <sz val="9"/>
            <color indexed="81"/>
            <rFont val="Tahoma"/>
            <family val="2"/>
            <charset val="204"/>
          </rPr>
          <t>Author:</t>
        </r>
        <r>
          <rPr>
            <sz val="9"/>
            <color indexed="81"/>
            <rFont val="Tahoma"/>
            <family val="2"/>
            <charset val="204"/>
          </rPr>
          <t xml:space="preserve">
VERIFY interval</t>
        </r>
      </text>
    </comment>
    <comment ref="AI61" authorId="0" shapeId="0" xr:uid="{CC429A39-9157-4506-8996-7FCA057B68A0}">
      <text>
        <r>
          <rPr>
            <b/>
            <sz val="9"/>
            <color indexed="81"/>
            <rFont val="Tahoma"/>
            <family val="2"/>
            <charset val="204"/>
          </rPr>
          <t>VERIFY: typical placeholder engine oil. Confirm capacity &amp; grade from OEM manual.</t>
        </r>
      </text>
    </comment>
    <comment ref="AI63" authorId="0" shapeId="0" xr:uid="{7E434067-5667-4DE6-935B-39C6CE11E3D1}">
      <text>
        <r>
          <rPr>
            <b/>
            <sz val="9"/>
            <color indexed="81"/>
            <rFont val="Tahoma"/>
            <family val="2"/>
            <charset val="204"/>
          </rPr>
          <t>VERIFY: typical placeholder engine oil. Confirm capacity &amp; grade from OEM manual.</t>
        </r>
      </text>
    </comment>
    <comment ref="AI64" authorId="0" shapeId="0" xr:uid="{DD67AC25-992B-4735-AD93-E1291E48B4AA}">
      <text>
        <r>
          <rPr>
            <b/>
            <sz val="9"/>
            <color indexed="81"/>
            <rFont val="Tahoma"/>
            <family val="2"/>
            <charset val="204"/>
          </rPr>
          <t>VERIFY: typical placeholder engine oil. Confirm capacity &amp; grade from OEM manual.</t>
        </r>
      </text>
    </comment>
    <comment ref="AI72" authorId="0" shapeId="0" xr:uid="{156558C7-4FE5-4EC9-9B46-4EA98CBAFE51}">
      <text>
        <r>
          <rPr>
            <b/>
            <sz val="9"/>
            <color indexed="81"/>
            <rFont val="Tahoma"/>
            <family val="2"/>
            <charset val="204"/>
          </rPr>
          <t>VERIFY: typical placeholder engine oil. Confirm capacity &amp; grade from OEM manual.</t>
        </r>
      </text>
    </comment>
    <comment ref="AI73" authorId="0" shapeId="0" xr:uid="{587D1636-C0C4-4EC4-8A3D-BAA0D9350BD4}">
      <text>
        <r>
          <rPr>
            <b/>
            <sz val="9"/>
            <color indexed="81"/>
            <rFont val="Tahoma"/>
            <family val="2"/>
            <charset val="204"/>
          </rPr>
          <t>VERIFY: typical placeholder engine oil. Confirm capacity &amp; grade from OEM manual.</t>
        </r>
      </text>
    </comment>
    <comment ref="AI75" authorId="0" shapeId="0" xr:uid="{105300C5-8C4A-4A54-AAF9-EF15279EBA18}">
      <text>
        <r>
          <rPr>
            <b/>
            <sz val="9"/>
            <color indexed="81"/>
            <rFont val="Tahoma"/>
            <family val="2"/>
            <charset val="204"/>
          </rPr>
          <t>VERIFY: typical placeholder engine oil. Confirm capacity &amp; grade from OEM manual.</t>
        </r>
      </text>
    </comment>
    <comment ref="AI76" authorId="0" shapeId="0" xr:uid="{B2F62F84-0AB4-430A-B63E-61C7D2AAD0B2}">
      <text>
        <r>
          <rPr>
            <b/>
            <sz val="9"/>
            <color indexed="81"/>
            <rFont val="Tahoma"/>
            <family val="2"/>
            <charset val="204"/>
          </rPr>
          <t>VERIFY: typical placeholder engine oil. Confirm capacity &amp; grade from OEM manual.</t>
        </r>
      </text>
    </comment>
    <comment ref="AI77" authorId="0" shapeId="0" xr:uid="{23FC2E31-3F89-4EBE-86FA-A012E2131913}">
      <text>
        <r>
          <rPr>
            <b/>
            <sz val="9"/>
            <color indexed="81"/>
            <rFont val="Tahoma"/>
            <family val="2"/>
            <charset val="204"/>
          </rPr>
          <t>VERIFY: typical placeholder engine oil. Confirm capacity &amp; grade from OEM manual.</t>
        </r>
      </text>
    </comment>
    <comment ref="AI78" authorId="0" shapeId="0" xr:uid="{F369D280-AE07-4F88-A5A5-4E7B9907AC9E}">
      <text>
        <r>
          <rPr>
            <b/>
            <sz val="9"/>
            <color indexed="81"/>
            <rFont val="Tahoma"/>
            <family val="2"/>
            <charset val="204"/>
          </rPr>
          <t>VERIFY: typical placeholder engine oil. Confirm capacity &amp; grade from OEM manual.</t>
        </r>
      </text>
    </comment>
    <comment ref="AI79" authorId="0" shapeId="0" xr:uid="{B615DA2C-30B7-4D37-B2DE-A6B4BDE9E6EE}">
      <text>
        <r>
          <rPr>
            <b/>
            <sz val="9"/>
            <color indexed="81"/>
            <rFont val="Tahoma"/>
            <family val="2"/>
            <charset val="204"/>
          </rPr>
          <t>VERIFY: typical placeholder engine oil. Confirm capacity &amp; grade from OEM manual.</t>
        </r>
      </text>
    </comment>
    <comment ref="AI80" authorId="0" shapeId="0" xr:uid="{AD4BA83A-DA5F-46CD-8522-C24886718328}">
      <text>
        <r>
          <rPr>
            <b/>
            <sz val="9"/>
            <color indexed="81"/>
            <rFont val="Tahoma"/>
            <family val="2"/>
            <charset val="204"/>
          </rPr>
          <t>VERIFY: typical placeholder engine oil. Confirm capacity &amp; grade from OEM manual.</t>
        </r>
      </text>
    </comment>
    <comment ref="AI81" authorId="0" shapeId="0" xr:uid="{426C774D-DF6E-428B-843E-84911152F54B}">
      <text>
        <r>
          <rPr>
            <b/>
            <sz val="9"/>
            <color indexed="81"/>
            <rFont val="Tahoma"/>
            <family val="2"/>
            <charset val="204"/>
          </rPr>
          <t>VERIFY: typical placeholder engine oil. Confirm capacity &amp; grade from OEM manual.</t>
        </r>
      </text>
    </comment>
    <comment ref="KS89" authorId="0" shapeId="0" xr:uid="{36940D0B-6663-4015-BE3F-6F5F96F9D589}">
      <text>
        <r>
          <rPr>
            <b/>
            <sz val="9"/>
            <color indexed="81"/>
            <rFont val="Tahoma"/>
            <family val="2"/>
            <charset val="204"/>
          </rPr>
          <t>Author:</t>
        </r>
        <r>
          <rPr>
            <sz val="9"/>
            <color indexed="81"/>
            <rFont val="Tahoma"/>
            <family val="2"/>
            <charset val="204"/>
          </rPr>
          <t xml:space="preserve">
VERIFY: typical placeholder wire-rope lube qty (L). Confirm from OEM manual.</t>
        </r>
      </text>
    </comment>
    <comment ref="KV89" authorId="0" shapeId="0" xr:uid="{CC941145-FB94-4D37-A32E-42083D534271}">
      <text>
        <r>
          <rPr>
            <b/>
            <sz val="9"/>
            <color indexed="81"/>
            <rFont val="Tahoma"/>
            <family val="2"/>
            <charset val="204"/>
          </rPr>
          <t>Author:</t>
        </r>
        <r>
          <rPr>
            <sz val="9"/>
            <color indexed="81"/>
            <rFont val="Tahoma"/>
            <family val="2"/>
            <charset val="204"/>
          </rPr>
          <t xml:space="preserve">
VERIFY: typical placeholder open-gear grease qty (kg). Confirm from OEM manual.</t>
        </r>
      </text>
    </comment>
    <comment ref="AI100" authorId="0" shapeId="0" xr:uid="{F43CA378-8926-4F42-B1F2-3B7D1F61DA6D}">
      <text>
        <r>
          <rPr>
            <b/>
            <sz val="9"/>
            <color indexed="81"/>
            <rFont val="Tahoma"/>
            <family val="2"/>
            <charset val="204"/>
          </rPr>
          <t>VERIFY: typical placeholder engine oil. Confirm capacity &amp; grade from OEM manual.</t>
        </r>
      </text>
    </comment>
    <comment ref="AI105" authorId="0" shapeId="0" xr:uid="{52418D40-F313-4036-8B26-28765046AE13}">
      <text>
        <r>
          <rPr>
            <b/>
            <sz val="9"/>
            <color indexed="81"/>
            <rFont val="Tahoma"/>
            <family val="2"/>
            <charset val="204"/>
          </rPr>
          <t>VERIFY: typical placeholder engine oil. Confirm capacity &amp; grade from OEM manual.</t>
        </r>
      </text>
    </comment>
    <comment ref="AI106" authorId="0" shapeId="0" xr:uid="{95E764A8-7A90-4D44-9A0D-286992B9546C}">
      <text>
        <r>
          <rPr>
            <b/>
            <sz val="9"/>
            <color indexed="81"/>
            <rFont val="Tahoma"/>
            <family val="2"/>
            <charset val="204"/>
          </rPr>
          <t>VERIFY: typical placeholder engine oil. Confirm capacity &amp; grade from OEM manual.</t>
        </r>
      </text>
    </comment>
    <comment ref="AI107" authorId="0" shapeId="0" xr:uid="{37C0A007-5B5D-4ABF-96AE-7F2D34E24BAA}">
      <text>
        <r>
          <rPr>
            <b/>
            <sz val="9"/>
            <color indexed="81"/>
            <rFont val="Tahoma"/>
            <family val="2"/>
            <charset val="204"/>
          </rPr>
          <t>VERIFY: typical placeholder engine oil. Confirm capacity &amp; grade from OEM manual.</t>
        </r>
      </text>
    </comment>
    <comment ref="AI108" authorId="0" shapeId="0" xr:uid="{C5C6056B-24F7-4E2F-837B-EE3C9FAB60E3}">
      <text>
        <r>
          <rPr>
            <b/>
            <sz val="9"/>
            <color indexed="81"/>
            <rFont val="Tahoma"/>
            <family val="2"/>
            <charset val="204"/>
          </rPr>
          <t>VERIFY: typical placeholder engine oil. Confirm capacity &amp; grade from OEM manual.</t>
        </r>
      </text>
    </comment>
    <comment ref="AI109" authorId="0" shapeId="0" xr:uid="{41365DC3-F82A-4E30-B35A-0BF19A3673F3}">
      <text>
        <r>
          <rPr>
            <b/>
            <sz val="9"/>
            <color indexed="81"/>
            <rFont val="Tahoma"/>
            <family val="2"/>
            <charset val="204"/>
          </rPr>
          <t>VERIFY: typical placeholder engine oil. Confirm capacity &amp; grade from OEM manual.</t>
        </r>
      </text>
    </comment>
    <comment ref="AI110" authorId="0" shapeId="0" xr:uid="{B72275A2-1C3B-4FFF-BB28-629BF5AF5176}">
      <text>
        <r>
          <rPr>
            <b/>
            <sz val="9"/>
            <color indexed="81"/>
            <rFont val="Tahoma"/>
            <family val="2"/>
            <charset val="204"/>
          </rPr>
          <t>VERIFY: typical placeholder engine oil. Confirm capacity &amp; grade from OEM manual.</t>
        </r>
      </text>
    </comment>
    <comment ref="AI111" authorId="0" shapeId="0" xr:uid="{883B5658-F55C-4C57-A01B-7D04693B18E5}">
      <text>
        <r>
          <rPr>
            <b/>
            <sz val="9"/>
            <color indexed="81"/>
            <rFont val="Tahoma"/>
            <family val="2"/>
            <charset val="204"/>
          </rPr>
          <t>VERIFY: typical placeholder engine oil. Confirm capacity &amp; grade from OEM manual.</t>
        </r>
      </text>
    </comment>
    <comment ref="AI118" authorId="0" shapeId="0" xr:uid="{7EEA4A1B-35AB-438F-9DC2-CC07EEB7C60A}">
      <text>
        <r>
          <rPr>
            <b/>
            <sz val="9"/>
            <color indexed="81"/>
            <rFont val="Tahoma"/>
            <family val="2"/>
            <charset val="204"/>
          </rPr>
          <t>VERIFY: typical placeholder engine oil. Confirm capacity &amp; grade from OEM manual.</t>
        </r>
      </text>
    </comment>
    <comment ref="KS126" authorId="0" shapeId="0" xr:uid="{BD1D18E8-F149-4CB4-97CE-4AC5136A8CE9}">
      <text>
        <r>
          <rPr>
            <b/>
            <sz val="9"/>
            <color indexed="81"/>
            <rFont val="Tahoma"/>
            <family val="2"/>
            <charset val="204"/>
          </rPr>
          <t>Author:</t>
        </r>
        <r>
          <rPr>
            <sz val="9"/>
            <color indexed="81"/>
            <rFont val="Tahoma"/>
            <family val="2"/>
            <charset val="204"/>
          </rPr>
          <t xml:space="preserve">
VERIFY: typical placeholder wire-rope lube qty (L). Confirm from OEM manual.</t>
        </r>
      </text>
    </comment>
    <comment ref="KS127" authorId="0" shapeId="0" xr:uid="{DF2DEBC2-FEBA-471A-AEB0-AFA43DE22A93}">
      <text>
        <r>
          <rPr>
            <b/>
            <sz val="9"/>
            <color indexed="81"/>
            <rFont val="Tahoma"/>
            <family val="2"/>
            <charset val="204"/>
          </rPr>
          <t>Author:</t>
        </r>
        <r>
          <rPr>
            <sz val="9"/>
            <color indexed="81"/>
            <rFont val="Tahoma"/>
            <family val="2"/>
            <charset val="204"/>
          </rPr>
          <t xml:space="preserve">
VERIFY: typical placeholder wire-rope lube qty (L). Confirm from OEM manual.</t>
        </r>
      </text>
    </comment>
    <comment ref="AI132" authorId="0" shapeId="0" xr:uid="{49FF7A51-1918-45D4-90B7-806FEB178C14}">
      <text>
        <r>
          <rPr>
            <b/>
            <sz val="9"/>
            <color indexed="81"/>
            <rFont val="Tahoma"/>
            <family val="2"/>
            <charset val="204"/>
          </rPr>
          <t>VERIFY: typical placeholder engine oil qty (grade already set). Confirm from OEM manual.</t>
        </r>
      </text>
    </comment>
    <comment ref="AI133" authorId="0" shapeId="0" xr:uid="{9339DF80-3534-43EA-AC03-6DB6380BCA55}">
      <text>
        <r>
          <rPr>
            <b/>
            <sz val="9"/>
            <color indexed="81"/>
            <rFont val="Tahoma"/>
            <family val="2"/>
            <charset val="204"/>
          </rPr>
          <t>VERIFY: typical placeholder engine oil qty (grade already set). Confirm from OEM manual.</t>
        </r>
      </text>
    </comment>
    <comment ref="AI134" authorId="0" shapeId="0" xr:uid="{B52D1A43-4F90-44F0-ACBA-62B0D9245C19}">
      <text>
        <r>
          <rPr>
            <b/>
            <sz val="9"/>
            <color indexed="81"/>
            <rFont val="Tahoma"/>
            <family val="2"/>
            <charset val="204"/>
          </rPr>
          <t>VERIFY: typical placeholder engine oil qty (grade already set). Confirm from OEM manual.</t>
        </r>
      </text>
    </comment>
    <comment ref="AI135" authorId="0" shapeId="0" xr:uid="{9CD8F74C-83A5-49E5-9E0E-9E24DFB2F520}">
      <text>
        <r>
          <rPr>
            <b/>
            <sz val="9"/>
            <color indexed="81"/>
            <rFont val="Tahoma"/>
            <family val="2"/>
            <charset val="204"/>
          </rPr>
          <t>VERIFY: typical placeholder engine oil. Confirm capacity &amp; grade from OEM manual.</t>
        </r>
      </text>
    </comment>
    <comment ref="AI139" authorId="0" shapeId="0" xr:uid="{B1C82CD1-2916-474C-8A59-48BECFA32806}">
      <text>
        <r>
          <rPr>
            <b/>
            <sz val="9"/>
            <color indexed="81"/>
            <rFont val="Tahoma"/>
            <family val="2"/>
            <charset val="204"/>
          </rPr>
          <t>VERIFY: typical placeholder engine oil. Confirm capacity &amp; grade from OEM manual.</t>
        </r>
      </text>
    </comment>
    <comment ref="KS139" authorId="0" shapeId="0" xr:uid="{9347E39C-C3F2-4F25-B5D7-73BE02544421}">
      <text>
        <r>
          <rPr>
            <b/>
            <sz val="9"/>
            <color indexed="81"/>
            <rFont val="Tahoma"/>
            <family val="2"/>
            <charset val="204"/>
          </rPr>
          <t>Author:</t>
        </r>
        <r>
          <rPr>
            <sz val="9"/>
            <color indexed="81"/>
            <rFont val="Tahoma"/>
            <family val="2"/>
            <charset val="204"/>
          </rPr>
          <t xml:space="preserve">
VERIFY: typical placeholder wire-rope lube qty (L). Confirm from OEM manual.</t>
        </r>
      </text>
    </comment>
    <comment ref="AI142" authorId="0" shapeId="0" xr:uid="{02F09BEE-F61B-49D2-A9CF-5396F87383F0}">
      <text>
        <r>
          <rPr>
            <b/>
            <sz val="9"/>
            <color indexed="81"/>
            <rFont val="Tahoma"/>
            <family val="2"/>
            <charset val="204"/>
          </rPr>
          <t>VERIFY: typical placeholder engine oil. Confirm capacity &amp; grade from OEM manual.</t>
        </r>
      </text>
    </comment>
    <comment ref="KS142" authorId="0" shapeId="0" xr:uid="{055C61B4-DC9C-43FA-9B48-EA119A5C5B9F}">
      <text>
        <r>
          <rPr>
            <b/>
            <sz val="9"/>
            <color indexed="81"/>
            <rFont val="Tahoma"/>
            <family val="2"/>
            <charset val="204"/>
          </rPr>
          <t>Author:</t>
        </r>
        <r>
          <rPr>
            <sz val="9"/>
            <color indexed="81"/>
            <rFont val="Tahoma"/>
            <family val="2"/>
            <charset val="204"/>
          </rPr>
          <t xml:space="preserve">
VERIFY: typical placeholder wire-rope lube qty (L). Confirm from OEM manual.</t>
        </r>
      </text>
    </comment>
    <comment ref="KV142" authorId="0" shapeId="0" xr:uid="{5EFEFA2E-4220-4FA6-BFEC-DA896A274378}">
      <text>
        <r>
          <rPr>
            <b/>
            <sz val="9"/>
            <color indexed="81"/>
            <rFont val="Tahoma"/>
            <family val="2"/>
            <charset val="204"/>
          </rPr>
          <t>Author:</t>
        </r>
        <r>
          <rPr>
            <sz val="9"/>
            <color indexed="81"/>
            <rFont val="Tahoma"/>
            <family val="2"/>
            <charset val="204"/>
          </rPr>
          <t xml:space="preserve">
VERIFY: typical placeholder open-gear grease qty (kg). Confirm from OEM manual.</t>
        </r>
      </text>
    </comment>
    <comment ref="AI144" authorId="0" shapeId="0" xr:uid="{B8F47011-965C-401F-8A6F-47E3D629CF7A}">
      <text>
        <r>
          <rPr>
            <b/>
            <sz val="9"/>
            <color indexed="81"/>
            <rFont val="Tahoma"/>
            <family val="2"/>
            <charset val="204"/>
          </rPr>
          <t>VERIFY: typical placeholder engine oil. Confirm capacity &amp; grade from OEM manual.</t>
        </r>
      </text>
    </comment>
    <comment ref="KS144" authorId="0" shapeId="0" xr:uid="{467C4DE7-8A7F-4F6A-9098-E25477C335EB}">
      <text>
        <r>
          <rPr>
            <b/>
            <sz val="9"/>
            <color indexed="81"/>
            <rFont val="Tahoma"/>
            <family val="2"/>
            <charset val="204"/>
          </rPr>
          <t>Author:</t>
        </r>
        <r>
          <rPr>
            <sz val="9"/>
            <color indexed="81"/>
            <rFont val="Tahoma"/>
            <family val="2"/>
            <charset val="204"/>
          </rPr>
          <t xml:space="preserve">
VERIFY: typical placeholder wire-rope lube qty (L). Confirm from OEM manual.</t>
        </r>
      </text>
    </comment>
    <comment ref="AI145" authorId="0" shapeId="0" xr:uid="{A4415CFF-3062-470C-89B8-906545F9A7DA}">
      <text>
        <r>
          <rPr>
            <b/>
            <sz val="9"/>
            <color indexed="81"/>
            <rFont val="Tahoma"/>
            <family val="2"/>
            <charset val="204"/>
          </rPr>
          <t>VERIFY: typical placeholder engine oil. Confirm capacity &amp; grade from OEM manual.</t>
        </r>
      </text>
    </comment>
    <comment ref="KS145" authorId="0" shapeId="0" xr:uid="{90924AE6-9E63-4C99-82AB-B7FF0F20D572}">
      <text>
        <r>
          <rPr>
            <b/>
            <sz val="9"/>
            <color indexed="81"/>
            <rFont val="Tahoma"/>
            <family val="2"/>
            <charset val="204"/>
          </rPr>
          <t>Author:</t>
        </r>
        <r>
          <rPr>
            <sz val="9"/>
            <color indexed="81"/>
            <rFont val="Tahoma"/>
            <family val="2"/>
            <charset val="204"/>
          </rPr>
          <t xml:space="preserve">
VERIFY: typical placeholder wire-rope lube qty (L). Confirm from OEM manual.</t>
        </r>
      </text>
    </comment>
    <comment ref="AI146" authorId="0" shapeId="0" xr:uid="{E717554D-AEEA-45A3-8C2A-CDB00A299A46}">
      <text>
        <r>
          <rPr>
            <b/>
            <sz val="9"/>
            <color indexed="81"/>
            <rFont val="Tahoma"/>
            <family val="2"/>
            <charset val="204"/>
          </rPr>
          <t>VERIFY: typical placeholder engine oil. Confirm capacity &amp; grade from OEM manual.</t>
        </r>
      </text>
    </comment>
    <comment ref="KS146" authorId="0" shapeId="0" xr:uid="{C72C68C0-EE54-42A7-89E0-E1AD58C633B3}">
      <text>
        <r>
          <rPr>
            <b/>
            <sz val="9"/>
            <color indexed="81"/>
            <rFont val="Tahoma"/>
            <family val="2"/>
            <charset val="204"/>
          </rPr>
          <t>Author:</t>
        </r>
        <r>
          <rPr>
            <sz val="9"/>
            <color indexed="81"/>
            <rFont val="Tahoma"/>
            <family val="2"/>
            <charset val="204"/>
          </rPr>
          <t xml:space="preserve">
VERIFY: typical placeholder wire-rope lube qty (L). Confirm from OEM manual.</t>
        </r>
      </text>
    </comment>
    <comment ref="AI147" authorId="0" shapeId="0" xr:uid="{3F2FCE89-7599-41FF-8A12-F9D7D8124C06}">
      <text>
        <r>
          <rPr>
            <b/>
            <sz val="9"/>
            <color indexed="81"/>
            <rFont val="Tahoma"/>
            <family val="2"/>
            <charset val="204"/>
          </rPr>
          <t>VERIFY: typical placeholder engine oil. Confirm capacity &amp; grade from OEM manual.</t>
        </r>
      </text>
    </comment>
    <comment ref="AI148" authorId="0" shapeId="0" xr:uid="{3603446A-42D7-4AFF-B2F7-6A78CB6A8B50}">
      <text>
        <r>
          <rPr>
            <b/>
            <sz val="9"/>
            <color indexed="81"/>
            <rFont val="Tahoma"/>
            <family val="2"/>
            <charset val="204"/>
          </rPr>
          <t>VERIFY: typical placeholder engine oil. Confirm capacity &amp; grade from OEM manual.</t>
        </r>
      </text>
    </comment>
    <comment ref="AI149" authorId="0" shapeId="0" xr:uid="{DACEE9A3-DAB8-42E9-88DA-B4389099BD0F}">
      <text>
        <r>
          <rPr>
            <b/>
            <sz val="9"/>
            <color indexed="81"/>
            <rFont val="Tahoma"/>
            <family val="2"/>
            <charset val="204"/>
          </rPr>
          <t>VERIFY: typical placeholder engine oil. Confirm capacity &amp; grade from OEM manual.</t>
        </r>
      </text>
    </comment>
    <comment ref="AI150" authorId="0" shapeId="0" xr:uid="{BA8EB276-C47D-4F43-B329-2F61AC0616DD}">
      <text>
        <r>
          <rPr>
            <b/>
            <sz val="9"/>
            <color indexed="81"/>
            <rFont val="Tahoma"/>
            <family val="2"/>
            <charset val="204"/>
          </rPr>
          <t>VERIFY: typical placeholder engine oil. Confirm capacity &amp; grade from OEM manual.</t>
        </r>
      </text>
    </comment>
    <comment ref="KS150" authorId="0" shapeId="0" xr:uid="{EB485FF1-1354-4005-90E1-F08F96A240EC}">
      <text>
        <r>
          <rPr>
            <b/>
            <sz val="9"/>
            <color indexed="81"/>
            <rFont val="Tahoma"/>
            <family val="2"/>
            <charset val="204"/>
          </rPr>
          <t>Author:</t>
        </r>
        <r>
          <rPr>
            <sz val="9"/>
            <color indexed="81"/>
            <rFont val="Tahoma"/>
            <family val="2"/>
            <charset val="204"/>
          </rPr>
          <t xml:space="preserve">
VERIFY: typical placeholder wire-rope lube qty (L). Confirm from OEM manual.</t>
        </r>
      </text>
    </comment>
    <comment ref="AI152" authorId="0" shapeId="0" xr:uid="{D2C1360D-CC64-4DDB-84CE-D31FE09C0D49}">
      <text>
        <r>
          <rPr>
            <b/>
            <sz val="9"/>
            <color indexed="81"/>
            <rFont val="Tahoma"/>
            <family val="2"/>
            <charset val="204"/>
          </rPr>
          <t>VERIFY: typical placeholder engine oil. Confirm capacity &amp; grade from OEM manual.</t>
        </r>
      </text>
    </comment>
    <comment ref="AI153" authorId="0" shapeId="0" xr:uid="{BEA494CD-AC6B-4D62-9897-F9F48BC816A8}">
      <text>
        <r>
          <rPr>
            <b/>
            <sz val="9"/>
            <color indexed="81"/>
            <rFont val="Tahoma"/>
            <family val="2"/>
            <charset val="204"/>
          </rPr>
          <t>VERIFY: typical placeholder engine oil. Confirm capacity &amp; grade from OEM manual.</t>
        </r>
      </text>
    </comment>
    <comment ref="AI154" authorId="0" shapeId="0" xr:uid="{EB015EFC-5804-42F9-B4AB-A5BE0A6D1F03}">
      <text>
        <r>
          <rPr>
            <b/>
            <sz val="9"/>
            <color indexed="81"/>
            <rFont val="Tahoma"/>
            <family val="2"/>
            <charset val="204"/>
          </rPr>
          <t>VERIFY: typical placeholder engine oil. Confirm capacity &amp; grade from OEM manual.</t>
        </r>
      </text>
    </comment>
    <comment ref="AI155" authorId="0" shapeId="0" xr:uid="{7CE9B22B-3912-481B-9B18-311F11745789}">
      <text>
        <r>
          <rPr>
            <b/>
            <sz val="9"/>
            <color indexed="81"/>
            <rFont val="Tahoma"/>
            <family val="2"/>
            <charset val="204"/>
          </rPr>
          <t>VERIFY: typical placeholder engine oil. Confirm capacity &amp; grade from OEM manual.</t>
        </r>
      </text>
    </comment>
    <comment ref="AI156" authorId="0" shapeId="0" xr:uid="{82AABB0A-53F4-472F-A83A-477102FA1E7E}">
      <text>
        <r>
          <rPr>
            <b/>
            <sz val="9"/>
            <color indexed="81"/>
            <rFont val="Tahoma"/>
            <family val="2"/>
            <charset val="204"/>
          </rPr>
          <t>VERIFY: typical placeholder engine oil. Confirm capacity &amp; grade from OEM manual.</t>
        </r>
      </text>
    </comment>
    <comment ref="KS156" authorId="0" shapeId="0" xr:uid="{1FEB16E6-9573-4F74-9EE4-0DD5B8B5C6BB}">
      <text>
        <r>
          <rPr>
            <b/>
            <sz val="9"/>
            <color indexed="81"/>
            <rFont val="Tahoma"/>
            <family val="2"/>
            <charset val="204"/>
          </rPr>
          <t>Author:</t>
        </r>
        <r>
          <rPr>
            <sz val="9"/>
            <color indexed="81"/>
            <rFont val="Tahoma"/>
            <family val="2"/>
            <charset val="204"/>
          </rPr>
          <t xml:space="preserve">
VERIFY: typical placeholder wire-rope lube qty (L). Confirm from OEM manual.</t>
        </r>
      </text>
    </comment>
    <comment ref="AI157" authorId="0" shapeId="0" xr:uid="{9EBC3995-395A-495D-95C3-3F6BEE927BB9}">
      <text>
        <r>
          <rPr>
            <b/>
            <sz val="9"/>
            <color indexed="81"/>
            <rFont val="Tahoma"/>
            <family val="2"/>
            <charset val="204"/>
          </rPr>
          <t>VERIFY: typical placeholder engine oil. Confirm capacity &amp; grade from OEM manual.</t>
        </r>
      </text>
    </comment>
    <comment ref="AI158" authorId="0" shapeId="0" xr:uid="{F29395B4-7471-477F-B90F-5BEDA5797D1E}">
      <text>
        <r>
          <rPr>
            <b/>
            <sz val="9"/>
            <color indexed="81"/>
            <rFont val="Tahoma"/>
            <family val="2"/>
            <charset val="204"/>
          </rPr>
          <t>VERIFY: typical placeholder engine oil. Confirm capacity &amp; grade from OEM manual.</t>
        </r>
      </text>
    </comment>
    <comment ref="AI159" authorId="0" shapeId="0" xr:uid="{2F6D26CD-F1F6-4813-9123-CAEB50365E57}">
      <text>
        <r>
          <rPr>
            <b/>
            <sz val="9"/>
            <color indexed="81"/>
            <rFont val="Tahoma"/>
            <family val="2"/>
            <charset val="204"/>
          </rPr>
          <t>VERIFY: typical placeholder engine oil. Confirm capacity &amp; grade from OEM manual.</t>
        </r>
      </text>
    </comment>
    <comment ref="AI160" authorId="0" shapeId="0" xr:uid="{AC42830F-9D24-4905-83EB-3ECE66027ED3}">
      <text>
        <r>
          <rPr>
            <b/>
            <sz val="9"/>
            <color indexed="81"/>
            <rFont val="Tahoma"/>
            <family val="2"/>
            <charset val="204"/>
          </rPr>
          <t>VERIFY: typical placeholder engine oil. Confirm capacity &amp; grade from OEM manual.</t>
        </r>
      </text>
    </comment>
    <comment ref="AI161" authorId="0" shapeId="0" xr:uid="{BE567C78-2180-4ECD-9A39-73EF3143A791}">
      <text>
        <r>
          <rPr>
            <b/>
            <sz val="9"/>
            <color indexed="81"/>
            <rFont val="Tahoma"/>
            <family val="2"/>
            <charset val="204"/>
          </rPr>
          <t>VERIFY: typical placeholder engine oil. Confirm capacity &amp; grade from OEM manual.</t>
        </r>
      </text>
    </comment>
    <comment ref="AI162" authorId="0" shapeId="0" xr:uid="{4FBE61F4-1180-4465-B6DC-D25884698936}">
      <text>
        <r>
          <rPr>
            <b/>
            <sz val="9"/>
            <color indexed="81"/>
            <rFont val="Tahoma"/>
            <family val="2"/>
            <charset val="204"/>
          </rPr>
          <t>VERIFY: typical placeholder engine oil. Confirm capacity &amp; grade from OEM manual.</t>
        </r>
      </text>
    </comment>
    <comment ref="AI163" authorId="0" shapeId="0" xr:uid="{BF76BCE4-3AB5-47C4-BE01-95E3F2320935}">
      <text>
        <r>
          <rPr>
            <b/>
            <sz val="9"/>
            <color indexed="81"/>
            <rFont val="Tahoma"/>
            <family val="2"/>
            <charset val="204"/>
          </rPr>
          <t>VERIFY: typical placeholder engine oil. Confirm capacity &amp; grade from OEM manual.</t>
        </r>
      </text>
    </comment>
    <comment ref="AI164" authorId="0" shapeId="0" xr:uid="{B4BFDCEB-7763-44A0-8AE8-24628666740A}">
      <text>
        <r>
          <rPr>
            <b/>
            <sz val="9"/>
            <color indexed="81"/>
            <rFont val="Tahoma"/>
            <family val="2"/>
            <charset val="204"/>
          </rPr>
          <t>VERIFY: typical placeholder engine oil. Confirm capacity &amp; grade from OEM manual.</t>
        </r>
      </text>
    </comment>
    <comment ref="AI165" authorId="0" shapeId="0" xr:uid="{A1E31DF1-8370-496F-8E2A-E8903C155560}">
      <text>
        <r>
          <rPr>
            <b/>
            <sz val="9"/>
            <color indexed="81"/>
            <rFont val="Tahoma"/>
            <family val="2"/>
            <charset val="204"/>
          </rPr>
          <t>VERIFY: typical placeholder engine oil. Confirm capacity &amp; grade from OEM manual.</t>
        </r>
      </text>
    </comment>
    <comment ref="AI166" authorId="0" shapeId="0" xr:uid="{ED6F89D7-512C-4712-8F5C-D827C3E056AF}">
      <text>
        <r>
          <rPr>
            <b/>
            <sz val="9"/>
            <color indexed="81"/>
            <rFont val="Tahoma"/>
            <family val="2"/>
            <charset val="204"/>
          </rPr>
          <t>VERIFY: typical placeholder engine oil. Confirm capacity &amp; grade from OEM manual.</t>
        </r>
      </text>
    </comment>
    <comment ref="AI167" authorId="0" shapeId="0" xr:uid="{414BF552-4127-4F44-A0B5-008C0C901B09}">
      <text>
        <r>
          <rPr>
            <b/>
            <sz val="9"/>
            <color indexed="81"/>
            <rFont val="Tahoma"/>
            <family val="2"/>
            <charset val="204"/>
          </rPr>
          <t>VERIFY: typical placeholder engine oil. Confirm capacity &amp; grade from OEM manual.</t>
        </r>
      </text>
    </comment>
    <comment ref="KS167" authorId="0" shapeId="0" xr:uid="{640274FA-0339-4939-8D07-8A31C70DBA34}">
      <text>
        <r>
          <rPr>
            <b/>
            <sz val="9"/>
            <color indexed="81"/>
            <rFont val="Tahoma"/>
            <family val="2"/>
            <charset val="204"/>
          </rPr>
          <t>Author:</t>
        </r>
        <r>
          <rPr>
            <sz val="9"/>
            <color indexed="81"/>
            <rFont val="Tahoma"/>
            <family val="2"/>
            <charset val="204"/>
          </rPr>
          <t xml:space="preserve">
VERIFY: typical placeholder wire-rope lube qty (L). Confirm from OEM manual.</t>
        </r>
      </text>
    </comment>
    <comment ref="KV167" authorId="0" shapeId="0" xr:uid="{50D96966-962E-44C2-9C4A-06FE00A68037}">
      <text>
        <r>
          <rPr>
            <b/>
            <sz val="9"/>
            <color indexed="81"/>
            <rFont val="Tahoma"/>
            <family val="2"/>
            <charset val="204"/>
          </rPr>
          <t>Author:</t>
        </r>
        <r>
          <rPr>
            <sz val="9"/>
            <color indexed="81"/>
            <rFont val="Tahoma"/>
            <family val="2"/>
            <charset val="204"/>
          </rPr>
          <t xml:space="preserve">
VERIFY: typical placeholder open-gear grease qty (kg). Confirm from OEM manual.</t>
        </r>
      </text>
    </comment>
    <comment ref="AI168" authorId="0" shapeId="0" xr:uid="{120DC0E9-3743-4A43-AFB8-2E53CC8F1241}">
      <text>
        <r>
          <rPr>
            <b/>
            <sz val="9"/>
            <color indexed="81"/>
            <rFont val="Tahoma"/>
            <family val="2"/>
            <charset val="204"/>
          </rPr>
          <t>VERIFY: typical placeholder engine oil. Confirm capacity &amp; grade from OEM manual.</t>
        </r>
      </text>
    </comment>
    <comment ref="KS168" authorId="0" shapeId="0" xr:uid="{9C71B362-40E0-4649-9A9B-16D736C66804}">
      <text>
        <r>
          <rPr>
            <b/>
            <sz val="9"/>
            <color indexed="81"/>
            <rFont val="Tahoma"/>
            <family val="2"/>
            <charset val="204"/>
          </rPr>
          <t>Author:</t>
        </r>
        <r>
          <rPr>
            <sz val="9"/>
            <color indexed="81"/>
            <rFont val="Tahoma"/>
            <family val="2"/>
            <charset val="204"/>
          </rPr>
          <t xml:space="preserve">
VERIFY: typical placeholder wire-rope lube qty (L). Confirm from OEM manual.</t>
        </r>
      </text>
    </comment>
    <comment ref="KV168" authorId="0" shapeId="0" xr:uid="{F0C50335-1653-480C-A467-D59086AC4614}">
      <text>
        <r>
          <rPr>
            <b/>
            <sz val="9"/>
            <color indexed="81"/>
            <rFont val="Tahoma"/>
            <family val="2"/>
            <charset val="204"/>
          </rPr>
          <t>Author:</t>
        </r>
        <r>
          <rPr>
            <sz val="9"/>
            <color indexed="81"/>
            <rFont val="Tahoma"/>
            <family val="2"/>
            <charset val="204"/>
          </rPr>
          <t xml:space="preserve">
VERIFY: typical placeholder open-gear grease qty (kg). Confirm from OEM manual.</t>
        </r>
      </text>
    </comment>
    <comment ref="AI169" authorId="0" shapeId="0" xr:uid="{19062411-C486-43F4-82D8-586719E0C1CE}">
      <text>
        <r>
          <rPr>
            <b/>
            <sz val="9"/>
            <color indexed="81"/>
            <rFont val="Tahoma"/>
            <family val="2"/>
            <charset val="204"/>
          </rPr>
          <t>VERIFY: typical placeholder engine oil. Confirm capacity &amp; grade from OEM manual.</t>
        </r>
      </text>
    </comment>
    <comment ref="AI170" authorId="0" shapeId="0" xr:uid="{870FAA06-EFB3-4D01-B3F9-803F130799C3}">
      <text>
        <r>
          <rPr>
            <b/>
            <sz val="9"/>
            <color indexed="81"/>
            <rFont val="Tahoma"/>
            <family val="2"/>
            <charset val="204"/>
          </rPr>
          <t>VERIFY: typical placeholder engine oil. Confirm capacity &amp; grade from OEM manual.</t>
        </r>
      </text>
    </comment>
    <comment ref="AI171" authorId="0" shapeId="0" xr:uid="{AD0B4086-6FCF-4F8D-B570-D9AF2635004C}">
      <text>
        <r>
          <rPr>
            <b/>
            <sz val="9"/>
            <color indexed="81"/>
            <rFont val="Tahoma"/>
            <family val="2"/>
            <charset val="204"/>
          </rPr>
          <t>VERIFY: typical placeholder engine oil. Confirm capacity &amp; grade from OEM manual.</t>
        </r>
      </text>
    </comment>
    <comment ref="AI172" authorId="0" shapeId="0" xr:uid="{D2A6CD5A-1A0F-4CF4-A20D-642411ED5BA0}">
      <text>
        <r>
          <rPr>
            <b/>
            <sz val="9"/>
            <color indexed="81"/>
            <rFont val="Tahoma"/>
            <family val="2"/>
            <charset val="204"/>
          </rPr>
          <t>VERIFY: typical placeholder engine oil. Confirm capacity &amp; grade from OEM manual.</t>
        </r>
      </text>
    </comment>
    <comment ref="AI173" authorId="0" shapeId="0" xr:uid="{51193F05-3129-4183-9160-65394A93CC78}">
      <text>
        <r>
          <rPr>
            <b/>
            <sz val="9"/>
            <color indexed="81"/>
            <rFont val="Tahoma"/>
            <family val="2"/>
            <charset val="204"/>
          </rPr>
          <t>VERIFY: typical placeholder engine oil. Confirm capacity &amp; grade from OEM manual.</t>
        </r>
      </text>
    </comment>
    <comment ref="AI174" authorId="0" shapeId="0" xr:uid="{B1E9BD19-4D87-4452-95F6-00903DD5B257}">
      <text>
        <r>
          <rPr>
            <b/>
            <sz val="9"/>
            <color indexed="81"/>
            <rFont val="Tahoma"/>
            <family val="2"/>
            <charset val="204"/>
          </rPr>
          <t>VERIFY: typical placeholder engine oil. Confirm capacity &amp; grade from OEM manual.</t>
        </r>
      </text>
    </comment>
    <comment ref="AI175" authorId="0" shapeId="0" xr:uid="{29E3E30E-959C-481F-ADA6-44321C7836CD}">
      <text>
        <r>
          <rPr>
            <b/>
            <sz val="9"/>
            <color indexed="81"/>
            <rFont val="Tahoma"/>
            <family val="2"/>
            <charset val="204"/>
          </rPr>
          <t>VERIFY: typical placeholder engine oil. Confirm capacity &amp; grade from OEM manual.</t>
        </r>
      </text>
    </comment>
    <comment ref="AI176" authorId="0" shapeId="0" xr:uid="{C66B56FD-DF01-4F05-B7C8-1B95B02F8B38}">
      <text>
        <r>
          <rPr>
            <b/>
            <sz val="9"/>
            <color indexed="81"/>
            <rFont val="Tahoma"/>
            <family val="2"/>
            <charset val="204"/>
          </rPr>
          <t>VERIFY: typical placeholder engine oil. Confirm capacity &amp; grade from OEM manual.</t>
        </r>
      </text>
    </comment>
    <comment ref="AI177" authorId="0" shapeId="0" xr:uid="{0AB5EB09-274B-4BAB-A711-9770D6399D16}">
      <text>
        <r>
          <rPr>
            <b/>
            <sz val="9"/>
            <color indexed="81"/>
            <rFont val="Tahoma"/>
            <family val="2"/>
            <charset val="204"/>
          </rPr>
          <t>VERIFY: typical placeholder engine oil. Confirm capacity &amp; grade from OEM manual.</t>
        </r>
      </text>
    </comment>
    <comment ref="AI178" authorId="0" shapeId="0" xr:uid="{20586973-F5BF-4FEA-BD42-0275EED5FA30}">
      <text>
        <r>
          <rPr>
            <b/>
            <sz val="9"/>
            <color indexed="81"/>
            <rFont val="Tahoma"/>
            <family val="2"/>
            <charset val="204"/>
          </rPr>
          <t>VERIFY: typical placeholder engine oil. Confirm capacity &amp; grade from OEM manual.</t>
        </r>
      </text>
    </comment>
    <comment ref="AI180" authorId="0" shapeId="0" xr:uid="{10F104A3-D65D-4DB4-A4E9-10C80C42FBD9}">
      <text>
        <r>
          <rPr>
            <b/>
            <sz val="9"/>
            <color indexed="81"/>
            <rFont val="Tahoma"/>
            <family val="2"/>
            <charset val="204"/>
          </rPr>
          <t>VERIFY: typical placeholder engine oil. Confirm capacity &amp; grade from OEM manual.</t>
        </r>
      </text>
    </comment>
    <comment ref="AI181" authorId="0" shapeId="0" xr:uid="{519889E9-701E-42A2-9836-DB3E41D5AC4E}">
      <text>
        <r>
          <rPr>
            <b/>
            <sz val="9"/>
            <color indexed="81"/>
            <rFont val="Tahoma"/>
            <family val="2"/>
            <charset val="204"/>
          </rPr>
          <t>VERIFY: typical placeholder engine oil. Confirm capacity &amp; grade from OEM manual.</t>
        </r>
      </text>
    </comment>
    <comment ref="AI182" authorId="0" shapeId="0" xr:uid="{D83A2D61-799F-4B2B-B82E-46FEA89CF2D3}">
      <text>
        <r>
          <rPr>
            <b/>
            <sz val="9"/>
            <color indexed="81"/>
            <rFont val="Tahoma"/>
            <family val="2"/>
            <charset val="204"/>
          </rPr>
          <t>VERIFY: typical placeholder engine oil. Confirm capacity &amp; grade from OEM manual.</t>
        </r>
      </text>
    </comment>
    <comment ref="AI183" authorId="0" shapeId="0" xr:uid="{26DA6856-7642-471A-82B8-CA0EAF03769D}">
      <text>
        <r>
          <rPr>
            <b/>
            <sz val="9"/>
            <color indexed="81"/>
            <rFont val="Tahoma"/>
            <family val="2"/>
            <charset val="204"/>
          </rPr>
          <t>VERIFY: typical placeholder engine oil. Confirm capacity &amp; grade from OEM manual.</t>
        </r>
      </text>
    </comment>
    <comment ref="KS183" authorId="0" shapeId="0" xr:uid="{541B73CA-31A0-4AF7-8C16-F9180DB900F3}">
      <text>
        <r>
          <rPr>
            <b/>
            <sz val="9"/>
            <color indexed="81"/>
            <rFont val="Tahoma"/>
            <family val="2"/>
            <charset val="204"/>
          </rPr>
          <t>Author:</t>
        </r>
        <r>
          <rPr>
            <sz val="9"/>
            <color indexed="81"/>
            <rFont val="Tahoma"/>
            <family val="2"/>
            <charset val="204"/>
          </rPr>
          <t xml:space="preserve">
VERIFY: typical placeholder wire-rope lube qty (L). Confirm from OEM manual.</t>
        </r>
      </text>
    </comment>
    <comment ref="KS186" authorId="0" shapeId="0" xr:uid="{329668AB-F9CE-41EC-8A8E-6D214FEC7EB1}">
      <text>
        <r>
          <rPr>
            <b/>
            <sz val="9"/>
            <color indexed="81"/>
            <rFont val="Tahoma"/>
            <family val="2"/>
            <charset val="204"/>
          </rPr>
          <t>Author:</t>
        </r>
        <r>
          <rPr>
            <sz val="9"/>
            <color indexed="81"/>
            <rFont val="Tahoma"/>
            <family val="2"/>
            <charset val="204"/>
          </rPr>
          <t xml:space="preserve">
VERIFY: typical placeholder wire-rope lube qty (L). Confirm from OEM manual.</t>
        </r>
      </text>
    </comment>
    <comment ref="AI187" authorId="0" shapeId="0" xr:uid="{04C67606-F917-4300-A2E2-16AAD025BA74}">
      <text>
        <r>
          <rPr>
            <b/>
            <sz val="9"/>
            <color indexed="81"/>
            <rFont val="Tahoma"/>
            <family val="2"/>
            <charset val="204"/>
          </rPr>
          <t>VERIFY: typical placeholder engine oil. Confirm capacity &amp; grade from OEM manual.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<sst xmlns="http://schemas.openxmlformats.org/spreadsheetml/2006/main" count="5506" uniqueCount="1225">
  <si>
    <t>Hydraulic Гидравлич.система</t>
  </si>
  <si>
    <t>Steering Рулевая система</t>
  </si>
  <si>
    <t>Right TandemПравый тандем</t>
  </si>
  <si>
    <t>Compressor Компрессор</t>
  </si>
  <si>
    <t>3A</t>
  </si>
  <si>
    <t>4A</t>
  </si>
  <si>
    <t>4B</t>
  </si>
  <si>
    <t>4C</t>
  </si>
  <si>
    <t>4E</t>
  </si>
  <si>
    <t>4F</t>
  </si>
  <si>
    <t>4K</t>
  </si>
  <si>
    <t>4L</t>
  </si>
  <si>
    <t>5A</t>
  </si>
  <si>
    <t>5B</t>
  </si>
  <si>
    <t>6A</t>
  </si>
  <si>
    <t>6C</t>
  </si>
  <si>
    <t>15W40</t>
  </si>
  <si>
    <t>80W90</t>
  </si>
  <si>
    <t>85W140</t>
  </si>
  <si>
    <t>Grease</t>
  </si>
  <si>
    <t>HYD 10W</t>
  </si>
  <si>
    <t xml:space="preserve">Engine Двигатель </t>
  </si>
  <si>
    <t>AntiFreeze Антифриз</t>
  </si>
  <si>
    <t>AF</t>
  </si>
  <si>
    <t>Type Oil</t>
  </si>
  <si>
    <t xml:space="preserve">Remarks </t>
  </si>
  <si>
    <t>Тип масла</t>
  </si>
  <si>
    <t>Замечания</t>
  </si>
  <si>
    <t xml:space="preserve">Transmission КПП  </t>
  </si>
  <si>
    <t>Differential  Мост</t>
  </si>
  <si>
    <t xml:space="preserve">Oil Sample and Change Oil Information Sheet         Информация по  отбору проб и замене масла </t>
  </si>
  <si>
    <t>PMS/TO</t>
  </si>
  <si>
    <t>Inspection/Инспекция</t>
  </si>
  <si>
    <t>Breakdown/Ремонт</t>
  </si>
  <si>
    <t>Major Overhaul Repair/Капитальный ремонт</t>
  </si>
  <si>
    <t>Используйте знак           если заменено масло, или если масло отфильтровано внешней системой фильтрации</t>
  </si>
  <si>
    <t>Используйте знак           если не менялось масло, или масло не отфильтровано внешней системой фильтрации</t>
  </si>
  <si>
    <t>Sample Point Место отбора проб</t>
  </si>
  <si>
    <t>Component Hours</t>
  </si>
  <si>
    <t>Sample Taken / or X</t>
  </si>
  <si>
    <t>Top Up (Liters)</t>
  </si>
  <si>
    <t>Change Oil / or X</t>
  </si>
  <si>
    <t>Oil Hours</t>
  </si>
  <si>
    <t xml:space="preserve">Kidney looped </t>
  </si>
  <si>
    <t>Часы работа компонента</t>
  </si>
  <si>
    <t>Взятие пробы / или X</t>
  </si>
  <si>
    <t>Доливка(Литры)</t>
  </si>
  <si>
    <t>замена масла / или X</t>
  </si>
  <si>
    <t>Время работы масла</t>
  </si>
  <si>
    <t>системa фильтрации</t>
  </si>
  <si>
    <t>HD 30</t>
  </si>
  <si>
    <t/>
  </si>
  <si>
    <t xml:space="preserve">Remarks Замечания:  </t>
  </si>
  <si>
    <t xml:space="preserve"> ______________________ID No.____________________________</t>
  </si>
  <si>
    <t>Left TandemЛевый тандем</t>
  </si>
  <si>
    <t>Swing Front передний редуктор</t>
  </si>
  <si>
    <t>Swing Rear задний редуктор</t>
  </si>
  <si>
    <t>KOMATSU D275</t>
  </si>
  <si>
    <t>KOMATSU GD825-2</t>
  </si>
  <si>
    <t>Код компонента</t>
  </si>
  <si>
    <t>Перед отбором пробы масла обязательно протрите/очистите отверстие для отбора проб и промойте не менее 150–200 мл масла. Before taking the Oil Sample ensure to wipe/clean the sampling port and flush at least 150 to 200 ml of oil</t>
  </si>
  <si>
    <t>Breather</t>
  </si>
  <si>
    <t>Oil Level</t>
  </si>
  <si>
    <t>Oil Leak</t>
  </si>
  <si>
    <t xml:space="preserve">Oil Sample and Inspection Sheet        Информация по  отбору проб и замене масла </t>
  </si>
  <si>
    <t>ATF</t>
  </si>
  <si>
    <t>Component Hours since overhaul</t>
  </si>
  <si>
    <t>Часы работы компонента с последнего капремонта</t>
  </si>
  <si>
    <t>FRM-OIL-001</t>
  </si>
  <si>
    <t>Левый задний бортовой редуктор</t>
  </si>
  <si>
    <t xml:space="preserve">Правый задний бортовой редуктор </t>
  </si>
  <si>
    <t xml:space="preserve">Sampled By: ________________________ MyCAT: _________________________  Oil Laboratory: __________________________ Checked: _________________________ Print/Send: ____________________ </t>
  </si>
  <si>
    <t>RG-FRM-002</t>
  </si>
  <si>
    <t>GDK Baimskaya</t>
  </si>
  <si>
    <t xml:space="preserve">Sampled By: _______________________________ Oil Laboratory: __________________________ Checked: _________________________ Print/Send: ____________________ </t>
  </si>
  <si>
    <t>4AL</t>
  </si>
  <si>
    <t>4AR</t>
  </si>
  <si>
    <t>4BL</t>
  </si>
  <si>
    <t>4BR</t>
  </si>
  <si>
    <t>4CL</t>
  </si>
  <si>
    <t>4CR</t>
  </si>
  <si>
    <t>0W40</t>
  </si>
  <si>
    <t>5W30</t>
  </si>
  <si>
    <t>10W30</t>
  </si>
  <si>
    <t>Front-Left FD Левый передний бортовой редуктор</t>
  </si>
  <si>
    <t xml:space="preserve">Front-Right FD  Правый передний бортовой редуктор </t>
  </si>
  <si>
    <t>Rear-Left FD Левый задний бортовой редуктор</t>
  </si>
  <si>
    <t xml:space="preserve">Rear-Right FD Правый задний бортовой редуктор </t>
  </si>
  <si>
    <t xml:space="preserve">AF 40/60 </t>
  </si>
  <si>
    <t>KOMATSU HM400-3MO (TRUCK, ARTICULATED DUMP KOMATSU HM400-3M0, PAYLOAD 40 MT, TKXXX)</t>
  </si>
  <si>
    <t>Front Differential Передний дифференциал</t>
  </si>
  <si>
    <t>Rear Differential  Задний дифференциал</t>
  </si>
  <si>
    <t>Center Differential Центральный дифференциал</t>
  </si>
  <si>
    <t>Center-Left FD Центральный левый бортовой редуктор</t>
  </si>
  <si>
    <t>Center-Right FD Центральный правый бортовой редуктор</t>
  </si>
  <si>
    <t>NHL TR60 (TRUCK, DUMP NHL TR60, PAYLOAD 55 MT, TKXXX)</t>
  </si>
  <si>
    <t xml:space="preserve">Kidney looped/Liters </t>
  </si>
  <si>
    <t>KOMATSU PC800-8EO (EXCAVATOR, KOMATSU PC800-8E0 (SE), BUCKET CAPACITY 4.5M3)</t>
  </si>
  <si>
    <t>KOMATSU PC2000-8 (EXCAVATOR, KOMATSU PC2000-8 BH, BUCKET CAPACITY 8M3)</t>
  </si>
  <si>
    <t>PTO</t>
  </si>
  <si>
    <t xml:space="preserve">Pump Drive Gear Box A Приводной насос редуктора   </t>
  </si>
  <si>
    <t>HITACHI EX 1200 (EXCAVATOR, HITACHI EX1200-6/7BH, BUCKET CAPACITY 6.7/7M3)</t>
  </si>
  <si>
    <t>CAT D9R (DOZER, TRACK, CAT D9R)</t>
  </si>
  <si>
    <t xml:space="preserve">модель техники
Machine  Model </t>
  </si>
  <si>
    <t>EXSOIL HD TRUCK ARCTIC 0W-40</t>
  </si>
  <si>
    <t>EXSOIL UNIGREASE LiCaX MULTI SEASON OG</t>
  </si>
  <si>
    <t>EXSOIL ANTIFREEZE G12+ 40/60</t>
  </si>
  <si>
    <t xml:space="preserve">Engine/ORS Двигатель </t>
  </si>
  <si>
    <t xml:space="preserve">Transmission Трансмиссия  </t>
  </si>
  <si>
    <t>Differential  Дифференциал</t>
  </si>
  <si>
    <t>Front Differential Передний</t>
  </si>
  <si>
    <t>Rear Differential  Задний</t>
  </si>
  <si>
    <t>Center differential</t>
  </si>
  <si>
    <t>Front-Left Hub Левая передняя ступица</t>
  </si>
  <si>
    <t>Front-Right Hub Правая передняя ступица</t>
  </si>
  <si>
    <t>Center-Left FD</t>
  </si>
  <si>
    <t>Center-Right FD</t>
  </si>
  <si>
    <t>Front Swing reduction box Передний редуктор поворотного круга</t>
  </si>
  <si>
    <t>Rear Swing reduction box Задний редуктор поворотного круга</t>
  </si>
  <si>
    <t xml:space="preserve">Splitter Box\PTO Редуктора насосов </t>
  </si>
  <si>
    <t xml:space="preserve">Pump Drive Gear Box B Приводной насос редуктора  </t>
  </si>
  <si>
    <t>Swing Rear- Left Левый задний редуктор</t>
  </si>
  <si>
    <t xml:space="preserve">Swing Rear-Right  Правый задний редуктор </t>
  </si>
  <si>
    <t xml:space="preserve">Boom Смазка венцовой шестерни </t>
  </si>
  <si>
    <t>Automatic Lubricant Емкость системы автоматической смазки</t>
  </si>
  <si>
    <t>Sample Point</t>
  </si>
  <si>
    <t>Total Samples</t>
  </si>
  <si>
    <t>Hours</t>
  </si>
  <si>
    <t>75W140</t>
  </si>
  <si>
    <t>Coolant</t>
  </si>
  <si>
    <t>4I</t>
  </si>
  <si>
    <t>4J</t>
  </si>
  <si>
    <t>6B</t>
  </si>
  <si>
    <t>6D</t>
  </si>
  <si>
    <t>Excavator</t>
  </si>
  <si>
    <t>Dozer</t>
  </si>
  <si>
    <t>CAT D9R</t>
  </si>
  <si>
    <t>NHL TR60</t>
  </si>
  <si>
    <t>NHL NTE360</t>
  </si>
  <si>
    <t>NHL NTE150</t>
  </si>
  <si>
    <t>Hitachi EX 1200-6BH</t>
  </si>
  <si>
    <t>Hitachi EX 1200-7BH</t>
  </si>
  <si>
    <t>Komatsu D275A-5</t>
  </si>
  <si>
    <t>ADT</t>
  </si>
  <si>
    <t>Komatsu HM400-3MO</t>
  </si>
  <si>
    <t>Komatsu PC800-8EO</t>
  </si>
  <si>
    <t>KOMATSU PC2000-8</t>
  </si>
  <si>
    <t>Fleet</t>
  </si>
  <si>
    <t>rickie bon Marrero updated October 22, 2023</t>
  </si>
  <si>
    <t>Rate of Change Oil (Liters/Hour)</t>
  </si>
  <si>
    <t>HD30</t>
  </si>
  <si>
    <t>Hitachi 46</t>
  </si>
  <si>
    <t>Compressor</t>
  </si>
  <si>
    <t>XHP100</t>
  </si>
  <si>
    <t>10W40</t>
  </si>
  <si>
    <t>EP2</t>
  </si>
  <si>
    <t>XHP222</t>
  </si>
  <si>
    <t>Hyd 46</t>
  </si>
  <si>
    <t>EP1</t>
  </si>
  <si>
    <t>EM</t>
  </si>
  <si>
    <t>Samples  every 500PM for 1 year</t>
  </si>
  <si>
    <t>TOTAL</t>
  </si>
  <si>
    <t>Hitachi ZX 470</t>
  </si>
  <si>
    <t>Hitachi ZX 330-5G</t>
  </si>
  <si>
    <t>Luigong 990FHD</t>
  </si>
  <si>
    <t>Luigong CLG970E</t>
  </si>
  <si>
    <t>Komatsu GD825A-2</t>
  </si>
  <si>
    <t>Luigong CLG4260D</t>
  </si>
  <si>
    <t>Cat 160K</t>
  </si>
  <si>
    <t>Shantui SG16-3</t>
  </si>
  <si>
    <t>Shantui SG18-4</t>
  </si>
  <si>
    <t>Komatsu D155A-5</t>
  </si>
  <si>
    <t>Komatsu D375A-6</t>
  </si>
  <si>
    <t>Shantui SD90-C5</t>
  </si>
  <si>
    <t>Shantui SD60-C5</t>
  </si>
  <si>
    <t>Shantui SD34-B3</t>
  </si>
  <si>
    <t>Shantui SD32</t>
  </si>
  <si>
    <t>Sunward SWDE165A</t>
  </si>
  <si>
    <t>Sunward SWDR T250</t>
  </si>
  <si>
    <t>Hyundai HL770-9S</t>
  </si>
  <si>
    <t>Shantui SR20MPA</t>
  </si>
  <si>
    <t>McCloskey J45</t>
  </si>
  <si>
    <t>McCloskey J50V2</t>
  </si>
  <si>
    <t>McCloskey C38</t>
  </si>
  <si>
    <t>McCloskey C44</t>
  </si>
  <si>
    <t>McCloskey S190</t>
  </si>
  <si>
    <t>NMS MT300MC</t>
  </si>
  <si>
    <t>NMS MT1150JC</t>
  </si>
  <si>
    <t>NMS MT1860SR</t>
  </si>
  <si>
    <t>X</t>
  </si>
  <si>
    <t>Dump Truk</t>
  </si>
  <si>
    <t>Dump Truck</t>
  </si>
  <si>
    <t>KAMAZ 65201-6010-49(B5)</t>
  </si>
  <si>
    <t>Объём, л</t>
  </si>
  <si>
    <t>Наработка компонента, м/ч / Дата последней замены масла</t>
  </si>
  <si>
    <t>Total Hours of component/Last oil change date</t>
  </si>
  <si>
    <t>Grader</t>
  </si>
  <si>
    <t>Drill</t>
  </si>
  <si>
    <t>Loader</t>
  </si>
  <si>
    <t>Motor Grader</t>
  </si>
  <si>
    <t>EQPT NO</t>
  </si>
  <si>
    <t>Date</t>
  </si>
  <si>
    <t>Hour Meter</t>
  </si>
  <si>
    <t>PM</t>
  </si>
  <si>
    <t>EX024</t>
  </si>
  <si>
    <t>1 Engine</t>
  </si>
  <si>
    <t>3 Hydraulic</t>
  </si>
  <si>
    <t>Y</t>
  </si>
  <si>
    <t>Sample No</t>
  </si>
  <si>
    <t>TK114</t>
  </si>
  <si>
    <t>2 Transmission</t>
  </si>
  <si>
    <t>TK107</t>
  </si>
  <si>
    <t>TK115</t>
  </si>
  <si>
    <t>TK160</t>
  </si>
  <si>
    <t>TK101</t>
  </si>
  <si>
    <t>TK121</t>
  </si>
  <si>
    <t>TK156</t>
  </si>
  <si>
    <t>N</t>
  </si>
  <si>
    <t>TK126</t>
  </si>
  <si>
    <t>Comp hours</t>
  </si>
  <si>
    <t>Last Change</t>
  </si>
  <si>
    <t>Change</t>
  </si>
  <si>
    <t>PRINTED</t>
  </si>
  <si>
    <t>Status</t>
  </si>
  <si>
    <t>Дата</t>
  </si>
  <si>
    <t>Место отбора проб</t>
  </si>
  <si>
    <t>№ пробы</t>
  </si>
  <si>
    <t>№ тех.</t>
  </si>
  <si>
    <t>Моточасы</t>
  </si>
  <si>
    <t>Узел</t>
  </si>
  <si>
    <t>Нараб. узла</t>
  </si>
  <si>
    <t>Замена</t>
  </si>
  <si>
    <t>Нараб. масла</t>
  </si>
  <si>
    <t>DZ003</t>
  </si>
  <si>
    <t>Oil</t>
  </si>
  <si>
    <t>GR012</t>
  </si>
  <si>
    <t>DZ020</t>
  </si>
  <si>
    <t>Масло</t>
  </si>
  <si>
    <t>DR008</t>
  </si>
  <si>
    <t>TK148</t>
  </si>
  <si>
    <t>TK153</t>
  </si>
  <si>
    <t>TK157</t>
  </si>
  <si>
    <t>TK106</t>
  </si>
  <si>
    <t>Comments</t>
  </si>
  <si>
    <t>No Sample Form</t>
  </si>
  <si>
    <t>TK118</t>
  </si>
  <si>
    <t>TK124</t>
  </si>
  <si>
    <t>TK152</t>
  </si>
  <si>
    <t>TK154</t>
  </si>
  <si>
    <t>TK103</t>
  </si>
  <si>
    <t>LD002</t>
  </si>
  <si>
    <t>LD004</t>
  </si>
  <si>
    <t>DZ006</t>
  </si>
  <si>
    <t>LD005</t>
  </si>
  <si>
    <t>4AL Front-Left FD</t>
  </si>
  <si>
    <t>4AR Front-Right FD</t>
  </si>
  <si>
    <t>GR008</t>
  </si>
  <si>
    <t>EX013</t>
  </si>
  <si>
    <t>DR002</t>
  </si>
  <si>
    <t>1A Engine</t>
  </si>
  <si>
    <t>EX012</t>
  </si>
  <si>
    <t>GR014</t>
  </si>
  <si>
    <t>DZ004</t>
  </si>
  <si>
    <t>GR016</t>
  </si>
  <si>
    <t>TK113</t>
  </si>
  <si>
    <t>TK146</t>
  </si>
  <si>
    <t>SR004</t>
  </si>
  <si>
    <t>Omala 150</t>
  </si>
  <si>
    <t>H32</t>
  </si>
  <si>
    <t>Service A</t>
  </si>
  <si>
    <t>SN001</t>
  </si>
  <si>
    <t>CR002</t>
  </si>
  <si>
    <t>CR003</t>
  </si>
  <si>
    <t>CR006</t>
  </si>
  <si>
    <t>DZ011</t>
  </si>
  <si>
    <t>4F Right final drive</t>
  </si>
  <si>
    <t>4E Left final drive</t>
  </si>
  <si>
    <t>TK116</t>
  </si>
  <si>
    <t>LD001</t>
  </si>
  <si>
    <t>DR003</t>
  </si>
  <si>
    <t>TK110</t>
  </si>
  <si>
    <t>TK150</t>
  </si>
  <si>
    <t>TK104</t>
  </si>
  <si>
    <t>CR001</t>
  </si>
  <si>
    <t>EX015</t>
  </si>
  <si>
    <t>5 PTO</t>
  </si>
  <si>
    <t>6A Swing Front</t>
  </si>
  <si>
    <t>6C Swing Rear</t>
  </si>
  <si>
    <t>9 AntiFreeze</t>
  </si>
  <si>
    <t>AF 40/60</t>
  </si>
  <si>
    <t>CR008</t>
  </si>
  <si>
    <t>TK127</t>
  </si>
  <si>
    <t>TK112</t>
  </si>
  <si>
    <t>TK123</t>
  </si>
  <si>
    <t>TK119</t>
  </si>
  <si>
    <t>TK105</t>
  </si>
  <si>
    <t>DZ010</t>
  </si>
  <si>
    <t>DR007</t>
  </si>
  <si>
    <t>1.1 Engine</t>
  </si>
  <si>
    <t>1.2 Engine</t>
  </si>
  <si>
    <t>GR009</t>
  </si>
  <si>
    <t>GR013</t>
  </si>
  <si>
    <t>GR015</t>
  </si>
  <si>
    <t>LD008</t>
  </si>
  <si>
    <t>DZ001</t>
  </si>
  <si>
    <t>GR003</t>
  </si>
  <si>
    <t>EX011</t>
  </si>
  <si>
    <t>DZ005</t>
  </si>
  <si>
    <t>EX021</t>
  </si>
  <si>
    <t>DZ009</t>
  </si>
  <si>
    <t>EX010</t>
  </si>
  <si>
    <t>EX009</t>
  </si>
  <si>
    <t>DZ008</t>
  </si>
  <si>
    <t>TK151</t>
  </si>
  <si>
    <t>TK122</t>
  </si>
  <si>
    <t>TK161</t>
  </si>
  <si>
    <t>TK158</t>
  </si>
  <si>
    <t>TK159</t>
  </si>
  <si>
    <t>TK147</t>
  </si>
  <si>
    <t>TK155</t>
  </si>
  <si>
    <t>DZ019</t>
  </si>
  <si>
    <t>TK117</t>
  </si>
  <si>
    <t>LD006</t>
  </si>
  <si>
    <t>TK109</t>
  </si>
  <si>
    <t>LD007</t>
  </si>
  <si>
    <t>TK125</t>
  </si>
  <si>
    <t>GR004</t>
  </si>
  <si>
    <t>TK149</t>
  </si>
  <si>
    <t>DZ007</t>
  </si>
  <si>
    <t>TK143</t>
  </si>
  <si>
    <t>TK108</t>
  </si>
  <si>
    <t>EX002</t>
  </si>
  <si>
    <t>CR004</t>
  </si>
  <si>
    <t>CR005</t>
  </si>
  <si>
    <t>SN003</t>
  </si>
  <si>
    <t>GR001</t>
  </si>
  <si>
    <t>EX001</t>
  </si>
  <si>
    <t>EX003</t>
  </si>
  <si>
    <t>DZ002</t>
  </si>
  <si>
    <t>EX005</t>
  </si>
  <si>
    <t>P2 rust</t>
  </si>
  <si>
    <t>EX023</t>
  </si>
  <si>
    <t>3A Steering</t>
  </si>
  <si>
    <t>Converter</t>
  </si>
  <si>
    <t>4B Rear Differential</t>
  </si>
  <si>
    <t>75W90</t>
  </si>
  <si>
    <t>4A Front Differential</t>
  </si>
  <si>
    <t>SN004</t>
  </si>
  <si>
    <t>CR007</t>
  </si>
  <si>
    <t>EX11</t>
  </si>
  <si>
    <t>TK09</t>
  </si>
  <si>
    <t>EX025</t>
  </si>
  <si>
    <t>EX15</t>
  </si>
  <si>
    <t>8 Compressor</t>
  </si>
  <si>
    <t>06052026-TK154-3</t>
  </si>
  <si>
    <t>Komatsu P&amp;H 44XT</t>
  </si>
  <si>
    <t>Longyear LF-90D</t>
  </si>
  <si>
    <t xml:space="preserve">URB-2D3 </t>
  </si>
  <si>
    <t>Hanjin D&amp;B-16GT</t>
  </si>
  <si>
    <t>Blade
rotation gear
case
Картер механизма поворота отвала</t>
  </si>
  <si>
    <t>EXSOIL P-MATIC VG32</t>
  </si>
  <si>
    <t>EXSOIL UNIGREASE MOLY SYNTH EP 1</t>
  </si>
  <si>
    <t>NEXXOL HYDRAULIC SYNTH HVLP 32</t>
  </si>
  <si>
    <t>Shantui SR26-C5</t>
  </si>
  <si>
    <t>Luigong CLGF330</t>
  </si>
  <si>
    <t>Komatsu WA470-6 8?</t>
  </si>
  <si>
    <t>AKSA APD145C</t>
  </si>
  <si>
    <t>AKSA APD70A</t>
  </si>
  <si>
    <t>AKSA AD410</t>
  </si>
  <si>
    <t>AKSA AD710</t>
  </si>
  <si>
    <t>AKSA APD200C</t>
  </si>
  <si>
    <t>AKSA APD25A</t>
  </si>
  <si>
    <t>AKSA APD40A</t>
  </si>
  <si>
    <t>ARMASH ZIF-PV</t>
  </si>
  <si>
    <t>Atlas Copco HiLight V5</t>
  </si>
  <si>
    <t>Atlas Copco HILIGHT V4</t>
  </si>
  <si>
    <t>Atlas Copco LE10-10UV 475FF</t>
  </si>
  <si>
    <t>Atlas Copco QEPS10 Genset</t>
  </si>
  <si>
    <t>Atlas Copco QES 250 Genset</t>
  </si>
  <si>
    <t>Atlas Copco QIS 10 Genset</t>
  </si>
  <si>
    <t>Atlas Copco U250 Air compressor - Diesel</t>
  </si>
  <si>
    <t>Atlas Copco XAHS 450 CUD Air compressor - Diesel</t>
  </si>
  <si>
    <t>Atlas Copco XAVS 650 Compressor</t>
  </si>
  <si>
    <t>Atlas Copco XAS88KD Compressor</t>
  </si>
  <si>
    <t>Belarus 82.1 Tractor</t>
  </si>
  <si>
    <t>Boart Longyear LF90D Drill</t>
  </si>
  <si>
    <t>Bobcat S570 Skid-Steer Loader</t>
  </si>
  <si>
    <t>Bobcat S850H Skidsteer</t>
  </si>
  <si>
    <t>Bobcat T41.140 SLPB Telescopic Handler</t>
  </si>
  <si>
    <t>Bobcat T590 Track Loader</t>
  </si>
  <si>
    <t>BUS DAEWOO BS106A45</t>
  </si>
  <si>
    <t>CAT 336D Excavator</t>
  </si>
  <si>
    <t>CAT 3412C Genset</t>
  </si>
  <si>
    <t>CAT C13 Genset</t>
  </si>
  <si>
    <t>CAT C175-20</t>
  </si>
  <si>
    <t>CAT DE715</t>
  </si>
  <si>
    <t>CAT C18 Genset</t>
  </si>
  <si>
    <t>CHSDM DZ-98V</t>
  </si>
  <si>
    <t>CUMMINS C250 D5 GENERATOR</t>
  </si>
  <si>
    <t>DENYO DLW-400LSW WELDING MACHINE</t>
  </si>
  <si>
    <t>DENYO_DCW-480ESW WELDING MACHINE</t>
  </si>
  <si>
    <t>DENYO DCA-15LSX GENERATOR</t>
  </si>
  <si>
    <t>DENYO DCA-45ESI GENERATOR</t>
  </si>
  <si>
    <t>DIESEL AD 240C GENERATOR</t>
  </si>
  <si>
    <t>DIESEL POWER ED320C-T400-50-2PH-G1 GENERATOR</t>
  </si>
  <si>
    <t>DIESEL POWER ED400C-T400-2RN GENERATOR</t>
  </si>
  <si>
    <t>AD100 GENERATOR</t>
  </si>
  <si>
    <t>DIESEL ЭД20П-Т400-50-2РН-G2 GENERATOR</t>
  </si>
  <si>
    <t>DOOSAN P250/HP210 COMPRESSOR</t>
  </si>
  <si>
    <t>TEREX 1075L CRANE, MOBILE</t>
  </si>
  <si>
    <t>TEREX DEMAG AC350-6 CRANE, MOBILE</t>
  </si>
  <si>
    <t>TEREX DEMAG AC220-5 CRANE, MOBILE</t>
  </si>
  <si>
    <t>TEREX RT100 CRANE, MOBILE</t>
  </si>
  <si>
    <t>TEREX GENIE S-60 Manlift</t>
  </si>
  <si>
    <t>TEREX GENIE SX-105XC Manlift</t>
  </si>
  <si>
    <t>TEREX GENIE SX-125XC Manlift</t>
  </si>
  <si>
    <t>ZOOMLION ZRS4531 KONTAINER LOADER</t>
  </si>
  <si>
    <t>SHINDAIWA DGW 400 Welding machine</t>
  </si>
  <si>
    <t>ELAZ-BL 888 Backhoe Loader</t>
  </si>
  <si>
    <t>Elcos Genset GE.CU.030/027.SS+011</t>
  </si>
  <si>
    <t>FORD TRANSIT DE-ICER VAN</t>
  </si>
  <si>
    <t>GAZ 340901-0000012 ALL TERRAIN VEHICLE</t>
  </si>
  <si>
    <t>GAZ SADKO NEXT TRUCK, BAGGAGE</t>
  </si>
  <si>
    <t>HITACHI ZX210W-5A EXCAVATOR</t>
  </si>
  <si>
    <t>HITACHI ZX280-5G EXCAVATOR</t>
  </si>
  <si>
    <t>Generac CUBE+ Super Lighting Tower</t>
  </si>
  <si>
    <t>IVECO-AMT 653900 Dump Truck</t>
  </si>
  <si>
    <t>IVECO-AMT 653910 Tractor Truck</t>
  </si>
  <si>
    <t>IVECO AMT 473916 EMERGENCY EQUIPMENT FIRE-TRUCK</t>
  </si>
  <si>
    <t>IVECO AA10,0-100 EMERGENCY EQUIPMENT FIRE-TRUCK</t>
  </si>
  <si>
    <t>IVECO-AMT MTGE3 Tractor Truck</t>
  </si>
  <si>
    <t>JCB VM200D COMPACTOR, ROLLER DRUM</t>
  </si>
  <si>
    <t>JLG 520AJ Manlift</t>
  </si>
  <si>
    <t>KOHLER J165 GENERATOR</t>
  </si>
  <si>
    <t>Manitou MHT-X 10135 Tyre Handler</t>
  </si>
  <si>
    <t>Manitou MHT-X 10180 Cylinder Handler</t>
  </si>
  <si>
    <t>Manitou MHT-X 790 Telescopic Handler</t>
  </si>
  <si>
    <t>Manitou MT-X 1840 Telescopic Handler</t>
  </si>
  <si>
    <t>Manitou MT-X1440 Telescopic Handler</t>
  </si>
  <si>
    <t>Manitou M-X-50-4 Forklift</t>
  </si>
  <si>
    <t>MAZ misc trucks</t>
  </si>
  <si>
    <t>New Holland LM1345 Telescopic Handler</t>
  </si>
  <si>
    <t>Pargarant ПГ-300ЖМ2 Steam generator</t>
  </si>
  <si>
    <t>Sany SRC1200C Wheel Crane</t>
  </si>
  <si>
    <t>Sany SRC600A Wheel Crane</t>
  </si>
  <si>
    <t>Shantui SR14P Compactor</t>
  </si>
  <si>
    <t>SINOMACH TTC025G2 Truck Crane</t>
  </si>
  <si>
    <t>Teplorod С-175/DG Industrial Heater</t>
  </si>
  <si>
    <t>Toyota Hilux AT Pickup</t>
  </si>
  <si>
    <t>Toyota Hilux MT Pickup</t>
  </si>
  <si>
    <t>Toyota Landcruiser 200 AT</t>
  </si>
  <si>
    <t>Dongfeng Pickup</t>
  </si>
  <si>
    <t>TREKOL 39294 ALL-TERRAIN VEHICLE</t>
  </si>
  <si>
    <t>TRUCK , BOOM KAMAZ 65117-776010-19</t>
  </si>
  <si>
    <t>TRUCK , CONCRETE PUMP MERCEDES-BENZ 3340</t>
  </si>
  <si>
    <t>TRUCK, CONCRETE TRANSMIXER KAMAZ 6520-6041-43</t>
  </si>
  <si>
    <t>TRUCK , DUMP KAMAZ 65201-6010-49(B5)</t>
  </si>
  <si>
    <t>TRUCK, DUMP KAMAZ 6520-6041-43</t>
  </si>
  <si>
    <t>TRUCK, MECHANIC KAMAZ 5350-3014-42</t>
  </si>
  <si>
    <t>TRUCK, TANKER KAMAZ 65115-3082-48</t>
  </si>
  <si>
    <t>TRUCK, TRACTOR KAMAZ 65116-6010-48</t>
  </si>
  <si>
    <t>TRUCK, WATER KAMAZ УСТ 5453К2</t>
  </si>
  <si>
    <t>TRUCK, TRACTOR MAN TGS 26.400 6x4 BLS WW</t>
  </si>
  <si>
    <t>TRUCK, TRACTOR MAN TGS 40.480 6x4 BBS WW</t>
  </si>
  <si>
    <t>URAL 63704К Fuel Truck</t>
  </si>
  <si>
    <t>URAL 63704-0151 Fuel Truck</t>
  </si>
  <si>
    <t>URAL NEXT 4320 Lube Truck    (1891АА-0001100)</t>
  </si>
  <si>
    <t>URAL NEXT 4320 Mechanical Truck      (1891AA-0001103)</t>
  </si>
  <si>
    <t>URAL 58498А-0000020 Crew bus</t>
  </si>
  <si>
    <t>URAL 32551-5013-71 Crew bus</t>
  </si>
  <si>
    <t>URAL 4672М1-20 WATER TRUCK</t>
  </si>
  <si>
    <t>URAL 4671L2-20 WATER TRUCK</t>
  </si>
  <si>
    <t>URAL 4672M8 VACUUM TRUCK</t>
  </si>
  <si>
    <t>URAL ППУА Steam Truck</t>
  </si>
  <si>
    <t>URAL СШР-1 Snow blower Truck</t>
  </si>
  <si>
    <t>URAL 43441C-10 АЦ 6.0-70 Fire-truck</t>
  </si>
  <si>
    <t>BOART LONGYEAR LF90D Track Drill</t>
  </si>
  <si>
    <t>TZCO  WK-35</t>
  </si>
  <si>
    <t>TZCO  WK-55</t>
  </si>
  <si>
    <t>TLP-4M-030 (ТЛП-4М-030)</t>
  </si>
  <si>
    <t>MILLER Big Blue 800 Duo AIR PAK Welder - Diesel</t>
  </si>
  <si>
    <t>Genset Onis Visa P21CK</t>
  </si>
  <si>
    <t>Taihao HDX Motivator for Electric Rope Shovel based on a truck chassis (6x6)</t>
  </si>
  <si>
    <t>Liugong CLG886H</t>
  </si>
  <si>
    <t>Liugong CLG764A</t>
  </si>
  <si>
    <t>FAW CA3250P66K24L1TE5</t>
  </si>
  <si>
    <t>ZOOMLION ZS2023ERT</t>
  </si>
  <si>
    <t>LIUGONG CLGA20-S</t>
  </si>
  <si>
    <t>FAW CA1121P40K2LE5A85</t>
  </si>
  <si>
    <t>ZOOMLION ZRT400</t>
  </si>
  <si>
    <t>FAW CA1081P40K2L4E5A85</t>
  </si>
  <si>
    <t>LIUGONG 395B</t>
  </si>
  <si>
    <t>LIUGONG CLG2050H</t>
  </si>
  <si>
    <t>ZOOMLION ZT42J</t>
  </si>
  <si>
    <t>ZOOMLION ZS0808HD</t>
  </si>
  <si>
    <t>FAW CA2080P40K8T5E5A84</t>
  </si>
  <si>
    <t xml:space="preserve">LIUGONG CPCD30 </t>
  </si>
  <si>
    <t>Liugong CLG8250H</t>
  </si>
  <si>
    <t>AMUR LYR560 Wheel Dozer (XCMG DL560)</t>
  </si>
  <si>
    <t>ZOOMLION ZCC2600 260 TON</t>
  </si>
  <si>
    <t>Traveling reducer</t>
  </si>
  <si>
    <t>Oem</t>
  </si>
  <si>
    <t>L-CKD220</t>
  </si>
  <si>
    <t>SH 0358-95</t>
  </si>
  <si>
    <t>SAE15W-40</t>
  </si>
  <si>
    <t>KAMAZ УСТ 54535</t>
  </si>
  <si>
    <t>KAMAZ УСТ 5849HF-000020</t>
  </si>
  <si>
    <t>MobilFuild 426</t>
  </si>
  <si>
    <t>PO HYDRO OIL HD 46</t>
  </si>
  <si>
    <t>PO MAXIMUS
Turbo Diesel Extra 15W40</t>
  </si>
  <si>
    <t>15W40-API CI-4/CH-4 ACEA E5-E7</t>
  </si>
  <si>
    <t>KAMAZ  43118-3098-50</t>
  </si>
  <si>
    <t>15W/40</t>
  </si>
  <si>
    <t>80W/90</t>
  </si>
  <si>
    <t xml:space="preserve">L-HV 32 </t>
  </si>
  <si>
    <t>OIL COMPRESSOR EXSOIL VDL 46</t>
  </si>
  <si>
    <t>OIL EXSOIL GEARTECH FE 75W90 GL-4/GL-5</t>
  </si>
  <si>
    <t>5W-40</t>
  </si>
  <si>
    <t>10W-30</t>
  </si>
  <si>
    <t>SAE 10W</t>
  </si>
  <si>
    <t xml:space="preserve">Front wheel
grease </t>
  </si>
  <si>
    <t>5w30</t>
  </si>
  <si>
    <t>SHC 5w-30</t>
  </si>
  <si>
    <t>NLGI *M II-G-10924C</t>
  </si>
  <si>
    <t>Komatsu EOS0W30</t>
  </si>
  <si>
    <t>TO10</t>
  </si>
  <si>
    <t>HO46-HM</t>
  </si>
  <si>
    <t>G2-LI</t>
  </si>
  <si>
    <t>Тормоз</t>
  </si>
  <si>
    <t>EOS0W30</t>
  </si>
  <si>
    <t>TOS5w30</t>
  </si>
  <si>
    <t>AXO80</t>
  </si>
  <si>
    <t>Total Transmission TM 80W-90</t>
  </si>
  <si>
    <t>Sullair AWF</t>
  </si>
  <si>
    <t>Total Equivis SMG 46</t>
  </si>
  <si>
    <t xml:space="preserve"> Total Pneuma NA 150</t>
  </si>
  <si>
    <t>TO30</t>
  </si>
  <si>
    <t>0W-40 (API CJ-4)</t>
  </si>
  <si>
    <t>L-HS PLUS 22 extremely
low temperature anti-wear
hydraulic oil (extremely
cold)</t>
  </si>
  <si>
    <t xml:space="preserve"> S4 TXM 10W-30</t>
  </si>
  <si>
    <t>HS PLUS 22
ultra-low
temperature
hydraulic oil</t>
  </si>
  <si>
    <t>CJ-4 0W-40</t>
  </si>
  <si>
    <t>GL-5 75W-90</t>
  </si>
  <si>
    <t>GL - 5 / LS 75W - 90</t>
  </si>
  <si>
    <t>Arctic 32</t>
  </si>
  <si>
    <t>15W-40</t>
  </si>
  <si>
    <t>Chevron Texamatic 1888</t>
  </si>
  <si>
    <t>Delo Syn-Gear XDM SAE 75W-90</t>
  </si>
  <si>
    <t>SAE10W-30</t>
  </si>
  <si>
    <t>HS 32</t>
  </si>
  <si>
    <t>SAE 0 W-30</t>
  </si>
  <si>
    <t>SAE 10W-30</t>
  </si>
  <si>
    <t>SAE 30</t>
  </si>
  <si>
    <t>SAE80W-90</t>
  </si>
  <si>
    <t xml:space="preserve">SAE10W-30 </t>
  </si>
  <si>
    <t xml:space="preserve">SAE85W-90 </t>
  </si>
  <si>
    <t xml:space="preserve">SAE15W-40 </t>
  </si>
  <si>
    <t>HV-46</t>
  </si>
  <si>
    <t>SAE85W-90</t>
  </si>
  <si>
    <t xml:space="preserve">HV-46 Low solidifying point anti-wear hydraulic oil </t>
  </si>
  <si>
    <t>SAE 5W-30</t>
  </si>
  <si>
    <t>Низкозамерзающее гидравлическое
масло L-HV46#, L-HV32#</t>
  </si>
  <si>
    <t>Rockdrill Oil ISO 320 grade</t>
  </si>
  <si>
    <t>TellusArctic32</t>
  </si>
  <si>
    <t xml:space="preserve"> 75W-90 GL-5</t>
  </si>
  <si>
    <t xml:space="preserve"> TD5W-30</t>
  </si>
  <si>
    <t>Frequency of replacements</t>
  </si>
  <si>
    <t xml:space="preserve">Coolant
Антифриз </t>
  </si>
  <si>
    <t xml:space="preserve">Fuel
Топлива </t>
  </si>
  <si>
    <t>Shantui SG18-3</t>
  </si>
  <si>
    <t>к-во по участкам
N of Units</t>
  </si>
  <si>
    <t>к-во масла по годам
Oil quantity per year</t>
  </si>
  <si>
    <t>11A</t>
  </si>
  <si>
    <t>11B</t>
  </si>
  <si>
    <t>11C</t>
  </si>
  <si>
    <t>11D</t>
  </si>
  <si>
    <t>11E</t>
  </si>
  <si>
    <t>12A</t>
  </si>
  <si>
    <t>12B</t>
  </si>
  <si>
    <t>12C</t>
  </si>
  <si>
    <t>12D</t>
  </si>
  <si>
    <t>12E</t>
  </si>
  <si>
    <t>12F</t>
  </si>
  <si>
    <t>12G</t>
  </si>
  <si>
    <t>12H</t>
  </si>
  <si>
    <t>14A</t>
  </si>
  <si>
    <t>14B</t>
  </si>
  <si>
    <t>14C</t>
  </si>
  <si>
    <t>14E</t>
  </si>
  <si>
    <t>6E</t>
  </si>
  <si>
    <t>4M</t>
  </si>
  <si>
    <t>7B</t>
  </si>
  <si>
    <t>4N</t>
  </si>
  <si>
    <t>4O</t>
  </si>
  <si>
    <t>4P</t>
  </si>
  <si>
    <t>LUBE MATRIX – COMPONENT &amp; LUBRICANT LEGEND</t>
  </si>
  <si>
    <t>Reference key for the component codes in row 2 of the 'Lube Frequency BMSK' sheet.</t>
  </si>
  <si>
    <t>LUBRICANTS (7 products)</t>
  </si>
  <si>
    <t>Col</t>
  </si>
  <si>
    <t>Product</t>
  </si>
  <si>
    <t>Type</t>
  </si>
  <si>
    <t>Components it covers</t>
  </si>
  <si>
    <t>M</t>
  </si>
  <si>
    <t>Engine oil</t>
  </si>
  <si>
    <t>Engine (1)</t>
  </si>
  <si>
    <t>Hydraulic</t>
  </si>
  <si>
    <t>Hydraulic system (3)</t>
  </si>
  <si>
    <t>O</t>
  </si>
  <si>
    <t>Gear oil</t>
  </si>
  <si>
    <t>All gearboxes, diffs, final drives, swing/pump/travel reducers, winches (2, 4, 5, 6, 7, 11, 12, 14)</t>
  </si>
  <si>
    <t>P</t>
  </si>
  <si>
    <t>Rock-drill oil</t>
  </si>
  <si>
    <t>DTH hammer oil tank (11D)</t>
  </si>
  <si>
    <t>Q</t>
  </si>
  <si>
    <t>Boom slew-ring (6E), Auto-lube (13), Thread lube (11E), Front wheel (4P)</t>
  </si>
  <si>
    <t>R</t>
  </si>
  <si>
    <t>Coolant system (9)</t>
  </si>
  <si>
    <t>S</t>
  </si>
  <si>
    <t>Compressor oil</t>
  </si>
  <si>
    <t>Compressor (8)</t>
  </si>
  <si>
    <t>(T)</t>
  </si>
  <si>
    <t>Fuel – not a lubricant</t>
  </si>
  <si>
    <t>–</t>
  </si>
  <si>
    <t>Tracked for volume only (10)</t>
  </si>
  <si>
    <t>COMPONENT CODES BY SYSTEM</t>
  </si>
  <si>
    <t>Code</t>
  </si>
  <si>
    <t>System / Component</t>
  </si>
  <si>
    <t>Lubricant</t>
  </si>
  <si>
    <t>Engine</t>
  </si>
  <si>
    <t>W</t>
  </si>
  <si>
    <t>Transmission</t>
  </si>
  <si>
    <t>Z</t>
  </si>
  <si>
    <t>Hydraulic system</t>
  </si>
  <si>
    <t>AC</t>
  </si>
  <si>
    <t xml:space="preserve">   Steering</t>
  </si>
  <si>
    <t>Differentials / axles / final drives</t>
  </si>
  <si>
    <t>AI</t>
  </si>
  <si>
    <t xml:space="preserve">   Front Differential</t>
  </si>
  <si>
    <t>AL</t>
  </si>
  <si>
    <t xml:space="preserve">   Rear Differential</t>
  </si>
  <si>
    <t>AO</t>
  </si>
  <si>
    <t xml:space="preserve">   Center Differential</t>
  </si>
  <si>
    <t>AR</t>
  </si>
  <si>
    <t xml:space="preserve">   Front-Left Hub</t>
  </si>
  <si>
    <t>AU</t>
  </si>
  <si>
    <t xml:space="preserve">   Front-Right Hub</t>
  </si>
  <si>
    <t>AX</t>
  </si>
  <si>
    <t xml:space="preserve">   Front-Left Final Drive</t>
  </si>
  <si>
    <t>BA</t>
  </si>
  <si>
    <t xml:space="preserve">   Front-Right Final Drive</t>
  </si>
  <si>
    <t>BD</t>
  </si>
  <si>
    <t xml:space="preserve">   Rear-Left Final Drive</t>
  </si>
  <si>
    <t>BG</t>
  </si>
  <si>
    <t xml:space="preserve">   Rear-Right Final Drive</t>
  </si>
  <si>
    <t>BJ</t>
  </si>
  <si>
    <t xml:space="preserve">   Center-Left Final Drive</t>
  </si>
  <si>
    <t>BM</t>
  </si>
  <si>
    <t xml:space="preserve">   Center-Right Final Drive</t>
  </si>
  <si>
    <t>BP</t>
  </si>
  <si>
    <t xml:space="preserve">   Front Swing reduction box</t>
  </si>
  <si>
    <t>BS</t>
  </si>
  <si>
    <t xml:space="preserve">   Rear Swing reduction box</t>
  </si>
  <si>
    <t>BV</t>
  </si>
  <si>
    <t xml:space="preserve">   Left Tandem</t>
  </si>
  <si>
    <t>BY</t>
  </si>
  <si>
    <t xml:space="preserve">   Right Tandem</t>
  </si>
  <si>
    <t>CB</t>
  </si>
  <si>
    <t xml:space="preserve">   Travel reducer *</t>
  </si>
  <si>
    <t>DL</t>
  </si>
  <si>
    <t xml:space="preserve">   Final Drive (Картер бортовой) *</t>
  </si>
  <si>
    <t>EG</t>
  </si>
  <si>
    <t xml:space="preserve">   Front axle housing *</t>
  </si>
  <si>
    <t xml:space="preserve">   Front wheel grease *</t>
  </si>
  <si>
    <t>FZ</t>
  </si>
  <si>
    <t>Splitter Box / PTO</t>
  </si>
  <si>
    <t>CE</t>
  </si>
  <si>
    <t xml:space="preserve">   Pump Drive Gear Box A</t>
  </si>
  <si>
    <t>CH</t>
  </si>
  <si>
    <t xml:space="preserve">   Pump Drive Gear Box B</t>
  </si>
  <si>
    <t>CK</t>
  </si>
  <si>
    <t>Swing reducers</t>
  </si>
  <si>
    <t xml:space="preserve">   Swing Front-Left</t>
  </si>
  <si>
    <t>CN</t>
  </si>
  <si>
    <t xml:space="preserve">   Swing Front-Right</t>
  </si>
  <si>
    <t>CQ</t>
  </si>
  <si>
    <t xml:space="preserve">   Swing Rear-Left</t>
  </si>
  <si>
    <t>CT</t>
  </si>
  <si>
    <t xml:space="preserve">   Swing Rear-Right</t>
  </si>
  <si>
    <t>CW</t>
  </si>
  <si>
    <t xml:space="preserve">   Boom slew-ring grease *</t>
  </si>
  <si>
    <t>DF</t>
  </si>
  <si>
    <t>Rotary Head</t>
  </si>
  <si>
    <t>CZ</t>
  </si>
  <si>
    <t xml:space="preserve">   Rotation reducer (вращения) *</t>
  </si>
  <si>
    <t>DX</t>
  </si>
  <si>
    <t>DC</t>
  </si>
  <si>
    <t>U</t>
  </si>
  <si>
    <t>Fuel (volume only)</t>
  </si>
  <si>
    <t>T</t>
  </si>
  <si>
    <t>Drilling (drill rig) *</t>
  </si>
  <si>
    <t xml:space="preserve">   Carriage reducer *</t>
  </si>
  <si>
    <t>DO</t>
  </si>
  <si>
    <t xml:space="preserve">   Drill feed reducer *</t>
  </si>
  <si>
    <t>DR</t>
  </si>
  <si>
    <t xml:space="preserve">   Carousel rotation reducer *</t>
  </si>
  <si>
    <t>DU</t>
  </si>
  <si>
    <t xml:space="preserve">   DTH hammer oil tank *</t>
  </si>
  <si>
    <t>EA</t>
  </si>
  <si>
    <t xml:space="preserve">   Thread-lube container *</t>
  </si>
  <si>
    <t>ED</t>
  </si>
  <si>
    <t>Undercarriage / track *</t>
  </si>
  <si>
    <t xml:space="preserve">   Blade rotation gear case *</t>
  </si>
  <si>
    <t>EJ</t>
  </si>
  <si>
    <t xml:space="preserve">   Damper case *</t>
  </si>
  <si>
    <t>EP</t>
  </si>
  <si>
    <t xml:space="preserve">   Tension spring *</t>
  </si>
  <si>
    <t>ES</t>
  </si>
  <si>
    <t xml:space="preserve">   Carrier roller *</t>
  </si>
  <si>
    <t>EV</t>
  </si>
  <si>
    <t xml:space="preserve">   Track roller *</t>
  </si>
  <si>
    <t>EY</t>
  </si>
  <si>
    <t xml:space="preserve">   Idler *</t>
  </si>
  <si>
    <t>FB</t>
  </si>
  <si>
    <t xml:space="preserve">   Pivot shaft case *</t>
  </si>
  <si>
    <t>FE</t>
  </si>
  <si>
    <t xml:space="preserve">   Vibrating drum *</t>
  </si>
  <si>
    <t>FH</t>
  </si>
  <si>
    <t>Automatic Lubrication system *</t>
  </si>
  <si>
    <t>DI</t>
  </si>
  <si>
    <t>Crane *</t>
  </si>
  <si>
    <t xml:space="preserve">   Hoisting winch reducer *</t>
  </si>
  <si>
    <t>FK</t>
  </si>
  <si>
    <t xml:space="preserve">   Derricking winch reducer *</t>
  </si>
  <si>
    <t>FN</t>
  </si>
  <si>
    <t xml:space="preserve">   Slewing reducer *</t>
  </si>
  <si>
    <t>FQ</t>
  </si>
  <si>
    <t>FT</t>
  </si>
  <si>
    <t xml:space="preserve">   Brake *</t>
  </si>
  <si>
    <t>FW</t>
  </si>
  <si>
    <t>* = newly added / recoded in this review. Blue text = new codes.</t>
  </si>
  <si>
    <t xml:space="preserve">   Traveling reducer (unified with 4M) *</t>
  </si>
  <si>
    <t>Wire Rope Канат</t>
  </si>
  <si>
    <t>Open Gear Открытая шестерня</t>
  </si>
  <si>
    <t>EXSOIL WIRE ROPE LUBE (VERIFY product)</t>
  </si>
  <si>
    <t>Wire Rope</t>
  </si>
  <si>
    <t>EXSOIL OPEN GEAR GREASE (VERIFY product)</t>
  </si>
  <si>
    <t>Open Gear</t>
  </si>
  <si>
    <t>GI</t>
  </si>
  <si>
    <t>WIRE ROPE LUBE  (verify product)</t>
  </si>
  <si>
    <t>Wire rope</t>
  </si>
  <si>
    <t>Crane / shovel hoist &amp; derricking wire ropes (15)</t>
  </si>
  <si>
    <t>GJ</t>
  </si>
  <si>
    <t>OPEN GEAR GREASE  (verify product)</t>
  </si>
  <si>
    <t>Open gear</t>
  </si>
  <si>
    <t>Rope-shovel / P&amp;H open swing &amp; hoist gears (16)</t>
  </si>
  <si>
    <t>Wire Rope (crane/shovel ropes) *</t>
  </si>
  <si>
    <t>GC</t>
  </si>
  <si>
    <t>Open Gear (rope-shovel/girth gears) *</t>
  </si>
  <si>
    <t>GF</t>
  </si>
  <si>
    <t>VERIFY</t>
  </si>
  <si>
    <t>5W-30</t>
  </si>
  <si>
    <t>10W-40</t>
  </si>
  <si>
    <t>TO-4 SAE 50</t>
  </si>
  <si>
    <t>HVLP 32</t>
  </si>
  <si>
    <t>EP2 Grease</t>
  </si>
  <si>
    <t>CELL FLAG COLORS</t>
  </si>
  <si>
    <t>Placeholder value to VERIFY (typical figure filled in; confirm against OEM manual)</t>
  </si>
  <si>
    <t>Missing/invalid change-frequency — component has qty + oil but no interval, so it totals 0 until filled</t>
  </si>
  <si>
    <t>Purple</t>
  </si>
  <si>
    <t>Teal</t>
  </si>
  <si>
    <t>Eng?</t>
  </si>
  <si>
    <t>Trans?</t>
  </si>
  <si>
    <t>Hyd?</t>
  </si>
  <si>
    <t>Gear #</t>
  </si>
  <si>
    <t>SAMPLE-TYPE HELPERS (per machine: 1 if that component is sampled = qty &amp; oil present; Gear = count of gear-oil components sampled)</t>
  </si>
  <si>
    <t>LUBE SAMPLING SUMMARY</t>
  </si>
  <si>
    <t>Auto-summarized from 'Lube Frequency BMSK'. Units and samples by year.</t>
  </si>
  <si>
    <t>TABLE 1 — MACHINES &amp; UNITS BY YEAR</t>
  </si>
  <si>
    <t>Machine Model</t>
  </si>
  <si>
    <t>Units 2026</t>
  </si>
  <si>
    <t>Units 2027</t>
  </si>
  <si>
    <t>Units 2028</t>
  </si>
  <si>
    <t>Samples 2026</t>
  </si>
  <si>
    <t>Samples 2027</t>
  </si>
  <si>
    <t>Samples 2028</t>
  </si>
  <si>
    <t>Sample Type</t>
  </si>
  <si>
    <t>Sampling interval (hrs):</t>
  </si>
  <si>
    <t>TABLE 2 — TOTAL SAMPLES / YEAR (at selected interval)</t>
  </si>
  <si>
    <t>Compr?</t>
  </si>
  <si>
    <t>Cool?</t>
  </si>
  <si>
    <t>Note: counts Engine, Transmission, Hydraulic, Gear oil, Compressor oil, Coolant. Grease excluded. Coolant/Compressor are outside the machine Sample-Point total, so this total differs from Table 2.</t>
  </si>
  <si>
    <t>TABLE 4 — SAMPLES BY TYPE, ENGINE @ 250 HRS</t>
  </si>
  <si>
    <t>Engine (@250 hrs)</t>
  </si>
  <si>
    <t>Note: Engine sampled at 250 hrs (fixed); all other types use the interval selector in H1.</t>
  </si>
  <si>
    <t>DIAMAS vs SGS — OIL ANALYSIS PRICE COMPARISON</t>
  </si>
  <si>
    <t>Per-sample prices (RUB, excl. VAT, discounted). Compressor samples tested as hydraulic oil.</t>
  </si>
  <si>
    <t>PRICE REFERENCE (RUB / sample)</t>
  </si>
  <si>
    <t>Diamas</t>
  </si>
  <si>
    <t>SGS</t>
  </si>
  <si>
    <t>Diff (D−S)</t>
  </si>
  <si>
    <t>Engine / Motor</t>
  </si>
  <si>
    <t>Hydraulic (incl. compressor)</t>
  </si>
  <si>
    <t>n/q</t>
  </si>
  <si>
    <t>—</t>
  </si>
  <si>
    <t>Diesel fuel</t>
  </si>
  <si>
    <t>ANNUAL COST @ 2026 SAMPLE VOLUMES</t>
  </si>
  <si>
    <t>Samples/yr</t>
  </si>
  <si>
    <t>Diamas cost</t>
  </si>
  <si>
    <t>SGS cost</t>
  </si>
  <si>
    <t>Saving (D−S)</t>
  </si>
  <si>
    <t>Transmission + Gear oil</t>
  </si>
  <si>
    <t>Comparable subtotal (excl. coolant — SGS did not quote it)</t>
  </si>
  <si>
    <t>Notes:</t>
  </si>
  <si>
    <t>• Sample volumes = 2026, at the interval selected on the Summary tab (H1). Compressor tested as hydraulic; Gear oil priced as transmission.</t>
  </si>
  <si>
    <t>• SGS did not quote Coolant or Diesel. Diamas is higher per sample on all three core types (see Diff column).</t>
  </si>
  <si>
    <t>Diamas/smpl</t>
  </si>
  <si>
    <t>SGS/smpl</t>
  </si>
  <si>
    <t>Diamas cost 2026</t>
  </si>
  <si>
    <t>SGS cost 2026</t>
  </si>
  <si>
    <t>USD/RUB rate:</t>
  </si>
  <si>
    <t>USD figures = RUB ÷ this rate</t>
  </si>
  <si>
    <t>TABLE 3 — SAMPLES BY TYPE &amp; YEAR (@500 HRS)</t>
  </si>
  <si>
    <t>GEAR EXSOIL HEAVYGEAR РАО CLP ISO 150</t>
  </si>
  <si>
    <t>Редукторное</t>
  </si>
  <si>
    <t>EXSOIL GEARTECH FE 75W90 GL-4/GL-5</t>
  </si>
  <si>
    <t>Трансмиссионная</t>
  </si>
  <si>
    <t>ANTIFREEZE CONCENTRATE G12+</t>
  </si>
  <si>
    <t>Антифриз</t>
  </si>
  <si>
    <t>Смазка ЕР 1</t>
  </si>
  <si>
    <t>EXSOIL UNIGREASE MOLY SYNTH EP 00/0</t>
  </si>
  <si>
    <t>Смазка ЕР 00/0</t>
  </si>
  <si>
    <t>EXSOIL HEAVYGEAR PAO CLP 150</t>
  </si>
  <si>
    <t>EXSOIL ARCTIC CK-4 0W40</t>
  </si>
  <si>
    <t>Моторное масло</t>
  </si>
  <si>
    <t>TRANSMISSION EXSOIL GEARTECH FE 75W-90</t>
  </si>
  <si>
    <t>EXSOIL/NEXXOL UTTO 10W-30</t>
  </si>
  <si>
    <t>Трансмиссионно-гидравлическое</t>
  </si>
  <si>
    <t>Гидравлическое</t>
  </si>
  <si>
    <t>SHELL OMALA S2 GX 150</t>
  </si>
  <si>
    <t>LEMARC LEGUARD 40 0W40</t>
  </si>
  <si>
    <t>LEMARC CARTERRA SH 150</t>
  </si>
  <si>
    <t>LEMARC HYDRARD HVLP-ZF LT 32</t>
  </si>
  <si>
    <t>LEMARC AEROGUARD SH 46</t>
  </si>
  <si>
    <t>Компрессорное</t>
  </si>
  <si>
    <t>LEMARC GEAPARD DVI LV</t>
  </si>
  <si>
    <t>LEMARC GEAPARD X4/X5 75W90</t>
  </si>
  <si>
    <t>LEMARC GEAPARD X5 75W140</t>
  </si>
  <si>
    <t>LEMARC LEGUARD MPV LT</t>
  </si>
  <si>
    <t>Гидротрансформаторное масло</t>
  </si>
  <si>
    <t>LEMARC LEGUARD AC 5W30</t>
  </si>
  <si>
    <t>KATANA HABAKI GL-4/5 75W90</t>
  </si>
  <si>
    <t>ANTIFREEZE G12+ 60/40</t>
  </si>
  <si>
    <t>SHELL OMALA S2 GX 68</t>
  </si>
  <si>
    <t>Name</t>
  </si>
  <si>
    <t>Тип масло</t>
  </si>
  <si>
    <t>Type of lube</t>
  </si>
  <si>
    <t>gearbox</t>
  </si>
  <si>
    <t>transmission</t>
  </si>
  <si>
    <t>coolant</t>
  </si>
  <si>
    <t>grease</t>
  </si>
  <si>
    <t>engine</t>
  </si>
  <si>
    <t>transmission-hydraulic</t>
  </si>
  <si>
    <t>hydraulic</t>
  </si>
  <si>
    <t>compressor</t>
  </si>
  <si>
    <t>torque converter</t>
  </si>
  <si>
    <t>Type of brand</t>
  </si>
  <si>
    <t>Exsoil</t>
  </si>
  <si>
    <t>Nexxol</t>
  </si>
  <si>
    <t>Shell</t>
  </si>
  <si>
    <t>Lemarc</t>
  </si>
  <si>
    <t>Katana</t>
  </si>
  <si>
    <t>Antifreeze</t>
  </si>
  <si>
    <t>Color</t>
  </si>
  <si>
    <t>Combine</t>
  </si>
  <si>
    <t>Таблица применяемости масел на технике</t>
  </si>
  <si>
    <t>Модель оборудования</t>
  </si>
  <si>
    <t>ДВС</t>
  </si>
  <si>
    <t>Гидросистема</t>
  </si>
  <si>
    <t>Трансмиссия</t>
  </si>
  <si>
    <t>Дифференциал</t>
  </si>
  <si>
    <t>Бортовая передача</t>
  </si>
  <si>
    <t>Дополнительное оборудование</t>
  </si>
  <si>
    <t>Shell Rimula R6 10W40/Shell Rimula 5W30 (50 l)</t>
  </si>
  <si>
    <t>Komatsu HM400-3M0 (AT)</t>
  </si>
  <si>
    <t>Shell Tellus S4 VX32/Komatsu VG32 (167 l)</t>
  </si>
  <si>
    <t>Shell Spirax S6 5w30 (91 l)</t>
  </si>
  <si>
    <t>Shell Spirax 75W90/Exsoil Geartech 75W90 ( front 26l, center - 43 l, rear 39 l</t>
  </si>
  <si>
    <t>Shell Spirax 75W90/Exsoil Geartech 75W90 (front FD - 5,5 l, Center FD - 5l, Rear - 5,5 l)</t>
  </si>
  <si>
    <t>Маслобак тормоза: Shell Spirax S6 5W30 (32 l)</t>
  </si>
  <si>
    <t>Komatsu D-155A (DZ)</t>
  </si>
  <si>
    <t>Shell Rimula R6 10W40/Shell Rimula 5W30 (37 l)</t>
  </si>
  <si>
    <t>Shell Spirax S6 5w30 (60 l)</t>
  </si>
  <si>
    <t>Shell Spirax S6 5w30 (58 l)</t>
  </si>
  <si>
    <t>Картер демпфера: Shell Spirax S6 5W30 (1,5l)</t>
  </si>
  <si>
    <r>
      <t xml:space="preserve">Shell Tellus S4 VX32/Komatsu VG32 </t>
    </r>
    <r>
      <rPr>
        <sz val="10"/>
        <color rgb="FFFF0000"/>
        <rFont val="Arial"/>
        <family val="2"/>
        <charset val="204"/>
      </rPr>
      <t>(87 l)</t>
    </r>
    <r>
      <rPr>
        <sz val="10"/>
        <rFont val="Arial"/>
        <family val="2"/>
        <charset val="204"/>
      </rPr>
      <t>(97 l)</t>
    </r>
  </si>
  <si>
    <t>Komatsu D-275A (DZ)</t>
  </si>
  <si>
    <t>Shell Rimula R6 10W40/Shell Rimula 5W30 (52 l)</t>
  </si>
  <si>
    <t>Shell Tellus S4 VX32/Komatsu VG32 (130 l)</t>
  </si>
  <si>
    <t>Shell Spirax S6 5w30 (100 l)</t>
  </si>
  <si>
    <t>Shell Spirax S6 5w30 (38 l)</t>
  </si>
  <si>
    <t>Komatsu D-375A (DZ)</t>
  </si>
  <si>
    <t>Shell Rimula R6 10W40/Shell Rimula 5W30 (86 l)</t>
  </si>
  <si>
    <t>Shell Spirax S6 5w30 (150 l)</t>
  </si>
  <si>
    <t>Shell Spirax S6 5w30 (65 l)</t>
  </si>
  <si>
    <t>Картер демпфера: Shell Spirax S6 5W30 (2,1 l)</t>
  </si>
  <si>
    <t>Komatsu GD-825A (MG)</t>
  </si>
  <si>
    <t>Shell Rimula R6 10W40/Shell Rimula 5W30 (34 l)</t>
  </si>
  <si>
    <t>Shell Tellus S4 VX32/Komatsu VG32 (80 l)</t>
  </si>
  <si>
    <t>Shell Spirax S6 5w30 (25 l)</t>
  </si>
  <si>
    <t>Shell Spirax S6 5w30 (кратер конечной передачи) (57 l)</t>
  </si>
  <si>
    <t>1. Поворотный круг: Shell Spirax 75W90/Exsoil Geartech 75W90 (8 l)
2. Картер тандема (каждый): Shell Spirax S6 5w30 (95 l)
3. Картер подшипника переднего колеса: Shell Spirax S6 5w30 (каждый 0,9 l)</t>
  </si>
  <si>
    <t>Komatsu WA-470 (WL)</t>
  </si>
  <si>
    <t>Shell Rimula R6 10W40/Shell Rimula 5W30 (38 l)</t>
  </si>
  <si>
    <t>Shell Rimula R6 10W40 (43 l)</t>
  </si>
  <si>
    <t>Shell Tellus S4 VX32/Komatsu VG32 (173 l)</t>
  </si>
  <si>
    <t>Komatsu PC-800 (EX)</t>
  </si>
  <si>
    <t>Shell Rimula R6 10W40/Shell Rimula 5W30 (53 l)</t>
  </si>
  <si>
    <t>Shell Tellus S4 VX32/Komatsu VG32 (470 l)</t>
  </si>
  <si>
    <t>Shell Spirax S6 5w30 (каждая - 20 l)</t>
  </si>
  <si>
    <t xml:space="preserve">1. Механизм поворота платформы: Shell Spirax S6 5w30 (24,5 l)
2. Картер механизма отбора мощности насосов: Shell Spirax S6 5W30 (6 l)  </t>
  </si>
  <si>
    <t>Komatsu PC-2000 (EX)</t>
  </si>
  <si>
    <t>Shell Rimula R6 10W40/Shell Rimula 5W30 (120 l)</t>
  </si>
  <si>
    <t>Shell Tellus S4 VX32/Komatsu VG32 (1300 l)</t>
  </si>
  <si>
    <t>Shell Spirax S6 5w30 (каждая - 85 l)</t>
  </si>
  <si>
    <t xml:space="preserve">1. Механизм поворота платформы: Shell Spirax S6 5w30 (30 l)
2. Картер механизма отбора мощности насосов: Shell Spirax S6 5W30 (36 l)  </t>
  </si>
  <si>
    <t>CAT 160K (MG)</t>
  </si>
  <si>
    <r>
      <t xml:space="preserve">Shell Rimula R6 10W40/Shell Rimula 5W30 </t>
    </r>
    <r>
      <rPr>
        <sz val="10"/>
        <color rgb="FFFF0000"/>
        <rFont val="Arial"/>
        <family val="2"/>
        <charset val="204"/>
      </rPr>
      <t>(29 l)</t>
    </r>
    <r>
      <rPr>
        <sz val="10"/>
        <rFont val="Arial"/>
        <family val="2"/>
        <charset val="204"/>
      </rPr>
      <t xml:space="preserve"> (18 l)</t>
    </r>
  </si>
  <si>
    <t>Shell Tellus S4 VX32/Komatsu VG32 (55 l)</t>
  </si>
  <si>
    <r>
      <t>Shell Spirax S6 5w30 (</t>
    </r>
    <r>
      <rPr>
        <sz val="10"/>
        <color rgb="FFFF0000"/>
        <rFont val="Arial"/>
        <family val="2"/>
        <charset val="204"/>
      </rPr>
      <t>47 l</t>
    </r>
    <r>
      <rPr>
        <sz val="10"/>
        <rFont val="Arial"/>
        <family val="2"/>
        <charset val="204"/>
      </rPr>
      <t>) (70 l)</t>
    </r>
  </si>
  <si>
    <r>
      <t xml:space="preserve">1. Поворотный круг: Shell Spirax 75W90/Exsoil Geartech 75W90 (7 l)
2. Картер тандема (каждый): Shell Spirax S6 5w30 </t>
    </r>
    <r>
      <rPr>
        <sz val="10"/>
        <color rgb="FFFF0000"/>
        <rFont val="Arial"/>
        <family val="2"/>
        <charset val="204"/>
      </rPr>
      <t>(64 l)</t>
    </r>
    <r>
      <rPr>
        <sz val="10"/>
        <rFont val="Arial"/>
        <family val="2"/>
        <charset val="204"/>
      </rPr>
      <t>(80 l)
3. Картер подшипника переднего колеса: Shell Spirax S6 5w30 (каждый 0,5 l)</t>
    </r>
  </si>
  <si>
    <t>Hyundai HL770-9S (WL)</t>
  </si>
  <si>
    <t>Shell Rimula R6 10W40/Shell Rimula 5W30 (23 l)</t>
  </si>
  <si>
    <t>Shell Tellus S4 VX32/Komatsu VG32 (185 l)</t>
  </si>
  <si>
    <t>Shell Spirax S6 5w30 (передний - 51 l; задний - 40 l )</t>
  </si>
  <si>
    <r>
      <t xml:space="preserve">Shell Rimula R6 10W40 </t>
    </r>
    <r>
      <rPr>
        <sz val="10"/>
        <color rgb="FFFF0000"/>
        <rFont val="Arial"/>
        <family val="2"/>
        <charset val="204"/>
      </rPr>
      <t>(54 l)</t>
    </r>
    <r>
      <rPr>
        <sz val="10"/>
        <rFont val="Arial"/>
        <family val="2"/>
        <charset val="204"/>
      </rPr>
      <t>(65 l)</t>
    </r>
  </si>
  <si>
    <t>Komatsu powertrain oil TOS0W30 (передний - 60 л, задний - 56 л)</t>
  </si>
  <si>
    <t>Shell Rimula R6 10W40/Shell Rimula 5W30 (46 l)</t>
  </si>
  <si>
    <t>Shell Tellus S4 VX32/Komatsu VG32 (маслобак 360 л, полная гидравлическая система 680 л)</t>
  </si>
  <si>
    <t>Shell Spirax 75W90/Exsoil Geartech 75W90 (каждая - 20 l)</t>
  </si>
  <si>
    <t>Механизм поворота платформы : Shell Spirax 75W90/Exsoil Geartech 75W90 (14 l)- каждый</t>
  </si>
  <si>
    <t>LiuGong CLG970E (EX)</t>
  </si>
  <si>
    <t>LiuGong 990FHD (EX)</t>
  </si>
  <si>
    <t>Shell Rimula R6 10W40/Shell Rimula 5W30 (64 l)</t>
  </si>
  <si>
    <t>Shell Tellus S4 VX32/Komatsu VG32 (маслобак 480 л, полная гидравлическая система 960 л)</t>
  </si>
  <si>
    <t>Shell Spirax 75W90/Exsoil Geartech 75W90 (каждая - 25 l)</t>
  </si>
  <si>
    <t>LiuGong 4260 (MG)</t>
  </si>
  <si>
    <t>Shell Rimula R6 10W40/Shell Rimula 5W30 (18 l)</t>
  </si>
  <si>
    <t>Shell Tellus S4 VX32/Komatsu VG32 (165 l)</t>
  </si>
  <si>
    <t>Shell Spirax S6 5w30 (27 l)</t>
  </si>
  <si>
    <t>Shell Spirax S6 5w30 (задний мост - 12,5 л)</t>
  </si>
  <si>
    <t>1. Червячный редуктор поворотного круга: Shell Spirax 75W90/Exsoil Geartech 75W90 (5 l)
2. Картер тандема (каждый): Shell Spirax 75W90/Exsoil Geartech 75W90 (33,5 l)
3. Задний мост, ступица колеса: Shell Spirax 75W90/Exsoil Geartech 75W90 (4 шт. - 6,5 l)
4. Насос подъема капота двигателя: Shell Spirax 75W90/Exsoil Geartech 75W90 (1,05 l)</t>
  </si>
  <si>
    <t>Shell Spirax 75W90/Exsoil Geartech 75W90 ( задний - 60 л)</t>
  </si>
  <si>
    <t>Shell Spirax 75W90/Exsoil Geartech 75W90 (заднего моста - 56 л каждая)</t>
  </si>
  <si>
    <t>1. Редуктор отбора мощности ДВС: Shell Spirax 75W90/Exsoil Geartech 75W90 (3 л)
2. Перед. стойка подвески:  Shell Spirax S6 5w30 (14 л каждая)
3. Задняя стойка подвески: Shell Spirax S6 5w30 (17 л каждая)</t>
  </si>
  <si>
    <r>
      <t xml:space="preserve">Shell Rimula R6 10W40/Shell Rimula 5W30 </t>
    </r>
    <r>
      <rPr>
        <sz val="10"/>
        <color rgb="FFFF0000"/>
        <rFont val="Arial"/>
        <family val="2"/>
        <charset val="204"/>
      </rPr>
      <t>(60 l)</t>
    </r>
    <r>
      <rPr>
        <sz val="10"/>
        <rFont val="Arial"/>
        <family val="2"/>
        <charset val="204"/>
      </rPr>
      <t xml:space="preserve"> (66 l)</t>
    </r>
  </si>
  <si>
    <r>
      <t xml:space="preserve">Shell Spirax S6 5w30 </t>
    </r>
    <r>
      <rPr>
        <sz val="10"/>
        <color rgb="FFFF0000"/>
        <rFont val="Arial"/>
        <family val="2"/>
        <charset val="204"/>
      </rPr>
      <t>(91 l)</t>
    </r>
    <r>
      <rPr>
        <sz val="10"/>
        <rFont val="Arial"/>
        <family val="2"/>
        <charset val="204"/>
      </rPr>
      <t xml:space="preserve"> (85 l)</t>
    </r>
  </si>
  <si>
    <r>
      <t xml:space="preserve">Shell Tellus S4 VX32/Komatsu VG32 (главный гидробак - </t>
    </r>
    <r>
      <rPr>
        <sz val="10"/>
        <color rgb="FFFF0000"/>
        <rFont val="Arial"/>
        <family val="2"/>
        <charset val="204"/>
      </rPr>
      <t>250 л</t>
    </r>
    <r>
      <rPr>
        <sz val="10"/>
        <rFont val="Arial"/>
        <family val="2"/>
        <charset val="204"/>
      </rPr>
      <t xml:space="preserve"> (216 l), полная главная гидросистема - 385 л (258 l), гидробак рулевого управления - 68 л, полная рулевая гидросистема - 92 л))</t>
    </r>
  </si>
  <si>
    <t>NHL TR60 (HT)</t>
  </si>
  <si>
    <t>Shell Tellus S4 VX32/Komatsu VG32 (110 l)</t>
  </si>
  <si>
    <r>
      <t xml:space="preserve">Shell Spirax S6 5w30 </t>
    </r>
    <r>
      <rPr>
        <sz val="10"/>
        <color rgb="FFFF0000"/>
        <rFont val="Arial"/>
        <family val="2"/>
        <charset val="204"/>
      </rPr>
      <t>(122 l</t>
    </r>
    <r>
      <rPr>
        <sz val="10"/>
        <rFont val="Arial"/>
        <family val="2"/>
        <charset val="204"/>
      </rPr>
      <t>) (136 l)</t>
    </r>
  </si>
  <si>
    <t>Shell Spirax 75W90/Exsoil Geartech 75W90 (заднего моста - 82 л каждая)</t>
  </si>
  <si>
    <r>
      <t xml:space="preserve">Shell Rimula R6 10W40/Shell Rimula 5W30 </t>
    </r>
    <r>
      <rPr>
        <sz val="10"/>
        <color rgb="FFFF0000"/>
        <rFont val="Arial"/>
        <family val="2"/>
        <charset val="204"/>
      </rPr>
      <t>(45 l)</t>
    </r>
    <r>
      <rPr>
        <sz val="10"/>
        <rFont val="Arial"/>
        <family val="2"/>
        <charset val="204"/>
      </rPr>
      <t>(23 l)</t>
    </r>
  </si>
  <si>
    <t>Shell Tellus S4 VX32/Komatsu VG32 (128 l)</t>
  </si>
  <si>
    <r>
      <t xml:space="preserve">Shell Rimula R6 10W40/Shell Rimula 5W30 </t>
    </r>
    <r>
      <rPr>
        <sz val="10"/>
        <color rgb="FFFF0000"/>
        <rFont val="Arial"/>
        <family val="2"/>
        <charset val="204"/>
      </rPr>
      <t>(47 l)</t>
    </r>
  </si>
  <si>
    <r>
      <t xml:space="preserve">Shell Spirax S6 5w30 </t>
    </r>
    <r>
      <rPr>
        <sz val="10"/>
        <color rgb="FFFF0000"/>
        <rFont val="Arial"/>
        <family val="2"/>
        <charset val="204"/>
      </rPr>
      <t>(185 l</t>
    </r>
    <r>
      <rPr>
        <sz val="10"/>
        <rFont val="Arial"/>
        <family val="2"/>
        <charset val="204"/>
      </rPr>
      <t>)</t>
    </r>
  </si>
  <si>
    <t>Shell Spirax 75W90/Exsoil Geartech 75W90 (заднего моста - 55 л каждая)</t>
  </si>
  <si>
    <r>
      <t xml:space="preserve">Shell Rimula R6 10W40/Shell Rimula 5W30 </t>
    </r>
    <r>
      <rPr>
        <sz val="10"/>
        <color rgb="FFFF0000"/>
        <rFont val="Arial"/>
        <family val="2"/>
        <charset val="204"/>
      </rPr>
      <t>(60 l)</t>
    </r>
  </si>
  <si>
    <t>Shell Tellus S4 VX32/Komatsu VG32 (маслобак 120 л, полная гидравлическая система 280 л)</t>
  </si>
  <si>
    <t>Shell Spirax 75W90/Exsoil Geartech 75W90 (заднего моста - 61 л каждая)</t>
  </si>
  <si>
    <t>1. Картер демпфера: Shell Spirax S6 5W30 (2,1l)
2. Картер оси качания: Shell Spirax S6 5W30 (18l)</t>
  </si>
  <si>
    <r>
      <t xml:space="preserve">Shell Rimula R6 10W40/Shell Rimula 5W30 </t>
    </r>
    <r>
      <rPr>
        <sz val="10"/>
        <color rgb="FFFF0000"/>
        <rFont val="Arial"/>
        <family val="2"/>
        <charset val="204"/>
      </rPr>
      <t>(136 l, полная система 144</t>
    </r>
    <r>
      <rPr>
        <sz val="10"/>
        <rFont val="Arial"/>
        <family val="2"/>
        <charset val="204"/>
      </rPr>
      <t xml:space="preserve"> l)</t>
    </r>
  </si>
  <si>
    <t>Shell Tellus S4 VX32/Komatsu VG32 (маслобак 180 л, полная гидравлическая система 420 л)</t>
  </si>
  <si>
    <t>Shell Spirax S6 5w30 (маслобак 150 л, полная система 275 л)</t>
  </si>
  <si>
    <r>
      <t xml:space="preserve">Shell Spirax S6 5w30 </t>
    </r>
    <r>
      <rPr>
        <sz val="10"/>
        <color rgb="FFFF0000"/>
        <rFont val="Arial"/>
        <family val="2"/>
        <charset val="204"/>
      </rPr>
      <t>(маслобак 210 л, полная система 410 л)</t>
    </r>
  </si>
  <si>
    <t>Shell Spirax 75W90/Exsoil Geartech 75W90 (заднего моста - 75 л каждая)</t>
  </si>
  <si>
    <t>EXSOIL HD TRUCK ARCTIC CK4 0W40 (50 l)</t>
  </si>
  <si>
    <t>EXSOIL HD TRUCK ARCTIC CK4 0W40 (37 l)</t>
  </si>
  <si>
    <t>EXSOIL HD TRUCK ARCTIC CK4 0W40 (52 l)</t>
  </si>
  <si>
    <t>EXSOIL HD TRUCK ARCTIC CK4 0W40 (86 l)</t>
  </si>
  <si>
    <t>EXSOIL HD TRUCK ARCTIC CK4 0W40 (34 l)</t>
  </si>
  <si>
    <t>EXSOIL HD TRUCK ARCTIC CK4 0W40 (38 l)</t>
  </si>
  <si>
    <t>EXSOIL HD TRUCK ARCTIC CK4 0W40 (53 l)</t>
  </si>
  <si>
    <t>EXSOIL HD TRUCK ARCTIC CK4 0W40 (120 l)</t>
  </si>
  <si>
    <t>EXSOIL HD TRUCK ARCTIC CK4 0W40 (29 l) (18 l)</t>
  </si>
  <si>
    <t>EXSOIL HD TRUCK ARCTIC CK4 0W40 (23 l)</t>
  </si>
  <si>
    <t>EXSOIL HD TRUCK ARCTIC CK4 0W40 (46 l)</t>
  </si>
  <si>
    <t>EXSOIL HD TRUCK ARCTIC CK4 0W40 (64 l)</t>
  </si>
  <si>
    <t>EXSOIL HD TRUCK ARCTIC CK4 0W40 (18 l)</t>
  </si>
  <si>
    <t>EXSOIL HD TRUCK ARCTIC CK4 0W40 (60 l) (66 l)</t>
  </si>
  <si>
    <t>EXSOIL HD TRUCK ARCTIC CK4 0W40 (45 l)(23 l)</t>
  </si>
  <si>
    <t>EXSOIL HD TRUCK ARCTIC CK4 0W40 (47 l)</t>
  </si>
  <si>
    <t>EXSOIL HD TRUCK ARCTIC CK4 0W40 (60 l)</t>
  </si>
  <si>
    <t>EXSOIL HD TRUCK ARCTIC CK4 0W40 (136 l, полная система 144 l)</t>
  </si>
  <si>
    <t>NEXXOL HYDRAULIC SYNTH HVLP 32 (167 l)</t>
  </si>
  <si>
    <t>NEXXOL HYDRAULIC SYNTH HVLP 32 (87 l)(97 l)</t>
  </si>
  <si>
    <t>NEXXOL HYDRAULIC SYNTH HVLP 32 (130 l)</t>
  </si>
  <si>
    <t>NEXXOL HYDRAULIC SYNTH HVLP 32 (80 l)</t>
  </si>
  <si>
    <t>NEXXOL HYDRAULIC SYNTH HVLP 32 (173 l)</t>
  </si>
  <si>
    <t>NEXXOL HYDRAULIC SYNTH HVLP 32 (470 l)</t>
  </si>
  <si>
    <t>NEXXOL HYDRAULIC SYNTH HVLP 32 (1300 l)</t>
  </si>
  <si>
    <t>NEXXOL HYDRAULIC SYNTH HVLP 32 (55 l)</t>
  </si>
  <si>
    <t>NEXXOL HYDRAULIC SYNTH HVLP 32 (185 l)</t>
  </si>
  <si>
    <t>NEXXOL HYDRAULIC SYNTH HVLP 32 (маслобак 360 л, полная гидравлическая система 680 л)</t>
  </si>
  <si>
    <t>NEXXOL HYDRAULIC SYNTH HVLP 32 (маслобак 480 л, полная гидравлическая система 960 л)</t>
  </si>
  <si>
    <t>NEXXOL HYDRAULIC SYNTH HVLP 32 (165 l)</t>
  </si>
  <si>
    <t>NEXXOL HYDRAULIC SYNTH HVLP 32 (главный гидробак - 250 л (216 l), полная главная гидросистема - 385 л (258 l), гидробак рулевого управления - 68 л, полная рулевая гидросистема - 92 л))</t>
  </si>
  <si>
    <t>NEXXOL HYDRAULIC SYNTH HVLP 32 (110 l)</t>
  </si>
  <si>
    <t>NEXXOL HYDRAULIC SYNTH HVLP 32 (128 l)</t>
  </si>
  <si>
    <t>NEXXOL HYDRAULIC SYNTH HVLP 32 (маслобак 120 л, полная гидравлическая система 280 л)</t>
  </si>
  <si>
    <t>NEXXOL HYDRAULIC SYNTH HVLP 32 (маслобак 180 л, полная гидравлическая система 420 л)</t>
  </si>
  <si>
    <t>LEMARC LEGUARD AC 5W30 (91 l)</t>
  </si>
  <si>
    <t>Маслобак тормоза: LEMARC LEGUARD AC 5W30 (32 l)</t>
  </si>
  <si>
    <t>LEMARC LEGUARD AC 5W30 (60 l)</t>
  </si>
  <si>
    <t>LEMARC LEGUARD AC 5W30 (58 l)</t>
  </si>
  <si>
    <t>Картер демпфера: LEMARC LEGUARD AC 5W30 (1,5l)</t>
  </si>
  <si>
    <t>LEMARC LEGUARD AC 5W30 (100 l)</t>
  </si>
  <si>
    <t>LEMARC LEGUARD AC 5W30 (38 l)</t>
  </si>
  <si>
    <t>LEMARC LEGUARD AC 5W30 (150 l)</t>
  </si>
  <si>
    <t>LEMARC LEGUARD AC 5W30 (65 l)</t>
  </si>
  <si>
    <t>Картер демпфера: LEMARC LEGUARD AC 5W30 (2,1 l)</t>
  </si>
  <si>
    <t>LEMARC LEGUARD AC 5W30 (25 l)</t>
  </si>
  <si>
    <t>LEMARC LEGUARD AC 5W30 (кратер конечной передачи) (57 l)</t>
  </si>
  <si>
    <t>LEMARC LEGUARD AC 5W30 (каждая - 20 l)</t>
  </si>
  <si>
    <t xml:space="preserve">1. Механизм поворота платформы: LEMARC LEGUARD AC 5W30 (24,5 l)
2. Картер механизма отбора мощности насосов: LEMARC LEGUARD AC 5W30 (6 l)  </t>
  </si>
  <si>
    <t>LEMARC LEGUARD AC 5W30 (каждая - 85 l)</t>
  </si>
  <si>
    <t xml:space="preserve">1. Механизм поворота платформы: LEMARC LEGUARD AC 5W30 (30 l)
2. Картер механизма отбора мощности насосов: LEMARC LEGUARD AC 5W30 (36 l)  </t>
  </si>
  <si>
    <t>LEMARC LEGUARD AC 5W30 (47 l) (70 l)</t>
  </si>
  <si>
    <t>LEMARC LEGUARD AC 5W30 (передний - 51 l; задний - 40 l )</t>
  </si>
  <si>
    <t>LEMARC LEGUARD AC 5W30 (27 l)</t>
  </si>
  <si>
    <t>LEMARC LEGUARD AC 5W30 (задний мост - 12,5 л)</t>
  </si>
  <si>
    <t>LEMARC LEGUARD AC 5W30 (91 l) (85 l)</t>
  </si>
  <si>
    <t>LEMARC LEGUARD AC 5W30 (122 l) (136 l)</t>
  </si>
  <si>
    <t>LEMARC LEGUARD AC 5W30 (185 l)</t>
  </si>
  <si>
    <t>LEMARC LEGUARD AC 5W30 (маслобак 150 л, полная система 275 л)</t>
  </si>
  <si>
    <t>1. Картер демпфера: LEMARC LEGUARD AC 5W30 (2,1l)
2. Картер оси качания: LEMARC LEGUARD AC 5W30 (18l)</t>
  </si>
  <si>
    <t>LEMARC LEGUARD AC 5W30 (маслобак 210 л, полная система 410 л)</t>
  </si>
  <si>
    <t xml:space="preserve"> LEMARC GEAPARD X4/X5 75W90/Exsoil Geartech 75W90 ( front 26l, center - 43 l, rear 39 l</t>
  </si>
  <si>
    <t xml:space="preserve"> LEMARC GEAPARD X4/X5 75W90/Exsoil Geartech 75W90 (front FD - 5,5 l, Center FD - 5l, Rear - 5,5 l)</t>
  </si>
  <si>
    <t>1. Поворотный круг:  LEMARC GEAPARD X4/X5 75W90/Exsoil Geartech 75W90 (8 l)
2. Картер тандема (каждый): LEMARC LEGUARD AC 5W30 (95 l)
3. Картер подшипника переднего колеса: LEMARC LEGUARD AC 5W30 (каждый 0,9 l)</t>
  </si>
  <si>
    <t>1. Поворотный круг:  LEMARC GEAPARD X4/X5 75W90/Exsoil Geartech 75W90 (7 l)
2. Картер тандема (каждый): LEMARC LEGUARD AC 5W30 (64 l)(80 l)
3. Картер подшипника переднего колеса: LEMARC LEGUARD AC 5W30 (каждый 0,5 l)</t>
  </si>
  <si>
    <t xml:space="preserve"> LEMARC GEAPARD X4/X5 75W90/Exsoil Geartech 75W90 (каждая - 20 l)</t>
  </si>
  <si>
    <t>Механизм поворота платформы :  LEMARC GEAPARD X4/X5 75W90/Exsoil Geartech 75W90 (14 l)- каждый</t>
  </si>
  <si>
    <t xml:space="preserve"> LEMARC GEAPARD X4/X5 75W90/Exsoil Geartech 75W90 (каждая - 25 l)</t>
  </si>
  <si>
    <t>1. Червячный редуктор поворотного круга:  LEMARC GEAPARD X4/X5 75W90/Exsoil Geartech 75W90 (5 l)
2. Картер тандема (каждый):  LEMARC GEAPARD X4/X5 75W90/Exsoil Geartech 75W90 (33,5 l)
3. Задний мост, ступица колеса:  LEMARC GEAPARD X4/X5 75W90/Exsoil Geartech 75W90 (4 шт. - 6,5 l)
4. Насос подъема капота двигателя:  LEMARC GEAPARD X4/X5 75W90/Exsoil Geartech 75W90 (1,05 l)</t>
  </si>
  <si>
    <t xml:space="preserve"> LEMARC GEAPARD X4/X5 75W90/Exsoil Geartech 75W90 ( задний - 60 л)</t>
  </si>
  <si>
    <t xml:space="preserve"> LEMARC GEAPARD X4/X5 75W90/Exsoil Geartech 75W90 (заднего моста - 56 л каждая)</t>
  </si>
  <si>
    <t>1. Редуктор отбора мощности ДВС:  LEMARC GEAPARD X4/X5 75W90/Exsoil Geartech 75W90 (3 л)
2. Перед. стойка подвески:  LEMARC LEGUARD AC 5W30 (14 л каждая)
3. Задняя стойка подвески: LEMARC LEGUARD AC 5W30 (17 л каждая)</t>
  </si>
  <si>
    <t xml:space="preserve"> LEMARC GEAPARD X4/X5 75W90/Exsoil Geartech 75W90 (заднего моста - 82 л каждая)</t>
  </si>
  <si>
    <t xml:space="preserve"> LEMARC GEAPARD X4/X5 75W90/Exsoil Geartech 75W90 (заднего моста - 55 л каждая)</t>
  </si>
  <si>
    <t xml:space="preserve"> LEMARC GEAPARD X4/X5 75W90/Exsoil Geartech 75W90 (заднего моста - 61 л каждая)</t>
  </si>
  <si>
    <t xml:space="preserve"> LEMARC GEAPARD X4/X5 75W90/Exsoil Geartech 75W90 (заднего моста - 75 л каждая)</t>
  </si>
  <si>
    <t>NEXXOL HYDRAULIC SYNTH HVLP 32 (97 l)</t>
  </si>
  <si>
    <t>Охлаждения</t>
  </si>
  <si>
    <t>97 л</t>
  </si>
  <si>
    <t>LEMARC LEGUARD AC 5W30 (90 l)</t>
  </si>
  <si>
    <t>LEMARC LEGUARD AC 5W30 (43 l)</t>
  </si>
  <si>
    <t xml:space="preserve">1. Механизм поворота платформы: LEMARC LEGUARD AC 5W30 (24,5 l)
2. Картер механизма отбора мощности насосов: LEMARC LEGUARD AC 5W30 (7 l)  </t>
  </si>
  <si>
    <t>NEXXOL HYDRAULIC SYNTH HVLP 32 ((маслобак 1300 л, полная гидравлическая система 2400 л))</t>
  </si>
  <si>
    <t>LEMARC LEGUARD AC 5W30 (47 l)</t>
  </si>
  <si>
    <t>1. Поворотный круг:  LEMARC GEAPARD X4/X5 75W90/Exsoil Geartech 75W90 (7 l)
2. Картер тандема (каждый): LEMARC LEGUARD AC 5W30 (64 l)
3. Картер подшипника переднего колеса: LEMARC LEGUARD AC 5W30 (каждый 0,5 l)</t>
  </si>
  <si>
    <t>NEXXOL HYDRAULIC SYNTH HVLP 32 (маслобак 185 л, полная гидравлическая система 275 л)</t>
  </si>
  <si>
    <t>NEXXOL HYDRAULIC SYNTH HVLP 32 (главный гидробак - 250 л, полная главная гидросистема - 385 л, гидробак рулевого управления - 68 л, полная рулевая гидросистема - 92 л))</t>
  </si>
  <si>
    <t>1. Редуктор отбора мощности ДВС:  LEMARC GEAPARD X4/X5 75W90/Exsoil Geartech 75W90 (4 л)
2. Перед. стойка подвески:  LEMARC LEGUARD AC 5W30 (14 л каждая)
3. Задняя стойка подвески: LEMARC LEGUARD AC 5W30 (17 л каждая)</t>
  </si>
  <si>
    <t>EXSOIL HD TRUCK ARCTIC CK4 0W40 (45 l)</t>
  </si>
  <si>
    <t>LEMARC LEGUARD AC 5W30 (122 l)</t>
  </si>
  <si>
    <t>LEMARC LEGUARD AC 5W30  (82 л каждая)</t>
  </si>
  <si>
    <t>LEMARC GEAPARD X4/X5 75W90/Exsoil Geartech 75W90 (заднего моста - 56 л каждая)</t>
  </si>
  <si>
    <t>LEMARC LEGUARD AC 5W30 (заднего моста - 55 л каждая)</t>
  </si>
  <si>
    <t>LEMARC LEGUARD AC 5W30 (заднего моста - 61 л каждая)</t>
  </si>
  <si>
    <t>LEMARC LEGUARD AC 5W30 (маслобак 120 л, полная гидравлическая система 280 л)</t>
  </si>
  <si>
    <t>LEMARC LEGUARD AC 5W30 (маслобак 180 л, полная гидравлическая система 420 л)</t>
  </si>
  <si>
    <t>LEMARC GEAPARD X4/X5 75W90/Exsoil Geartech 75W90 (75 л каждая)</t>
  </si>
  <si>
    <t>1. Картер демпфера: LEMARC LEGUARD AC 5W30 (2,2l)
2. Картер оси качания: LEMARC LEGUARD AC 5W30 (150l)</t>
  </si>
  <si>
    <t>LEMARC GEAPARD X4/X5 75W90/Exsoil Geartech 75W90 (front FD - 5,5 l, Center FD - 5l, Rear - 5,5 l)</t>
  </si>
  <si>
    <t>LEMARC GEAPARD X4/X5 75W90/Exsoil Geartech 75W90 (каждая - 20 l)</t>
  </si>
  <si>
    <t>LEMARC GEAPARD X4/X5 75W90/Exsoil Geartech 75W90 (каждая - 25 l)</t>
  </si>
  <si>
    <t>EOS0W40</t>
  </si>
  <si>
    <t>Actual oil</t>
  </si>
  <si>
    <t>VG32</t>
  </si>
  <si>
    <t>EXSOIL HD TRUCK ARCTIC 0W-40 / LEMARC LEGUARD 40 0W40</t>
  </si>
  <si>
    <t>Teboil Fluid TO-4 Synthetic 5W30 / LEMARC LEGUARD AC 5W30</t>
  </si>
  <si>
    <t>NEXXOL HYDRAULIC SYNTH HVLP 32 / SHELL TELLUS S4 VX 32</t>
  </si>
  <si>
    <t>ZF VG32</t>
  </si>
  <si>
    <t>LEMARC GEAPARD X4/X5 75W90 / EXSOIL GEARTECH FE 75W90 GL-4/GL-5</t>
  </si>
  <si>
    <t>LEMARC GEAPARD X5 75W140 / EXSOIL GEARTECH HYPOID EP 75W-140</t>
  </si>
  <si>
    <t>PVG32</t>
  </si>
  <si>
    <t>XSOIL HEAVYGEAR РАО CLP ISO 150 / LEMARC CARTERRA SH 150</t>
  </si>
  <si>
    <t>ISO 150</t>
  </si>
  <si>
    <t>ISO 220</t>
  </si>
  <si>
    <t>EXSOIL HEAVYGEAR PAO CLP 220 / LEMARC CARTERRA SH 220</t>
  </si>
  <si>
    <t>EXSOIL LICAX MULTI SEASON OG</t>
  </si>
  <si>
    <t>OG</t>
  </si>
  <si>
    <t>SHC 5W30</t>
  </si>
  <si>
    <t>TOS5W-30</t>
  </si>
  <si>
    <t>EO10W30-DH</t>
  </si>
  <si>
    <t>TO10W</t>
  </si>
  <si>
    <t>GO80W90</t>
  </si>
  <si>
    <t>LEMARC LEGUARD AC 5W30 (передний - 59 л, задний - 59 л)</t>
  </si>
  <si>
    <t>MOLY EP 1</t>
  </si>
  <si>
    <t>MOLY EP 00/0</t>
  </si>
  <si>
    <t>TOS0W30</t>
  </si>
  <si>
    <t>Swing Front  Передний редуктор поворота</t>
  </si>
  <si>
    <t>Swing Rear  Задний редуктор поворота</t>
  </si>
  <si>
    <t>SAE 0W40</t>
  </si>
  <si>
    <t>SAE 0W20</t>
  </si>
  <si>
    <t>ISO VG 32</t>
  </si>
  <si>
    <t>SAE 80W90LSP</t>
  </si>
  <si>
    <t>L-HS 32</t>
  </si>
  <si>
    <t>1AL</t>
  </si>
  <si>
    <t>1AR</t>
  </si>
  <si>
    <t>Left Pre-filter of engine oil / Левый масляный предочиститель воздуха</t>
  </si>
  <si>
    <t>Right Pre-filter of engine oil / Правый масляный предочиститель воздуха</t>
  </si>
  <si>
    <t>GL-5 75W90</t>
  </si>
  <si>
    <t>GL-5 75W - 90</t>
  </si>
  <si>
    <t>SAE 5W-20</t>
  </si>
  <si>
    <t>AC Compressor</t>
  </si>
  <si>
    <t>AC COMPRESSOR ND-OIL12</t>
  </si>
  <si>
    <t>PAG OIL</t>
  </si>
  <si>
    <t>3BL</t>
  </si>
  <si>
    <t>3BR</t>
  </si>
  <si>
    <t>3CL</t>
  </si>
  <si>
    <t>3CR</t>
  </si>
  <si>
    <t>Left Front Suspension Cylinder / Левый передний подвесной цилиндр</t>
  </si>
  <si>
    <t>Right Front Suspension Cylinder / Правый передний подвесной цилиндр</t>
  </si>
  <si>
    <t>Left Rear Suspension Cylinder / Левый задний подвесной цилиндр</t>
  </si>
  <si>
    <t>Right Rear Suspension Cylinder / Правый задний подвесной цилиндр</t>
  </si>
  <si>
    <t>SAE 10W30</t>
  </si>
  <si>
    <t xml:space="preserve"> Left Tandem / Левый тандем</t>
  </si>
  <si>
    <t>Right Tandem / Правый тандем</t>
  </si>
  <si>
    <t>Damper Housing / Картер демпфера</t>
  </si>
  <si>
    <t>Idler / Направляющее колесо (ленивец)</t>
  </si>
  <si>
    <t>Track Roller / Опорный каток</t>
  </si>
  <si>
    <t>Carrier Roller / Поддерживающий каток</t>
  </si>
  <si>
    <t>SAE85W140</t>
  </si>
  <si>
    <t>SAE 0W-20(CH-4)</t>
  </si>
  <si>
    <t>SAE 0W30</t>
  </si>
  <si>
    <t>Pivot shaft / Полуось</t>
  </si>
  <si>
    <t>SAE 85W140</t>
  </si>
  <si>
    <t>SAE85W-140</t>
  </si>
  <si>
    <t>00#</t>
  </si>
  <si>
    <t>EP 0/00</t>
  </si>
  <si>
    <t>SHELL GADUS S5V150XKD 0/00</t>
  </si>
  <si>
    <t>SAE0W-40</t>
  </si>
  <si>
    <t>12CL</t>
  </si>
  <si>
    <t>12CR</t>
  </si>
  <si>
    <t>Recoil Spring / Натяжная пружина</t>
  </si>
  <si>
    <t>0W20</t>
  </si>
  <si>
    <t>Left pivot shaft / Левый полуось</t>
  </si>
  <si>
    <t>Right pivot shaft / Правый полуось</t>
  </si>
  <si>
    <t>Reducer of hoisting winch / Редуктор лебедки</t>
  </si>
  <si>
    <t>Reducer of derricking winch / Редуктор стреловой лебёдки</t>
  </si>
  <si>
    <t>Slewing reducer / Поворотный редуктор</t>
  </si>
  <si>
    <t>Delo V API CG 15W-40
API CH-4/SJ, ACEA E2</t>
  </si>
  <si>
    <t>Atlas Copco Paroil S</t>
  </si>
  <si>
    <t>Univis N32</t>
  </si>
  <si>
    <t>0W-30</t>
  </si>
  <si>
    <t>Super EX 46HN</t>
  </si>
  <si>
    <t>Hypoid Gear Oil 90</t>
  </si>
  <si>
    <t>Hitachi Gear Oil GL-4 90</t>
  </si>
  <si>
    <t>DH-1 15W40</t>
  </si>
  <si>
    <t>Super wide 
DH-1 10W30</t>
  </si>
  <si>
    <t>EX-30</t>
  </si>
  <si>
    <t>Rotary Drive / Привод вращения</t>
  </si>
  <si>
    <t>Sullair AWF ISO 32</t>
  </si>
  <si>
    <t>Jet-Lube 21</t>
  </si>
  <si>
    <t>Actual grease</t>
  </si>
  <si>
    <t>Pulldown gearbox / Редуктор подачи</t>
  </si>
  <si>
    <t>Total Carter EP 220</t>
  </si>
  <si>
    <t>Carousel drive gearbox / Редуктор привода карусели</t>
  </si>
  <si>
    <t xml:space="preserve">Pneumatic hammer / Пневмоударник </t>
  </si>
  <si>
    <t>CH-4 0W-40</t>
  </si>
  <si>
    <t>AUTO TRANSMISSION DEXRON 1 ATF320 / SHELL SPIRAX S2 ATF AX</t>
  </si>
  <si>
    <t>Mobil ATF - 220</t>
  </si>
  <si>
    <t>LEMARC PNEUMOGUARD 100</t>
  </si>
  <si>
    <t>PVG100</t>
  </si>
  <si>
    <t xml:space="preserve">EXSOIL P-MATIC VG32 / LEMARC PNEUMOGUARD 32 </t>
  </si>
  <si>
    <t>Renogear SG320</t>
  </si>
  <si>
    <t xml:space="preserve">Left Recoil Spring / Левая натяжная пружина </t>
  </si>
  <si>
    <t>Right Recoil Spring / Правая натяжная пружина</t>
  </si>
  <si>
    <t>Crusher lubrication / Смазочная система дробилки</t>
  </si>
  <si>
    <t>11L</t>
  </si>
  <si>
    <t>Mobilgear 600 XP SHC 100</t>
  </si>
  <si>
    <t>Mobilith SHC 007</t>
  </si>
  <si>
    <t>Shell Gadus S5 T460 1.5</t>
  </si>
  <si>
    <t>EP 1.5 460</t>
  </si>
  <si>
    <t>EP 0/00 150</t>
  </si>
  <si>
    <t>Layshaft bearings / Подшипники промвала</t>
  </si>
  <si>
    <t>11F</t>
  </si>
  <si>
    <t>11G</t>
  </si>
  <si>
    <t>Layshaft internal spline / Шлицы промвала</t>
  </si>
  <si>
    <t>SAE 85W-90</t>
  </si>
  <si>
    <t>SAE5W-20</t>
  </si>
  <si>
    <t>SAE 85W90</t>
  </si>
  <si>
    <t>Vibrating drum / Вибровалец</t>
  </si>
  <si>
    <t>Mobil Mobilith SHC007</t>
  </si>
  <si>
    <t>Chevron
Ulti-Plex
Synthetic
Grease EP</t>
  </si>
  <si>
    <t>4MDE</t>
  </si>
  <si>
    <t>4MNDE</t>
  </si>
  <si>
    <t>Mobil Mobilgrease SHC 100</t>
  </si>
  <si>
    <t>Motor DE / Мотор DE</t>
  </si>
  <si>
    <t>Motor NDE / Мотор NDE</t>
  </si>
  <si>
    <t>Chevron Delo 400 LESynthetic</t>
  </si>
  <si>
    <t>Mobil SHC Gear 460 OH</t>
  </si>
  <si>
    <t>KLUBER ISOFLEX TOPASL 152</t>
  </si>
  <si>
    <t>Eccentric bearings (each)/ Подшипники эксцентрика (каждый)</t>
  </si>
  <si>
    <t>11M</t>
  </si>
  <si>
    <t>11N</t>
  </si>
  <si>
    <t>Main conveyor / Главный конвейер</t>
  </si>
  <si>
    <t xml:space="preserve">Side conveyor/ Боковой конвейер </t>
  </si>
  <si>
    <t>4106 Синтетическое авиационное масло</t>
  </si>
  <si>
    <t>Mobilith SHC 100</t>
  </si>
  <si>
    <t>11O</t>
  </si>
  <si>
    <t>11P</t>
  </si>
  <si>
    <t>Magnetic Separator / Магнитный сеператор</t>
  </si>
  <si>
    <t>Mobil SHC 630</t>
  </si>
  <si>
    <t>MOBIL SHC POLYREX 102EM</t>
  </si>
  <si>
    <t>Мобил SHC 629</t>
  </si>
  <si>
    <t>Feeder / Питатель</t>
  </si>
  <si>
    <t>11Q</t>
  </si>
  <si>
    <t>Hydraulic unit/Гидравлическая станция</t>
  </si>
  <si>
    <t>Мобил SHC 626</t>
  </si>
  <si>
    <t>Shell Omala 220</t>
  </si>
  <si>
    <t>Actual grease/oil</t>
  </si>
  <si>
    <t xml:space="preserve">Mobilith SHC 220 </t>
  </si>
  <si>
    <t>EXSOIL ANTIFREEZE G12+ 40/60 / LEMARC FROSTGUARD G12+ Extra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</si>
</sst>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164" formatCode="_(* #,##0.00_);_(* \(#,##0.00\);_(* &quot;-&quot;??_);_(@_)"/>
    <numFmt numFmtId="165" formatCode="[$-409]mmmm\ d\,\ yyyy;@"/>
    <numFmt numFmtId="166" formatCode="_(* #,##0.0_);_(* \(#,##0.0\);_(* &quot;-&quot;??_);_(@_)"/>
    <numFmt numFmtId="167" formatCode="_(* #,##0_);_(* \(#,##0\);_(* &quot;-&quot;??_);_(@_)"/>
    <numFmt numFmtId="168" formatCode="_(* #,##0.0000_);_(* \(#,##0.0000\);_(* &quot;-&quot;??_);_(@_)"/>
    <numFmt numFmtId="169" formatCode="0.0"/>
    <numFmt numFmtId="170" formatCode="[$-409]d\-mmm\-yy;@"/>
    <numFmt numFmtId="171" formatCode="[$-3409]dd\-mmm\-yy;@"/>
  </numFmts>
  <fonts count="99" x14ac:knownFonts="1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0"/>
      <name val="Arial"/>
      <family val="2"/>
    </font>
    <font>
      <b/>
      <sz val="12"/>
      <name val="Arial"/>
      <family val="2"/>
    </font>
    <font>
      <sz val="10"/>
      <name val="Arial"/>
      <family val="2"/>
    </font>
    <font>
      <b/>
      <i/>
      <sz val="8"/>
      <name val="Arial"/>
      <family val="2"/>
    </font>
    <font>
      <b/>
      <sz val="16"/>
      <name val="Arial"/>
      <family val="2"/>
    </font>
    <font>
      <sz val="12"/>
      <name val="Arial"/>
      <family val="2"/>
    </font>
    <font>
      <sz val="14"/>
      <name val="Arial"/>
      <family val="2"/>
    </font>
    <font>
      <b/>
      <sz val="14"/>
      <name val="Arial"/>
      <family val="2"/>
    </font>
    <font>
      <sz val="10"/>
      <name val="Arial"/>
      <family val="2"/>
      <charset val="204"/>
    </font>
    <font>
      <b/>
      <sz val="18"/>
      <name val="Arial"/>
      <family val="2"/>
    </font>
    <font>
      <sz val="16"/>
      <name val="Arial"/>
      <family val="2"/>
    </font>
    <font>
      <b/>
      <sz val="22"/>
      <name val="Arial"/>
      <family val="2"/>
    </font>
    <font>
      <b/>
      <sz val="20"/>
      <name val="Arial"/>
      <family val="2"/>
    </font>
    <font>
      <sz val="18"/>
      <name val="Arial"/>
      <family val="2"/>
    </font>
    <font>
      <b/>
      <sz val="28"/>
      <color rgb="FF0070C0"/>
      <name val="Arial"/>
      <family val="2"/>
    </font>
    <font>
      <b/>
      <sz val="12"/>
      <color theme="0"/>
      <name val="Arial"/>
      <family val="2"/>
    </font>
    <font>
      <sz val="10"/>
      <name val="Arial"/>
      <family val="2"/>
    </font>
    <font>
      <sz val="13"/>
      <name val="Arial"/>
      <family val="2"/>
    </font>
    <font>
      <b/>
      <sz val="12"/>
      <name val="Arial"/>
      <family val="2"/>
      <charset val="204"/>
    </font>
    <font>
      <b/>
      <sz val="24"/>
      <name val="Arial"/>
      <family val="2"/>
    </font>
    <font>
      <b/>
      <sz val="16"/>
      <name val="Arial"/>
      <family val="2"/>
      <charset val="204"/>
    </font>
    <font>
      <b/>
      <sz val="12"/>
      <color theme="0"/>
      <name val="Arial"/>
      <family val="2"/>
      <charset val="204"/>
    </font>
    <font>
      <sz val="18"/>
      <color rgb="FFFF0000"/>
      <name val="Arial"/>
      <family val="2"/>
      <charset val="204"/>
    </font>
    <font>
      <b/>
      <sz val="24"/>
      <color rgb="FF0070C0"/>
      <name val="Arial"/>
      <family val="2"/>
      <charset val="204"/>
    </font>
    <font>
      <b/>
      <sz val="18"/>
      <name val="Arial"/>
      <family val="2"/>
      <charset val="204"/>
    </font>
    <font>
      <i/>
      <sz val="18"/>
      <name val="Arial"/>
      <family val="2"/>
    </font>
    <font>
      <b/>
      <sz val="22"/>
      <color rgb="FF002060"/>
      <name val="Arial"/>
      <family val="2"/>
    </font>
    <font>
      <i/>
      <sz val="16"/>
      <name val="Arial"/>
      <family val="2"/>
    </font>
    <font>
      <sz val="22"/>
      <name val="Arial"/>
      <family val="2"/>
    </font>
    <font>
      <sz val="12"/>
      <color theme="1"/>
      <name val="Arial"/>
      <family val="2"/>
    </font>
    <font>
      <b/>
      <sz val="16"/>
      <color rgb="FFFF0000"/>
      <name val="Arial"/>
      <family val="2"/>
    </font>
    <font>
      <b/>
      <sz val="18"/>
      <color theme="0"/>
      <name val="Arial"/>
      <family val="2"/>
    </font>
    <font>
      <b/>
      <sz val="14"/>
      <name val="Arial"/>
      <family val="2"/>
      <charset val="204"/>
    </font>
    <font>
      <sz val="14"/>
      <name val="Arial"/>
      <family val="2"/>
      <charset val="204"/>
    </font>
    <font>
      <b/>
      <sz val="14"/>
      <color theme="0"/>
      <name val="Arial"/>
      <family val="2"/>
    </font>
    <font>
      <b/>
      <sz val="14"/>
      <color theme="1"/>
      <name val="Arial"/>
      <family val="2"/>
    </font>
    <font>
      <sz val="8"/>
      <color theme="0"/>
      <name val="Arial"/>
      <family val="2"/>
    </font>
    <font>
      <b/>
      <sz val="18"/>
      <color theme="1"/>
      <name val="Arial"/>
      <family val="2"/>
    </font>
    <font>
      <b/>
      <sz val="8"/>
      <name val="Arial"/>
      <family val="2"/>
    </font>
    <font>
      <sz val="8"/>
      <name val="Arial"/>
      <family val="2"/>
    </font>
    <font>
      <sz val="18"/>
      <name val="Arial"/>
      <family val="2"/>
      <charset val="204"/>
    </font>
    <font>
      <b/>
      <sz val="18"/>
      <color theme="0"/>
      <name val="Arial"/>
      <family val="2"/>
      <charset val="204"/>
    </font>
    <font>
      <b/>
      <sz val="10"/>
      <color theme="1"/>
      <name val="Arial"/>
      <family val="2"/>
    </font>
    <font>
      <sz val="8"/>
      <name val="Arial"/>
      <family val="2"/>
      <charset val="204"/>
    </font>
    <font>
      <sz val="9"/>
      <name val="Arial"/>
      <family val="2"/>
      <charset val="204"/>
    </font>
    <font>
      <b/>
      <sz val="8.5"/>
      <name val="Arial"/>
      <family val="2"/>
      <charset val="204"/>
    </font>
    <font>
      <b/>
      <sz val="8"/>
      <name val="Arial"/>
      <family val="2"/>
      <charset val="204"/>
    </font>
    <font>
      <b/>
      <sz val="10"/>
      <name val="Arial"/>
      <family val="2"/>
      <charset val="204"/>
    </font>
    <font>
      <b/>
      <sz val="9"/>
      <name val="Arial"/>
      <family val="2"/>
      <charset val="204"/>
    </font>
    <font>
      <u/>
      <sz val="10"/>
      <color theme="10"/>
      <name val="Arial"/>
      <family val="2"/>
      <charset val="204"/>
    </font>
    <font>
      <sz val="8"/>
      <name val="Arial"/>
      <family val="2"/>
      <charset val="204"/>
    </font>
    <font>
      <sz val="9"/>
      <name val="Arial"/>
      <family val="2"/>
    </font>
    <font>
      <sz val="20"/>
      <name val="Arial"/>
      <family val="2"/>
    </font>
    <font>
      <sz val="24"/>
      <name val="Arial"/>
      <family val="2"/>
    </font>
    <font>
      <b/>
      <sz val="14"/>
      <color theme="1"/>
      <name val="Arial"/>
      <family val="2"/>
      <charset val="204"/>
    </font>
    <font>
      <b/>
      <sz val="24"/>
      <name val="Arial"/>
      <family val="2"/>
      <charset val="204"/>
    </font>
    <font>
      <b/>
      <sz val="20"/>
      <name val="Arial"/>
      <family val="2"/>
      <charset val="204"/>
    </font>
    <font>
      <b/>
      <sz val="16"/>
      <color rgb="FF000000"/>
      <name val="Arial"/>
      <family val="2"/>
      <charset val="204"/>
    </font>
    <font>
      <i/>
      <sz val="10"/>
      <color rgb="FF595959"/>
      <name val="Arial"/>
      <family val="2"/>
      <charset val="204"/>
    </font>
    <font>
      <sz val="10"/>
      <color rgb="FF808080"/>
      <name val="Arial"/>
      <family val="2"/>
      <charset val="204"/>
    </font>
    <font>
      <b/>
      <sz val="10"/>
      <color rgb="FF0070C0"/>
      <name val="Arial"/>
      <family val="2"/>
      <charset val="204"/>
    </font>
    <font>
      <b/>
      <sz val="10"/>
      <color rgb="FF808080"/>
      <name val="Arial"/>
      <family val="2"/>
      <charset val="204"/>
    </font>
    <font>
      <sz val="10"/>
      <color rgb="FF0070C0"/>
      <name val="Arial"/>
      <family val="2"/>
      <charset val="204"/>
    </font>
    <font>
      <i/>
      <sz val="10"/>
      <color rgb="FF0070C0"/>
      <name val="Arial"/>
      <family val="2"/>
      <charset val="204"/>
    </font>
    <font>
      <sz val="16"/>
      <name val="Arial"/>
      <family val="2"/>
      <charset val="204"/>
    </font>
    <font>
      <sz val="16"/>
      <color rgb="FF0070C0"/>
      <name val="Arial"/>
      <family val="2"/>
      <charset val="204"/>
    </font>
    <font>
      <sz val="16"/>
      <color theme="3" tint="0.39997558519241921"/>
      <name val="Arial"/>
      <family val="2"/>
      <charset val="204"/>
    </font>
    <font>
      <i/>
      <sz val="16"/>
      <color rgb="FF0070C0"/>
      <name val="Arial"/>
      <family val="2"/>
      <charset val="204"/>
    </font>
    <font>
      <sz val="9"/>
      <color indexed="81"/>
      <name val="Tahoma"/>
      <family val="2"/>
      <charset val="204"/>
    </font>
    <font>
      <b/>
      <sz val="9"/>
      <color indexed="81"/>
      <name val="Tahoma"/>
      <family val="2"/>
      <charset val="204"/>
    </font>
    <font>
      <b/>
      <sz val="14"/>
      <color rgb="FF000000"/>
      <name val="Arial"/>
      <family val="2"/>
    </font>
    <font>
      <b/>
      <sz val="16"/>
      <color rgb="FF000000"/>
      <name val="Arial"/>
      <family val="2"/>
    </font>
    <font>
      <sz val="10"/>
      <color rgb="FF000000"/>
      <name val="Arial"/>
      <family val="2"/>
    </font>
    <font>
      <b/>
      <sz val="14"/>
      <color rgb="FFFFFFFF"/>
      <name val="Arial"/>
      <family val="2"/>
    </font>
    <font>
      <b/>
      <sz val="16"/>
      <color rgb="FFFFFFFF"/>
      <name val="Arial"/>
      <family val="2"/>
    </font>
    <font>
      <sz val="16"/>
      <color rgb="FFFFFFFF"/>
      <name val="Arial"/>
      <family val="2"/>
    </font>
    <font>
      <b/>
      <sz val="14"/>
      <color rgb="FF000000"/>
      <name val="Arial"/>
      <family val="2"/>
      <charset val="204"/>
    </font>
    <font>
      <b/>
      <sz val="10"/>
      <color rgb="FFFFFFFF"/>
      <name val="Arial"/>
      <family val="2"/>
      <charset val="204"/>
    </font>
    <font>
      <sz val="16"/>
      <color rgb="FFFF0000"/>
      <name val="Arial"/>
      <family val="2"/>
      <charset val="204"/>
    </font>
    <font>
      <b/>
      <sz val="14"/>
      <color rgb="FFFF0000"/>
      <name val="Arial"/>
      <family val="2"/>
      <charset val="204"/>
    </font>
    <font>
      <b/>
      <i/>
      <sz val="10"/>
      <color rgb="FF808080"/>
      <name val="Arial"/>
      <family val="2"/>
    </font>
    <font>
      <i/>
      <sz val="10"/>
      <color rgb="FF808080"/>
      <name val="Arial"/>
      <family val="2"/>
      <charset val="204"/>
    </font>
    <font>
      <i/>
      <sz val="10"/>
      <name val="Arial"/>
      <family val="2"/>
      <charset val="204"/>
    </font>
    <font>
      <sz val="10"/>
      <color rgb="FF0000FF"/>
      <name val="Arial"/>
      <family val="2"/>
      <charset val="204"/>
    </font>
    <font>
      <b/>
      <sz val="10"/>
      <color rgb="FF0000FF"/>
      <name val="Arial"/>
      <family val="2"/>
      <charset val="204"/>
    </font>
    <font>
      <sz val="9"/>
      <color rgb="FF808080"/>
      <name val="Arial"/>
      <family val="2"/>
      <charset val="204"/>
    </font>
    <font>
      <i/>
      <sz val="9"/>
      <color rgb="FF808080"/>
      <name val="Arial"/>
      <family val="2"/>
      <charset val="204"/>
    </font>
    <font>
      <b/>
      <i/>
      <sz val="10"/>
      <name val="Arial"/>
      <family val="2"/>
      <charset val="204"/>
    </font>
    <font>
      <sz val="10"/>
      <color theme="8" tint="0.59999389629810485"/>
      <name val="Arial"/>
      <family val="2"/>
      <charset val="204"/>
    </font>
    <font>
      <b/>
      <sz val="10"/>
      <color theme="0"/>
      <name val="Arial"/>
      <family val="2"/>
      <charset val="204"/>
    </font>
    <font>
      <sz val="10"/>
      <color rgb="FFFF0000"/>
      <name val="Arial"/>
      <family val="2"/>
      <charset val="204"/>
    </font>
    <font>
      <sz val="20"/>
      <color rgb="FF0070C0"/>
      <name val="Arial"/>
      <family val="2"/>
      <charset val="204"/>
    </font>
    <font>
      <sz val="20"/>
      <color theme="3" tint="0.39997558519241921"/>
      <name val="Arial"/>
      <family val="2"/>
      <charset val="204"/>
    </font>
    <font>
      <i/>
      <u/>
      <sz val="20"/>
      <color theme="3" tint="0.39997558519241921"/>
      <name val="Arial"/>
      <family val="2"/>
      <charset val="204"/>
    </font>
    <font>
      <i/>
      <u/>
      <sz val="20"/>
      <color rgb="FF0070C0"/>
      <name val="Arial"/>
      <family val="2"/>
      <charset val="204"/>
    </font>
    <font>
      <b/>
      <sz val="16"/>
      <color theme="1"/>
      <name val="Arial"/>
      <family val="2"/>
    </font>
  </fonts>
  <fills count="60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993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66FFFF"/>
        <bgColor indexed="64"/>
      </patternFill>
    </fill>
    <fill>
      <patternFill patternType="solid">
        <fgColor theme="5" tint="0.59999389629810485"/>
        <bgColor indexed="64"/>
      </patternFill>
    </fill>
    <fill>
      <gradientFill degree="90">
        <stop position="0">
          <color theme="0"/>
        </stop>
        <stop position="1">
          <color rgb="FF00B050"/>
        </stop>
      </gradientFill>
    </fill>
    <fill>
      <patternFill patternType="solid">
        <fgColor theme="4" tint="0.79998168889431442"/>
        <bgColor indexed="64"/>
      </patternFill>
    </fill>
    <fill>
      <gradientFill degree="315">
        <stop position="0">
          <color theme="0"/>
        </stop>
        <stop position="1">
          <color rgb="FF0070C0"/>
        </stop>
      </gradientFill>
    </fill>
    <fill>
      <gradientFill degree="90">
        <stop position="0">
          <color theme="0"/>
        </stop>
        <stop position="1">
          <color rgb="FF00B0F0"/>
        </stop>
      </gradientFill>
    </fill>
    <fill>
      <gradientFill degree="90">
        <stop position="0">
          <color theme="0"/>
        </stop>
        <stop position="1">
          <color theme="4"/>
        </stop>
      </gradientFill>
    </fill>
    <fill>
      <patternFill patternType="solid">
        <fgColor theme="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5" tint="-0.49998474074526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C5D9F1"/>
        <bgColor indexed="64"/>
      </patternFill>
    </fill>
    <fill>
      <patternFill patternType="solid">
        <fgColor rgb="FFDCE6F1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BFBFBF"/>
        <bgColor indexed="64"/>
      </patternFill>
    </fill>
    <fill>
      <patternFill patternType="solid">
        <fgColor rgb="FF00B0B0"/>
        <bgColor indexed="64"/>
      </patternFill>
    </fill>
    <fill>
      <patternFill patternType="solid">
        <fgColor rgb="FFCC99FF"/>
        <bgColor indexed="64"/>
      </patternFill>
    </fill>
    <fill>
      <patternFill patternType="solid">
        <fgColor rgb="FFE4DFEC"/>
        <bgColor indexed="64"/>
      </patternFill>
    </fill>
    <fill>
      <patternFill patternType="solid">
        <fgColor rgb="FFCCC0DA"/>
        <bgColor indexed="64"/>
      </patternFill>
    </fill>
    <fill>
      <patternFill patternType="solid">
        <fgColor rgb="FFEBF1DE"/>
        <bgColor indexed="64"/>
      </patternFill>
    </fill>
    <fill>
      <patternFill patternType="solid">
        <fgColor rgb="FFD8E4BC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FDE9D9"/>
        <bgColor indexed="64"/>
      </patternFill>
    </fill>
    <fill>
      <patternFill patternType="solid">
        <fgColor rgb="FFFCD5B4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C000"/>
        <bgColor auto="1"/>
      </patternFill>
    </fill>
    <fill>
      <patternFill patternType="solid">
        <fgColor rgb="FF00B0F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rgb="FFD24E51"/>
        <bgColor indexed="64"/>
      </patternFill>
    </fill>
    <fill>
      <patternFill patternType="solid">
        <fgColor rgb="FFFF0066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rgb="FFECD89E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6" tint="0.39997558519241921"/>
        <bgColor indexed="64"/>
      </patternFill>
    </fill>
  </fills>
  <borders count="53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double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indexed="64"/>
      </left>
      <right style="hair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double">
        <color indexed="64"/>
      </bottom>
      <diagonal/>
    </border>
    <border>
      <left style="thin">
        <color indexed="64"/>
      </left>
      <right style="hair">
        <color indexed="64"/>
      </right>
      <top style="double">
        <color indexed="64"/>
      </top>
      <bottom style="double">
        <color indexed="64"/>
      </bottom>
      <diagonal/>
    </border>
    <border>
      <left style="hair">
        <color indexed="64"/>
      </left>
      <right style="hair">
        <color indexed="64"/>
      </right>
      <top style="double">
        <color indexed="64"/>
      </top>
      <bottom style="double">
        <color indexed="64"/>
      </bottom>
      <diagonal/>
    </border>
    <border>
      <left style="hair">
        <color indexed="64"/>
      </left>
      <right style="double">
        <color indexed="64"/>
      </right>
      <top style="double">
        <color indexed="64"/>
      </top>
      <bottom style="double">
        <color indexed="64"/>
      </bottom>
      <diagonal/>
    </border>
    <border>
      <left style="double">
        <color indexed="64"/>
      </left>
      <right style="hair">
        <color indexed="64"/>
      </right>
      <top/>
      <bottom/>
      <diagonal/>
    </border>
    <border>
      <left style="hair">
        <color indexed="64"/>
      </left>
      <right style="hair">
        <color indexed="64"/>
      </right>
      <top/>
      <bottom/>
      <diagonal/>
    </border>
    <border>
      <left style="hair">
        <color indexed="64"/>
      </left>
      <right style="double">
        <color indexed="64"/>
      </right>
      <top/>
      <bottom/>
      <diagonal/>
    </border>
    <border>
      <left style="double">
        <color indexed="64"/>
      </left>
      <right style="thin">
        <color indexed="64"/>
      </right>
      <top style="double">
        <color indexed="64"/>
      </top>
      <bottom style="double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rgb="FFBFBFBF"/>
      </left>
      <right style="thin">
        <color rgb="FFBFBFBF"/>
      </right>
      <top/>
      <bottom/>
      <diagonal/>
    </border>
    <border>
      <left/>
      <right style="hair">
        <color indexed="64"/>
      </right>
      <top style="thin">
        <color indexed="64"/>
      </top>
      <bottom/>
      <diagonal/>
    </border>
    <border>
      <left/>
      <right style="hair">
        <color indexed="64"/>
      </right>
      <top style="double">
        <color indexed="64"/>
      </top>
      <bottom style="double">
        <color indexed="64"/>
      </bottom>
      <diagonal/>
    </border>
    <border>
      <left/>
      <right style="hair">
        <color indexed="64"/>
      </right>
      <top/>
      <bottom/>
      <diagonal/>
    </border>
    <border>
      <left style="thick">
        <color rgb="FFFFC000"/>
      </left>
      <right style="thick">
        <color rgb="FFFFC000"/>
      </right>
      <top style="thick">
        <color rgb="FFFFC000"/>
      </top>
      <bottom style="thick">
        <color rgb="FFFFC000"/>
      </bottom>
      <diagonal/>
    </border>
    <border>
      <left style="thick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thick">
        <color theme="8"/>
      </left>
      <right style="thick">
        <color theme="8"/>
      </right>
      <top style="thick">
        <color theme="8"/>
      </top>
      <bottom style="thick">
        <color theme="8"/>
      </bottom>
      <diagonal/>
    </border>
    <border>
      <left style="thick">
        <color theme="1" tint="0.499984740745262"/>
      </left>
      <right style="thick">
        <color theme="1" tint="0.499984740745262"/>
      </right>
      <top style="thick">
        <color theme="1" tint="0.499984740745262"/>
      </top>
      <bottom style="thick">
        <color theme="1" tint="0.499984740745262"/>
      </bottom>
      <diagonal/>
    </border>
    <border>
      <left style="thick">
        <color rgb="FFD24E51"/>
      </left>
      <right style="thick">
        <color rgb="FFD24E51"/>
      </right>
      <top style="thick">
        <color rgb="FFD24E51"/>
      </top>
      <bottom style="thick">
        <color rgb="FFD24E51"/>
      </bottom>
      <diagonal/>
    </border>
    <border>
      <left style="hair">
        <color indexed="64"/>
      </left>
      <right/>
      <top style="thin">
        <color indexed="64"/>
      </top>
      <bottom/>
      <diagonal/>
    </border>
    <border>
      <left style="hair">
        <color indexed="64"/>
      </left>
      <right/>
      <top style="double">
        <color indexed="64"/>
      </top>
      <bottom style="double">
        <color indexed="64"/>
      </bottom>
      <diagonal/>
    </border>
    <border>
      <left style="hair">
        <color indexed="64"/>
      </left>
      <right/>
      <top/>
      <bottom/>
      <diagonal/>
    </border>
  </borders>
  <cellStyleXfs count="8">
    <xf numFmtId="0" fontId="0" fillId="0" borderId="0"/>
    <xf numFmtId="0" fontId="5" fillId="0" borderId="0"/>
    <xf numFmtId="0" fontId="19" fillId="0" borderId="0"/>
    <xf numFmtId="0" fontId="11" fillId="0" borderId="0"/>
    <xf numFmtId="0" fontId="2" fillId="0" borderId="0"/>
    <xf numFmtId="164" fontId="1" fillId="0" borderId="0" applyFont="0" applyFill="0" applyBorder="0" applyAlignment="0" applyProtection="0"/>
    <xf numFmtId="0" fontId="52" fillId="0" borderId="0" applyNumberFormat="0" applyFill="0" applyBorder="0" applyAlignment="0" applyProtection="0"/>
    <xf numFmtId="0" fontId="11" fillId="0" borderId="0"/>
  </cellStyleXfs>
  <cellXfs count="581">
    <xf numFmtId="0" fontId="0" fillId="0" borderId="0" xfId="0"/>
    <xf numFmtId="0" fontId="5" fillId="0" borderId="0" xfId="1" applyProtection="1">
      <protection hidden="1"/>
    </xf>
    <xf numFmtId="0" fontId="9" fillId="0" borderId="0" xfId="1" applyFont="1" applyProtection="1">
      <protection hidden="1"/>
    </xf>
    <xf numFmtId="0" fontId="8" fillId="2" borderId="2" xfId="1" applyFont="1" applyFill="1" applyBorder="1" applyProtection="1">
      <protection hidden="1"/>
    </xf>
    <xf numFmtId="0" fontId="8" fillId="2" borderId="0" xfId="1" applyFont="1" applyFill="1" applyProtection="1">
      <protection hidden="1"/>
    </xf>
    <xf numFmtId="0" fontId="8" fillId="2" borderId="9" xfId="1" applyFont="1" applyFill="1" applyBorder="1" applyProtection="1">
      <protection hidden="1"/>
    </xf>
    <xf numFmtId="0" fontId="4" fillId="0" borderId="2" xfId="1" applyFont="1" applyBorder="1" applyProtection="1">
      <protection hidden="1"/>
    </xf>
    <xf numFmtId="0" fontId="5" fillId="0" borderId="8" xfId="1" applyBorder="1" applyProtection="1">
      <protection hidden="1"/>
    </xf>
    <xf numFmtId="0" fontId="5" fillId="0" borderId="1" xfId="1" applyBorder="1" applyProtection="1">
      <protection hidden="1"/>
    </xf>
    <xf numFmtId="0" fontId="5" fillId="0" borderId="10" xfId="1" applyBorder="1" applyProtection="1">
      <protection hidden="1"/>
    </xf>
    <xf numFmtId="0" fontId="5" fillId="0" borderId="9" xfId="1" applyBorder="1" applyProtection="1">
      <protection hidden="1"/>
    </xf>
    <xf numFmtId="0" fontId="3" fillId="0" borderId="0" xfId="1" applyFont="1" applyProtection="1">
      <protection hidden="1"/>
    </xf>
    <xf numFmtId="0" fontId="5" fillId="0" borderId="2" xfId="1" applyBorder="1" applyProtection="1">
      <protection hidden="1"/>
    </xf>
    <xf numFmtId="0" fontId="8" fillId="0" borderId="0" xfId="1" applyFont="1" applyProtection="1">
      <protection hidden="1"/>
    </xf>
    <xf numFmtId="0" fontId="8" fillId="0" borderId="11" xfId="1" applyFont="1" applyBorder="1" applyAlignment="1" applyProtection="1">
      <alignment horizontal="left" vertical="center" shrinkToFit="1"/>
      <protection hidden="1"/>
    </xf>
    <xf numFmtId="0" fontId="8" fillId="0" borderId="11" xfId="1" applyFont="1" applyBorder="1" applyProtection="1">
      <protection hidden="1"/>
    </xf>
    <xf numFmtId="0" fontId="8" fillId="0" borderId="13" xfId="1" applyFont="1" applyBorder="1" applyAlignment="1" applyProtection="1">
      <alignment horizontal="center"/>
      <protection hidden="1"/>
    </xf>
    <xf numFmtId="0" fontId="8" fillId="0" borderId="3" xfId="1" applyFont="1" applyBorder="1" applyAlignment="1" applyProtection="1">
      <alignment horizontal="center" vertical="center" wrapText="1" shrinkToFit="1"/>
      <protection hidden="1"/>
    </xf>
    <xf numFmtId="0" fontId="8" fillId="0" borderId="4" xfId="1" applyFont="1" applyBorder="1" applyAlignment="1" applyProtection="1">
      <alignment horizontal="center" vertical="center" wrapText="1" shrinkToFit="1"/>
      <protection hidden="1"/>
    </xf>
    <xf numFmtId="0" fontId="5" fillId="0" borderId="0" xfId="1" applyAlignment="1" applyProtection="1">
      <alignment wrapText="1"/>
      <protection hidden="1"/>
    </xf>
    <xf numFmtId="0" fontId="7" fillId="0" borderId="2" xfId="1" applyFont="1" applyBorder="1" applyProtection="1">
      <protection hidden="1"/>
    </xf>
    <xf numFmtId="0" fontId="13" fillId="0" borderId="0" xfId="1" applyFont="1" applyProtection="1">
      <protection hidden="1"/>
    </xf>
    <xf numFmtId="0" fontId="8" fillId="0" borderId="9" xfId="1" applyFont="1" applyBorder="1" applyProtection="1">
      <protection hidden="1"/>
    </xf>
    <xf numFmtId="0" fontId="13" fillId="0" borderId="2" xfId="1" applyFont="1" applyBorder="1" applyProtection="1">
      <protection hidden="1"/>
    </xf>
    <xf numFmtId="0" fontId="17" fillId="0" borderId="0" xfId="1" applyFont="1" applyAlignment="1" applyProtection="1">
      <alignment horizontal="center" vertical="center"/>
      <protection locked="0"/>
    </xf>
    <xf numFmtId="0" fontId="13" fillId="0" borderId="0" xfId="0" applyFont="1" applyProtection="1">
      <protection hidden="1"/>
    </xf>
    <xf numFmtId="0" fontId="8" fillId="0" borderId="9" xfId="0" applyFont="1" applyBorder="1" applyProtection="1">
      <protection hidden="1"/>
    </xf>
    <xf numFmtId="0" fontId="7" fillId="0" borderId="2" xfId="0" applyFont="1" applyBorder="1" applyProtection="1">
      <protection hidden="1"/>
    </xf>
    <xf numFmtId="0" fontId="4" fillId="0" borderId="9" xfId="1" applyFont="1" applyBorder="1" applyProtection="1">
      <protection hidden="1"/>
    </xf>
    <xf numFmtId="0" fontId="12" fillId="0" borderId="2" xfId="1" applyFont="1" applyBorder="1" applyProtection="1">
      <protection hidden="1"/>
    </xf>
    <xf numFmtId="0" fontId="16" fillId="0" borderId="0" xfId="1" applyFont="1" applyAlignment="1" applyProtection="1">
      <alignment horizontal="left" vertical="top"/>
      <protection hidden="1"/>
    </xf>
    <xf numFmtId="0" fontId="7" fillId="0" borderId="6" xfId="1" applyFont="1" applyBorder="1" applyAlignment="1" applyProtection="1">
      <alignment horizontal="center" vertical="center" shrinkToFit="1"/>
      <protection hidden="1"/>
    </xf>
    <xf numFmtId="0" fontId="4" fillId="0" borderId="10" xfId="1" applyFont="1" applyBorder="1" applyAlignment="1" applyProtection="1">
      <alignment vertical="center" wrapText="1" shrinkToFit="1"/>
      <protection hidden="1"/>
    </xf>
    <xf numFmtId="0" fontId="16" fillId="0" borderId="0" xfId="1" applyFont="1" applyAlignment="1" applyProtection="1">
      <alignment horizontal="left" vertical="top" shrinkToFit="1"/>
      <protection hidden="1"/>
    </xf>
    <xf numFmtId="0" fontId="13" fillId="0" borderId="9" xfId="1" applyFont="1" applyBorder="1" applyAlignment="1" applyProtection="1">
      <alignment horizontal="left"/>
      <protection hidden="1"/>
    </xf>
    <xf numFmtId="0" fontId="8" fillId="0" borderId="5" xfId="1" applyFont="1" applyBorder="1" applyAlignment="1" applyProtection="1">
      <alignment horizontal="center" vertical="center" wrapText="1" shrinkToFit="1"/>
      <protection hidden="1"/>
    </xf>
    <xf numFmtId="0" fontId="12" fillId="0" borderId="0" xfId="1" applyFont="1" applyAlignment="1" applyProtection="1">
      <alignment vertical="top"/>
      <protection hidden="1"/>
    </xf>
    <xf numFmtId="0" fontId="4" fillId="0" borderId="11" xfId="1" applyFont="1" applyBorder="1" applyAlignment="1" applyProtection="1">
      <alignment horizontal="left" vertical="center" shrinkToFit="1"/>
      <protection hidden="1"/>
    </xf>
    <xf numFmtId="0" fontId="9" fillId="0" borderId="7" xfId="1" applyFont="1" applyBorder="1" applyAlignment="1" applyProtection="1">
      <alignment horizontal="center" vertical="center"/>
      <protection hidden="1"/>
    </xf>
    <xf numFmtId="0" fontId="16" fillId="0" borderId="0" xfId="1" applyFont="1" applyAlignment="1" applyProtection="1">
      <alignment vertical="top"/>
      <protection hidden="1"/>
    </xf>
    <xf numFmtId="0" fontId="9" fillId="0" borderId="10" xfId="1" applyFont="1" applyBorder="1" applyAlignment="1" applyProtection="1">
      <alignment horizontal="center" vertical="center" wrapText="1"/>
      <protection hidden="1"/>
    </xf>
    <xf numFmtId="0" fontId="9" fillId="0" borderId="4" xfId="1" applyFont="1" applyBorder="1" applyAlignment="1" applyProtection="1">
      <alignment horizontal="center" vertical="center" wrapText="1"/>
      <protection hidden="1"/>
    </xf>
    <xf numFmtId="0" fontId="8" fillId="2" borderId="0" xfId="1" applyFont="1" applyFill="1" applyAlignment="1" applyProtection="1">
      <alignment wrapText="1"/>
      <protection hidden="1"/>
    </xf>
    <xf numFmtId="165" fontId="7" fillId="0" borderId="0" xfId="0" applyNumberFormat="1" applyFont="1" applyAlignment="1" applyProtection="1">
      <alignment horizontal="center" vertical="center"/>
      <protection locked="0"/>
    </xf>
    <xf numFmtId="0" fontId="6" fillId="0" borderId="5" xfId="1" applyFont="1" applyBorder="1" applyProtection="1">
      <protection hidden="1"/>
    </xf>
    <xf numFmtId="0" fontId="5" fillId="0" borderId="6" xfId="1" applyBorder="1" applyProtection="1">
      <protection hidden="1"/>
    </xf>
    <xf numFmtId="0" fontId="7" fillId="0" borderId="2" xfId="0" applyFont="1" applyBorder="1" applyAlignment="1" applyProtection="1">
      <alignment horizontal="left" vertical="top"/>
      <protection hidden="1"/>
    </xf>
    <xf numFmtId="0" fontId="7" fillId="0" borderId="0" xfId="0" applyFont="1" applyAlignment="1" applyProtection="1">
      <alignment horizontal="left" vertical="top"/>
      <protection hidden="1"/>
    </xf>
    <xf numFmtId="0" fontId="18" fillId="0" borderId="11" xfId="1" applyFont="1" applyBorder="1" applyAlignment="1" applyProtection="1">
      <alignment horizontal="left" vertical="center" shrinkToFit="1"/>
      <protection hidden="1"/>
    </xf>
    <xf numFmtId="0" fontId="14" fillId="0" borderId="12" xfId="1" applyFont="1" applyBorder="1" applyAlignment="1">
      <alignment horizontal="left" vertical="center"/>
    </xf>
    <xf numFmtId="0" fontId="14" fillId="0" borderId="12" xfId="1" applyFont="1" applyBorder="1" applyAlignment="1">
      <alignment vertical="center"/>
    </xf>
    <xf numFmtId="0" fontId="8" fillId="0" borderId="8" xfId="1" applyFont="1" applyBorder="1" applyAlignment="1" applyProtection="1">
      <alignment horizontal="center" vertical="center" wrapText="1" shrinkToFit="1"/>
      <protection hidden="1"/>
    </xf>
    <xf numFmtId="0" fontId="20" fillId="0" borderId="11" xfId="1" applyFont="1" applyBorder="1" applyAlignment="1" applyProtection="1">
      <alignment horizontal="center" vertical="center"/>
      <protection hidden="1"/>
    </xf>
    <xf numFmtId="0" fontId="7" fillId="8" borderId="0" xfId="1" applyFont="1" applyFill="1" applyAlignment="1" applyProtection="1">
      <alignment horizontal="center"/>
      <protection hidden="1"/>
    </xf>
    <xf numFmtId="0" fontId="14" fillId="8" borderId="0" xfId="1" applyFont="1" applyFill="1" applyAlignment="1" applyProtection="1">
      <alignment horizontal="left"/>
      <protection hidden="1"/>
    </xf>
    <xf numFmtId="0" fontId="22" fillId="8" borderId="0" xfId="1" applyFont="1" applyFill="1" applyAlignment="1" applyProtection="1">
      <alignment horizontal="center"/>
      <protection hidden="1"/>
    </xf>
    <xf numFmtId="0" fontId="14" fillId="8" borderId="0" xfId="1" applyFont="1" applyFill="1" applyAlignment="1" applyProtection="1">
      <alignment horizontal="left" vertical="center"/>
      <protection hidden="1"/>
    </xf>
    <xf numFmtId="0" fontId="12" fillId="0" borderId="5" xfId="1" applyFont="1" applyBorder="1" applyProtection="1">
      <protection hidden="1"/>
    </xf>
    <xf numFmtId="0" fontId="12" fillId="0" borderId="8" xfId="1" applyFont="1" applyBorder="1" applyProtection="1">
      <protection hidden="1"/>
    </xf>
    <xf numFmtId="0" fontId="25" fillId="0" borderId="0" xfId="1" applyFont="1" applyAlignment="1" applyProtection="1">
      <alignment vertical="center"/>
      <protection hidden="1"/>
    </xf>
    <xf numFmtId="0" fontId="4" fillId="0" borderId="9" xfId="1" applyFont="1" applyBorder="1" applyAlignment="1" applyProtection="1">
      <alignment horizontal="center"/>
      <protection hidden="1"/>
    </xf>
    <xf numFmtId="0" fontId="21" fillId="0" borderId="11" xfId="1" applyFont="1" applyBorder="1" applyAlignment="1" applyProtection="1">
      <alignment horizontal="left" vertical="center" shrinkToFit="1"/>
      <protection hidden="1"/>
    </xf>
    <xf numFmtId="0" fontId="21" fillId="10" borderId="11" xfId="1" applyFont="1" applyFill="1" applyBorder="1" applyAlignment="1">
      <alignment horizontal="center" vertical="center" wrapText="1"/>
    </xf>
    <xf numFmtId="0" fontId="21" fillId="9" borderId="11" xfId="1" applyFont="1" applyFill="1" applyBorder="1" applyAlignment="1" applyProtection="1">
      <alignment horizontal="center" vertical="center" shrinkToFit="1" readingOrder="2"/>
      <protection locked="0"/>
    </xf>
    <xf numFmtId="0" fontId="21" fillId="0" borderId="11" xfId="1" applyFont="1" applyBorder="1" applyAlignment="1">
      <alignment horizontal="center" vertical="center" wrapText="1"/>
    </xf>
    <xf numFmtId="0" fontId="21" fillId="0" borderId="11" xfId="1" applyFont="1" applyBorder="1" applyAlignment="1" applyProtection="1">
      <alignment horizontal="center" vertical="center" shrinkToFit="1" readingOrder="2"/>
      <protection locked="0"/>
    </xf>
    <xf numFmtId="0" fontId="13" fillId="8" borderId="2" xfId="1" applyFont="1" applyFill="1" applyBorder="1" applyAlignment="1" applyProtection="1">
      <alignment horizontal="left"/>
      <protection hidden="1"/>
    </xf>
    <xf numFmtId="0" fontId="7" fillId="8" borderId="0" xfId="1" applyFont="1" applyFill="1" applyAlignment="1" applyProtection="1">
      <alignment horizontal="center" vertical="center" shrinkToFit="1"/>
      <protection hidden="1"/>
    </xf>
    <xf numFmtId="0" fontId="7" fillId="8" borderId="9" xfId="1" applyFont="1" applyFill="1" applyBorder="1" applyAlignment="1" applyProtection="1">
      <alignment horizontal="center"/>
      <protection hidden="1"/>
    </xf>
    <xf numFmtId="0" fontId="10" fillId="0" borderId="5" xfId="1" applyFont="1" applyBorder="1" applyProtection="1">
      <protection hidden="1"/>
    </xf>
    <xf numFmtId="0" fontId="8" fillId="0" borderId="6" xfId="1" applyFont="1" applyBorder="1" applyProtection="1">
      <protection hidden="1"/>
    </xf>
    <xf numFmtId="0" fontId="8" fillId="0" borderId="6" xfId="0" applyFont="1" applyBorder="1" applyProtection="1">
      <protection hidden="1"/>
    </xf>
    <xf numFmtId="0" fontId="4" fillId="0" borderId="12" xfId="1" applyFont="1" applyBorder="1" applyProtection="1">
      <protection hidden="1"/>
    </xf>
    <xf numFmtId="0" fontId="8" fillId="0" borderId="13" xfId="1" applyFont="1" applyBorder="1" applyProtection="1">
      <protection hidden="1"/>
    </xf>
    <xf numFmtId="0" fontId="4" fillId="0" borderId="13" xfId="1" applyFont="1" applyBorder="1" applyProtection="1">
      <protection hidden="1"/>
    </xf>
    <xf numFmtId="0" fontId="9" fillId="0" borderId="13" xfId="1" applyFont="1" applyBorder="1" applyAlignment="1" applyProtection="1">
      <alignment vertical="center"/>
      <protection hidden="1"/>
    </xf>
    <xf numFmtId="0" fontId="8" fillId="0" borderId="14" xfId="1" applyFont="1" applyBorder="1" applyProtection="1">
      <protection hidden="1"/>
    </xf>
    <xf numFmtId="0" fontId="5" fillId="0" borderId="12" xfId="1" applyBorder="1" applyProtection="1">
      <protection hidden="1"/>
    </xf>
    <xf numFmtId="0" fontId="5" fillId="0" borderId="13" xfId="1" applyBorder="1" applyProtection="1">
      <protection hidden="1"/>
    </xf>
    <xf numFmtId="0" fontId="5" fillId="0" borderId="14" xfId="1" applyBorder="1" applyProtection="1">
      <protection hidden="1"/>
    </xf>
    <xf numFmtId="0" fontId="23" fillId="0" borderId="0" xfId="0" applyFont="1" applyAlignment="1" applyProtection="1">
      <alignment vertical="center"/>
      <protection hidden="1"/>
    </xf>
    <xf numFmtId="0" fontId="9" fillId="0" borderId="3" xfId="1" applyFont="1" applyBorder="1" applyAlignment="1" applyProtection="1">
      <alignment horizontal="center" vertical="center" wrapText="1"/>
      <protection hidden="1"/>
    </xf>
    <xf numFmtId="0" fontId="23" fillId="0" borderId="0" xfId="0" applyFont="1" applyAlignment="1" applyProtection="1">
      <alignment horizontal="left" vertical="center"/>
      <protection hidden="1"/>
    </xf>
    <xf numFmtId="0" fontId="0" fillId="0" borderId="2" xfId="0" applyBorder="1"/>
    <xf numFmtId="0" fontId="23" fillId="0" borderId="0" xfId="1" applyFont="1" applyAlignment="1" applyProtection="1">
      <alignment horizontal="left" shrinkToFit="1"/>
      <protection hidden="1"/>
    </xf>
    <xf numFmtId="0" fontId="24" fillId="3" borderId="0" xfId="1" applyFont="1" applyFill="1" applyAlignment="1">
      <alignment horizontal="center" vertical="center" shrinkToFit="1"/>
    </xf>
    <xf numFmtId="0" fontId="21" fillId="12" borderId="11" xfId="1" applyFont="1" applyFill="1" applyBorder="1" applyAlignment="1" applyProtection="1">
      <alignment horizontal="center" vertical="center" wrapText="1" shrinkToFit="1"/>
      <protection hidden="1"/>
    </xf>
    <xf numFmtId="0" fontId="3" fillId="0" borderId="7" xfId="1" applyFont="1" applyBorder="1" applyAlignment="1" applyProtection="1">
      <alignment horizontal="right"/>
      <protection hidden="1"/>
    </xf>
    <xf numFmtId="0" fontId="21" fillId="0" borderId="11" xfId="1" applyFont="1" applyBorder="1" applyAlignment="1" applyProtection="1">
      <alignment horizontal="center" vertical="center" wrapText="1" shrinkToFit="1"/>
      <protection hidden="1"/>
    </xf>
    <xf numFmtId="0" fontId="8" fillId="0" borderId="7" xfId="1" applyFont="1" applyBorder="1" applyAlignment="1" applyProtection="1">
      <alignment horizontal="center" vertical="center" wrapText="1" shrinkToFit="1"/>
      <protection hidden="1"/>
    </xf>
    <xf numFmtId="0" fontId="8" fillId="0" borderId="10" xfId="1" applyFont="1" applyBorder="1" applyAlignment="1" applyProtection="1">
      <alignment horizontal="center" vertical="center" wrapText="1" shrinkToFit="1"/>
      <protection hidden="1"/>
    </xf>
    <xf numFmtId="0" fontId="20" fillId="0" borderId="14" xfId="1" applyFont="1" applyBorder="1" applyAlignment="1" applyProtection="1">
      <alignment horizontal="center" vertical="center"/>
      <protection hidden="1"/>
    </xf>
    <xf numFmtId="0" fontId="8" fillId="0" borderId="16" xfId="1" applyFont="1" applyBorder="1" applyAlignment="1" applyProtection="1">
      <alignment horizontal="center"/>
      <protection hidden="1"/>
    </xf>
    <xf numFmtId="0" fontId="8" fillId="0" borderId="11" xfId="1" applyFont="1" applyBorder="1" applyAlignment="1" applyProtection="1">
      <alignment horizontal="center"/>
      <protection hidden="1"/>
    </xf>
    <xf numFmtId="0" fontId="8" fillId="0" borderId="17" xfId="1" applyFont="1" applyBorder="1" applyAlignment="1" applyProtection="1">
      <alignment horizontal="center"/>
      <protection hidden="1"/>
    </xf>
    <xf numFmtId="0" fontId="4" fillId="0" borderId="10" xfId="1" applyFont="1" applyBorder="1" applyAlignment="1" applyProtection="1">
      <alignment horizontal="center" vertical="center" wrapText="1" shrinkToFit="1"/>
      <protection hidden="1"/>
    </xf>
    <xf numFmtId="0" fontId="4" fillId="0" borderId="1" xfId="1" applyFont="1" applyBorder="1" applyAlignment="1" applyProtection="1">
      <alignment horizontal="center" vertical="center" wrapText="1" shrinkToFit="1"/>
      <protection hidden="1"/>
    </xf>
    <xf numFmtId="0" fontId="8" fillId="0" borderId="1" xfId="1" applyFont="1" applyBorder="1" applyAlignment="1" applyProtection="1">
      <alignment horizontal="center" vertical="center" wrapText="1" shrinkToFit="1"/>
      <protection hidden="1"/>
    </xf>
    <xf numFmtId="0" fontId="8" fillId="0" borderId="18" xfId="1" applyFont="1" applyBorder="1" applyAlignment="1" applyProtection="1">
      <alignment horizontal="center" vertical="center" wrapText="1" shrinkToFit="1"/>
      <protection hidden="1"/>
    </xf>
    <xf numFmtId="0" fontId="8" fillId="0" borderId="15" xfId="1" applyFont="1" applyBorder="1" applyAlignment="1" applyProtection="1">
      <alignment horizontal="center" vertical="center" wrapText="1" shrinkToFit="1"/>
      <protection hidden="1"/>
    </xf>
    <xf numFmtId="0" fontId="8" fillId="0" borderId="19" xfId="1" applyFont="1" applyBorder="1" applyAlignment="1" applyProtection="1">
      <alignment horizontal="center" vertical="center" wrapText="1" shrinkToFit="1"/>
      <protection hidden="1"/>
    </xf>
    <xf numFmtId="0" fontId="8" fillId="0" borderId="16" xfId="1" applyFont="1" applyBorder="1" applyAlignment="1" applyProtection="1">
      <alignment horizontal="center" vertical="center" wrapText="1" shrinkToFit="1"/>
      <protection hidden="1"/>
    </xf>
    <xf numFmtId="0" fontId="8" fillId="0" borderId="11" xfId="1" applyFont="1" applyBorder="1" applyAlignment="1" applyProtection="1">
      <alignment horizontal="center" vertical="center" wrapText="1" shrinkToFit="1"/>
      <protection hidden="1"/>
    </xf>
    <xf numFmtId="0" fontId="8" fillId="0" borderId="17" xfId="1" applyFont="1" applyBorder="1" applyAlignment="1" applyProtection="1">
      <alignment horizontal="center" vertical="center" wrapText="1" shrinkToFit="1"/>
      <protection hidden="1"/>
    </xf>
    <xf numFmtId="0" fontId="16" fillId="0" borderId="12" xfId="1" applyFont="1" applyBorder="1" applyAlignment="1">
      <alignment vertical="center" shrinkToFit="1"/>
    </xf>
    <xf numFmtId="0" fontId="28" fillId="0" borderId="12" xfId="1" applyFont="1" applyBorder="1" applyAlignment="1">
      <alignment vertical="center" shrinkToFit="1"/>
    </xf>
    <xf numFmtId="0" fontId="16" fillId="0" borderId="12" xfId="1" applyFont="1" applyBorder="1" applyAlignment="1" applyProtection="1">
      <alignment vertical="center" shrinkToFit="1"/>
      <protection locked="0"/>
    </xf>
    <xf numFmtId="0" fontId="16" fillId="2" borderId="0" xfId="1" applyFont="1" applyFill="1" applyProtection="1">
      <protection hidden="1"/>
    </xf>
    <xf numFmtId="0" fontId="14" fillId="0" borderId="5" xfId="1" applyFont="1" applyBorder="1" applyAlignment="1" applyProtection="1">
      <alignment horizontal="center"/>
      <protection hidden="1"/>
    </xf>
    <xf numFmtId="0" fontId="30" fillId="0" borderId="12" xfId="1" applyFont="1" applyBorder="1" applyAlignment="1">
      <alignment vertical="center" shrinkToFit="1"/>
    </xf>
    <xf numFmtId="0" fontId="13" fillId="0" borderId="6" xfId="0" applyFont="1" applyBorder="1" applyProtection="1">
      <protection hidden="1"/>
    </xf>
    <xf numFmtId="0" fontId="9" fillId="0" borderId="3" xfId="1" applyFont="1" applyBorder="1" applyAlignment="1" applyProtection="1">
      <alignment horizontal="center" vertical="center" wrapText="1" shrinkToFit="1"/>
      <protection hidden="1"/>
    </xf>
    <xf numFmtId="0" fontId="14" fillId="0" borderId="6" xfId="1" applyFont="1" applyBorder="1" applyAlignment="1" applyProtection="1">
      <alignment horizontal="center" vertical="center" shrinkToFit="1"/>
      <protection hidden="1"/>
    </xf>
    <xf numFmtId="0" fontId="16" fillId="0" borderId="7" xfId="1" applyFont="1" applyBorder="1" applyAlignment="1" applyProtection="1">
      <alignment horizontal="center" vertical="center"/>
      <protection hidden="1"/>
    </xf>
    <xf numFmtId="0" fontId="16" fillId="0" borderId="3" xfId="1" applyFont="1" applyBorder="1" applyAlignment="1" applyProtection="1">
      <alignment horizontal="center" vertical="center" wrapText="1" shrinkToFit="1"/>
      <protection hidden="1"/>
    </xf>
    <xf numFmtId="0" fontId="16" fillId="0" borderId="12" xfId="1" applyFont="1" applyBorder="1" applyAlignment="1">
      <alignment horizontal="left" vertical="center"/>
    </xf>
    <xf numFmtId="0" fontId="16" fillId="0" borderId="12" xfId="1" applyFont="1" applyBorder="1" applyAlignment="1">
      <alignment vertical="center"/>
    </xf>
    <xf numFmtId="0" fontId="14" fillId="0" borderId="12" xfId="1" applyFont="1" applyBorder="1" applyAlignment="1" applyProtection="1">
      <alignment horizontal="center" vertical="center"/>
      <protection hidden="1"/>
    </xf>
    <xf numFmtId="0" fontId="14" fillId="0" borderId="14" xfId="1" applyFont="1" applyBorder="1" applyAlignment="1" applyProtection="1">
      <alignment horizontal="center" vertical="center"/>
      <protection hidden="1"/>
    </xf>
    <xf numFmtId="0" fontId="14" fillId="2" borderId="2" xfId="1" applyFont="1" applyFill="1" applyBorder="1" applyAlignment="1" applyProtection="1">
      <alignment horizontal="center"/>
      <protection hidden="1"/>
    </xf>
    <xf numFmtId="0" fontId="14" fillId="2" borderId="0" xfId="1" applyFont="1" applyFill="1" applyAlignment="1" applyProtection="1">
      <alignment horizontal="center"/>
      <protection hidden="1"/>
    </xf>
    <xf numFmtId="0" fontId="14" fillId="0" borderId="6" xfId="1" applyFont="1" applyBorder="1" applyAlignment="1" applyProtection="1">
      <alignment horizontal="center"/>
      <protection hidden="1"/>
    </xf>
    <xf numFmtId="0" fontId="28" fillId="0" borderId="12" xfId="1" applyFont="1" applyBorder="1" applyAlignment="1" applyProtection="1">
      <alignment vertical="center" shrinkToFit="1"/>
      <protection locked="0"/>
    </xf>
    <xf numFmtId="0" fontId="12" fillId="8" borderId="0" xfId="1" applyFont="1" applyFill="1" applyAlignment="1" applyProtection="1">
      <alignment horizontal="left"/>
      <protection hidden="1"/>
    </xf>
    <xf numFmtId="0" fontId="12" fillId="0" borderId="5" xfId="1" applyFont="1" applyBorder="1" applyAlignment="1" applyProtection="1">
      <alignment horizontal="left" vertical="center"/>
      <protection hidden="1"/>
    </xf>
    <xf numFmtId="0" fontId="18" fillId="3" borderId="0" xfId="1" applyFont="1" applyFill="1" applyAlignment="1">
      <alignment horizontal="center" vertical="center" shrinkToFit="1"/>
    </xf>
    <xf numFmtId="0" fontId="18" fillId="5" borderId="11" xfId="1" applyFont="1" applyFill="1" applyBorder="1" applyAlignment="1">
      <alignment horizontal="center" vertical="center" shrinkToFit="1"/>
    </xf>
    <xf numFmtId="0" fontId="18" fillId="4" borderId="11" xfId="1" applyFont="1" applyFill="1" applyBorder="1" applyAlignment="1">
      <alignment horizontal="center" vertical="center" shrinkToFit="1"/>
    </xf>
    <xf numFmtId="0" fontId="4" fillId="9" borderId="11" xfId="1" applyFont="1" applyFill="1" applyBorder="1" applyAlignment="1" applyProtection="1">
      <alignment horizontal="center" vertical="center" shrinkToFit="1" readingOrder="2"/>
      <protection locked="0"/>
    </xf>
    <xf numFmtId="0" fontId="18" fillId="0" borderId="11" xfId="1" applyFont="1" applyBorder="1" applyAlignment="1">
      <alignment horizontal="center" vertical="center" shrinkToFit="1"/>
    </xf>
    <xf numFmtId="0" fontId="4" fillId="13" borderId="11" xfId="1" applyFont="1" applyFill="1" applyBorder="1" applyAlignment="1">
      <alignment horizontal="center" vertical="center" shrinkToFit="1"/>
    </xf>
    <xf numFmtId="0" fontId="4" fillId="0" borderId="11" xfId="1" applyFont="1" applyBorder="1" applyAlignment="1">
      <alignment horizontal="center" vertical="center" shrinkToFit="1"/>
    </xf>
    <xf numFmtId="0" fontId="4" fillId="0" borderId="11" xfId="1" applyFont="1" applyBorder="1" applyAlignment="1" applyProtection="1">
      <alignment horizontal="center" vertical="center" shrinkToFit="1" readingOrder="2"/>
      <protection locked="0"/>
    </xf>
    <xf numFmtId="0" fontId="13" fillId="0" borderId="13" xfId="1" applyFont="1" applyBorder="1" applyAlignment="1" applyProtection="1">
      <alignment horizontal="center" vertical="center"/>
      <protection hidden="1"/>
    </xf>
    <xf numFmtId="0" fontId="3" fillId="0" borderId="0" xfId="1" applyFont="1" applyAlignment="1">
      <alignment horizontal="center" vertical="center"/>
    </xf>
    <xf numFmtId="0" fontId="15" fillId="0" borderId="3" xfId="1" applyFont="1" applyBorder="1" applyAlignment="1">
      <alignment horizontal="center" vertical="center" wrapText="1"/>
    </xf>
    <xf numFmtId="0" fontId="15" fillId="0" borderId="7" xfId="1" applyFont="1" applyBorder="1" applyAlignment="1">
      <alignment horizontal="center" vertical="center" wrapText="1"/>
    </xf>
    <xf numFmtId="0" fontId="32" fillId="0" borderId="7" xfId="1" applyFont="1" applyBorder="1" applyAlignment="1">
      <alignment horizontal="center" vertical="center" textRotation="90" wrapText="1"/>
    </xf>
    <xf numFmtId="0" fontId="7" fillId="0" borderId="3" xfId="1" applyFont="1" applyBorder="1" applyAlignment="1">
      <alignment horizontal="center" vertical="center" textRotation="90" wrapText="1"/>
    </xf>
    <xf numFmtId="0" fontId="34" fillId="5" borderId="11" xfId="1" applyFont="1" applyFill="1" applyBorder="1" applyAlignment="1">
      <alignment horizontal="center" vertical="center" shrinkToFit="1"/>
    </xf>
    <xf numFmtId="0" fontId="7" fillId="15" borderId="11" xfId="1" applyFont="1" applyFill="1" applyBorder="1" applyAlignment="1">
      <alignment horizontal="center" vertical="center" wrapText="1"/>
    </xf>
    <xf numFmtId="0" fontId="5" fillId="0" borderId="0" xfId="1"/>
    <xf numFmtId="0" fontId="35" fillId="0" borderId="11" xfId="1" applyFont="1" applyBorder="1" applyAlignment="1">
      <alignment horizontal="center" wrapText="1"/>
    </xf>
    <xf numFmtId="0" fontId="10" fillId="18" borderId="11" xfId="1" applyFont="1" applyFill="1" applyBorder="1" applyAlignment="1">
      <alignment horizontal="center" vertical="center" wrapText="1"/>
    </xf>
    <xf numFmtId="0" fontId="37" fillId="3" borderId="11" xfId="1" applyFont="1" applyFill="1" applyBorder="1" applyAlignment="1">
      <alignment horizontal="center" vertical="center" wrapText="1"/>
    </xf>
    <xf numFmtId="0" fontId="37" fillId="4" borderId="11" xfId="1" applyFont="1" applyFill="1" applyBorder="1" applyAlignment="1">
      <alignment horizontal="center" vertical="center" wrapText="1"/>
    </xf>
    <xf numFmtId="0" fontId="37" fillId="0" borderId="11" xfId="1" applyFont="1" applyBorder="1" applyAlignment="1">
      <alignment horizontal="center" vertical="center" wrapText="1"/>
    </xf>
    <xf numFmtId="0" fontId="37" fillId="0" borderId="11" xfId="1" applyFont="1" applyBorder="1" applyAlignment="1">
      <alignment horizontal="center" wrapText="1"/>
    </xf>
    <xf numFmtId="0" fontId="37" fillId="0" borderId="11" xfId="1" applyFont="1" applyBorder="1" applyAlignment="1">
      <alignment horizontal="center"/>
    </xf>
    <xf numFmtId="0" fontId="37" fillId="0" borderId="11" xfId="1" applyFont="1" applyBorder="1" applyAlignment="1">
      <alignment horizontal="right"/>
    </xf>
    <xf numFmtId="167" fontId="36" fillId="0" borderId="20" xfId="5" applyNumberFormat="1" applyFont="1" applyFill="1" applyBorder="1" applyAlignment="1">
      <alignment horizontal="right" wrapText="1"/>
    </xf>
    <xf numFmtId="167" fontId="4" fillId="0" borderId="11" xfId="1" applyNumberFormat="1" applyFont="1" applyBorder="1" applyAlignment="1">
      <alignment horizontal="center" vertical="center" wrapText="1"/>
    </xf>
    <xf numFmtId="0" fontId="37" fillId="0" borderId="3" xfId="1" applyFont="1" applyBorder="1" applyAlignment="1">
      <alignment horizontal="center" vertical="center" wrapText="1"/>
    </xf>
    <xf numFmtId="0" fontId="5" fillId="0" borderId="0" xfId="1" applyAlignment="1">
      <alignment horizontal="center"/>
    </xf>
    <xf numFmtId="0" fontId="10" fillId="0" borderId="11" xfId="1" applyFont="1" applyBorder="1" applyAlignment="1">
      <alignment horizontal="center" vertical="center" wrapText="1"/>
    </xf>
    <xf numFmtId="0" fontId="37" fillId="0" borderId="11" xfId="1" applyFont="1" applyBorder="1" applyAlignment="1">
      <alignment horizontal="right" wrapText="1"/>
    </xf>
    <xf numFmtId="0" fontId="10" fillId="0" borderId="11" xfId="1" applyFont="1" applyBorder="1" applyAlignment="1">
      <alignment horizontal="right" vertical="center" wrapText="1"/>
    </xf>
    <xf numFmtId="0" fontId="37" fillId="0" borderId="11" xfId="1" applyFont="1" applyBorder="1" applyAlignment="1">
      <alignment horizontal="right" vertical="center" wrapText="1"/>
    </xf>
    <xf numFmtId="0" fontId="12" fillId="20" borderId="11" xfId="1" applyFont="1" applyFill="1" applyBorder="1" applyAlignment="1">
      <alignment horizontal="center" vertical="center" shrinkToFit="1"/>
    </xf>
    <xf numFmtId="0" fontId="35" fillId="0" borderId="11" xfId="1" applyFont="1" applyBorder="1" applyAlignment="1">
      <alignment horizontal="center" shrinkToFit="1"/>
    </xf>
    <xf numFmtId="0" fontId="10" fillId="0" borderId="3" xfId="1" applyFont="1" applyBorder="1" applyAlignment="1">
      <alignment horizontal="center" vertical="center" wrapText="1"/>
    </xf>
    <xf numFmtId="167" fontId="10" fillId="0" borderId="11" xfId="1" applyNumberFormat="1" applyFont="1" applyBorder="1" applyAlignment="1">
      <alignment horizontal="center" vertical="center" wrapText="1"/>
    </xf>
    <xf numFmtId="0" fontId="35" fillId="0" borderId="3" xfId="1" applyFont="1" applyBorder="1" applyAlignment="1">
      <alignment horizontal="center" wrapText="1"/>
    </xf>
    <xf numFmtId="0" fontId="36" fillId="0" borderId="3" xfId="1" applyFont="1" applyBorder="1" applyAlignment="1">
      <alignment horizontal="right"/>
    </xf>
    <xf numFmtId="167" fontId="36" fillId="0" borderId="21" xfId="5" applyNumberFormat="1" applyFont="1" applyFill="1" applyBorder="1" applyAlignment="1">
      <alignment horizontal="right" wrapText="1"/>
    </xf>
    <xf numFmtId="167" fontId="36" fillId="0" borderId="22" xfId="5" applyNumberFormat="1" applyFont="1" applyFill="1" applyBorder="1" applyAlignment="1">
      <alignment horizontal="right" wrapText="1"/>
    </xf>
    <xf numFmtId="167" fontId="35" fillId="25" borderId="23" xfId="5" applyNumberFormat="1" applyFont="1" applyFill="1" applyBorder="1" applyAlignment="1">
      <alignment horizontal="center" vertical="center"/>
    </xf>
    <xf numFmtId="167" fontId="35" fillId="25" borderId="24" xfId="5" applyNumberFormat="1" applyFont="1" applyFill="1" applyBorder="1" applyAlignment="1">
      <alignment horizontal="center" vertical="center"/>
    </xf>
    <xf numFmtId="167" fontId="35" fillId="25" borderId="25" xfId="5" applyNumberFormat="1" applyFont="1" applyFill="1" applyBorder="1" applyAlignment="1">
      <alignment horizontal="center" vertical="center"/>
    </xf>
    <xf numFmtId="167" fontId="35" fillId="25" borderId="26" xfId="5" applyNumberFormat="1" applyFont="1" applyFill="1" applyBorder="1" applyAlignment="1">
      <alignment horizontal="center" vertical="center"/>
    </xf>
    <xf numFmtId="167" fontId="9" fillId="0" borderId="0" xfId="1" applyNumberFormat="1" applyFont="1"/>
    <xf numFmtId="0" fontId="9" fillId="0" borderId="0" xfId="1" applyFont="1" applyAlignment="1">
      <alignment horizontal="right"/>
    </xf>
    <xf numFmtId="0" fontId="9" fillId="0" borderId="0" xfId="1" applyFont="1"/>
    <xf numFmtId="0" fontId="35" fillId="7" borderId="0" xfId="1" applyFont="1" applyFill="1" applyAlignment="1">
      <alignment horizontal="center" vertical="center"/>
    </xf>
    <xf numFmtId="167" fontId="16" fillId="0" borderId="0" xfId="1" applyNumberFormat="1" applyFont="1" applyAlignment="1">
      <alignment shrinkToFit="1"/>
    </xf>
    <xf numFmtId="0" fontId="16" fillId="0" borderId="0" xfId="1" applyFont="1" applyAlignment="1">
      <alignment horizontal="right" shrinkToFit="1"/>
    </xf>
    <xf numFmtId="0" fontId="16" fillId="0" borderId="0" xfId="1" applyFont="1" applyAlignment="1">
      <alignment shrinkToFit="1"/>
    </xf>
    <xf numFmtId="167" fontId="35" fillId="7" borderId="0" xfId="5" applyNumberFormat="1" applyFont="1" applyFill="1" applyBorder="1"/>
    <xf numFmtId="167" fontId="35" fillId="0" borderId="0" xfId="5" applyNumberFormat="1" applyFont="1" applyFill="1" applyBorder="1"/>
    <xf numFmtId="0" fontId="39" fillId="3" borderId="0" xfId="1" applyFont="1" applyFill="1" applyAlignment="1">
      <alignment horizontal="center" vertical="center" wrapText="1" shrinkToFit="1"/>
    </xf>
    <xf numFmtId="0" fontId="16" fillId="0" borderId="0" xfId="1" applyFont="1" applyAlignment="1">
      <alignment horizontal="center" shrinkToFit="1"/>
    </xf>
    <xf numFmtId="0" fontId="12" fillId="19" borderId="11" xfId="1" applyFont="1" applyFill="1" applyBorder="1" applyAlignment="1">
      <alignment horizontal="center" vertical="center" shrinkToFit="1"/>
    </xf>
    <xf numFmtId="0" fontId="34" fillId="16" borderId="11" xfId="1" applyFont="1" applyFill="1" applyBorder="1" applyAlignment="1">
      <alignment horizontal="center" vertical="center" shrinkToFit="1"/>
    </xf>
    <xf numFmtId="0" fontId="34" fillId="0" borderId="0" xfId="1" applyFont="1" applyAlignment="1">
      <alignment horizontal="center" vertical="center" shrinkToFit="1"/>
    </xf>
    <xf numFmtId="0" fontId="27" fillId="0" borderId="0" xfId="1" applyFont="1" applyAlignment="1">
      <alignment horizontal="center" vertical="center" wrapText="1"/>
    </xf>
    <xf numFmtId="0" fontId="12" fillId="15" borderId="11" xfId="1" applyFont="1" applyFill="1" applyBorder="1" applyAlignment="1">
      <alignment horizontal="center" vertical="center" shrinkToFit="1"/>
    </xf>
    <xf numFmtId="0" fontId="12" fillId="11" borderId="11" xfId="1" applyFont="1" applyFill="1" applyBorder="1" applyAlignment="1">
      <alignment horizontal="center" vertical="center" shrinkToFit="1"/>
    </xf>
    <xf numFmtId="0" fontId="34" fillId="6" borderId="11" xfId="1" applyFont="1" applyFill="1" applyBorder="1" applyAlignment="1">
      <alignment horizontal="center" vertical="center" shrinkToFit="1"/>
    </xf>
    <xf numFmtId="0" fontId="40" fillId="13" borderId="11" xfId="1" applyFont="1" applyFill="1" applyBorder="1" applyAlignment="1">
      <alignment vertical="center" shrinkToFit="1"/>
    </xf>
    <xf numFmtId="0" fontId="34" fillId="0" borderId="0" xfId="1" applyFont="1" applyAlignment="1">
      <alignment horizontal="right" vertical="center" shrinkToFit="1"/>
    </xf>
    <xf numFmtId="0" fontId="41" fillId="18" borderId="11" xfId="1" applyFont="1" applyFill="1" applyBorder="1" applyAlignment="1">
      <alignment horizontal="center" vertical="center" wrapText="1"/>
    </xf>
    <xf numFmtId="0" fontId="42" fillId="26" borderId="11" xfId="1" applyFont="1" applyFill="1" applyBorder="1" applyAlignment="1">
      <alignment horizontal="center" vertical="center" wrapText="1" shrinkToFit="1"/>
    </xf>
    <xf numFmtId="0" fontId="34" fillId="24" borderId="11" xfId="1" applyFont="1" applyFill="1" applyBorder="1" applyAlignment="1">
      <alignment horizontal="center" vertical="center" shrinkToFit="1"/>
    </xf>
    <xf numFmtId="0" fontId="37" fillId="22" borderId="14" xfId="1" applyFont="1" applyFill="1" applyBorder="1" applyAlignment="1">
      <alignment horizontal="center" vertical="center" wrapText="1"/>
    </xf>
    <xf numFmtId="0" fontId="43" fillId="0" borderId="0" xfId="1" applyFont="1" applyAlignment="1">
      <alignment horizontal="center"/>
    </xf>
    <xf numFmtId="0" fontId="44" fillId="0" borderId="0" xfId="1" applyFont="1" applyAlignment="1">
      <alignment horizontal="center" vertical="center" wrapText="1"/>
    </xf>
    <xf numFmtId="0" fontId="34" fillId="27" borderId="11" xfId="1" applyFont="1" applyFill="1" applyBorder="1" applyAlignment="1">
      <alignment horizontal="center" vertical="center" shrinkToFit="1"/>
    </xf>
    <xf numFmtId="0" fontId="12" fillId="0" borderId="11" xfId="1" applyFont="1" applyBorder="1" applyAlignment="1">
      <alignment horizontal="center" vertical="center" shrinkToFit="1"/>
    </xf>
    <xf numFmtId="0" fontId="12" fillId="0" borderId="0" xfId="1" applyFont="1" applyAlignment="1">
      <alignment horizontal="center" vertical="center" shrinkToFit="1"/>
    </xf>
    <xf numFmtId="0" fontId="23" fillId="0" borderId="0" xfId="1" applyFont="1" applyAlignment="1">
      <alignment horizontal="center" vertical="center" wrapText="1"/>
    </xf>
    <xf numFmtId="0" fontId="45" fillId="0" borderId="0" xfId="1" applyFont="1" applyAlignment="1">
      <alignment vertical="center" shrinkToFit="1"/>
    </xf>
    <xf numFmtId="0" fontId="18" fillId="0" borderId="0" xfId="1" applyFont="1" applyAlignment="1">
      <alignment horizontal="right" vertical="center" wrapText="1"/>
    </xf>
    <xf numFmtId="0" fontId="10" fillId="0" borderId="0" xfId="1" applyFont="1" applyAlignment="1">
      <alignment horizontal="center" vertical="center" wrapText="1"/>
    </xf>
    <xf numFmtId="0" fontId="34" fillId="17" borderId="11" xfId="1" applyFont="1" applyFill="1" applyBorder="1" applyAlignment="1">
      <alignment horizontal="center" vertical="center" shrinkToFit="1"/>
    </xf>
    <xf numFmtId="0" fontId="12" fillId="23" borderId="11" xfId="1" applyFont="1" applyFill="1" applyBorder="1" applyAlignment="1">
      <alignment horizontal="center" vertical="center" shrinkToFit="1"/>
    </xf>
    <xf numFmtId="0" fontId="35" fillId="7" borderId="0" xfId="1" applyFont="1" applyFill="1"/>
    <xf numFmtId="0" fontId="35" fillId="0" borderId="0" xfId="1" applyFont="1"/>
    <xf numFmtId="167" fontId="35" fillId="0" borderId="0" xfId="1" applyNumberFormat="1" applyFont="1"/>
    <xf numFmtId="0" fontId="5" fillId="0" borderId="0" xfId="1" applyAlignment="1">
      <alignment horizontal="right"/>
    </xf>
    <xf numFmtId="0" fontId="12" fillId="21" borderId="11" xfId="1" applyFont="1" applyFill="1" applyBorder="1" applyAlignment="1">
      <alignment horizontal="center" vertical="center" shrinkToFit="1"/>
    </xf>
    <xf numFmtId="164" fontId="5" fillId="0" borderId="0" xfId="1" applyNumberFormat="1"/>
    <xf numFmtId="0" fontId="10" fillId="0" borderId="7" xfId="1" applyFont="1" applyBorder="1" applyAlignment="1">
      <alignment horizontal="center" vertical="center" wrapText="1"/>
    </xf>
    <xf numFmtId="167" fontId="35" fillId="25" borderId="0" xfId="5" applyNumberFormat="1" applyFont="1" applyFill="1" applyBorder="1" applyAlignment="1">
      <alignment horizontal="center" vertical="center"/>
    </xf>
    <xf numFmtId="168" fontId="35" fillId="25" borderId="27" xfId="5" applyNumberFormat="1" applyFont="1" applyFill="1" applyBorder="1" applyAlignment="1">
      <alignment horizontal="center" vertical="center"/>
    </xf>
    <xf numFmtId="168" fontId="35" fillId="25" borderId="28" xfId="5" applyNumberFormat="1" applyFont="1" applyFill="1" applyBorder="1" applyAlignment="1">
      <alignment horizontal="center" vertical="center"/>
    </xf>
    <xf numFmtId="168" fontId="35" fillId="25" borderId="29" xfId="5" applyNumberFormat="1" applyFont="1" applyFill="1" applyBorder="1" applyAlignment="1">
      <alignment horizontal="center" vertical="center"/>
    </xf>
    <xf numFmtId="0" fontId="35" fillId="25" borderId="23" xfId="1" applyFont="1" applyFill="1" applyBorder="1" applyAlignment="1">
      <alignment horizontal="center" vertical="center"/>
    </xf>
    <xf numFmtId="0" fontId="15" fillId="0" borderId="3" xfId="1" applyFont="1" applyBorder="1" applyAlignment="1">
      <alignment vertical="center" wrapText="1"/>
    </xf>
    <xf numFmtId="0" fontId="35" fillId="0" borderId="3" xfId="1" applyFont="1" applyBorder="1" applyAlignment="1">
      <alignment horizontal="center" shrinkToFit="1"/>
    </xf>
    <xf numFmtId="0" fontId="21" fillId="0" borderId="11" xfId="1" applyFont="1" applyBorder="1" applyAlignment="1" applyProtection="1">
      <alignment horizontal="center" vertical="center" shrinkToFit="1"/>
      <protection hidden="1"/>
    </xf>
    <xf numFmtId="0" fontId="10" fillId="0" borderId="11" xfId="1" applyFont="1" applyBorder="1" applyAlignment="1">
      <alignment horizontal="center" wrapText="1"/>
    </xf>
    <xf numFmtId="0" fontId="16" fillId="0" borderId="0" xfId="1" applyFont="1" applyAlignment="1">
      <alignment horizontal="center"/>
    </xf>
    <xf numFmtId="0" fontId="10" fillId="0" borderId="11" xfId="1" applyFont="1" applyBorder="1" applyAlignment="1">
      <alignment horizontal="center"/>
    </xf>
    <xf numFmtId="0" fontId="10" fillId="0" borderId="11" xfId="1" applyFont="1" applyBorder="1" applyAlignment="1">
      <alignment horizontal="right"/>
    </xf>
    <xf numFmtId="0" fontId="10" fillId="0" borderId="11" xfId="1" applyFont="1" applyBorder="1" applyAlignment="1">
      <alignment horizontal="right" wrapText="1"/>
    </xf>
    <xf numFmtId="0" fontId="0" fillId="0" borderId="0" xfId="0" applyAlignment="1">
      <alignment horizontal="center"/>
    </xf>
    <xf numFmtId="171" fontId="0" fillId="0" borderId="0" xfId="0" applyNumberFormat="1"/>
    <xf numFmtId="170" fontId="0" fillId="0" borderId="0" xfId="0" applyNumberFormat="1" applyAlignment="1">
      <alignment horizontal="center" vertical="center"/>
    </xf>
    <xf numFmtId="0" fontId="47" fillId="0" borderId="0" xfId="0" applyFont="1"/>
    <xf numFmtId="170" fontId="46" fillId="28" borderId="6" xfId="0" applyNumberFormat="1" applyFont="1" applyFill="1" applyBorder="1"/>
    <xf numFmtId="170" fontId="46" fillId="28" borderId="7" xfId="0" applyNumberFormat="1" applyFont="1" applyFill="1" applyBorder="1"/>
    <xf numFmtId="170" fontId="46" fillId="28" borderId="9" xfId="0" applyNumberFormat="1" applyFont="1" applyFill="1" applyBorder="1"/>
    <xf numFmtId="0" fontId="46" fillId="28" borderId="9" xfId="0" applyFont="1" applyFill="1" applyBorder="1"/>
    <xf numFmtId="0" fontId="46" fillId="28" borderId="1" xfId="0" applyFont="1" applyFill="1" applyBorder="1"/>
    <xf numFmtId="0" fontId="46" fillId="28" borderId="10" xfId="0" applyFont="1" applyFill="1" applyBorder="1"/>
    <xf numFmtId="0" fontId="46" fillId="28" borderId="31" xfId="0" applyFont="1" applyFill="1" applyBorder="1" applyAlignment="1">
      <alignment horizontal="left" vertical="center"/>
    </xf>
    <xf numFmtId="170" fontId="46" fillId="28" borderId="34" xfId="0" applyNumberFormat="1" applyFont="1" applyFill="1" applyBorder="1" applyAlignment="1">
      <alignment horizontal="left" vertical="center"/>
    </xf>
    <xf numFmtId="0" fontId="46" fillId="28" borderId="34" xfId="0" applyFont="1" applyFill="1" applyBorder="1" applyAlignment="1">
      <alignment horizontal="left" vertical="center"/>
    </xf>
    <xf numFmtId="0" fontId="46" fillId="28" borderId="37" xfId="0" applyFont="1" applyFill="1" applyBorder="1" applyAlignment="1">
      <alignment horizontal="left" vertical="center"/>
    </xf>
    <xf numFmtId="0" fontId="50" fillId="13" borderId="0" xfId="0" applyFont="1" applyFill="1"/>
    <xf numFmtId="0" fontId="50" fillId="0" borderId="0" xfId="0" applyFont="1"/>
    <xf numFmtId="0" fontId="50" fillId="0" borderId="11" xfId="0" applyFont="1" applyBorder="1" applyAlignment="1">
      <alignment vertical="center" wrapText="1"/>
    </xf>
    <xf numFmtId="170" fontId="50" fillId="0" borderId="11" xfId="0" applyNumberFormat="1" applyFont="1" applyBorder="1" applyAlignment="1">
      <alignment horizontal="center" vertical="center" wrapText="1"/>
    </xf>
    <xf numFmtId="0" fontId="50" fillId="0" borderId="11" xfId="0" applyFont="1" applyBorder="1" applyAlignment="1">
      <alignment horizontal="center" vertical="center" wrapText="1"/>
    </xf>
    <xf numFmtId="0" fontId="47" fillId="0" borderId="11" xfId="0" applyFont="1" applyBorder="1"/>
    <xf numFmtId="170" fontId="47" fillId="0" borderId="11" xfId="0" applyNumberFormat="1" applyFont="1" applyBorder="1" applyAlignment="1">
      <alignment horizontal="center" vertical="center"/>
    </xf>
    <xf numFmtId="0" fontId="51" fillId="0" borderId="11" xfId="0" applyFont="1" applyBorder="1"/>
    <xf numFmtId="171" fontId="47" fillId="0" borderId="11" xfId="0" applyNumberFormat="1" applyFont="1" applyBorder="1"/>
    <xf numFmtId="0" fontId="47" fillId="0" borderId="11" xfId="0" applyFont="1" applyBorder="1" applyAlignment="1">
      <alignment horizontal="center"/>
    </xf>
    <xf numFmtId="0" fontId="47" fillId="0" borderId="11" xfId="0" applyFont="1" applyBorder="1" applyAlignment="1">
      <alignment horizontal="right"/>
    </xf>
    <xf numFmtId="0" fontId="52" fillId="0" borderId="0" xfId="6"/>
    <xf numFmtId="170" fontId="46" fillId="28" borderId="0" xfId="0" applyNumberFormat="1" applyFont="1" applyFill="1"/>
    <xf numFmtId="0" fontId="46" fillId="28" borderId="0" xfId="0" applyFont="1" applyFill="1"/>
    <xf numFmtId="0" fontId="5" fillId="0" borderId="11" xfId="1" applyBorder="1"/>
    <xf numFmtId="0" fontId="5" fillId="0" borderId="11" xfId="1" applyBorder="1" applyAlignment="1">
      <alignment horizontal="center"/>
    </xf>
    <xf numFmtId="0" fontId="34" fillId="4" borderId="0" xfId="1" applyFont="1" applyFill="1" applyAlignment="1">
      <alignment horizontal="center" vertical="center" shrinkToFit="1"/>
    </xf>
    <xf numFmtId="0" fontId="12" fillId="11" borderId="0" xfId="1" applyFont="1" applyFill="1" applyAlignment="1">
      <alignment horizontal="center" vertical="center" shrinkToFit="1"/>
    </xf>
    <xf numFmtId="0" fontId="34" fillId="6" borderId="0" xfId="1" applyFont="1" applyFill="1" applyAlignment="1">
      <alignment horizontal="center" vertical="center" shrinkToFit="1"/>
    </xf>
    <xf numFmtId="0" fontId="40" fillId="13" borderId="0" xfId="1" applyFont="1" applyFill="1" applyAlignment="1">
      <alignment vertical="center" shrinkToFit="1"/>
    </xf>
    <xf numFmtId="0" fontId="41" fillId="18" borderId="0" xfId="1" applyFont="1" applyFill="1" applyAlignment="1">
      <alignment horizontal="center" vertical="center" wrapText="1"/>
    </xf>
    <xf numFmtId="0" fontId="42" fillId="26" borderId="0" xfId="1" applyFont="1" applyFill="1" applyAlignment="1">
      <alignment horizontal="center" vertical="center" wrapText="1" shrinkToFit="1"/>
    </xf>
    <xf numFmtId="0" fontId="34" fillId="17" borderId="0" xfId="1" applyFont="1" applyFill="1" applyAlignment="1">
      <alignment horizontal="center" vertical="center" shrinkToFit="1"/>
    </xf>
    <xf numFmtId="0" fontId="34" fillId="24" borderId="0" xfId="1" applyFont="1" applyFill="1" applyAlignment="1">
      <alignment horizontal="center" vertical="center" shrinkToFit="1"/>
    </xf>
    <xf numFmtId="0" fontId="12" fillId="23" borderId="0" xfId="1" applyFont="1" applyFill="1" applyAlignment="1">
      <alignment horizontal="center" vertical="center" shrinkToFit="1"/>
    </xf>
    <xf numFmtId="0" fontId="12" fillId="20" borderId="0" xfId="1" applyFont="1" applyFill="1" applyAlignment="1">
      <alignment horizontal="center" vertical="center" shrinkToFit="1"/>
    </xf>
    <xf numFmtId="0" fontId="13" fillId="0" borderId="0" xfId="1" applyFont="1" applyAlignment="1">
      <alignment horizontal="center"/>
    </xf>
    <xf numFmtId="0" fontId="54" fillId="29" borderId="0" xfId="1" applyFont="1" applyFill="1" applyAlignment="1">
      <alignment horizontal="center" vertical="center" wrapText="1"/>
    </xf>
    <xf numFmtId="0" fontId="34" fillId="4" borderId="11" xfId="1" applyFont="1" applyFill="1" applyBorder="1" applyAlignment="1">
      <alignment horizontal="center" vertical="center" wrapText="1" shrinkToFit="1"/>
    </xf>
    <xf numFmtId="0" fontId="36" fillId="0" borderId="3" xfId="1" applyFont="1" applyBorder="1" applyAlignment="1">
      <alignment horizontal="right" wrapText="1"/>
    </xf>
    <xf numFmtId="0" fontId="10" fillId="0" borderId="3" xfId="1" applyFont="1" applyBorder="1" applyAlignment="1">
      <alignment horizontal="center"/>
    </xf>
    <xf numFmtId="168" fontId="35" fillId="25" borderId="0" xfId="5" applyNumberFormat="1" applyFont="1" applyFill="1" applyBorder="1" applyAlignment="1">
      <alignment horizontal="center" vertical="center"/>
    </xf>
    <xf numFmtId="0" fontId="38" fillId="0" borderId="11" xfId="1" applyFont="1" applyBorder="1" applyAlignment="1">
      <alignment horizontal="center" vertical="center" wrapText="1"/>
    </xf>
    <xf numFmtId="0" fontId="10" fillId="13" borderId="11" xfId="1" applyFont="1" applyFill="1" applyBorder="1" applyAlignment="1">
      <alignment horizontal="center"/>
    </xf>
    <xf numFmtId="0" fontId="5" fillId="29" borderId="11" xfId="1" applyFill="1" applyBorder="1"/>
    <xf numFmtId="0" fontId="55" fillId="29" borderId="11" xfId="1" applyFont="1" applyFill="1" applyBorder="1" applyAlignment="1">
      <alignment horizontal="center"/>
    </xf>
    <xf numFmtId="0" fontId="55" fillId="29" borderId="11" xfId="1" applyFont="1" applyFill="1" applyBorder="1"/>
    <xf numFmtId="0" fontId="56" fillId="29" borderId="11" xfId="1" applyFont="1" applyFill="1" applyBorder="1"/>
    <xf numFmtId="0" fontId="7" fillId="0" borderId="11" xfId="1" applyFont="1" applyBorder="1" applyAlignment="1">
      <alignment horizontal="center" vertical="center" wrapText="1"/>
    </xf>
    <xf numFmtId="0" fontId="36" fillId="0" borderId="11" xfId="1" applyFont="1" applyBorder="1" applyAlignment="1">
      <alignment horizontal="center" vertical="center" wrapText="1"/>
    </xf>
    <xf numFmtId="0" fontId="13" fillId="0" borderId="11" xfId="1" applyFont="1" applyBorder="1" applyAlignment="1">
      <alignment wrapText="1"/>
    </xf>
    <xf numFmtId="0" fontId="7" fillId="5" borderId="11" xfId="1" applyFont="1" applyFill="1" applyBorder="1" applyAlignment="1">
      <alignment horizontal="center" vertical="center" wrapText="1"/>
    </xf>
    <xf numFmtId="0" fontId="36" fillId="0" borderId="3" xfId="1" applyFont="1" applyBorder="1" applyAlignment="1">
      <alignment horizontal="center" vertical="center" textRotation="90" wrapText="1"/>
    </xf>
    <xf numFmtId="0" fontId="33" fillId="0" borderId="3" xfId="1" applyFont="1" applyBorder="1" applyAlignment="1">
      <alignment horizontal="center" vertical="center" textRotation="90" wrapText="1"/>
    </xf>
    <xf numFmtId="0" fontId="50" fillId="0" borderId="0" xfId="1" applyFont="1"/>
    <xf numFmtId="167" fontId="35" fillId="0" borderId="21" xfId="5" applyNumberFormat="1" applyFont="1" applyFill="1" applyBorder="1" applyAlignment="1">
      <alignment horizontal="right" wrapText="1"/>
    </xf>
    <xf numFmtId="167" fontId="35" fillId="0" borderId="22" xfId="5" applyNumberFormat="1" applyFont="1" applyFill="1" applyBorder="1" applyAlignment="1">
      <alignment horizontal="right" wrapText="1"/>
    </xf>
    <xf numFmtId="167" fontId="35" fillId="0" borderId="20" xfId="5" applyNumberFormat="1" applyFont="1" applyFill="1" applyBorder="1" applyAlignment="1">
      <alignment horizontal="right" wrapText="1"/>
    </xf>
    <xf numFmtId="167" fontId="35" fillId="0" borderId="11" xfId="1" applyNumberFormat="1" applyFont="1" applyBorder="1" applyAlignment="1">
      <alignment horizontal="center" vertical="center" wrapText="1"/>
    </xf>
    <xf numFmtId="0" fontId="35" fillId="0" borderId="11" xfId="1" applyFont="1" applyBorder="1" applyAlignment="1">
      <alignment horizontal="center" vertical="center" wrapText="1"/>
    </xf>
    <xf numFmtId="0" fontId="23" fillId="15" borderId="11" xfId="1" applyFont="1" applyFill="1" applyBorder="1" applyAlignment="1">
      <alignment horizontal="center" vertical="center" wrapText="1"/>
    </xf>
    <xf numFmtId="0" fontId="23" fillId="0" borderId="11" xfId="1" applyFont="1" applyBorder="1" applyAlignment="1">
      <alignment horizontal="center" vertical="center" wrapText="1"/>
    </xf>
    <xf numFmtId="0" fontId="57" fillId="0" borderId="11" xfId="1" applyFont="1" applyBorder="1" applyAlignment="1">
      <alignment horizontal="center" vertical="center" wrapText="1"/>
    </xf>
    <xf numFmtId="0" fontId="35" fillId="0" borderId="11" xfId="1" applyFont="1" applyBorder="1" applyAlignment="1">
      <alignment horizontal="center"/>
    </xf>
    <xf numFmtId="0" fontId="50" fillId="29" borderId="11" xfId="1" applyFont="1" applyFill="1" applyBorder="1"/>
    <xf numFmtId="0" fontId="35" fillId="0" borderId="11" xfId="1" applyFont="1" applyBorder="1" applyAlignment="1">
      <alignment horizontal="right"/>
    </xf>
    <xf numFmtId="0" fontId="58" fillId="29" borderId="11" xfId="1" applyFont="1" applyFill="1" applyBorder="1"/>
    <xf numFmtId="0" fontId="35" fillId="0" borderId="11" xfId="1" applyFont="1" applyBorder="1" applyAlignment="1">
      <alignment horizontal="right" vertical="center" wrapText="1"/>
    </xf>
    <xf numFmtId="0" fontId="50" fillId="0" borderId="11" xfId="1" applyFont="1" applyBorder="1"/>
    <xf numFmtId="0" fontId="23" fillId="5" borderId="11" xfId="1" applyFont="1" applyFill="1" applyBorder="1" applyAlignment="1">
      <alignment horizontal="center" vertical="center" wrapText="1"/>
    </xf>
    <xf numFmtId="0" fontId="59" fillId="29" borderId="11" xfId="1" applyFont="1" applyFill="1" applyBorder="1" applyAlignment="1">
      <alignment horizontal="center"/>
    </xf>
    <xf numFmtId="0" fontId="60" fillId="0" borderId="0" xfId="0" applyFont="1"/>
    <xf numFmtId="0" fontId="61" fillId="0" borderId="0" xfId="0" applyFont="1"/>
    <xf numFmtId="0" fontId="21" fillId="30" borderId="0" xfId="0" applyFont="1" applyFill="1"/>
    <xf numFmtId="0" fontId="0" fillId="30" borderId="0" xfId="0" applyFill="1"/>
    <xf numFmtId="0" fontId="50" fillId="31" borderId="0" xfId="0" applyFont="1" applyFill="1"/>
    <xf numFmtId="0" fontId="63" fillId="0" borderId="0" xfId="0" applyFont="1"/>
    <xf numFmtId="0" fontId="66" fillId="0" borderId="0" xfId="0" applyFont="1"/>
    <xf numFmtId="0" fontId="50" fillId="31" borderId="40" xfId="0" applyFont="1" applyFill="1" applyBorder="1"/>
    <xf numFmtId="0" fontId="0" fillId="0" borderId="40" xfId="0" applyBorder="1"/>
    <xf numFmtId="0" fontId="62" fillId="0" borderId="40" xfId="0" applyFont="1" applyBorder="1"/>
    <xf numFmtId="0" fontId="50" fillId="0" borderId="40" xfId="0" applyFont="1" applyBorder="1"/>
    <xf numFmtId="0" fontId="63" fillId="0" borderId="40" xfId="0" applyFont="1" applyBorder="1"/>
    <xf numFmtId="0" fontId="64" fillId="0" borderId="40" xfId="0" applyFont="1" applyBorder="1"/>
    <xf numFmtId="0" fontId="67" fillId="0" borderId="3" xfId="1" applyFont="1" applyBorder="1" applyAlignment="1">
      <alignment horizontal="center" vertical="center" wrapText="1"/>
    </xf>
    <xf numFmtId="0" fontId="68" fillId="0" borderId="3" xfId="1" applyFont="1" applyBorder="1" applyAlignment="1">
      <alignment shrinkToFit="1"/>
    </xf>
    <xf numFmtId="0" fontId="68" fillId="0" borderId="11" xfId="1" applyFont="1" applyBorder="1" applyAlignment="1">
      <alignment shrinkToFit="1"/>
    </xf>
    <xf numFmtId="0" fontId="70" fillId="0" borderId="3" xfId="1" applyFont="1" applyBorder="1" applyAlignment="1">
      <alignment shrinkToFit="1"/>
    </xf>
    <xf numFmtId="0" fontId="67" fillId="0" borderId="3" xfId="1" applyFont="1" applyBorder="1" applyAlignment="1">
      <alignment wrapText="1"/>
    </xf>
    <xf numFmtId="0" fontId="67" fillId="25" borderId="30" xfId="1" applyFont="1" applyFill="1" applyBorder="1" applyAlignment="1">
      <alignment horizontal="center" vertical="center"/>
    </xf>
    <xf numFmtId="0" fontId="67" fillId="7" borderId="0" xfId="1" applyFont="1" applyFill="1" applyAlignment="1">
      <alignment horizontal="center" vertical="center"/>
    </xf>
    <xf numFmtId="167" fontId="67" fillId="7" borderId="0" xfId="5" applyNumberFormat="1" applyFont="1" applyFill="1" applyBorder="1" applyAlignment="1">
      <alignment horizontal="left"/>
    </xf>
    <xf numFmtId="167" fontId="67" fillId="7" borderId="0" xfId="5" applyNumberFormat="1" applyFont="1" applyFill="1" applyBorder="1"/>
    <xf numFmtId="0" fontId="67" fillId="7" borderId="0" xfId="1" applyFont="1" applyFill="1" applyAlignment="1">
      <alignment horizontal="left"/>
    </xf>
    <xf numFmtId="0" fontId="67" fillId="0" borderId="0" xfId="1" applyFont="1"/>
    <xf numFmtId="0" fontId="7" fillId="0" borderId="0" xfId="1" applyFont="1" applyAlignment="1">
      <alignment horizontal="center" vertical="center"/>
    </xf>
    <xf numFmtId="0" fontId="0" fillId="0" borderId="41" xfId="0" applyBorder="1"/>
    <xf numFmtId="0" fontId="65" fillId="0" borderId="41" xfId="0" applyFont="1" applyBorder="1"/>
    <xf numFmtId="0" fontId="65" fillId="0" borderId="0" xfId="0" applyFont="1"/>
    <xf numFmtId="0" fontId="63" fillId="0" borderId="41" xfId="0" applyFont="1" applyBorder="1"/>
    <xf numFmtId="0" fontId="12" fillId="0" borderId="0" xfId="1" applyFont="1" applyAlignment="1">
      <alignment horizontal="center" vertical="center"/>
    </xf>
    <xf numFmtId="0" fontId="16" fillId="14" borderId="4" xfId="1" applyFont="1" applyFill="1" applyBorder="1" applyAlignment="1">
      <alignment horizontal="center" vertical="center" wrapText="1"/>
    </xf>
    <xf numFmtId="0" fontId="12" fillId="14" borderId="11" xfId="1" applyFont="1" applyFill="1" applyBorder="1" applyAlignment="1">
      <alignment horizontal="center" vertical="center" wrapText="1"/>
    </xf>
    <xf numFmtId="0" fontId="12" fillId="14" borderId="4" xfId="1" applyFont="1" applyFill="1" applyBorder="1" applyAlignment="1">
      <alignment horizontal="center" vertical="center" wrapText="1"/>
    </xf>
    <xf numFmtId="0" fontId="12" fillId="32" borderId="0" xfId="1" applyFont="1" applyFill="1" applyAlignment="1">
      <alignment horizontal="center" vertical="center"/>
    </xf>
    <xf numFmtId="0" fontId="12" fillId="33" borderId="0" xfId="1" applyFont="1" applyFill="1" applyAlignment="1">
      <alignment horizontal="center" vertical="center"/>
    </xf>
    <xf numFmtId="0" fontId="73" fillId="13" borderId="11" xfId="1" applyFont="1" applyFill="1" applyBorder="1" applyAlignment="1">
      <alignment horizontal="center" vertical="center" wrapText="1"/>
    </xf>
    <xf numFmtId="0" fontId="10" fillId="13" borderId="11" xfId="1" applyFont="1" applyFill="1" applyBorder="1" applyAlignment="1">
      <alignment horizontal="center" vertical="center" wrapText="1"/>
    </xf>
    <xf numFmtId="0" fontId="73" fillId="13" borderId="11" xfId="1" applyFont="1" applyFill="1" applyBorder="1" applyAlignment="1">
      <alignment horizontal="center" wrapText="1"/>
    </xf>
    <xf numFmtId="0" fontId="76" fillId="34" borderId="11" xfId="1" applyFont="1" applyFill="1" applyBorder="1" applyAlignment="1">
      <alignment horizontal="center" vertical="center" wrapText="1"/>
    </xf>
    <xf numFmtId="0" fontId="77" fillId="34" borderId="11" xfId="1" applyFont="1" applyFill="1" applyBorder="1" applyAlignment="1">
      <alignment horizontal="center" vertical="center" wrapText="1"/>
    </xf>
    <xf numFmtId="0" fontId="76" fillId="34" borderId="11" xfId="1" applyFont="1" applyFill="1" applyBorder="1" applyAlignment="1">
      <alignment horizontal="right" vertical="center" wrapText="1"/>
    </xf>
    <xf numFmtId="0" fontId="78" fillId="34" borderId="11" xfId="1" applyFont="1" applyFill="1" applyBorder="1" applyAlignment="1">
      <alignment wrapText="1"/>
    </xf>
    <xf numFmtId="0" fontId="73" fillId="35" borderId="11" xfId="1" applyFont="1" applyFill="1" applyBorder="1" applyAlignment="1">
      <alignment horizontal="center" vertical="center" wrapText="1"/>
    </xf>
    <xf numFmtId="0" fontId="73" fillId="35" borderId="11" xfId="1" applyFont="1" applyFill="1" applyBorder="1" applyAlignment="1">
      <alignment horizontal="center" wrapText="1"/>
    </xf>
    <xf numFmtId="0" fontId="73" fillId="35" borderId="11" xfId="1" applyFont="1" applyFill="1" applyBorder="1" applyAlignment="1">
      <alignment horizontal="center"/>
    </xf>
    <xf numFmtId="0" fontId="74" fillId="35" borderId="11" xfId="1" applyFont="1" applyFill="1" applyBorder="1" applyAlignment="1">
      <alignment horizontal="center" vertical="center" wrapText="1"/>
    </xf>
    <xf numFmtId="0" fontId="75" fillId="35" borderId="0" xfId="1" applyFont="1" applyFill="1"/>
    <xf numFmtId="0" fontId="73" fillId="35" borderId="11" xfId="1" applyFont="1" applyFill="1" applyBorder="1" applyAlignment="1">
      <alignment horizontal="right" vertical="center" wrapText="1"/>
    </xf>
    <xf numFmtId="0" fontId="73" fillId="35" borderId="11" xfId="1" applyFont="1" applyFill="1" applyBorder="1" applyAlignment="1">
      <alignment horizontal="center" vertical="center" shrinkToFit="1"/>
    </xf>
    <xf numFmtId="0" fontId="73" fillId="35" borderId="11" xfId="1" applyFont="1" applyFill="1" applyBorder="1" applyAlignment="1">
      <alignment horizontal="right"/>
    </xf>
    <xf numFmtId="0" fontId="79" fillId="35" borderId="11" xfId="1" applyFont="1" applyFill="1" applyBorder="1" applyAlignment="1">
      <alignment horizontal="center"/>
    </xf>
    <xf numFmtId="0" fontId="50" fillId="35" borderId="0" xfId="0" applyFont="1" applyFill="1"/>
    <xf numFmtId="0" fontId="80" fillId="34" borderId="0" xfId="0" applyFont="1" applyFill="1"/>
    <xf numFmtId="0" fontId="82" fillId="0" borderId="3" xfId="1" applyFont="1" applyBorder="1" applyAlignment="1">
      <alignment horizontal="center" shrinkToFit="1"/>
    </xf>
    <xf numFmtId="0" fontId="83" fillId="0" borderId="0" xfId="1" applyFont="1" applyAlignment="1">
      <alignment horizontal="center" vertical="center"/>
    </xf>
    <xf numFmtId="0" fontId="23" fillId="0" borderId="0" xfId="0" applyFont="1"/>
    <xf numFmtId="0" fontId="84" fillId="0" borderId="0" xfId="0" applyFont="1"/>
    <xf numFmtId="0" fontId="50" fillId="31" borderId="0" xfId="0" applyFont="1" applyFill="1" applyAlignment="1">
      <alignment horizontal="center"/>
    </xf>
    <xf numFmtId="0" fontId="21" fillId="36" borderId="0" xfId="0" applyFont="1" applyFill="1"/>
    <xf numFmtId="0" fontId="0" fillId="36" borderId="0" xfId="0" applyFill="1"/>
    <xf numFmtId="0" fontId="50" fillId="37" borderId="0" xfId="0" applyFont="1" applyFill="1" applyAlignment="1">
      <alignment horizontal="center"/>
    </xf>
    <xf numFmtId="0" fontId="50" fillId="37" borderId="0" xfId="0" applyFont="1" applyFill="1"/>
    <xf numFmtId="0" fontId="21" fillId="38" borderId="0" xfId="0" applyFont="1" applyFill="1"/>
    <xf numFmtId="0" fontId="0" fillId="38" borderId="0" xfId="0" applyFill="1"/>
    <xf numFmtId="0" fontId="50" fillId="0" borderId="0" xfId="0" applyFont="1" applyAlignment="1">
      <alignment horizontal="right"/>
    </xf>
    <xf numFmtId="0" fontId="87" fillId="40" borderId="0" xfId="0" applyFont="1" applyFill="1" applyAlignment="1">
      <alignment horizontal="center"/>
    </xf>
    <xf numFmtId="0" fontId="88" fillId="0" borderId="0" xfId="0" applyFont="1"/>
    <xf numFmtId="0" fontId="89" fillId="0" borderId="0" xfId="0" applyFont="1"/>
    <xf numFmtId="0" fontId="50" fillId="39" borderId="11" xfId="0" applyFont="1" applyFill="1" applyBorder="1"/>
    <xf numFmtId="0" fontId="50" fillId="39" borderId="11" xfId="0" applyFont="1" applyFill="1" applyBorder="1" applyAlignment="1">
      <alignment horizontal="center"/>
    </xf>
    <xf numFmtId="0" fontId="0" fillId="0" borderId="11" xfId="0" applyBorder="1"/>
    <xf numFmtId="0" fontId="0" fillId="0" borderId="11" xfId="0" applyBorder="1" applyAlignment="1">
      <alignment horizontal="center"/>
    </xf>
    <xf numFmtId="0" fontId="11" fillId="28" borderId="11" xfId="0" applyFont="1" applyFill="1" applyBorder="1"/>
    <xf numFmtId="0" fontId="11" fillId="0" borderId="11" xfId="0" applyFont="1" applyBorder="1" applyAlignment="1">
      <alignment horizontal="center"/>
    </xf>
    <xf numFmtId="0" fontId="85" fillId="0" borderId="11" xfId="0" applyFont="1" applyBorder="1"/>
    <xf numFmtId="0" fontId="85" fillId="0" borderId="11" xfId="0" applyFont="1" applyBorder="1" applyAlignment="1">
      <alignment horizontal="center"/>
    </xf>
    <xf numFmtId="0" fontId="21" fillId="41" borderId="0" xfId="0" applyFont="1" applyFill="1"/>
    <xf numFmtId="0" fontId="0" fillId="41" borderId="0" xfId="0" applyFill="1"/>
    <xf numFmtId="3" fontId="86" fillId="0" borderId="0" xfId="0" applyNumberFormat="1" applyFont="1" applyAlignment="1">
      <alignment horizontal="center"/>
    </xf>
    <xf numFmtId="3" fontId="0" fillId="0" borderId="0" xfId="0" applyNumberFormat="1" applyAlignment="1">
      <alignment horizontal="center"/>
    </xf>
    <xf numFmtId="0" fontId="62" fillId="0" borderId="0" xfId="0" applyFont="1" applyAlignment="1">
      <alignment horizontal="center"/>
    </xf>
    <xf numFmtId="3" fontId="50" fillId="37" borderId="0" xfId="0" applyNumberFormat="1" applyFont="1" applyFill="1" applyAlignment="1">
      <alignment horizontal="center"/>
    </xf>
    <xf numFmtId="0" fontId="51" fillId="0" borderId="0" xfId="0" applyFont="1"/>
    <xf numFmtId="2" fontId="87" fillId="40" borderId="0" xfId="0" applyNumberFormat="1" applyFont="1" applyFill="1" applyAlignment="1">
      <alignment horizontal="center"/>
    </xf>
    <xf numFmtId="3" fontId="90" fillId="0" borderId="0" xfId="0" applyNumberFormat="1" applyFont="1" applyAlignment="1">
      <alignment horizontal="center"/>
    </xf>
    <xf numFmtId="0" fontId="90" fillId="0" borderId="0" xfId="0" applyFont="1"/>
    <xf numFmtId="0" fontId="50" fillId="42" borderId="11" xfId="0" applyFont="1" applyFill="1" applyBorder="1"/>
    <xf numFmtId="0" fontId="50" fillId="42" borderId="11" xfId="0" applyFont="1" applyFill="1" applyBorder="1" applyAlignment="1">
      <alignment horizontal="center"/>
    </xf>
    <xf numFmtId="0" fontId="50" fillId="0" borderId="11" xfId="0" applyFont="1" applyBorder="1"/>
    <xf numFmtId="0" fontId="50" fillId="0" borderId="11" xfId="0" applyFont="1" applyBorder="1" applyAlignment="1">
      <alignment horizontal="center"/>
    </xf>
    <xf numFmtId="3" fontId="0" fillId="0" borderId="11" xfId="0" applyNumberFormat="1" applyBorder="1" applyAlignment="1">
      <alignment horizontal="center"/>
    </xf>
    <xf numFmtId="0" fontId="62" fillId="0" borderId="11" xfId="0" applyFont="1" applyBorder="1" applyAlignment="1">
      <alignment horizontal="center"/>
    </xf>
    <xf numFmtId="0" fontId="0" fillId="43" borderId="11" xfId="0" applyFill="1" applyBorder="1"/>
    <xf numFmtId="3" fontId="50" fillId="39" borderId="11" xfId="0" applyNumberFormat="1" applyFont="1" applyFill="1" applyBorder="1" applyAlignment="1">
      <alignment horizontal="center"/>
    </xf>
    <xf numFmtId="0" fontId="0" fillId="15" borderId="11" xfId="0" applyFill="1" applyBorder="1"/>
    <xf numFmtId="3" fontId="50" fillId="42" borderId="11" xfId="0" applyNumberFormat="1" applyFont="1" applyFill="1" applyBorder="1" applyAlignment="1">
      <alignment horizontal="center"/>
    </xf>
    <xf numFmtId="0" fontId="35" fillId="13" borderId="3" xfId="1" applyFont="1" applyFill="1" applyBorder="1" applyAlignment="1">
      <alignment horizontal="center" shrinkToFit="1"/>
    </xf>
    <xf numFmtId="167" fontId="36" fillId="0" borderId="42" xfId="5" applyNumberFormat="1" applyFont="1" applyFill="1" applyBorder="1" applyAlignment="1">
      <alignment horizontal="right" wrapText="1"/>
    </xf>
    <xf numFmtId="167" fontId="35" fillId="0" borderId="42" xfId="5" applyNumberFormat="1" applyFont="1" applyFill="1" applyBorder="1" applyAlignment="1">
      <alignment horizontal="right" wrapText="1"/>
    </xf>
    <xf numFmtId="167" fontId="35" fillId="25" borderId="43" xfId="5" applyNumberFormat="1" applyFont="1" applyFill="1" applyBorder="1" applyAlignment="1">
      <alignment horizontal="center" vertical="center"/>
    </xf>
    <xf numFmtId="168" fontId="35" fillId="25" borderId="44" xfId="5" applyNumberFormat="1" applyFont="1" applyFill="1" applyBorder="1" applyAlignment="1">
      <alignment horizontal="center" vertical="center"/>
    </xf>
    <xf numFmtId="0" fontId="0" fillId="0" borderId="0" xfId="0" applyAlignment="1">
      <alignment vertical="top"/>
    </xf>
    <xf numFmtId="0" fontId="11" fillId="0" borderId="0" xfId="0" applyFont="1"/>
    <xf numFmtId="0" fontId="46" fillId="0" borderId="11" xfId="0" applyFont="1" applyBorder="1" applyAlignment="1">
      <alignment horizontal="left" vertical="top" wrapText="1"/>
    </xf>
    <xf numFmtId="0" fontId="46" fillId="45" borderId="11" xfId="0" applyFont="1" applyFill="1" applyBorder="1" applyAlignment="1">
      <alignment horizontal="left" vertical="top" wrapText="1"/>
    </xf>
    <xf numFmtId="0" fontId="11" fillId="0" borderId="11" xfId="0" applyFont="1" applyBorder="1"/>
    <xf numFmtId="0" fontId="46" fillId="44" borderId="11" xfId="0" applyFont="1" applyFill="1" applyBorder="1" applyAlignment="1">
      <alignment horizontal="left" vertical="top" wrapText="1"/>
    </xf>
    <xf numFmtId="0" fontId="46" fillId="4" borderId="11" xfId="0" applyFont="1" applyFill="1" applyBorder="1" applyAlignment="1">
      <alignment horizontal="left" vertical="top" wrapText="1"/>
    </xf>
    <xf numFmtId="0" fontId="46" fillId="46" borderId="11" xfId="0" applyFont="1" applyFill="1" applyBorder="1" applyAlignment="1">
      <alignment horizontal="left" vertical="top" wrapText="1"/>
    </xf>
    <xf numFmtId="0" fontId="46" fillId="47" borderId="11" xfId="0" applyFont="1" applyFill="1" applyBorder="1" applyAlignment="1">
      <alignment horizontal="left" vertical="top" wrapText="1"/>
    </xf>
    <xf numFmtId="0" fontId="46" fillId="17" borderId="11" xfId="0" applyFont="1" applyFill="1" applyBorder="1" applyAlignment="1">
      <alignment horizontal="left" vertical="top" wrapText="1"/>
    </xf>
    <xf numFmtId="0" fontId="0" fillId="6" borderId="12" xfId="0" applyFill="1" applyBorder="1"/>
    <xf numFmtId="0" fontId="0" fillId="5" borderId="12" xfId="0" applyFill="1" applyBorder="1"/>
    <xf numFmtId="0" fontId="0" fillId="3" borderId="12" xfId="0" applyFill="1" applyBorder="1"/>
    <xf numFmtId="0" fontId="0" fillId="13" borderId="12" xfId="0" applyFill="1" applyBorder="1"/>
    <xf numFmtId="0" fontId="91" fillId="48" borderId="12" xfId="0" applyFont="1" applyFill="1" applyBorder="1"/>
    <xf numFmtId="0" fontId="11" fillId="0" borderId="11" xfId="0" applyFont="1" applyBorder="1" applyAlignment="1">
      <alignment vertical="top"/>
    </xf>
    <xf numFmtId="0" fontId="11" fillId="0" borderId="0" xfId="0" applyFont="1" applyAlignment="1">
      <alignment vertical="top"/>
    </xf>
    <xf numFmtId="0" fontId="46" fillId="49" borderId="11" xfId="0" applyFont="1" applyFill="1" applyBorder="1" applyAlignment="1">
      <alignment horizontal="left" vertical="top" wrapText="1"/>
    </xf>
    <xf numFmtId="0" fontId="0" fillId="50" borderId="12" xfId="0" applyFill="1" applyBorder="1"/>
    <xf numFmtId="0" fontId="0" fillId="51" borderId="12" xfId="0" applyFill="1" applyBorder="1"/>
    <xf numFmtId="0" fontId="0" fillId="5" borderId="11" xfId="0" applyFill="1" applyBorder="1"/>
    <xf numFmtId="0" fontId="0" fillId="13" borderId="11" xfId="0" applyFill="1" applyBorder="1"/>
    <xf numFmtId="0" fontId="0" fillId="51" borderId="11" xfId="0" applyFill="1" applyBorder="1"/>
    <xf numFmtId="0" fontId="46" fillId="46" borderId="12" xfId="0" applyFont="1" applyFill="1" applyBorder="1" applyAlignment="1">
      <alignment horizontal="left" vertical="top" wrapText="1"/>
    </xf>
    <xf numFmtId="0" fontId="46" fillId="49" borderId="3" xfId="0" applyFont="1" applyFill="1" applyBorder="1" applyAlignment="1">
      <alignment horizontal="left" vertical="top" wrapText="1"/>
    </xf>
    <xf numFmtId="0" fontId="0" fillId="6" borderId="45" xfId="0" applyFill="1" applyBorder="1"/>
    <xf numFmtId="0" fontId="92" fillId="6" borderId="45" xfId="0" applyFont="1" applyFill="1" applyBorder="1" applyAlignment="1">
      <alignment horizontal="center" vertical="center"/>
    </xf>
    <xf numFmtId="0" fontId="92" fillId="7" borderId="11" xfId="0" applyFont="1" applyFill="1" applyBorder="1" applyAlignment="1">
      <alignment horizontal="center" vertical="center"/>
    </xf>
    <xf numFmtId="0" fontId="0" fillId="4" borderId="11" xfId="0" applyFill="1" applyBorder="1"/>
    <xf numFmtId="0" fontId="0" fillId="48" borderId="11" xfId="0" applyFill="1" applyBorder="1"/>
    <xf numFmtId="0" fontId="0" fillId="3" borderId="45" xfId="0" applyFill="1" applyBorder="1"/>
    <xf numFmtId="0" fontId="0" fillId="6" borderId="46" xfId="0" applyFill="1" applyBorder="1"/>
    <xf numFmtId="0" fontId="0" fillId="5" borderId="45" xfId="0" applyFill="1" applyBorder="1"/>
    <xf numFmtId="0" fontId="46" fillId="46" borderId="45" xfId="0" applyFont="1" applyFill="1" applyBorder="1" applyAlignment="1">
      <alignment horizontal="left" vertical="top" wrapText="1"/>
    </xf>
    <xf numFmtId="0" fontId="0" fillId="51" borderId="45" xfId="0" applyFill="1" applyBorder="1"/>
    <xf numFmtId="0" fontId="0" fillId="4" borderId="45" xfId="0" applyFill="1" applyBorder="1"/>
    <xf numFmtId="0" fontId="0" fillId="13" borderId="45" xfId="0" applyFill="1" applyBorder="1"/>
    <xf numFmtId="0" fontId="0" fillId="48" borderId="45" xfId="0" applyFill="1" applyBorder="1"/>
    <xf numFmtId="0" fontId="0" fillId="5" borderId="46" xfId="0" applyFill="1" applyBorder="1"/>
    <xf numFmtId="0" fontId="46" fillId="46" borderId="46" xfId="0" applyFont="1" applyFill="1" applyBorder="1" applyAlignment="1">
      <alignment horizontal="left" vertical="top" wrapText="1"/>
    </xf>
    <xf numFmtId="0" fontId="0" fillId="51" borderId="46" xfId="0" applyFill="1" applyBorder="1"/>
    <xf numFmtId="0" fontId="0" fillId="3" borderId="46" xfId="0" applyFill="1" applyBorder="1"/>
    <xf numFmtId="0" fontId="0" fillId="4" borderId="46" xfId="0" applyFill="1" applyBorder="1"/>
    <xf numFmtId="0" fontId="0" fillId="13" borderId="46" xfId="0" applyFill="1" applyBorder="1"/>
    <xf numFmtId="0" fontId="0" fillId="48" borderId="46" xfId="0" applyFill="1" applyBorder="1"/>
    <xf numFmtId="0" fontId="46" fillId="52" borderId="11" xfId="0" applyFont="1" applyFill="1" applyBorder="1" applyAlignment="1">
      <alignment horizontal="left" vertical="top" wrapText="1"/>
    </xf>
    <xf numFmtId="0" fontId="0" fillId="6" borderId="47" xfId="0" applyFill="1" applyBorder="1"/>
    <xf numFmtId="0" fontId="0" fillId="5" borderId="47" xfId="0" applyFill="1" applyBorder="1"/>
    <xf numFmtId="0" fontId="46" fillId="46" borderId="47" xfId="0" applyFont="1" applyFill="1" applyBorder="1" applyAlignment="1">
      <alignment horizontal="left" vertical="top" wrapText="1"/>
    </xf>
    <xf numFmtId="0" fontId="0" fillId="51" borderId="47" xfId="0" applyFill="1" applyBorder="1"/>
    <xf numFmtId="0" fontId="0" fillId="3" borderId="47" xfId="0" applyFill="1" applyBorder="1"/>
    <xf numFmtId="0" fontId="0" fillId="4" borderId="47" xfId="0" applyFill="1" applyBorder="1"/>
    <xf numFmtId="0" fontId="0" fillId="13" borderId="47" xfId="0" applyFill="1" applyBorder="1"/>
    <xf numFmtId="0" fontId="0" fillId="48" borderId="47" xfId="0" applyFill="1" applyBorder="1"/>
    <xf numFmtId="0" fontId="0" fillId="6" borderId="48" xfId="0" applyFill="1" applyBorder="1"/>
    <xf numFmtId="0" fontId="0" fillId="5" borderId="48" xfId="0" applyFill="1" applyBorder="1"/>
    <xf numFmtId="0" fontId="46" fillId="46" borderId="48" xfId="0" applyFont="1" applyFill="1" applyBorder="1" applyAlignment="1">
      <alignment horizontal="left" vertical="top" wrapText="1"/>
    </xf>
    <xf numFmtId="0" fontId="0" fillId="51" borderId="48" xfId="0" applyFill="1" applyBorder="1"/>
    <xf numFmtId="0" fontId="0" fillId="3" borderId="48" xfId="0" applyFill="1" applyBorder="1"/>
    <xf numFmtId="0" fontId="0" fillId="4" borderId="48" xfId="0" applyFill="1" applyBorder="1"/>
    <xf numFmtId="0" fontId="0" fillId="13" borderId="48" xfId="0" applyFill="1" applyBorder="1"/>
    <xf numFmtId="0" fontId="0" fillId="48" borderId="48" xfId="0" applyFill="1" applyBorder="1"/>
    <xf numFmtId="0" fontId="46" fillId="53" borderId="11" xfId="0" applyFont="1" applyFill="1" applyBorder="1" applyAlignment="1">
      <alignment horizontal="left" vertical="top" wrapText="1"/>
    </xf>
    <xf numFmtId="0" fontId="0" fillId="6" borderId="49" xfId="0" applyFill="1" applyBorder="1"/>
    <xf numFmtId="0" fontId="0" fillId="5" borderId="49" xfId="0" applyFill="1" applyBorder="1"/>
    <xf numFmtId="0" fontId="46" fillId="46" borderId="49" xfId="0" applyFont="1" applyFill="1" applyBorder="1" applyAlignment="1">
      <alignment horizontal="left" vertical="top" wrapText="1"/>
    </xf>
    <xf numFmtId="0" fontId="0" fillId="51" borderId="49" xfId="0" applyFill="1" applyBorder="1"/>
    <xf numFmtId="0" fontId="0" fillId="3" borderId="49" xfId="0" applyFill="1" applyBorder="1"/>
    <xf numFmtId="0" fontId="0" fillId="4" borderId="49" xfId="0" applyFill="1" applyBorder="1"/>
    <xf numFmtId="0" fontId="0" fillId="13" borderId="49" xfId="0" applyFill="1" applyBorder="1"/>
    <xf numFmtId="0" fontId="0" fillId="48" borderId="49" xfId="0" applyFill="1" applyBorder="1"/>
    <xf numFmtId="0" fontId="11" fillId="0" borderId="0" xfId="0" applyFont="1" applyAlignment="1">
      <alignment wrapText="1"/>
    </xf>
    <xf numFmtId="0" fontId="0" fillId="0" borderId="0" xfId="0" applyAlignment="1">
      <alignment wrapText="1"/>
    </xf>
    <xf numFmtId="0" fontId="11" fillId="13" borderId="0" xfId="0" applyFont="1" applyFill="1"/>
    <xf numFmtId="0" fontId="0" fillId="13" borderId="0" xfId="0" applyFill="1" applyAlignment="1">
      <alignment wrapText="1"/>
    </xf>
    <xf numFmtId="0" fontId="0" fillId="0" borderId="0" xfId="0" applyAlignment="1">
      <alignment horizontal="right"/>
    </xf>
    <xf numFmtId="169" fontId="13" fillId="0" borderId="0" xfId="1" applyNumberFormat="1" applyFont="1" applyAlignment="1">
      <alignment horizontal="center"/>
    </xf>
    <xf numFmtId="166" fontId="13" fillId="0" borderId="0" xfId="1" applyNumberFormat="1" applyFont="1" applyAlignment="1">
      <alignment horizontal="center" vertical="center"/>
    </xf>
    <xf numFmtId="0" fontId="35" fillId="5" borderId="11" xfId="7" applyFont="1" applyFill="1" applyBorder="1" applyAlignment="1">
      <alignment horizontal="center" vertical="center"/>
    </xf>
    <xf numFmtId="0" fontId="37" fillId="55" borderId="11" xfId="1" applyFont="1" applyFill="1" applyBorder="1" applyAlignment="1">
      <alignment horizontal="center" vertical="center" shrinkToFit="1"/>
    </xf>
    <xf numFmtId="0" fontId="37" fillId="56" borderId="11" xfId="1" applyFont="1" applyFill="1" applyBorder="1" applyAlignment="1">
      <alignment horizontal="center" vertical="center" shrinkToFit="1"/>
    </xf>
    <xf numFmtId="0" fontId="38" fillId="11" borderId="11" xfId="1" applyFont="1" applyFill="1" applyBorder="1" applyAlignment="1">
      <alignment horizontal="center" vertical="center" shrinkToFit="1"/>
    </xf>
    <xf numFmtId="0" fontId="37" fillId="48" borderId="11" xfId="1" applyFont="1" applyFill="1" applyBorder="1" applyAlignment="1">
      <alignment horizontal="center" vertical="center"/>
    </xf>
    <xf numFmtId="167" fontId="36" fillId="0" borderId="50" xfId="5" applyNumberFormat="1" applyFont="1" applyFill="1" applyBorder="1" applyAlignment="1">
      <alignment horizontal="right" wrapText="1"/>
    </xf>
    <xf numFmtId="167" fontId="35" fillId="0" borderId="50" xfId="5" applyNumberFormat="1" applyFont="1" applyFill="1" applyBorder="1" applyAlignment="1">
      <alignment horizontal="right" wrapText="1"/>
    </xf>
    <xf numFmtId="167" fontId="35" fillId="25" borderId="51" xfId="5" applyNumberFormat="1" applyFont="1" applyFill="1" applyBorder="1" applyAlignment="1">
      <alignment horizontal="center" vertical="center"/>
    </xf>
    <xf numFmtId="168" fontId="35" fillId="25" borderId="52" xfId="5" applyNumberFormat="1" applyFont="1" applyFill="1" applyBorder="1" applyAlignment="1">
      <alignment horizontal="center" vertical="center"/>
    </xf>
    <xf numFmtId="0" fontId="38" fillId="10" borderId="11" xfId="1" applyFont="1" applyFill="1" applyBorder="1" applyAlignment="1">
      <alignment horizontal="center" vertical="center"/>
    </xf>
    <xf numFmtId="0" fontId="37" fillId="3" borderId="11" xfId="1" applyFont="1" applyFill="1" applyBorder="1" applyAlignment="1">
      <alignment horizontal="center" vertical="center"/>
    </xf>
    <xf numFmtId="0" fontId="10" fillId="5" borderId="11" xfId="1" applyFont="1" applyFill="1" applyBorder="1" applyAlignment="1">
      <alignment horizontal="center" vertical="center"/>
    </xf>
    <xf numFmtId="0" fontId="10" fillId="4" borderId="11" xfId="0" applyFont="1" applyFill="1" applyBorder="1" applyAlignment="1">
      <alignment horizontal="center" vertical="center"/>
    </xf>
    <xf numFmtId="0" fontId="10" fillId="54" borderId="11" xfId="0" applyFont="1" applyFill="1" applyBorder="1" applyAlignment="1">
      <alignment horizontal="center" vertical="center"/>
    </xf>
    <xf numFmtId="0" fontId="10" fillId="14" borderId="11" xfId="0" applyFont="1" applyFill="1" applyBorder="1" applyAlignment="1">
      <alignment horizontal="center" vertical="center"/>
    </xf>
    <xf numFmtId="0" fontId="10" fillId="15" borderId="11" xfId="1" applyFont="1" applyFill="1" applyBorder="1" applyAlignment="1">
      <alignment horizontal="center" vertical="center" wrapText="1"/>
    </xf>
    <xf numFmtId="0" fontId="74" fillId="7" borderId="11" xfId="1" applyFont="1" applyFill="1" applyBorder="1" applyAlignment="1">
      <alignment horizontal="center" vertical="center" wrapText="1"/>
    </xf>
    <xf numFmtId="0" fontId="37" fillId="4" borderId="11" xfId="0" applyFont="1" applyFill="1" applyBorder="1" applyAlignment="1">
      <alignment horizontal="center" vertical="center"/>
    </xf>
    <xf numFmtId="0" fontId="73" fillId="7" borderId="11" xfId="1" applyFont="1" applyFill="1" applyBorder="1" applyAlignment="1">
      <alignment horizontal="center" vertical="center" wrapText="1"/>
    </xf>
    <xf numFmtId="0" fontId="10" fillId="7" borderId="11" xfId="1" applyFont="1" applyFill="1" applyBorder="1" applyAlignment="1">
      <alignment horizontal="center" vertical="center" wrapText="1"/>
    </xf>
    <xf numFmtId="0" fontId="77" fillId="7" borderId="11" xfId="1" applyFont="1" applyFill="1" applyBorder="1" applyAlignment="1">
      <alignment horizontal="center" vertical="center" wrapText="1"/>
    </xf>
    <xf numFmtId="0" fontId="73" fillId="7" borderId="11" xfId="1" applyFont="1" applyFill="1" applyBorder="1" applyAlignment="1">
      <alignment horizontal="center" wrapText="1"/>
    </xf>
    <xf numFmtId="0" fontId="73" fillId="7" borderId="11" xfId="1" applyFont="1" applyFill="1" applyBorder="1" applyAlignment="1">
      <alignment horizontal="center" vertical="center"/>
    </xf>
    <xf numFmtId="0" fontId="10" fillId="29" borderId="11" xfId="1" applyFont="1" applyFill="1" applyBorder="1" applyAlignment="1">
      <alignment horizontal="center" vertical="center" wrapText="1"/>
    </xf>
    <xf numFmtId="0" fontId="10" fillId="7" borderId="11" xfId="1" applyFont="1" applyFill="1" applyBorder="1" applyAlignment="1">
      <alignment horizontal="center" vertical="center"/>
    </xf>
    <xf numFmtId="0" fontId="38" fillId="57" borderId="11" xfId="1" applyFont="1" applyFill="1" applyBorder="1" applyAlignment="1">
      <alignment horizontal="center" vertical="center"/>
    </xf>
    <xf numFmtId="0" fontId="68" fillId="47" borderId="3" xfId="1" applyFont="1" applyFill="1" applyBorder="1" applyAlignment="1">
      <alignment shrinkToFit="1"/>
    </xf>
    <xf numFmtId="0" fontId="94" fillId="47" borderId="3" xfId="1" applyFont="1" applyFill="1" applyBorder="1" applyAlignment="1">
      <alignment shrinkToFit="1"/>
    </xf>
    <xf numFmtId="0" fontId="95" fillId="13" borderId="3" xfId="1" applyFont="1" applyFill="1" applyBorder="1" applyAlignment="1">
      <alignment wrapText="1"/>
    </xf>
    <xf numFmtId="0" fontId="96" fillId="13" borderId="3" xfId="1" applyFont="1" applyFill="1" applyBorder="1" applyAlignment="1">
      <alignment wrapText="1"/>
    </xf>
    <xf numFmtId="0" fontId="81" fillId="47" borderId="3" xfId="1" applyFont="1" applyFill="1" applyBorder="1" applyAlignment="1">
      <alignment shrinkToFit="1"/>
    </xf>
    <xf numFmtId="0" fontId="95" fillId="47" borderId="3" xfId="1" applyFont="1" applyFill="1" applyBorder="1" applyAlignment="1">
      <alignment wrapText="1"/>
    </xf>
    <xf numFmtId="0" fontId="69" fillId="47" borderId="3" xfId="1" applyFont="1" applyFill="1" applyBorder="1" applyAlignment="1">
      <alignment wrapText="1"/>
    </xf>
    <xf numFmtId="0" fontId="10" fillId="0" borderId="11" xfId="1" applyFont="1" applyBorder="1" applyAlignment="1">
      <alignment horizontal="center" vertical="center"/>
    </xf>
    <xf numFmtId="0" fontId="68" fillId="47" borderId="11" xfId="1" applyFont="1" applyFill="1" applyBorder="1" applyAlignment="1">
      <alignment shrinkToFit="1"/>
    </xf>
    <xf numFmtId="0" fontId="73" fillId="7" borderId="3" xfId="1" applyFont="1" applyFill="1" applyBorder="1" applyAlignment="1">
      <alignment horizontal="center" vertical="center" wrapText="1"/>
    </xf>
    <xf numFmtId="0" fontId="69" fillId="47" borderId="11" xfId="1" applyFont="1" applyFill="1" applyBorder="1" applyAlignment="1">
      <alignment horizontal="left" wrapText="1"/>
    </xf>
    <xf numFmtId="0" fontId="10" fillId="13" borderId="11" xfId="1" applyFont="1" applyFill="1" applyBorder="1" applyAlignment="1">
      <alignment horizontal="right" vertical="center" wrapText="1"/>
    </xf>
    <xf numFmtId="0" fontId="10" fillId="58" borderId="11" xfId="1" applyFont="1" applyFill="1" applyBorder="1" applyAlignment="1">
      <alignment horizontal="center" vertical="center" wrapText="1"/>
    </xf>
    <xf numFmtId="0" fontId="37" fillId="59" borderId="11" xfId="1" applyFont="1" applyFill="1" applyBorder="1" applyAlignment="1">
      <alignment horizontal="center" vertical="center" shrinkToFit="1"/>
    </xf>
    <xf numFmtId="0" fontId="37" fillId="13" borderId="11" xfId="1" applyFont="1" applyFill="1" applyBorder="1" applyAlignment="1">
      <alignment horizontal="center" vertical="center" shrinkToFit="1"/>
    </xf>
    <xf numFmtId="0" fontId="38" fillId="26" borderId="11" xfId="1" applyFont="1" applyFill="1" applyBorder="1" applyAlignment="1">
      <alignment horizontal="center" vertical="center"/>
    </xf>
    <xf numFmtId="0" fontId="98" fillId="0" borderId="11" xfId="1" applyFont="1" applyBorder="1" applyAlignment="1">
      <alignment horizontal="center" vertical="center" wrapText="1"/>
    </xf>
    <xf numFmtId="0" fontId="7" fillId="13" borderId="11" xfId="1" applyFont="1" applyFill="1" applyBorder="1" applyAlignment="1">
      <alignment horizontal="center" vertical="center" wrapText="1"/>
    </xf>
    <xf numFmtId="0" fontId="76" fillId="13" borderId="11" xfId="1" applyFont="1" applyFill="1" applyBorder="1" applyAlignment="1">
      <alignment horizontal="right" vertical="center" wrapText="1"/>
    </xf>
    <xf numFmtId="0" fontId="56" fillId="29" borderId="11" xfId="1" applyFont="1" applyFill="1" applyBorder="1" applyAlignment="1">
      <alignment vertical="center"/>
    </xf>
    <xf numFmtId="0" fontId="38" fillId="13" borderId="11" xfId="1" applyFont="1" applyFill="1" applyBorder="1" applyAlignment="1">
      <alignment horizontal="center" vertical="center" wrapText="1"/>
    </xf>
    <xf numFmtId="0" fontId="97" fillId="47" borderId="3" xfId="1" applyFont="1" applyFill="1" applyBorder="1" applyAlignment="1">
      <alignment shrinkToFit="1"/>
    </xf>
    <xf numFmtId="0" fontId="38" fillId="13" borderId="11" xfId="1" applyFont="1" applyFill="1" applyBorder="1" applyAlignment="1">
      <alignment horizontal="center" vertical="center"/>
    </xf>
    <xf numFmtId="0" fontId="46" fillId="28" borderId="35" xfId="0" applyFont="1" applyFill="1" applyBorder="1" applyAlignment="1">
      <alignment horizontal="left" vertical="center"/>
    </xf>
    <xf numFmtId="0" fontId="46" fillId="28" borderId="36" xfId="0" applyFont="1" applyFill="1" applyBorder="1" applyAlignment="1">
      <alignment horizontal="left" vertical="center"/>
    </xf>
    <xf numFmtId="171" fontId="46" fillId="28" borderId="35" xfId="0" applyNumberFormat="1" applyFont="1" applyFill="1" applyBorder="1" applyAlignment="1">
      <alignment horizontal="left" vertical="center"/>
    </xf>
    <xf numFmtId="171" fontId="46" fillId="28" borderId="36" xfId="0" applyNumberFormat="1" applyFont="1" applyFill="1" applyBorder="1" applyAlignment="1">
      <alignment horizontal="left" vertical="center"/>
    </xf>
    <xf numFmtId="0" fontId="46" fillId="28" borderId="38" xfId="0" applyFont="1" applyFill="1" applyBorder="1" applyAlignment="1">
      <alignment horizontal="left" vertical="center"/>
    </xf>
    <xf numFmtId="0" fontId="46" fillId="28" borderId="39" xfId="0" applyFont="1" applyFill="1" applyBorder="1" applyAlignment="1">
      <alignment horizontal="left" vertical="center"/>
    </xf>
    <xf numFmtId="0" fontId="48" fillId="28" borderId="32" xfId="0" applyFont="1" applyFill="1" applyBorder="1" applyAlignment="1">
      <alignment horizontal="left" vertical="center"/>
    </xf>
    <xf numFmtId="0" fontId="49" fillId="28" borderId="33" xfId="0" applyFont="1" applyFill="1" applyBorder="1" applyAlignment="1">
      <alignment horizontal="left" vertical="center"/>
    </xf>
    <xf numFmtId="170" fontId="46" fillId="28" borderId="35" xfId="0" applyNumberFormat="1" applyFont="1" applyFill="1" applyBorder="1" applyAlignment="1">
      <alignment horizontal="left" vertical="center"/>
    </xf>
    <xf numFmtId="170" fontId="46" fillId="28" borderId="36" xfId="0" applyNumberFormat="1" applyFont="1" applyFill="1" applyBorder="1" applyAlignment="1">
      <alignment horizontal="left" vertical="center"/>
    </xf>
    <xf numFmtId="0" fontId="13" fillId="0" borderId="6" xfId="1" applyFont="1" applyBorder="1" applyAlignment="1">
      <alignment horizontal="center"/>
    </xf>
    <xf numFmtId="169" fontId="13" fillId="0" borderId="0" xfId="1" applyNumberFormat="1" applyFont="1" applyAlignment="1">
      <alignment horizontal="center"/>
    </xf>
    <xf numFmtId="166" fontId="13" fillId="0" borderId="0" xfId="1" applyNumberFormat="1" applyFont="1" applyAlignment="1">
      <alignment horizontal="center" vertical="center"/>
    </xf>
    <xf numFmtId="0" fontId="15" fillId="0" borderId="3" xfId="1" applyFont="1" applyBorder="1" applyAlignment="1">
      <alignment horizontal="center" vertical="center" wrapText="1"/>
    </xf>
    <xf numFmtId="0" fontId="15" fillId="0" borderId="0" xfId="1" applyFont="1" applyAlignment="1" applyProtection="1">
      <alignment horizontal="center"/>
      <protection hidden="1"/>
    </xf>
    <xf numFmtId="0" fontId="15" fillId="0" borderId="9" xfId="1" applyFont="1" applyBorder="1" applyAlignment="1" applyProtection="1">
      <alignment horizontal="center"/>
      <protection hidden="1"/>
    </xf>
    <xf numFmtId="0" fontId="27" fillId="0" borderId="0" xfId="1" applyFont="1" applyAlignment="1" applyProtection="1">
      <alignment horizontal="center"/>
      <protection hidden="1"/>
    </xf>
    <xf numFmtId="0" fontId="27" fillId="0" borderId="9" xfId="1" applyFont="1" applyBorder="1" applyAlignment="1" applyProtection="1">
      <alignment horizontal="center"/>
      <protection hidden="1"/>
    </xf>
    <xf numFmtId="0" fontId="12" fillId="2" borderId="2" xfId="1" applyFont="1" applyFill="1" applyBorder="1" applyAlignment="1" applyProtection="1">
      <alignment horizontal="center" vertical="center"/>
      <protection hidden="1"/>
    </xf>
    <xf numFmtId="0" fontId="12" fillId="2" borderId="0" xfId="1" applyFont="1" applyFill="1" applyAlignment="1" applyProtection="1">
      <alignment horizontal="center" vertical="center"/>
      <protection hidden="1"/>
    </xf>
    <xf numFmtId="0" fontId="12" fillId="2" borderId="9" xfId="1" applyFont="1" applyFill="1" applyBorder="1" applyAlignment="1" applyProtection="1">
      <alignment horizontal="center" vertical="center"/>
      <protection hidden="1"/>
    </xf>
    <xf numFmtId="0" fontId="26" fillId="0" borderId="0" xfId="1" applyFont="1" applyAlignment="1" applyProtection="1">
      <alignment horizontal="center" vertical="center"/>
      <protection hidden="1"/>
    </xf>
    <xf numFmtId="0" fontId="7" fillId="0" borderId="2" xfId="0" applyFont="1" applyBorder="1" applyAlignment="1" applyProtection="1">
      <alignment horizontal="left" vertical="top"/>
      <protection hidden="1"/>
    </xf>
    <xf numFmtId="0" fontId="7" fillId="0" borderId="0" xfId="0" applyFont="1" applyAlignment="1" applyProtection="1">
      <alignment horizontal="left" vertical="top"/>
      <protection hidden="1"/>
    </xf>
    <xf numFmtId="0" fontId="22" fillId="0" borderId="12" xfId="1" applyFont="1" applyBorder="1" applyAlignment="1" applyProtection="1">
      <alignment horizontal="center" vertical="center"/>
      <protection hidden="1"/>
    </xf>
    <xf numFmtId="0" fontId="22" fillId="0" borderId="14" xfId="1" applyFont="1" applyBorder="1" applyAlignment="1" applyProtection="1">
      <alignment horizontal="center" vertical="center"/>
      <protection hidden="1"/>
    </xf>
    <xf numFmtId="0" fontId="4" fillId="0" borderId="6" xfId="0" applyFont="1" applyBorder="1" applyAlignment="1" applyProtection="1">
      <alignment horizontal="left" wrapText="1"/>
      <protection hidden="1"/>
    </xf>
    <xf numFmtId="0" fontId="4" fillId="0" borderId="7" xfId="0" applyFont="1" applyBorder="1" applyAlignment="1" applyProtection="1">
      <alignment horizontal="left" wrapText="1"/>
      <protection hidden="1"/>
    </xf>
    <xf numFmtId="0" fontId="4" fillId="0" borderId="1" xfId="0" applyFont="1" applyBorder="1" applyAlignment="1" applyProtection="1">
      <alignment horizontal="left" wrapText="1"/>
      <protection hidden="1"/>
    </xf>
    <xf numFmtId="0" fontId="4" fillId="0" borderId="10" xfId="0" applyFont="1" applyBorder="1" applyAlignment="1" applyProtection="1">
      <alignment horizontal="left" wrapText="1"/>
      <protection hidden="1"/>
    </xf>
    <xf numFmtId="0" fontId="4" fillId="0" borderId="5" xfId="1" applyFont="1" applyBorder="1" applyAlignment="1" applyProtection="1">
      <alignment horizontal="center" vertical="center" textRotation="90" shrinkToFit="1"/>
      <protection hidden="1"/>
    </xf>
    <xf numFmtId="0" fontId="4" fillId="0" borderId="7" xfId="1" applyFont="1" applyBorder="1" applyAlignment="1" applyProtection="1">
      <alignment horizontal="center" vertical="center" textRotation="90" shrinkToFit="1"/>
      <protection hidden="1"/>
    </xf>
    <xf numFmtId="0" fontId="4" fillId="0" borderId="8" xfId="1" applyFont="1" applyBorder="1" applyAlignment="1" applyProtection="1">
      <alignment horizontal="center" vertical="center" textRotation="90" shrinkToFit="1"/>
      <protection hidden="1"/>
    </xf>
    <xf numFmtId="0" fontId="4" fillId="0" borderId="10" xfId="1" applyFont="1" applyBorder="1" applyAlignment="1" applyProtection="1">
      <alignment horizontal="center" vertical="center" textRotation="90" shrinkToFit="1"/>
      <protection hidden="1"/>
    </xf>
    <xf numFmtId="0" fontId="4" fillId="0" borderId="12" xfId="1" applyFont="1" applyBorder="1" applyAlignment="1" applyProtection="1">
      <alignment horizontal="center" vertical="center" textRotation="90" shrinkToFit="1"/>
      <protection hidden="1"/>
    </xf>
    <xf numFmtId="0" fontId="4" fillId="0" borderId="14" xfId="1" applyFont="1" applyBorder="1" applyAlignment="1" applyProtection="1">
      <alignment horizontal="center" vertical="center" textRotation="90" shrinkToFit="1"/>
      <protection hidden="1"/>
    </xf>
    <xf numFmtId="0" fontId="31" fillId="0" borderId="12" xfId="1" applyFont="1" applyBorder="1" applyAlignment="1" applyProtection="1">
      <alignment horizontal="center" vertical="center"/>
      <protection hidden="1"/>
    </xf>
    <xf numFmtId="0" fontId="31" fillId="0" borderId="14" xfId="1" applyFont="1" applyBorder="1" applyAlignment="1" applyProtection="1">
      <alignment horizontal="center" vertical="center"/>
      <protection hidden="1"/>
    </xf>
    <xf numFmtId="0" fontId="14" fillId="0" borderId="12" xfId="1" applyFont="1" applyBorder="1" applyAlignment="1" applyProtection="1">
      <alignment horizontal="center" vertical="center"/>
      <protection hidden="1"/>
    </xf>
    <xf numFmtId="0" fontId="14" fillId="0" borderId="14" xfId="1" applyFont="1" applyBorder="1" applyAlignment="1" applyProtection="1">
      <alignment horizontal="center" vertical="center"/>
      <protection hidden="1"/>
    </xf>
    <xf numFmtId="0" fontId="23" fillId="0" borderId="0" xfId="0" applyFont="1" applyAlignment="1" applyProtection="1">
      <alignment horizontal="left" vertical="center"/>
      <protection hidden="1"/>
    </xf>
    <xf numFmtId="0" fontId="23" fillId="0" borderId="0" xfId="1" applyFont="1" applyAlignment="1" applyProtection="1">
      <alignment horizontal="left" shrinkToFit="1"/>
      <protection hidden="1"/>
    </xf>
    <xf numFmtId="0" fontId="25" fillId="0" borderId="6" xfId="1" applyFont="1" applyBorder="1" applyAlignment="1" applyProtection="1">
      <alignment horizontal="left" vertical="center"/>
      <protection hidden="1"/>
    </xf>
    <xf numFmtId="0" fontId="25" fillId="0" borderId="7" xfId="1" applyFont="1" applyBorder="1" applyAlignment="1" applyProtection="1">
      <alignment horizontal="left" vertical="center"/>
      <protection hidden="1"/>
    </xf>
    <xf numFmtId="0" fontId="25" fillId="0" borderId="1" xfId="1" applyFont="1" applyBorder="1" applyAlignment="1" applyProtection="1">
      <alignment horizontal="left" vertical="center"/>
      <protection hidden="1"/>
    </xf>
    <xf numFmtId="0" fontId="25" fillId="0" borderId="10" xfId="1" applyFont="1" applyBorder="1" applyAlignment="1" applyProtection="1">
      <alignment horizontal="left" vertical="center"/>
      <protection hidden="1"/>
    </xf>
    <xf numFmtId="0" fontId="14" fillId="2" borderId="2" xfId="1" applyFont="1" applyFill="1" applyBorder="1" applyAlignment="1" applyProtection="1">
      <alignment horizontal="center" vertical="center"/>
      <protection hidden="1"/>
    </xf>
    <xf numFmtId="0" fontId="14" fillId="2" borderId="0" xfId="1" applyFont="1" applyFill="1" applyAlignment="1" applyProtection="1">
      <alignment horizontal="center" vertical="center"/>
      <protection hidden="1"/>
    </xf>
    <xf numFmtId="0" fontId="14" fillId="2" borderId="9" xfId="1" applyFont="1" applyFill="1" applyBorder="1" applyAlignment="1" applyProtection="1">
      <alignment horizontal="center" vertical="center"/>
      <protection hidden="1"/>
    </xf>
    <xf numFmtId="0" fontId="14" fillId="0" borderId="12" xfId="1" applyFont="1" applyBorder="1" applyAlignment="1" applyProtection="1">
      <alignment horizontal="center" vertical="center" wrapText="1"/>
      <protection hidden="1"/>
    </xf>
    <xf numFmtId="0" fontId="14" fillId="0" borderId="14" xfId="1" applyFont="1" applyBorder="1" applyAlignment="1" applyProtection="1">
      <alignment horizontal="center" vertical="center" wrapText="1"/>
      <protection hidden="1"/>
    </xf>
    <xf numFmtId="0" fontId="29" fillId="0" borderId="12" xfId="1" applyFont="1" applyBorder="1" applyAlignment="1" applyProtection="1">
      <alignment horizontal="center" vertical="center"/>
      <protection hidden="1"/>
    </xf>
    <xf numFmtId="0" fontId="29" fillId="0" borderId="14" xfId="1" applyFont="1" applyBorder="1" applyAlignment="1" applyProtection="1">
      <alignment horizontal="center" vertical="center"/>
      <protection hidden="1"/>
    </xf>
  </cellXfs>
  <cellStyles count="8">
    <cellStyle name="Comma 2" xfId="5" xr:uid="{E7450046-A868-4FB5-BDF9-3BF903B157E0}"/>
    <cellStyle name="Hyperlink" xfId="6" builtinId="8"/>
    <cellStyle name="Normal" xfId="0" builtinId="0"/>
    <cellStyle name="Normal 2" xfId="1" xr:uid="{00000000-0005-0000-0000-000003000000}"/>
    <cellStyle name="Normal 2 2" xfId="2" xr:uid="{00000000-0005-0000-0000-000004000000}"/>
    <cellStyle name="Normal 3" xfId="3" xr:uid="{00000000-0005-0000-0000-000005000000}"/>
    <cellStyle name="Normal 4" xfId="4" xr:uid="{9F4FA08D-A21C-437E-A4CA-C453CFA8FEEB}"/>
    <cellStyle name="Обычный 2" xfId="7" xr:uid="{14D41ED8-AF54-4EBE-9FD1-13EDA7C05ECC}"/>
  </cellStyles>
  <dxfs count="8"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rgb="FFFF0000"/>
      </font>
    </dxf>
    <dxf>
      <font>
        <color rgb="FFFF0000"/>
      </font>
    </dxf>
  </dxfs>
  <tableStyles count="0" defaultTableStyle="TableStyleMedium9" defaultPivotStyle="PivotStyleLight16"/>
  <colors>
    <mruColors>
      <color rgb="FFECD89E"/>
      <color rgb="FFFFFFCC"/>
      <color rgb="FFFF0066"/>
      <color rgb="FFD24E51"/>
      <color rgb="FFFF9966"/>
      <color rgb="FFCC3300"/>
      <color rgb="FFFF9933"/>
      <color rgb="FFB2B2B2"/>
      <color rgb="FFCCCC00"/>
      <color rgb="FFCCCC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calcChain" Target="calcChain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heetMetadata" Target="metadata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customXml" Target="../customXml/item3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tyles" Target="styles.xml"/><Relationship Id="rId28" Type="http://schemas.openxmlformats.org/officeDocument/2006/relationships/customXml" Target="../customXml/item2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theme" Target="theme/theme1.xml"/><Relationship Id="rId27" Type="http://schemas.openxmlformats.org/officeDocument/2006/relationships/customXml" Target="../customXml/item1.xml"/><Relationship Id="rId30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5.png"/><Relationship Id="rId1" Type="http://schemas.openxmlformats.org/officeDocument/2006/relationships/image" Target="../media/image4.pn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5.png"/><Relationship Id="rId1" Type="http://schemas.openxmlformats.org/officeDocument/2006/relationships/image" Target="../media/image4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5.png"/><Relationship Id="rId1" Type="http://schemas.openxmlformats.org/officeDocument/2006/relationships/image" Target="../media/image4.png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5.png"/><Relationship Id="rId1" Type="http://schemas.openxmlformats.org/officeDocument/2006/relationships/image" Target="../media/image4.png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5.png"/><Relationship Id="rId1" Type="http://schemas.openxmlformats.org/officeDocument/2006/relationships/image" Target="../media/image4.png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5.png"/><Relationship Id="rId1" Type="http://schemas.openxmlformats.org/officeDocument/2006/relationships/image" Target="../media/image4.png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5.png"/><Relationship Id="rId1" Type="http://schemas.openxmlformats.org/officeDocument/2006/relationships/image" Target="../media/image4.png"/></Relationships>
</file>

<file path=xl/drawings/_rels/drawing10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5.png"/><Relationship Id="rId1" Type="http://schemas.openxmlformats.org/officeDocument/2006/relationships/image" Target="../media/image4.png"/></Relationships>
</file>

<file path=xl/drawings/_rels/drawing1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5.png"/><Relationship Id="rId1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514350</xdr:colOff>
      <xdr:row>0</xdr:row>
      <xdr:rowOff>142875</xdr:rowOff>
    </xdr:from>
    <xdr:to>
      <xdr:col>8</xdr:col>
      <xdr:colOff>381000</xdr:colOff>
      <xdr:row>2</xdr:row>
      <xdr:rowOff>133350</xdr:rowOff>
    </xdr:to>
    <xdr:sp macro="[0]!Setup_And_Preview_First_Label" textlink="">
      <xdr:nvSpPr>
        <xdr:cNvPr id="309" name="Rectangle 308">
          <a:extLst>
            <a:ext uri="{FF2B5EF4-FFF2-40B4-BE49-F238E27FC236}">
              <a16:creationId xmlns:a16="http://schemas.microsoft.com/office/drawing/2014/main" id="{84D1AC80-27FA-B3FA-4810-2B412F3AFC06}"/>
            </a:ext>
          </a:extLst>
        </xdr:cNvPr>
        <xdr:cNvSpPr/>
      </xdr:nvSpPr>
      <xdr:spPr>
        <a:xfrm>
          <a:off x="3905250" y="142875"/>
          <a:ext cx="1085850" cy="295275"/>
        </a:xfrm>
        <a:prstGeom prst="rect">
          <a:avLst/>
        </a:prstGeom>
        <a:solidFill>
          <a:schemeClr val="accent1">
            <a:lumMod val="20000"/>
            <a:lumOff val="80000"/>
          </a:schemeClr>
        </a:solidFill>
        <a:ln w="1270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>
              <a:solidFill>
                <a:sysClr val="windowText" lastClr="000000"/>
              </a:solidFill>
            </a:rPr>
            <a:t>Preview Label</a:t>
          </a:r>
          <a:endParaRPr lang="ru-RU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7</xdr:col>
      <xdr:colOff>161925</xdr:colOff>
      <xdr:row>5</xdr:row>
      <xdr:rowOff>19050</xdr:rowOff>
    </xdr:from>
    <xdr:to>
      <xdr:col>8</xdr:col>
      <xdr:colOff>139700</xdr:colOff>
      <xdr:row>7</xdr:row>
      <xdr:rowOff>28575</xdr:rowOff>
    </xdr:to>
    <xdr:sp macro="[0]!Setup_And_Print_Labels" textlink="">
      <xdr:nvSpPr>
        <xdr:cNvPr id="14" name="Rectangle 13">
          <a:extLst>
            <a:ext uri="{FF2B5EF4-FFF2-40B4-BE49-F238E27FC236}">
              <a16:creationId xmlns:a16="http://schemas.microsoft.com/office/drawing/2014/main" id="{CB402834-535A-4496-BDE9-B6076F706A11}"/>
            </a:ext>
          </a:extLst>
        </xdr:cNvPr>
        <xdr:cNvSpPr/>
      </xdr:nvSpPr>
      <xdr:spPr>
        <a:xfrm>
          <a:off x="4162425" y="781050"/>
          <a:ext cx="587375" cy="314325"/>
        </a:xfrm>
        <a:prstGeom prst="rect">
          <a:avLst/>
        </a:prstGeom>
        <a:solidFill>
          <a:schemeClr val="accent3">
            <a:lumMod val="20000"/>
            <a:lumOff val="80000"/>
          </a:schemeClr>
        </a:solidFill>
        <a:ln w="1270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>
              <a:solidFill>
                <a:sysClr val="windowText" lastClr="000000"/>
              </a:solidFill>
            </a:rPr>
            <a:t>Print</a:t>
          </a:r>
          <a:endParaRPr lang="ru-RU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3</xdr:col>
      <xdr:colOff>36225</xdr:colOff>
      <xdr:row>0</xdr:row>
      <xdr:rowOff>5400</xdr:rowOff>
    </xdr:from>
    <xdr:to>
      <xdr:col>5</xdr:col>
      <xdr:colOff>401925</xdr:colOff>
      <xdr:row>5</xdr:row>
      <xdr:rowOff>125400</xdr:rowOff>
    </xdr:to>
    <xdr:pic>
      <xdr:nvPicPr>
        <xdr:cNvPr id="359" name="QR_Label">
          <a:extLst>
            <a:ext uri="{FF2B5EF4-FFF2-40B4-BE49-F238E27FC236}">
              <a16:creationId xmlns:a16="http://schemas.microsoft.com/office/drawing/2014/main" id="{9255DB88-A882-0DBA-6CEB-128A45E6749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07900" y="5400"/>
          <a:ext cx="1242000" cy="882000"/>
        </a:xfrm>
        <a:prstGeom prst="rect">
          <a:avLst/>
        </a:prstGeom>
      </xdr:spPr>
    </xdr:pic>
    <xdr:clientData/>
  </xdr:twoCellAnchor>
  <xdr:twoCellAnchor>
    <xdr:from>
      <xdr:col>3</xdr:col>
      <xdr:colOff>36225</xdr:colOff>
      <xdr:row>6</xdr:row>
      <xdr:rowOff>19800</xdr:rowOff>
    </xdr:from>
    <xdr:to>
      <xdr:col>5</xdr:col>
      <xdr:colOff>401925</xdr:colOff>
      <xdr:row>8</xdr:row>
      <xdr:rowOff>147000</xdr:rowOff>
    </xdr:to>
    <xdr:pic>
      <xdr:nvPicPr>
        <xdr:cNvPr id="361" name="BAR_Label">
          <a:extLst>
            <a:ext uri="{FF2B5EF4-FFF2-40B4-BE49-F238E27FC236}">
              <a16:creationId xmlns:a16="http://schemas.microsoft.com/office/drawing/2014/main" id="{53420998-B155-17A8-DD68-CBD4E90E46A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07900" y="934200"/>
          <a:ext cx="1242000" cy="4320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1416621</xdr:colOff>
      <xdr:row>5</xdr:row>
      <xdr:rowOff>293490</xdr:rowOff>
    </xdr:from>
    <xdr:to>
      <xdr:col>11</xdr:col>
      <xdr:colOff>163371</xdr:colOff>
      <xdr:row>8</xdr:row>
      <xdr:rowOff>13456</xdr:rowOff>
    </xdr:to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227FDB76-8F79-466B-A136-0970ADCF25F3}"/>
            </a:ext>
          </a:extLst>
        </xdr:cNvPr>
        <xdr:cNvSpPr txBox="1"/>
      </xdr:nvSpPr>
      <xdr:spPr>
        <a:xfrm>
          <a:off x="10445248" y="1796025"/>
          <a:ext cx="2664074" cy="551727"/>
        </a:xfrm>
        <a:prstGeom prst="rect">
          <a:avLst/>
        </a:prstGeom>
        <a:solidFill>
          <a:schemeClr val="bg2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en-US" sz="2000" b="1"/>
            <a:t> </a:t>
          </a:r>
          <a:r>
            <a:rPr lang="en-US" sz="1800" b="1"/>
            <a:t>Location</a:t>
          </a:r>
          <a:r>
            <a:rPr lang="ru-RU" sz="1800" b="1"/>
            <a:t>: </a:t>
          </a:r>
          <a:endParaRPr lang="en-US" sz="1800"/>
        </a:p>
      </xdr:txBody>
    </xdr:sp>
    <xdr:clientData/>
  </xdr:twoCellAnchor>
  <xdr:twoCellAnchor>
    <xdr:from>
      <xdr:col>0</xdr:col>
      <xdr:colOff>134156</xdr:colOff>
      <xdr:row>5</xdr:row>
      <xdr:rowOff>303430</xdr:rowOff>
    </xdr:from>
    <xdr:to>
      <xdr:col>3</xdr:col>
      <xdr:colOff>160987</xdr:colOff>
      <xdr:row>7</xdr:row>
      <xdr:rowOff>320301</xdr:rowOff>
    </xdr:to>
    <xdr:sp macro="" textlink="">
      <xdr:nvSpPr>
        <xdr:cNvPr id="5" name="TextBox 4">
          <a:extLst>
            <a:ext uri="{FF2B5EF4-FFF2-40B4-BE49-F238E27FC236}">
              <a16:creationId xmlns:a16="http://schemas.microsoft.com/office/drawing/2014/main" id="{0A9A6E74-4984-4F84-99BF-2C05FF6BA3A1}"/>
            </a:ext>
          </a:extLst>
        </xdr:cNvPr>
        <xdr:cNvSpPr txBox="1"/>
      </xdr:nvSpPr>
      <xdr:spPr>
        <a:xfrm>
          <a:off x="134156" y="1805965"/>
          <a:ext cx="3340458" cy="526660"/>
        </a:xfrm>
        <a:prstGeom prst="rect">
          <a:avLst/>
        </a:prstGeom>
        <a:solidFill>
          <a:schemeClr val="bg2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en-US" sz="1800" b="1"/>
            <a:t>Date  </a:t>
          </a:r>
          <a:r>
            <a:rPr lang="az-Cyrl-AZ" sz="1800" b="1"/>
            <a:t>Дата отбора образца масла:</a:t>
          </a:r>
        </a:p>
      </xdr:txBody>
    </xdr:sp>
    <xdr:clientData/>
  </xdr:twoCellAnchor>
  <xdr:twoCellAnchor>
    <xdr:from>
      <xdr:col>3</xdr:col>
      <xdr:colOff>236952</xdr:colOff>
      <xdr:row>5</xdr:row>
      <xdr:rowOff>270559</xdr:rowOff>
    </xdr:from>
    <xdr:to>
      <xdr:col>5</xdr:col>
      <xdr:colOff>895027</xdr:colOff>
      <xdr:row>8</xdr:row>
      <xdr:rowOff>49339</xdr:rowOff>
    </xdr:to>
    <xdr:sp macro="" textlink="">
      <xdr:nvSpPr>
        <xdr:cNvPr id="6" name="Rectangle 5">
          <a:extLst>
            <a:ext uri="{FF2B5EF4-FFF2-40B4-BE49-F238E27FC236}">
              <a16:creationId xmlns:a16="http://schemas.microsoft.com/office/drawing/2014/main" id="{FDD7208E-B377-45BA-9B7B-31EE0E518F7F}"/>
            </a:ext>
          </a:extLst>
        </xdr:cNvPr>
        <xdr:cNvSpPr/>
      </xdr:nvSpPr>
      <xdr:spPr>
        <a:xfrm>
          <a:off x="3550579" y="1773094"/>
          <a:ext cx="3046033" cy="610541"/>
        </a:xfrm>
        <a:prstGeom prst="rect">
          <a:avLst/>
        </a:prstGeom>
        <a:noFill/>
        <a:ln w="2222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11</xdr:col>
      <xdr:colOff>220654</xdr:colOff>
      <xdr:row>5</xdr:row>
      <xdr:rowOff>233397</xdr:rowOff>
    </xdr:from>
    <xdr:to>
      <xdr:col>14</xdr:col>
      <xdr:colOff>1460305</xdr:colOff>
      <xdr:row>8</xdr:row>
      <xdr:rowOff>34675</xdr:rowOff>
    </xdr:to>
    <xdr:sp macro="" textlink="">
      <xdr:nvSpPr>
        <xdr:cNvPr id="7" name="Rectangle 6">
          <a:extLst>
            <a:ext uri="{FF2B5EF4-FFF2-40B4-BE49-F238E27FC236}">
              <a16:creationId xmlns:a16="http://schemas.microsoft.com/office/drawing/2014/main" id="{3EF98DCE-19A0-4967-A1C3-9F4E734B3323}"/>
            </a:ext>
          </a:extLst>
        </xdr:cNvPr>
        <xdr:cNvSpPr/>
      </xdr:nvSpPr>
      <xdr:spPr>
        <a:xfrm>
          <a:off x="13166605" y="1735932"/>
          <a:ext cx="3332468" cy="633039"/>
        </a:xfrm>
        <a:prstGeom prst="rect">
          <a:avLst/>
        </a:prstGeom>
        <a:noFill/>
        <a:ln w="2222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93909</xdr:colOff>
      <xdr:row>0</xdr:row>
      <xdr:rowOff>40246</xdr:rowOff>
    </xdr:from>
    <xdr:to>
      <xdr:col>3</xdr:col>
      <xdr:colOff>308556</xdr:colOff>
      <xdr:row>2</xdr:row>
      <xdr:rowOff>268309</xdr:rowOff>
    </xdr:to>
    <xdr:pic>
      <xdr:nvPicPr>
        <xdr:cNvPr id="9" name="Рисунок 1504720245" descr="A picture containing text, clipart&#10;&#10;Description automatically generated">
          <a:extLst>
            <a:ext uri="{FF2B5EF4-FFF2-40B4-BE49-F238E27FC236}">
              <a16:creationId xmlns:a16="http://schemas.microsoft.com/office/drawing/2014/main" id="{8BF13CF6-1CB8-4567-B0ED-21C4B86433A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3909" y="40246"/>
          <a:ext cx="3313626" cy="80492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30240</xdr:colOff>
      <xdr:row>5</xdr:row>
      <xdr:rowOff>236765</xdr:rowOff>
    </xdr:from>
    <xdr:to>
      <xdr:col>2</xdr:col>
      <xdr:colOff>2444751</xdr:colOff>
      <xdr:row>7</xdr:row>
      <xdr:rowOff>211667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E95D587D-2D1B-4683-A74F-26F026F42CC1}"/>
            </a:ext>
          </a:extLst>
        </xdr:cNvPr>
        <xdr:cNvSpPr txBox="1"/>
      </xdr:nvSpPr>
      <xdr:spPr>
        <a:xfrm>
          <a:off x="27065" y="1763940"/>
          <a:ext cx="3144761" cy="486077"/>
        </a:xfrm>
        <a:prstGeom prst="rect">
          <a:avLst/>
        </a:prstGeom>
        <a:solidFill>
          <a:schemeClr val="bg2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en-US" sz="1800" b="1"/>
            <a:t>Equipment</a:t>
          </a:r>
          <a:r>
            <a:rPr lang="en-US" sz="1800" b="1" baseline="0"/>
            <a:t> </a:t>
          </a:r>
          <a:r>
            <a:rPr lang="ru-RU" sz="1800" b="1"/>
            <a:t>Оборудования:  </a:t>
          </a:r>
          <a:endParaRPr lang="en-US" sz="1800"/>
        </a:p>
      </xdr:txBody>
    </xdr:sp>
    <xdr:clientData/>
  </xdr:twoCellAnchor>
  <xdr:twoCellAnchor>
    <xdr:from>
      <xdr:col>7</xdr:col>
      <xdr:colOff>19504</xdr:colOff>
      <xdr:row>5</xdr:row>
      <xdr:rowOff>178467</xdr:rowOff>
    </xdr:from>
    <xdr:to>
      <xdr:col>8</xdr:col>
      <xdr:colOff>1545166</xdr:colOff>
      <xdr:row>7</xdr:row>
      <xdr:rowOff>214690</xdr:rowOff>
    </xdr:to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61857F17-2D5A-474B-AEE9-971157D604F5}"/>
            </a:ext>
          </a:extLst>
        </xdr:cNvPr>
        <xdr:cNvSpPr txBox="1"/>
      </xdr:nvSpPr>
      <xdr:spPr>
        <a:xfrm>
          <a:off x="12211504" y="1705642"/>
          <a:ext cx="2840112" cy="550573"/>
        </a:xfrm>
        <a:prstGeom prst="rect">
          <a:avLst/>
        </a:prstGeom>
        <a:solidFill>
          <a:schemeClr val="bg2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en-US" sz="2000" b="1"/>
            <a:t> </a:t>
          </a:r>
          <a:r>
            <a:rPr lang="en-US" sz="1800" b="1"/>
            <a:t>Hour Meter </a:t>
          </a:r>
          <a:r>
            <a:rPr lang="ru-RU" sz="1800" b="1"/>
            <a:t>моточасы: </a:t>
          </a:r>
          <a:endParaRPr lang="en-US" sz="1800"/>
        </a:p>
      </xdr:txBody>
    </xdr:sp>
    <xdr:clientData/>
  </xdr:twoCellAnchor>
  <xdr:twoCellAnchor>
    <xdr:from>
      <xdr:col>2</xdr:col>
      <xdr:colOff>2478012</xdr:colOff>
      <xdr:row>5</xdr:row>
      <xdr:rowOff>179917</xdr:rowOff>
    </xdr:from>
    <xdr:to>
      <xdr:col>2</xdr:col>
      <xdr:colOff>5841999</xdr:colOff>
      <xdr:row>7</xdr:row>
      <xdr:rowOff>299357</xdr:rowOff>
    </xdr:to>
    <xdr:sp macro="" textlink="">
      <xdr:nvSpPr>
        <xdr:cNvPr id="4" name="Rectangle 3">
          <a:extLst>
            <a:ext uri="{FF2B5EF4-FFF2-40B4-BE49-F238E27FC236}">
              <a16:creationId xmlns:a16="http://schemas.microsoft.com/office/drawing/2014/main" id="{99BCD8B4-FD51-47D1-AEBD-F54B6E8F1B00}"/>
            </a:ext>
          </a:extLst>
        </xdr:cNvPr>
        <xdr:cNvSpPr/>
      </xdr:nvSpPr>
      <xdr:spPr>
        <a:xfrm>
          <a:off x="3201912" y="1707092"/>
          <a:ext cx="3360812" cy="627440"/>
        </a:xfrm>
        <a:prstGeom prst="rect">
          <a:avLst/>
        </a:prstGeom>
        <a:noFill/>
        <a:ln w="2222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55940</xdr:colOff>
      <xdr:row>8</xdr:row>
      <xdr:rowOff>176894</xdr:rowOff>
    </xdr:from>
    <xdr:to>
      <xdr:col>2</xdr:col>
      <xdr:colOff>4963584</xdr:colOff>
      <xdr:row>10</xdr:row>
      <xdr:rowOff>63501</xdr:rowOff>
    </xdr:to>
    <xdr:sp macro="" textlink="">
      <xdr:nvSpPr>
        <xdr:cNvPr id="5" name="TextBox 4">
          <a:extLst>
            <a:ext uri="{FF2B5EF4-FFF2-40B4-BE49-F238E27FC236}">
              <a16:creationId xmlns:a16="http://schemas.microsoft.com/office/drawing/2014/main" id="{4E7E36F7-C3E1-4F37-9A47-3688B3ADBB08}"/>
            </a:ext>
          </a:extLst>
        </xdr:cNvPr>
        <xdr:cNvSpPr txBox="1"/>
      </xdr:nvSpPr>
      <xdr:spPr>
        <a:xfrm>
          <a:off x="55940" y="2551794"/>
          <a:ext cx="5628369" cy="534307"/>
        </a:xfrm>
        <a:prstGeom prst="rect">
          <a:avLst/>
        </a:prstGeom>
        <a:solidFill>
          <a:schemeClr val="bg2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en-US" sz="1800" b="1"/>
            <a:t>Date Sample Taken  </a:t>
          </a:r>
          <a:r>
            <a:rPr lang="az-Cyrl-AZ" sz="1800" b="1"/>
            <a:t>Дата отбора образца масла:</a:t>
          </a:r>
        </a:p>
      </xdr:txBody>
    </xdr:sp>
    <xdr:clientData/>
  </xdr:twoCellAnchor>
  <xdr:twoCellAnchor>
    <xdr:from>
      <xdr:col>2</xdr:col>
      <xdr:colOff>5070930</xdr:colOff>
      <xdr:row>8</xdr:row>
      <xdr:rowOff>142119</xdr:rowOff>
    </xdr:from>
    <xdr:to>
      <xdr:col>4</xdr:col>
      <xdr:colOff>736600</xdr:colOff>
      <xdr:row>10</xdr:row>
      <xdr:rowOff>116417</xdr:rowOff>
    </xdr:to>
    <xdr:sp macro="" textlink="">
      <xdr:nvSpPr>
        <xdr:cNvPr id="6" name="Rectangle 5">
          <a:extLst>
            <a:ext uri="{FF2B5EF4-FFF2-40B4-BE49-F238E27FC236}">
              <a16:creationId xmlns:a16="http://schemas.microsoft.com/office/drawing/2014/main" id="{98996B0B-708D-4828-A17C-1F89F24BF422}"/>
            </a:ext>
          </a:extLst>
        </xdr:cNvPr>
        <xdr:cNvSpPr/>
      </xdr:nvSpPr>
      <xdr:spPr>
        <a:xfrm>
          <a:off x="5798005" y="2517019"/>
          <a:ext cx="3365045" cy="618823"/>
        </a:xfrm>
        <a:prstGeom prst="rect">
          <a:avLst/>
        </a:prstGeom>
        <a:noFill/>
        <a:ln w="2222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1659920</xdr:colOff>
      <xdr:row>5</xdr:row>
      <xdr:rowOff>147109</xdr:rowOff>
    </xdr:from>
    <xdr:to>
      <xdr:col>10</xdr:col>
      <xdr:colOff>2730500</xdr:colOff>
      <xdr:row>7</xdr:row>
      <xdr:rowOff>266549</xdr:rowOff>
    </xdr:to>
    <xdr:sp macro="" textlink="">
      <xdr:nvSpPr>
        <xdr:cNvPr id="7" name="Rectangle 6">
          <a:extLst>
            <a:ext uri="{FF2B5EF4-FFF2-40B4-BE49-F238E27FC236}">
              <a16:creationId xmlns:a16="http://schemas.microsoft.com/office/drawing/2014/main" id="{083E60FC-9FB6-4949-BD44-35E8CDC3FEAC}"/>
            </a:ext>
          </a:extLst>
        </xdr:cNvPr>
        <xdr:cNvSpPr/>
      </xdr:nvSpPr>
      <xdr:spPr>
        <a:xfrm>
          <a:off x="15166370" y="1667934"/>
          <a:ext cx="4264630" cy="636965"/>
        </a:xfrm>
        <a:prstGeom prst="rect">
          <a:avLst/>
        </a:prstGeom>
        <a:noFill/>
        <a:ln w="2222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586321</xdr:colOff>
      <xdr:row>10</xdr:row>
      <xdr:rowOff>4234</xdr:rowOff>
    </xdr:from>
    <xdr:to>
      <xdr:col>8</xdr:col>
      <xdr:colOff>1409281</xdr:colOff>
      <xdr:row>11</xdr:row>
      <xdr:rowOff>6774</xdr:rowOff>
    </xdr:to>
    <xdr:sp macro="" textlink="">
      <xdr:nvSpPr>
        <xdr:cNvPr id="8" name="Rectangle 7">
          <a:extLst>
            <a:ext uri="{FF2B5EF4-FFF2-40B4-BE49-F238E27FC236}">
              <a16:creationId xmlns:a16="http://schemas.microsoft.com/office/drawing/2014/main" id="{FED8DC78-BE93-4EB5-AA2D-9F398F5DED15}"/>
            </a:ext>
          </a:extLst>
        </xdr:cNvPr>
        <xdr:cNvSpPr/>
      </xdr:nvSpPr>
      <xdr:spPr>
        <a:xfrm>
          <a:off x="14089596" y="3026834"/>
          <a:ext cx="826135" cy="316865"/>
        </a:xfrm>
        <a:prstGeom prst="rect">
          <a:avLst/>
        </a:prstGeom>
        <a:noFill/>
        <a:ln w="2222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588440</xdr:colOff>
      <xdr:row>8</xdr:row>
      <xdr:rowOff>288553</xdr:rowOff>
    </xdr:from>
    <xdr:to>
      <xdr:col>8</xdr:col>
      <xdr:colOff>1411400</xdr:colOff>
      <xdr:row>9</xdr:row>
      <xdr:rowOff>280510</xdr:rowOff>
    </xdr:to>
    <xdr:sp macro="" textlink="">
      <xdr:nvSpPr>
        <xdr:cNvPr id="9" name="Rectangle 8">
          <a:extLst>
            <a:ext uri="{FF2B5EF4-FFF2-40B4-BE49-F238E27FC236}">
              <a16:creationId xmlns:a16="http://schemas.microsoft.com/office/drawing/2014/main" id="{1D2C3BA4-11DF-428C-BA54-F446279A49FD}"/>
            </a:ext>
          </a:extLst>
        </xdr:cNvPr>
        <xdr:cNvSpPr/>
      </xdr:nvSpPr>
      <xdr:spPr>
        <a:xfrm>
          <a:off x="14094890" y="2660278"/>
          <a:ext cx="822960" cy="322157"/>
        </a:xfrm>
        <a:prstGeom prst="rect">
          <a:avLst/>
        </a:prstGeom>
        <a:noFill/>
        <a:ln w="2222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600" b="0">
              <a:solidFill>
                <a:sysClr val="windowText" lastClr="000000"/>
              </a:solidFill>
            </a:rPr>
            <a:t>250</a:t>
          </a:r>
          <a:r>
            <a:rPr lang="en-US" sz="1100"/>
            <a:t>0</a:t>
          </a:r>
        </a:p>
      </xdr:txBody>
    </xdr:sp>
    <xdr:clientData/>
  </xdr:twoCellAnchor>
  <xdr:twoCellAnchor editAs="oneCell">
    <xdr:from>
      <xdr:col>2</xdr:col>
      <xdr:colOff>1738395</xdr:colOff>
      <xdr:row>14</xdr:row>
      <xdr:rowOff>10584</xdr:rowOff>
    </xdr:from>
    <xdr:to>
      <xdr:col>2</xdr:col>
      <xdr:colOff>2116369</xdr:colOff>
      <xdr:row>15</xdr:row>
      <xdr:rowOff>60053</xdr:rowOff>
    </xdr:to>
    <xdr:pic>
      <xdr:nvPicPr>
        <xdr:cNvPr id="10" name="Picture 9">
          <a:extLst>
            <a:ext uri="{FF2B5EF4-FFF2-40B4-BE49-F238E27FC236}">
              <a16:creationId xmlns:a16="http://schemas.microsoft.com/office/drawing/2014/main" id="{28051EB0-D48A-4146-8CB5-B7ADCF30B46F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-1" t="5806" r="58483" b="1606"/>
        <a:stretch/>
      </xdr:blipFill>
      <xdr:spPr>
        <a:xfrm>
          <a:off x="2465470" y="4284134"/>
          <a:ext cx="374799" cy="366969"/>
        </a:xfrm>
        <a:prstGeom prst="rect">
          <a:avLst/>
        </a:prstGeom>
      </xdr:spPr>
    </xdr:pic>
    <xdr:clientData/>
  </xdr:twoCellAnchor>
  <xdr:twoCellAnchor editAs="oneCell">
    <xdr:from>
      <xdr:col>2</xdr:col>
      <xdr:colOff>1689257</xdr:colOff>
      <xdr:row>15</xdr:row>
      <xdr:rowOff>22367</xdr:rowOff>
    </xdr:from>
    <xdr:to>
      <xdr:col>2</xdr:col>
      <xdr:colOff>2054584</xdr:colOff>
      <xdr:row>16</xdr:row>
      <xdr:rowOff>40973</xdr:rowOff>
    </xdr:to>
    <xdr:pic>
      <xdr:nvPicPr>
        <xdr:cNvPr id="11" name="Picture 10">
          <a:extLst>
            <a:ext uri="{FF2B5EF4-FFF2-40B4-BE49-F238E27FC236}">
              <a16:creationId xmlns:a16="http://schemas.microsoft.com/office/drawing/2014/main" id="{58D09E20-8DE1-4518-AA21-4CD5DDA53782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58749" t="8127" r="-1" b="4799"/>
        <a:stretch/>
      </xdr:blipFill>
      <xdr:spPr>
        <a:xfrm>
          <a:off x="2409982" y="4616592"/>
          <a:ext cx="368502" cy="329756"/>
        </a:xfrm>
        <a:prstGeom prst="rect">
          <a:avLst/>
        </a:prstGeom>
      </xdr:spPr>
    </xdr:pic>
    <xdr:clientData/>
  </xdr:twoCellAnchor>
  <xdr:twoCellAnchor>
    <xdr:from>
      <xdr:col>8</xdr:col>
      <xdr:colOff>590254</xdr:colOff>
      <xdr:row>11</xdr:row>
      <xdr:rowOff>8467</xdr:rowOff>
    </xdr:from>
    <xdr:to>
      <xdr:col>8</xdr:col>
      <xdr:colOff>1413214</xdr:colOff>
      <xdr:row>12</xdr:row>
      <xdr:rowOff>21167</xdr:rowOff>
    </xdr:to>
    <xdr:sp macro="" textlink="">
      <xdr:nvSpPr>
        <xdr:cNvPr id="12" name="Rectangle 11">
          <a:extLst>
            <a:ext uri="{FF2B5EF4-FFF2-40B4-BE49-F238E27FC236}">
              <a16:creationId xmlns:a16="http://schemas.microsoft.com/office/drawing/2014/main" id="{80A10BF5-AD7D-42E1-AD69-78C3C83C3C91}"/>
            </a:ext>
          </a:extLst>
        </xdr:cNvPr>
        <xdr:cNvSpPr/>
      </xdr:nvSpPr>
      <xdr:spPr>
        <a:xfrm>
          <a:off x="14096704" y="3345392"/>
          <a:ext cx="826135" cy="323850"/>
        </a:xfrm>
        <a:prstGeom prst="rect">
          <a:avLst/>
        </a:prstGeom>
        <a:noFill/>
        <a:ln w="2222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584207</xdr:colOff>
      <xdr:row>12</xdr:row>
      <xdr:rowOff>12701</xdr:rowOff>
    </xdr:from>
    <xdr:to>
      <xdr:col>8</xdr:col>
      <xdr:colOff>1407167</xdr:colOff>
      <xdr:row>13</xdr:row>
      <xdr:rowOff>25401</xdr:rowOff>
    </xdr:to>
    <xdr:sp macro="" textlink="">
      <xdr:nvSpPr>
        <xdr:cNvPr id="13" name="Rectangle 12">
          <a:extLst>
            <a:ext uri="{FF2B5EF4-FFF2-40B4-BE49-F238E27FC236}">
              <a16:creationId xmlns:a16="http://schemas.microsoft.com/office/drawing/2014/main" id="{33DAB402-0C58-4371-A775-D80A6F0794B5}"/>
            </a:ext>
          </a:extLst>
        </xdr:cNvPr>
        <xdr:cNvSpPr/>
      </xdr:nvSpPr>
      <xdr:spPr>
        <a:xfrm>
          <a:off x="14087482" y="3657601"/>
          <a:ext cx="826135" cy="333375"/>
        </a:xfrm>
        <a:prstGeom prst="rect">
          <a:avLst/>
        </a:prstGeom>
        <a:noFill/>
        <a:ln w="2222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1452040</xdr:colOff>
      <xdr:row>8</xdr:row>
      <xdr:rowOff>288553</xdr:rowOff>
    </xdr:from>
    <xdr:to>
      <xdr:col>9</xdr:col>
      <xdr:colOff>458900</xdr:colOff>
      <xdr:row>9</xdr:row>
      <xdr:rowOff>280510</xdr:rowOff>
    </xdr:to>
    <xdr:sp macro="" textlink="">
      <xdr:nvSpPr>
        <xdr:cNvPr id="14" name="Rectangle 13">
          <a:extLst>
            <a:ext uri="{FF2B5EF4-FFF2-40B4-BE49-F238E27FC236}">
              <a16:creationId xmlns:a16="http://schemas.microsoft.com/office/drawing/2014/main" id="{E608CBAE-8A41-4D9A-8E57-9E07C16A06F9}"/>
            </a:ext>
          </a:extLst>
        </xdr:cNvPr>
        <xdr:cNvSpPr/>
      </xdr:nvSpPr>
      <xdr:spPr>
        <a:xfrm>
          <a:off x="14961665" y="2660278"/>
          <a:ext cx="1042035" cy="322157"/>
        </a:xfrm>
        <a:prstGeom prst="rect">
          <a:avLst/>
        </a:prstGeom>
        <a:noFill/>
        <a:ln w="2222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600" b="0">
              <a:solidFill>
                <a:sysClr val="windowText" lastClr="000000"/>
              </a:solidFill>
            </a:rPr>
            <a:t>500</a:t>
          </a:r>
          <a:r>
            <a:rPr lang="en-US" sz="1100"/>
            <a:t>0</a:t>
          </a:r>
        </a:p>
      </xdr:txBody>
    </xdr:sp>
    <xdr:clientData/>
  </xdr:twoCellAnchor>
  <xdr:twoCellAnchor>
    <xdr:from>
      <xdr:col>9</xdr:col>
      <xdr:colOff>512240</xdr:colOff>
      <xdr:row>8</xdr:row>
      <xdr:rowOff>288553</xdr:rowOff>
    </xdr:from>
    <xdr:to>
      <xdr:col>10</xdr:col>
      <xdr:colOff>128700</xdr:colOff>
      <xdr:row>9</xdr:row>
      <xdr:rowOff>280510</xdr:rowOff>
    </xdr:to>
    <xdr:sp macro="" textlink="">
      <xdr:nvSpPr>
        <xdr:cNvPr id="15" name="Rectangle 14">
          <a:extLst>
            <a:ext uri="{FF2B5EF4-FFF2-40B4-BE49-F238E27FC236}">
              <a16:creationId xmlns:a16="http://schemas.microsoft.com/office/drawing/2014/main" id="{E8EF07AF-DE66-4053-9449-A6A0D8F9F8F5}"/>
            </a:ext>
          </a:extLst>
        </xdr:cNvPr>
        <xdr:cNvSpPr/>
      </xdr:nvSpPr>
      <xdr:spPr>
        <a:xfrm>
          <a:off x="16057040" y="2660278"/>
          <a:ext cx="765810" cy="322157"/>
        </a:xfrm>
        <a:prstGeom prst="rect">
          <a:avLst/>
        </a:prstGeom>
        <a:noFill/>
        <a:ln w="2222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600" b="0">
              <a:solidFill>
                <a:sysClr val="windowText" lastClr="000000"/>
              </a:solidFill>
            </a:rPr>
            <a:t>1000</a:t>
          </a:r>
          <a:endParaRPr lang="en-US" sz="1100"/>
        </a:p>
      </xdr:txBody>
    </xdr:sp>
    <xdr:clientData/>
  </xdr:twoCellAnchor>
  <xdr:twoCellAnchor>
    <xdr:from>
      <xdr:col>10</xdr:col>
      <xdr:colOff>169340</xdr:colOff>
      <xdr:row>8</xdr:row>
      <xdr:rowOff>288553</xdr:rowOff>
    </xdr:from>
    <xdr:to>
      <xdr:col>10</xdr:col>
      <xdr:colOff>992300</xdr:colOff>
      <xdr:row>9</xdr:row>
      <xdr:rowOff>280510</xdr:rowOff>
    </xdr:to>
    <xdr:sp macro="" textlink="">
      <xdr:nvSpPr>
        <xdr:cNvPr id="16" name="Rectangle 15">
          <a:extLst>
            <a:ext uri="{FF2B5EF4-FFF2-40B4-BE49-F238E27FC236}">
              <a16:creationId xmlns:a16="http://schemas.microsoft.com/office/drawing/2014/main" id="{9D5A6A4F-2C80-4FD9-BFAF-4519B1222ADC}"/>
            </a:ext>
          </a:extLst>
        </xdr:cNvPr>
        <xdr:cNvSpPr/>
      </xdr:nvSpPr>
      <xdr:spPr>
        <a:xfrm>
          <a:off x="16866665" y="2660278"/>
          <a:ext cx="822960" cy="322157"/>
        </a:xfrm>
        <a:prstGeom prst="rect">
          <a:avLst/>
        </a:prstGeom>
        <a:noFill/>
        <a:ln w="2222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600" b="0">
              <a:solidFill>
                <a:sysClr val="windowText" lastClr="000000"/>
              </a:solidFill>
            </a:rPr>
            <a:t>2000</a:t>
          </a:r>
          <a:endParaRPr lang="en-US" sz="1100"/>
        </a:p>
      </xdr:txBody>
    </xdr:sp>
    <xdr:clientData/>
  </xdr:twoCellAnchor>
  <xdr:twoCellAnchor>
    <xdr:from>
      <xdr:col>10</xdr:col>
      <xdr:colOff>1045640</xdr:colOff>
      <xdr:row>8</xdr:row>
      <xdr:rowOff>288553</xdr:rowOff>
    </xdr:from>
    <xdr:to>
      <xdr:col>10</xdr:col>
      <xdr:colOff>1868600</xdr:colOff>
      <xdr:row>9</xdr:row>
      <xdr:rowOff>280510</xdr:rowOff>
    </xdr:to>
    <xdr:sp macro="" textlink="">
      <xdr:nvSpPr>
        <xdr:cNvPr id="17" name="Rectangle 16">
          <a:extLst>
            <a:ext uri="{FF2B5EF4-FFF2-40B4-BE49-F238E27FC236}">
              <a16:creationId xmlns:a16="http://schemas.microsoft.com/office/drawing/2014/main" id="{2DE54A92-3C02-486E-9089-EA92CCC53317}"/>
            </a:ext>
          </a:extLst>
        </xdr:cNvPr>
        <xdr:cNvSpPr/>
      </xdr:nvSpPr>
      <xdr:spPr>
        <a:xfrm>
          <a:off x="17742965" y="2660278"/>
          <a:ext cx="822960" cy="322157"/>
        </a:xfrm>
        <a:prstGeom prst="rect">
          <a:avLst/>
        </a:prstGeom>
        <a:noFill/>
        <a:ln w="2222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600" b="0">
              <a:solidFill>
                <a:sysClr val="windowText" lastClr="000000"/>
              </a:solidFill>
            </a:rPr>
            <a:t>4000</a:t>
          </a:r>
          <a:endParaRPr lang="en-US" sz="1100"/>
        </a:p>
      </xdr:txBody>
    </xdr:sp>
    <xdr:clientData/>
  </xdr:twoCellAnchor>
  <xdr:twoCellAnchor>
    <xdr:from>
      <xdr:col>10</xdr:col>
      <xdr:colOff>1909240</xdr:colOff>
      <xdr:row>8</xdr:row>
      <xdr:rowOff>288553</xdr:rowOff>
    </xdr:from>
    <xdr:to>
      <xdr:col>10</xdr:col>
      <xdr:colOff>2732200</xdr:colOff>
      <xdr:row>9</xdr:row>
      <xdr:rowOff>280510</xdr:rowOff>
    </xdr:to>
    <xdr:sp macro="" textlink="">
      <xdr:nvSpPr>
        <xdr:cNvPr id="18" name="Rectangle 17">
          <a:extLst>
            <a:ext uri="{FF2B5EF4-FFF2-40B4-BE49-F238E27FC236}">
              <a16:creationId xmlns:a16="http://schemas.microsoft.com/office/drawing/2014/main" id="{6E4AA18D-511C-42AA-BF17-D701C3B2FCC8}"/>
            </a:ext>
          </a:extLst>
        </xdr:cNvPr>
        <xdr:cNvSpPr/>
      </xdr:nvSpPr>
      <xdr:spPr>
        <a:xfrm>
          <a:off x="18609740" y="2660278"/>
          <a:ext cx="822960" cy="322157"/>
        </a:xfrm>
        <a:prstGeom prst="rect">
          <a:avLst/>
        </a:prstGeom>
        <a:noFill/>
        <a:ln w="2222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600" b="0">
              <a:solidFill>
                <a:sysClr val="windowText" lastClr="000000"/>
              </a:solidFill>
            </a:rPr>
            <a:t>6000</a:t>
          </a:r>
          <a:endParaRPr lang="en-US" sz="1100"/>
        </a:p>
      </xdr:txBody>
    </xdr:sp>
    <xdr:clientData/>
  </xdr:twoCellAnchor>
  <xdr:twoCellAnchor>
    <xdr:from>
      <xdr:col>0</xdr:col>
      <xdr:colOff>26832</xdr:colOff>
      <xdr:row>10</xdr:row>
      <xdr:rowOff>275699</xdr:rowOff>
    </xdr:from>
    <xdr:to>
      <xdr:col>2</xdr:col>
      <xdr:colOff>4938286</xdr:colOff>
      <xdr:row>12</xdr:row>
      <xdr:rowOff>179531</xdr:rowOff>
    </xdr:to>
    <xdr:sp macro="" textlink="">
      <xdr:nvSpPr>
        <xdr:cNvPr id="19" name="TextBox 18">
          <a:extLst>
            <a:ext uri="{FF2B5EF4-FFF2-40B4-BE49-F238E27FC236}">
              <a16:creationId xmlns:a16="http://schemas.microsoft.com/office/drawing/2014/main" id="{2BE17ABF-32F6-4259-BC11-07BC64D46419}"/>
            </a:ext>
          </a:extLst>
        </xdr:cNvPr>
        <xdr:cNvSpPr txBox="1"/>
      </xdr:nvSpPr>
      <xdr:spPr>
        <a:xfrm>
          <a:off x="30007" y="3298299"/>
          <a:ext cx="5635354" cy="532482"/>
        </a:xfrm>
        <a:prstGeom prst="rect">
          <a:avLst/>
        </a:prstGeom>
        <a:solidFill>
          <a:schemeClr val="bg2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en-US" sz="1800" b="1"/>
            <a:t>Scheduled PMS </a:t>
          </a:r>
          <a:r>
            <a:rPr lang="az-Cyrl-AZ" sz="1800" b="1"/>
            <a:t>Запланированный </a:t>
          </a:r>
          <a:r>
            <a:rPr lang="en-US" sz="1800" b="1"/>
            <a:t>PMS</a:t>
          </a:r>
          <a:r>
            <a:rPr lang="az-Cyrl-AZ" sz="1800" b="1"/>
            <a:t>/Неделя</a:t>
          </a:r>
          <a:r>
            <a:rPr lang="en-US" sz="1800" b="1"/>
            <a:t>:</a:t>
          </a:r>
          <a:endParaRPr lang="az-Cyrl-AZ" sz="1800" b="1"/>
        </a:p>
      </xdr:txBody>
    </xdr:sp>
    <xdr:clientData/>
  </xdr:twoCellAnchor>
  <xdr:twoCellAnchor>
    <xdr:from>
      <xdr:col>2</xdr:col>
      <xdr:colOff>5053511</xdr:colOff>
      <xdr:row>10</xdr:row>
      <xdr:rowOff>228063</xdr:rowOff>
    </xdr:from>
    <xdr:to>
      <xdr:col>4</xdr:col>
      <xdr:colOff>147570</xdr:colOff>
      <xdr:row>12</xdr:row>
      <xdr:rowOff>204346</xdr:rowOff>
    </xdr:to>
    <xdr:sp macro="" textlink="">
      <xdr:nvSpPr>
        <xdr:cNvPr id="20" name="Rectangle 19">
          <a:extLst>
            <a:ext uri="{FF2B5EF4-FFF2-40B4-BE49-F238E27FC236}">
              <a16:creationId xmlns:a16="http://schemas.microsoft.com/office/drawing/2014/main" id="{804321DF-4309-4E27-A3B5-BCE0FFB633D2}"/>
            </a:ext>
          </a:extLst>
        </xdr:cNvPr>
        <xdr:cNvSpPr/>
      </xdr:nvSpPr>
      <xdr:spPr>
        <a:xfrm>
          <a:off x="5780586" y="3247488"/>
          <a:ext cx="2793434" cy="601758"/>
        </a:xfrm>
        <a:prstGeom prst="rect">
          <a:avLst/>
        </a:prstGeom>
        <a:noFill/>
        <a:ln w="2222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</xdr:col>
      <xdr:colOff>241480</xdr:colOff>
      <xdr:row>10</xdr:row>
      <xdr:rowOff>228063</xdr:rowOff>
    </xdr:from>
    <xdr:to>
      <xdr:col>5</xdr:col>
      <xdr:colOff>2818</xdr:colOff>
      <xdr:row>12</xdr:row>
      <xdr:rowOff>213871</xdr:rowOff>
    </xdr:to>
    <xdr:sp macro="" textlink="">
      <xdr:nvSpPr>
        <xdr:cNvPr id="21" name="Rectangle 20">
          <a:extLst>
            <a:ext uri="{FF2B5EF4-FFF2-40B4-BE49-F238E27FC236}">
              <a16:creationId xmlns:a16="http://schemas.microsoft.com/office/drawing/2014/main" id="{80324F96-FA73-42E0-A236-40C21CAD19F6}"/>
            </a:ext>
          </a:extLst>
        </xdr:cNvPr>
        <xdr:cNvSpPr/>
      </xdr:nvSpPr>
      <xdr:spPr>
        <a:xfrm>
          <a:off x="8667930" y="3247488"/>
          <a:ext cx="1469488" cy="617633"/>
        </a:xfrm>
        <a:prstGeom prst="rect">
          <a:avLst/>
        </a:prstGeom>
        <a:noFill/>
        <a:ln w="2222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120739</xdr:colOff>
      <xdr:row>0</xdr:row>
      <xdr:rowOff>53662</xdr:rowOff>
    </xdr:from>
    <xdr:to>
      <xdr:col>2</xdr:col>
      <xdr:colOff>2750175</xdr:colOff>
      <xdr:row>2</xdr:row>
      <xdr:rowOff>281725</xdr:rowOff>
    </xdr:to>
    <xdr:pic>
      <xdr:nvPicPr>
        <xdr:cNvPr id="22" name="Рисунок 1504720245" descr="A picture containing text, clipart&#10;&#10;Description automatically generated">
          <a:extLst>
            <a:ext uri="{FF2B5EF4-FFF2-40B4-BE49-F238E27FC236}">
              <a16:creationId xmlns:a16="http://schemas.microsoft.com/office/drawing/2014/main" id="{4B32C9BC-8F80-49AC-8D23-315263953FF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3914" y="50487"/>
          <a:ext cx="3353336" cy="8090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30240</xdr:colOff>
      <xdr:row>5</xdr:row>
      <xdr:rowOff>236765</xdr:rowOff>
    </xdr:from>
    <xdr:to>
      <xdr:col>2</xdr:col>
      <xdr:colOff>2444751</xdr:colOff>
      <xdr:row>7</xdr:row>
      <xdr:rowOff>211667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60F137A2-6BF2-4556-875D-ABCBBA39A12A}"/>
            </a:ext>
          </a:extLst>
        </xdr:cNvPr>
        <xdr:cNvSpPr txBox="1"/>
      </xdr:nvSpPr>
      <xdr:spPr>
        <a:xfrm>
          <a:off x="30240" y="1760765"/>
          <a:ext cx="3100311" cy="489252"/>
        </a:xfrm>
        <a:prstGeom prst="rect">
          <a:avLst/>
        </a:prstGeom>
        <a:solidFill>
          <a:schemeClr val="bg2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en-US" sz="1800" b="1"/>
            <a:t>Equipment</a:t>
          </a:r>
          <a:r>
            <a:rPr lang="en-US" sz="1800" b="1" baseline="0"/>
            <a:t> </a:t>
          </a:r>
          <a:r>
            <a:rPr lang="ru-RU" sz="1800" b="1"/>
            <a:t>Оборудования:  </a:t>
          </a:r>
          <a:endParaRPr lang="en-US" sz="1800"/>
        </a:p>
      </xdr:txBody>
    </xdr:sp>
    <xdr:clientData/>
  </xdr:twoCellAnchor>
  <xdr:twoCellAnchor>
    <xdr:from>
      <xdr:col>7</xdr:col>
      <xdr:colOff>19504</xdr:colOff>
      <xdr:row>5</xdr:row>
      <xdr:rowOff>178467</xdr:rowOff>
    </xdr:from>
    <xdr:to>
      <xdr:col>8</xdr:col>
      <xdr:colOff>1545166</xdr:colOff>
      <xdr:row>7</xdr:row>
      <xdr:rowOff>214690</xdr:rowOff>
    </xdr:to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DC45B7BE-0434-4763-876A-A75A5B911C75}"/>
            </a:ext>
          </a:extLst>
        </xdr:cNvPr>
        <xdr:cNvSpPr txBox="1"/>
      </xdr:nvSpPr>
      <xdr:spPr>
        <a:xfrm>
          <a:off x="11439979" y="1702467"/>
          <a:ext cx="2640087" cy="550573"/>
        </a:xfrm>
        <a:prstGeom prst="rect">
          <a:avLst/>
        </a:prstGeom>
        <a:solidFill>
          <a:schemeClr val="bg2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en-US" sz="2000" b="1"/>
            <a:t> </a:t>
          </a:r>
          <a:r>
            <a:rPr lang="en-US" sz="1800" b="1"/>
            <a:t>Hour Meter </a:t>
          </a:r>
          <a:r>
            <a:rPr lang="ru-RU" sz="1800" b="1"/>
            <a:t>моточасы: </a:t>
          </a:r>
          <a:endParaRPr lang="en-US" sz="1800"/>
        </a:p>
      </xdr:txBody>
    </xdr:sp>
    <xdr:clientData/>
  </xdr:twoCellAnchor>
  <xdr:twoCellAnchor>
    <xdr:from>
      <xdr:col>2</xdr:col>
      <xdr:colOff>2478012</xdr:colOff>
      <xdr:row>5</xdr:row>
      <xdr:rowOff>179917</xdr:rowOff>
    </xdr:from>
    <xdr:to>
      <xdr:col>2</xdr:col>
      <xdr:colOff>5841999</xdr:colOff>
      <xdr:row>7</xdr:row>
      <xdr:rowOff>299357</xdr:rowOff>
    </xdr:to>
    <xdr:sp macro="" textlink="">
      <xdr:nvSpPr>
        <xdr:cNvPr id="4" name="Rectangle 3">
          <a:extLst>
            <a:ext uri="{FF2B5EF4-FFF2-40B4-BE49-F238E27FC236}">
              <a16:creationId xmlns:a16="http://schemas.microsoft.com/office/drawing/2014/main" id="{8C814570-8A90-46B3-A787-5F2EA559C1DC}"/>
            </a:ext>
          </a:extLst>
        </xdr:cNvPr>
        <xdr:cNvSpPr/>
      </xdr:nvSpPr>
      <xdr:spPr>
        <a:xfrm>
          <a:off x="3163812" y="1703917"/>
          <a:ext cx="3363987" cy="633790"/>
        </a:xfrm>
        <a:prstGeom prst="rect">
          <a:avLst/>
        </a:prstGeom>
        <a:noFill/>
        <a:ln w="2222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55940</xdr:colOff>
      <xdr:row>8</xdr:row>
      <xdr:rowOff>176894</xdr:rowOff>
    </xdr:from>
    <xdr:to>
      <xdr:col>2</xdr:col>
      <xdr:colOff>4963584</xdr:colOff>
      <xdr:row>10</xdr:row>
      <xdr:rowOff>63501</xdr:rowOff>
    </xdr:to>
    <xdr:sp macro="" textlink="">
      <xdr:nvSpPr>
        <xdr:cNvPr id="5" name="TextBox 4">
          <a:extLst>
            <a:ext uri="{FF2B5EF4-FFF2-40B4-BE49-F238E27FC236}">
              <a16:creationId xmlns:a16="http://schemas.microsoft.com/office/drawing/2014/main" id="{81251B76-34A9-4057-97B0-CA8A644CF829}"/>
            </a:ext>
          </a:extLst>
        </xdr:cNvPr>
        <xdr:cNvSpPr txBox="1"/>
      </xdr:nvSpPr>
      <xdr:spPr>
        <a:xfrm>
          <a:off x="55940" y="2539094"/>
          <a:ext cx="5593444" cy="524782"/>
        </a:xfrm>
        <a:prstGeom prst="rect">
          <a:avLst/>
        </a:prstGeom>
        <a:solidFill>
          <a:schemeClr val="bg2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en-US" sz="1800" b="1"/>
            <a:t>Date Sample Taken  </a:t>
          </a:r>
          <a:r>
            <a:rPr lang="az-Cyrl-AZ" sz="1800" b="1"/>
            <a:t>Дата отбора образца масла:</a:t>
          </a:r>
        </a:p>
      </xdr:txBody>
    </xdr:sp>
    <xdr:clientData/>
  </xdr:twoCellAnchor>
  <xdr:twoCellAnchor>
    <xdr:from>
      <xdr:col>2</xdr:col>
      <xdr:colOff>5070930</xdr:colOff>
      <xdr:row>8</xdr:row>
      <xdr:rowOff>142119</xdr:rowOff>
    </xdr:from>
    <xdr:to>
      <xdr:col>4</xdr:col>
      <xdr:colOff>736600</xdr:colOff>
      <xdr:row>10</xdr:row>
      <xdr:rowOff>116417</xdr:rowOff>
    </xdr:to>
    <xdr:sp macro="" textlink="">
      <xdr:nvSpPr>
        <xdr:cNvPr id="6" name="Rectangle 5">
          <a:extLst>
            <a:ext uri="{FF2B5EF4-FFF2-40B4-BE49-F238E27FC236}">
              <a16:creationId xmlns:a16="http://schemas.microsoft.com/office/drawing/2014/main" id="{70C5D487-3619-4FA6-B328-756DBEDF4065}"/>
            </a:ext>
          </a:extLst>
        </xdr:cNvPr>
        <xdr:cNvSpPr/>
      </xdr:nvSpPr>
      <xdr:spPr>
        <a:xfrm>
          <a:off x="5756730" y="2504319"/>
          <a:ext cx="2799895" cy="612473"/>
        </a:xfrm>
        <a:prstGeom prst="rect">
          <a:avLst/>
        </a:prstGeom>
        <a:noFill/>
        <a:ln w="2222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1659920</xdr:colOff>
      <xdr:row>5</xdr:row>
      <xdr:rowOff>147109</xdr:rowOff>
    </xdr:from>
    <xdr:to>
      <xdr:col>10</xdr:col>
      <xdr:colOff>2730500</xdr:colOff>
      <xdr:row>7</xdr:row>
      <xdr:rowOff>266549</xdr:rowOff>
    </xdr:to>
    <xdr:sp macro="" textlink="">
      <xdr:nvSpPr>
        <xdr:cNvPr id="7" name="Rectangle 6">
          <a:extLst>
            <a:ext uri="{FF2B5EF4-FFF2-40B4-BE49-F238E27FC236}">
              <a16:creationId xmlns:a16="http://schemas.microsoft.com/office/drawing/2014/main" id="{E5849014-10A5-4EC8-AC16-EC1AEDD54EBE}"/>
            </a:ext>
          </a:extLst>
        </xdr:cNvPr>
        <xdr:cNvSpPr/>
      </xdr:nvSpPr>
      <xdr:spPr>
        <a:xfrm>
          <a:off x="14194820" y="1671109"/>
          <a:ext cx="4013805" cy="633790"/>
        </a:xfrm>
        <a:prstGeom prst="rect">
          <a:avLst/>
        </a:prstGeom>
        <a:noFill/>
        <a:ln w="2222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586321</xdr:colOff>
      <xdr:row>10</xdr:row>
      <xdr:rowOff>4234</xdr:rowOff>
    </xdr:from>
    <xdr:to>
      <xdr:col>8</xdr:col>
      <xdr:colOff>1409281</xdr:colOff>
      <xdr:row>11</xdr:row>
      <xdr:rowOff>6774</xdr:rowOff>
    </xdr:to>
    <xdr:sp macro="" textlink="">
      <xdr:nvSpPr>
        <xdr:cNvPr id="8" name="Rectangle 7">
          <a:extLst>
            <a:ext uri="{FF2B5EF4-FFF2-40B4-BE49-F238E27FC236}">
              <a16:creationId xmlns:a16="http://schemas.microsoft.com/office/drawing/2014/main" id="{25569540-136D-4AD4-A5F5-1C92A508F4E6}"/>
            </a:ext>
          </a:extLst>
        </xdr:cNvPr>
        <xdr:cNvSpPr/>
      </xdr:nvSpPr>
      <xdr:spPr>
        <a:xfrm>
          <a:off x="13121221" y="3004609"/>
          <a:ext cx="822960" cy="316865"/>
        </a:xfrm>
        <a:prstGeom prst="rect">
          <a:avLst/>
        </a:prstGeom>
        <a:noFill/>
        <a:ln w="2222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588440</xdr:colOff>
      <xdr:row>8</xdr:row>
      <xdr:rowOff>288553</xdr:rowOff>
    </xdr:from>
    <xdr:to>
      <xdr:col>8</xdr:col>
      <xdr:colOff>1411400</xdr:colOff>
      <xdr:row>9</xdr:row>
      <xdr:rowOff>280510</xdr:rowOff>
    </xdr:to>
    <xdr:sp macro="" textlink="">
      <xdr:nvSpPr>
        <xdr:cNvPr id="9" name="Rectangle 8">
          <a:extLst>
            <a:ext uri="{FF2B5EF4-FFF2-40B4-BE49-F238E27FC236}">
              <a16:creationId xmlns:a16="http://schemas.microsoft.com/office/drawing/2014/main" id="{040FE444-B36D-42F9-AE2A-3FD28BC0BA6A}"/>
            </a:ext>
          </a:extLst>
        </xdr:cNvPr>
        <xdr:cNvSpPr/>
      </xdr:nvSpPr>
      <xdr:spPr>
        <a:xfrm>
          <a:off x="13346574" y="2622849"/>
          <a:ext cx="822960" cy="313929"/>
        </a:xfrm>
        <a:prstGeom prst="rect">
          <a:avLst/>
        </a:prstGeom>
        <a:noFill/>
        <a:ln w="2222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600" b="0">
              <a:solidFill>
                <a:sysClr val="windowText" lastClr="000000"/>
              </a:solidFill>
            </a:rPr>
            <a:t>250</a:t>
          </a:r>
          <a:r>
            <a:rPr lang="en-US" sz="1100"/>
            <a:t>0</a:t>
          </a:r>
        </a:p>
      </xdr:txBody>
    </xdr:sp>
    <xdr:clientData/>
  </xdr:twoCellAnchor>
  <xdr:twoCellAnchor editAs="oneCell">
    <xdr:from>
      <xdr:col>2</xdr:col>
      <xdr:colOff>1738395</xdr:colOff>
      <xdr:row>14</xdr:row>
      <xdr:rowOff>10584</xdr:rowOff>
    </xdr:from>
    <xdr:to>
      <xdr:col>2</xdr:col>
      <xdr:colOff>2123989</xdr:colOff>
      <xdr:row>15</xdr:row>
      <xdr:rowOff>67673</xdr:rowOff>
    </xdr:to>
    <xdr:pic>
      <xdr:nvPicPr>
        <xdr:cNvPr id="10" name="Picture 9">
          <a:extLst>
            <a:ext uri="{FF2B5EF4-FFF2-40B4-BE49-F238E27FC236}">
              <a16:creationId xmlns:a16="http://schemas.microsoft.com/office/drawing/2014/main" id="{5F51D358-6FF7-45B4-8EBD-84592601A0EC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-1" t="5806" r="58483" b="1606"/>
        <a:stretch/>
      </xdr:blipFill>
      <xdr:spPr>
        <a:xfrm>
          <a:off x="2424195" y="4268259"/>
          <a:ext cx="377974" cy="363794"/>
        </a:xfrm>
        <a:prstGeom prst="rect">
          <a:avLst/>
        </a:prstGeom>
      </xdr:spPr>
    </xdr:pic>
    <xdr:clientData/>
  </xdr:twoCellAnchor>
  <xdr:twoCellAnchor editAs="oneCell">
    <xdr:from>
      <xdr:col>2</xdr:col>
      <xdr:colOff>1689257</xdr:colOff>
      <xdr:row>15</xdr:row>
      <xdr:rowOff>22367</xdr:rowOff>
    </xdr:from>
    <xdr:to>
      <xdr:col>2</xdr:col>
      <xdr:colOff>2054584</xdr:colOff>
      <xdr:row>16</xdr:row>
      <xdr:rowOff>40973</xdr:rowOff>
    </xdr:to>
    <xdr:pic>
      <xdr:nvPicPr>
        <xdr:cNvPr id="11" name="Picture 10">
          <a:extLst>
            <a:ext uri="{FF2B5EF4-FFF2-40B4-BE49-F238E27FC236}">
              <a16:creationId xmlns:a16="http://schemas.microsoft.com/office/drawing/2014/main" id="{88D70EC4-C8D1-48BB-96F8-AFEC090D037B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58749" t="8127" r="-1" b="4799"/>
        <a:stretch/>
      </xdr:blipFill>
      <xdr:spPr>
        <a:xfrm>
          <a:off x="2375057" y="4594367"/>
          <a:ext cx="365327" cy="332931"/>
        </a:xfrm>
        <a:prstGeom prst="rect">
          <a:avLst/>
        </a:prstGeom>
      </xdr:spPr>
    </xdr:pic>
    <xdr:clientData/>
  </xdr:twoCellAnchor>
  <xdr:twoCellAnchor>
    <xdr:from>
      <xdr:col>8</xdr:col>
      <xdr:colOff>590254</xdr:colOff>
      <xdr:row>11</xdr:row>
      <xdr:rowOff>8467</xdr:rowOff>
    </xdr:from>
    <xdr:to>
      <xdr:col>8</xdr:col>
      <xdr:colOff>1413214</xdr:colOff>
      <xdr:row>12</xdr:row>
      <xdr:rowOff>21167</xdr:rowOff>
    </xdr:to>
    <xdr:sp macro="" textlink="">
      <xdr:nvSpPr>
        <xdr:cNvPr id="12" name="Rectangle 11">
          <a:extLst>
            <a:ext uri="{FF2B5EF4-FFF2-40B4-BE49-F238E27FC236}">
              <a16:creationId xmlns:a16="http://schemas.microsoft.com/office/drawing/2014/main" id="{19082DF2-7070-49D9-B18C-9CF7DDB109B7}"/>
            </a:ext>
          </a:extLst>
        </xdr:cNvPr>
        <xdr:cNvSpPr/>
      </xdr:nvSpPr>
      <xdr:spPr>
        <a:xfrm>
          <a:off x="13125154" y="3323167"/>
          <a:ext cx="822960" cy="327025"/>
        </a:xfrm>
        <a:prstGeom prst="rect">
          <a:avLst/>
        </a:prstGeom>
        <a:noFill/>
        <a:ln w="2222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584207</xdr:colOff>
      <xdr:row>12</xdr:row>
      <xdr:rowOff>12701</xdr:rowOff>
    </xdr:from>
    <xdr:to>
      <xdr:col>8</xdr:col>
      <xdr:colOff>1407167</xdr:colOff>
      <xdr:row>13</xdr:row>
      <xdr:rowOff>25401</xdr:rowOff>
    </xdr:to>
    <xdr:sp macro="" textlink="">
      <xdr:nvSpPr>
        <xdr:cNvPr id="13" name="Rectangle 12">
          <a:extLst>
            <a:ext uri="{FF2B5EF4-FFF2-40B4-BE49-F238E27FC236}">
              <a16:creationId xmlns:a16="http://schemas.microsoft.com/office/drawing/2014/main" id="{D8E9EACE-FC36-4AE3-9942-B8F520EA94E8}"/>
            </a:ext>
          </a:extLst>
        </xdr:cNvPr>
        <xdr:cNvSpPr/>
      </xdr:nvSpPr>
      <xdr:spPr>
        <a:xfrm>
          <a:off x="13119107" y="3641726"/>
          <a:ext cx="822960" cy="327025"/>
        </a:xfrm>
        <a:prstGeom prst="rect">
          <a:avLst/>
        </a:prstGeom>
        <a:noFill/>
        <a:ln w="2222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1452040</xdr:colOff>
      <xdr:row>8</xdr:row>
      <xdr:rowOff>288553</xdr:rowOff>
    </xdr:from>
    <xdr:to>
      <xdr:col>9</xdr:col>
      <xdr:colOff>458900</xdr:colOff>
      <xdr:row>9</xdr:row>
      <xdr:rowOff>280510</xdr:rowOff>
    </xdr:to>
    <xdr:sp macro="" textlink="">
      <xdr:nvSpPr>
        <xdr:cNvPr id="14" name="Rectangle 13">
          <a:extLst>
            <a:ext uri="{FF2B5EF4-FFF2-40B4-BE49-F238E27FC236}">
              <a16:creationId xmlns:a16="http://schemas.microsoft.com/office/drawing/2014/main" id="{392F9FBD-93E3-415C-A05A-7241BEFA0DAC}"/>
            </a:ext>
          </a:extLst>
        </xdr:cNvPr>
        <xdr:cNvSpPr/>
      </xdr:nvSpPr>
      <xdr:spPr>
        <a:xfrm>
          <a:off x="14210174" y="2622849"/>
          <a:ext cx="777705" cy="313929"/>
        </a:xfrm>
        <a:prstGeom prst="rect">
          <a:avLst/>
        </a:prstGeom>
        <a:noFill/>
        <a:ln w="2222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600" b="0">
              <a:solidFill>
                <a:sysClr val="windowText" lastClr="000000"/>
              </a:solidFill>
            </a:rPr>
            <a:t>500</a:t>
          </a:r>
          <a:r>
            <a:rPr lang="en-US" sz="1100"/>
            <a:t>0</a:t>
          </a:r>
        </a:p>
      </xdr:txBody>
    </xdr:sp>
    <xdr:clientData/>
  </xdr:twoCellAnchor>
  <xdr:twoCellAnchor>
    <xdr:from>
      <xdr:col>9</xdr:col>
      <xdr:colOff>512240</xdr:colOff>
      <xdr:row>8</xdr:row>
      <xdr:rowOff>288553</xdr:rowOff>
    </xdr:from>
    <xdr:to>
      <xdr:col>10</xdr:col>
      <xdr:colOff>128700</xdr:colOff>
      <xdr:row>9</xdr:row>
      <xdr:rowOff>280510</xdr:rowOff>
    </xdr:to>
    <xdr:sp macro="" textlink="">
      <xdr:nvSpPr>
        <xdr:cNvPr id="15" name="Rectangle 14">
          <a:extLst>
            <a:ext uri="{FF2B5EF4-FFF2-40B4-BE49-F238E27FC236}">
              <a16:creationId xmlns:a16="http://schemas.microsoft.com/office/drawing/2014/main" id="{C2244B8C-690A-40E0-80B0-429713E5057E}"/>
            </a:ext>
          </a:extLst>
        </xdr:cNvPr>
        <xdr:cNvSpPr/>
      </xdr:nvSpPr>
      <xdr:spPr>
        <a:xfrm>
          <a:off x="15041219" y="2622849"/>
          <a:ext cx="716530" cy="313929"/>
        </a:xfrm>
        <a:prstGeom prst="rect">
          <a:avLst/>
        </a:prstGeom>
        <a:noFill/>
        <a:ln w="2222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600" b="0">
              <a:solidFill>
                <a:sysClr val="windowText" lastClr="000000"/>
              </a:solidFill>
            </a:rPr>
            <a:t>1000</a:t>
          </a:r>
          <a:endParaRPr lang="en-US" sz="1100"/>
        </a:p>
      </xdr:txBody>
    </xdr:sp>
    <xdr:clientData/>
  </xdr:twoCellAnchor>
  <xdr:twoCellAnchor>
    <xdr:from>
      <xdr:col>10</xdr:col>
      <xdr:colOff>169340</xdr:colOff>
      <xdr:row>8</xdr:row>
      <xdr:rowOff>288553</xdr:rowOff>
    </xdr:from>
    <xdr:to>
      <xdr:col>10</xdr:col>
      <xdr:colOff>992300</xdr:colOff>
      <xdr:row>9</xdr:row>
      <xdr:rowOff>280510</xdr:rowOff>
    </xdr:to>
    <xdr:sp macro="" textlink="">
      <xdr:nvSpPr>
        <xdr:cNvPr id="16" name="Rectangle 15">
          <a:extLst>
            <a:ext uri="{FF2B5EF4-FFF2-40B4-BE49-F238E27FC236}">
              <a16:creationId xmlns:a16="http://schemas.microsoft.com/office/drawing/2014/main" id="{DC15AD41-52DF-4799-B9E9-593F3B2FF2A8}"/>
            </a:ext>
          </a:extLst>
        </xdr:cNvPr>
        <xdr:cNvSpPr/>
      </xdr:nvSpPr>
      <xdr:spPr>
        <a:xfrm>
          <a:off x="15798389" y="2622849"/>
          <a:ext cx="822960" cy="313929"/>
        </a:xfrm>
        <a:prstGeom prst="rect">
          <a:avLst/>
        </a:prstGeom>
        <a:noFill/>
        <a:ln w="2222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600" b="0">
              <a:solidFill>
                <a:sysClr val="windowText" lastClr="000000"/>
              </a:solidFill>
            </a:rPr>
            <a:t>2000</a:t>
          </a:r>
          <a:endParaRPr lang="en-US" sz="1100"/>
        </a:p>
      </xdr:txBody>
    </xdr:sp>
    <xdr:clientData/>
  </xdr:twoCellAnchor>
  <xdr:twoCellAnchor>
    <xdr:from>
      <xdr:col>10</xdr:col>
      <xdr:colOff>1045640</xdr:colOff>
      <xdr:row>8</xdr:row>
      <xdr:rowOff>288553</xdr:rowOff>
    </xdr:from>
    <xdr:to>
      <xdr:col>10</xdr:col>
      <xdr:colOff>1868600</xdr:colOff>
      <xdr:row>9</xdr:row>
      <xdr:rowOff>280510</xdr:rowOff>
    </xdr:to>
    <xdr:sp macro="" textlink="">
      <xdr:nvSpPr>
        <xdr:cNvPr id="17" name="Rectangle 16">
          <a:extLst>
            <a:ext uri="{FF2B5EF4-FFF2-40B4-BE49-F238E27FC236}">
              <a16:creationId xmlns:a16="http://schemas.microsoft.com/office/drawing/2014/main" id="{3789EE77-B08A-4C50-A5F0-A59560D1BA6C}"/>
            </a:ext>
          </a:extLst>
        </xdr:cNvPr>
        <xdr:cNvSpPr/>
      </xdr:nvSpPr>
      <xdr:spPr>
        <a:xfrm>
          <a:off x="16674689" y="2622849"/>
          <a:ext cx="822960" cy="313929"/>
        </a:xfrm>
        <a:prstGeom prst="rect">
          <a:avLst/>
        </a:prstGeom>
        <a:noFill/>
        <a:ln w="2222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600" b="0">
              <a:solidFill>
                <a:sysClr val="windowText" lastClr="000000"/>
              </a:solidFill>
            </a:rPr>
            <a:t>4000</a:t>
          </a:r>
          <a:endParaRPr lang="en-US" sz="1100"/>
        </a:p>
      </xdr:txBody>
    </xdr:sp>
    <xdr:clientData/>
  </xdr:twoCellAnchor>
  <xdr:twoCellAnchor>
    <xdr:from>
      <xdr:col>10</xdr:col>
      <xdr:colOff>1909240</xdr:colOff>
      <xdr:row>8</xdr:row>
      <xdr:rowOff>288553</xdr:rowOff>
    </xdr:from>
    <xdr:to>
      <xdr:col>10</xdr:col>
      <xdr:colOff>2732200</xdr:colOff>
      <xdr:row>9</xdr:row>
      <xdr:rowOff>280510</xdr:rowOff>
    </xdr:to>
    <xdr:sp macro="" textlink="">
      <xdr:nvSpPr>
        <xdr:cNvPr id="18" name="Rectangle 17">
          <a:extLst>
            <a:ext uri="{FF2B5EF4-FFF2-40B4-BE49-F238E27FC236}">
              <a16:creationId xmlns:a16="http://schemas.microsoft.com/office/drawing/2014/main" id="{6972193B-4023-49DF-8E33-FF0BB363AC43}"/>
            </a:ext>
          </a:extLst>
        </xdr:cNvPr>
        <xdr:cNvSpPr/>
      </xdr:nvSpPr>
      <xdr:spPr>
        <a:xfrm>
          <a:off x="17538289" y="2622849"/>
          <a:ext cx="822960" cy="313929"/>
        </a:xfrm>
        <a:prstGeom prst="rect">
          <a:avLst/>
        </a:prstGeom>
        <a:noFill/>
        <a:ln w="2222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600" b="0">
              <a:solidFill>
                <a:sysClr val="windowText" lastClr="000000"/>
              </a:solidFill>
            </a:rPr>
            <a:t>6000</a:t>
          </a:r>
          <a:endParaRPr lang="en-US" sz="1100"/>
        </a:p>
      </xdr:txBody>
    </xdr:sp>
    <xdr:clientData/>
  </xdr:twoCellAnchor>
  <xdr:twoCellAnchor>
    <xdr:from>
      <xdr:col>0</xdr:col>
      <xdr:colOff>26832</xdr:colOff>
      <xdr:row>10</xdr:row>
      <xdr:rowOff>275699</xdr:rowOff>
    </xdr:from>
    <xdr:to>
      <xdr:col>2</xdr:col>
      <xdr:colOff>4938286</xdr:colOff>
      <xdr:row>12</xdr:row>
      <xdr:rowOff>179531</xdr:rowOff>
    </xdr:to>
    <xdr:sp macro="" textlink="">
      <xdr:nvSpPr>
        <xdr:cNvPr id="19" name="TextBox 18">
          <a:extLst>
            <a:ext uri="{FF2B5EF4-FFF2-40B4-BE49-F238E27FC236}">
              <a16:creationId xmlns:a16="http://schemas.microsoft.com/office/drawing/2014/main" id="{949074F2-CE13-4F36-97B3-391D661FC3B7}"/>
            </a:ext>
          </a:extLst>
        </xdr:cNvPr>
        <xdr:cNvSpPr txBox="1"/>
      </xdr:nvSpPr>
      <xdr:spPr>
        <a:xfrm>
          <a:off x="26832" y="3276074"/>
          <a:ext cx="5597254" cy="532482"/>
        </a:xfrm>
        <a:prstGeom prst="rect">
          <a:avLst/>
        </a:prstGeom>
        <a:solidFill>
          <a:schemeClr val="bg2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en-US" sz="1800" b="1"/>
            <a:t>Scheduled PMS </a:t>
          </a:r>
          <a:r>
            <a:rPr lang="az-Cyrl-AZ" sz="1800" b="1"/>
            <a:t>Запланированный </a:t>
          </a:r>
          <a:r>
            <a:rPr lang="en-US" sz="1800" b="1"/>
            <a:t>PMS</a:t>
          </a:r>
          <a:r>
            <a:rPr lang="az-Cyrl-AZ" sz="1800" b="1"/>
            <a:t>/Неделя</a:t>
          </a:r>
          <a:r>
            <a:rPr lang="en-US" sz="1800" b="1"/>
            <a:t>:</a:t>
          </a:r>
          <a:endParaRPr lang="az-Cyrl-AZ" sz="1800" b="1"/>
        </a:p>
      </xdr:txBody>
    </xdr:sp>
    <xdr:clientData/>
  </xdr:twoCellAnchor>
  <xdr:twoCellAnchor>
    <xdr:from>
      <xdr:col>2</xdr:col>
      <xdr:colOff>5053511</xdr:colOff>
      <xdr:row>10</xdr:row>
      <xdr:rowOff>228063</xdr:rowOff>
    </xdr:from>
    <xdr:to>
      <xdr:col>4</xdr:col>
      <xdr:colOff>147570</xdr:colOff>
      <xdr:row>12</xdr:row>
      <xdr:rowOff>204346</xdr:rowOff>
    </xdr:to>
    <xdr:sp macro="" textlink="">
      <xdr:nvSpPr>
        <xdr:cNvPr id="20" name="Rectangle 19">
          <a:extLst>
            <a:ext uri="{FF2B5EF4-FFF2-40B4-BE49-F238E27FC236}">
              <a16:creationId xmlns:a16="http://schemas.microsoft.com/office/drawing/2014/main" id="{66AF700B-8DBD-44FF-9125-06DBB351DDBC}"/>
            </a:ext>
          </a:extLst>
        </xdr:cNvPr>
        <xdr:cNvSpPr/>
      </xdr:nvSpPr>
      <xdr:spPr>
        <a:xfrm>
          <a:off x="5737701" y="3192887"/>
          <a:ext cx="2459165" cy="593396"/>
        </a:xfrm>
        <a:prstGeom prst="rect">
          <a:avLst/>
        </a:prstGeom>
        <a:noFill/>
        <a:ln w="2222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</xdr:col>
      <xdr:colOff>241480</xdr:colOff>
      <xdr:row>10</xdr:row>
      <xdr:rowOff>228063</xdr:rowOff>
    </xdr:from>
    <xdr:to>
      <xdr:col>5</xdr:col>
      <xdr:colOff>2818</xdr:colOff>
      <xdr:row>12</xdr:row>
      <xdr:rowOff>213871</xdr:rowOff>
    </xdr:to>
    <xdr:sp macro="" textlink="">
      <xdr:nvSpPr>
        <xdr:cNvPr id="21" name="Rectangle 20">
          <a:extLst>
            <a:ext uri="{FF2B5EF4-FFF2-40B4-BE49-F238E27FC236}">
              <a16:creationId xmlns:a16="http://schemas.microsoft.com/office/drawing/2014/main" id="{3D917B00-8E39-4CBD-B500-ADBECDDEE8E1}"/>
            </a:ext>
          </a:extLst>
        </xdr:cNvPr>
        <xdr:cNvSpPr/>
      </xdr:nvSpPr>
      <xdr:spPr>
        <a:xfrm>
          <a:off x="8290776" y="3192887"/>
          <a:ext cx="1384612" cy="602921"/>
        </a:xfrm>
        <a:prstGeom prst="rect">
          <a:avLst/>
        </a:prstGeom>
        <a:noFill/>
        <a:ln w="2222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120739</xdr:colOff>
      <xdr:row>0</xdr:row>
      <xdr:rowOff>53662</xdr:rowOff>
    </xdr:from>
    <xdr:to>
      <xdr:col>2</xdr:col>
      <xdr:colOff>2750175</xdr:colOff>
      <xdr:row>2</xdr:row>
      <xdr:rowOff>281725</xdr:rowOff>
    </xdr:to>
    <xdr:pic>
      <xdr:nvPicPr>
        <xdr:cNvPr id="22" name="Рисунок 1504720245" descr="A picture containing text, clipart&#10;&#10;Description automatically generated">
          <a:extLst>
            <a:ext uri="{FF2B5EF4-FFF2-40B4-BE49-F238E27FC236}">
              <a16:creationId xmlns:a16="http://schemas.microsoft.com/office/drawing/2014/main" id="{314ACF44-7781-4DC1-8466-060755B147B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0739" y="53662"/>
          <a:ext cx="3313626" cy="80492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30240</xdr:colOff>
      <xdr:row>5</xdr:row>
      <xdr:rowOff>236765</xdr:rowOff>
    </xdr:from>
    <xdr:to>
      <xdr:col>2</xdr:col>
      <xdr:colOff>2444751</xdr:colOff>
      <xdr:row>7</xdr:row>
      <xdr:rowOff>211667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1B5881ED-B59A-4713-946C-A791AF9BCEC6}"/>
            </a:ext>
          </a:extLst>
        </xdr:cNvPr>
        <xdr:cNvSpPr txBox="1"/>
      </xdr:nvSpPr>
      <xdr:spPr>
        <a:xfrm>
          <a:off x="30240" y="1760765"/>
          <a:ext cx="3100311" cy="489252"/>
        </a:xfrm>
        <a:prstGeom prst="rect">
          <a:avLst/>
        </a:prstGeom>
        <a:solidFill>
          <a:schemeClr val="bg2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en-US" sz="1800" b="1"/>
            <a:t>Equipment</a:t>
          </a:r>
          <a:r>
            <a:rPr lang="en-US" sz="1800" b="1" baseline="0"/>
            <a:t> </a:t>
          </a:r>
          <a:r>
            <a:rPr lang="ru-RU" sz="1800" b="1"/>
            <a:t>Оборудования:  </a:t>
          </a:r>
          <a:endParaRPr lang="en-US" sz="1800"/>
        </a:p>
      </xdr:txBody>
    </xdr:sp>
    <xdr:clientData/>
  </xdr:twoCellAnchor>
  <xdr:twoCellAnchor>
    <xdr:from>
      <xdr:col>7</xdr:col>
      <xdr:colOff>19504</xdr:colOff>
      <xdr:row>5</xdr:row>
      <xdr:rowOff>178467</xdr:rowOff>
    </xdr:from>
    <xdr:to>
      <xdr:col>8</xdr:col>
      <xdr:colOff>1545166</xdr:colOff>
      <xdr:row>7</xdr:row>
      <xdr:rowOff>214690</xdr:rowOff>
    </xdr:to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A6232586-3809-4848-93BD-6C81D2642AD4}"/>
            </a:ext>
          </a:extLst>
        </xdr:cNvPr>
        <xdr:cNvSpPr txBox="1"/>
      </xdr:nvSpPr>
      <xdr:spPr>
        <a:xfrm>
          <a:off x="11678104" y="1702467"/>
          <a:ext cx="2773437" cy="550573"/>
        </a:xfrm>
        <a:prstGeom prst="rect">
          <a:avLst/>
        </a:prstGeom>
        <a:solidFill>
          <a:schemeClr val="bg2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en-US" sz="2000" b="1"/>
            <a:t> </a:t>
          </a:r>
          <a:r>
            <a:rPr lang="en-US" sz="1800" b="1"/>
            <a:t>Hour Meter </a:t>
          </a:r>
          <a:r>
            <a:rPr lang="ru-RU" sz="1800" b="1"/>
            <a:t>моточасы: </a:t>
          </a:r>
          <a:endParaRPr lang="en-US" sz="1800"/>
        </a:p>
      </xdr:txBody>
    </xdr:sp>
    <xdr:clientData/>
  </xdr:twoCellAnchor>
  <xdr:twoCellAnchor>
    <xdr:from>
      <xdr:col>2</xdr:col>
      <xdr:colOff>2478012</xdr:colOff>
      <xdr:row>5</xdr:row>
      <xdr:rowOff>179917</xdr:rowOff>
    </xdr:from>
    <xdr:to>
      <xdr:col>2</xdr:col>
      <xdr:colOff>5841999</xdr:colOff>
      <xdr:row>7</xdr:row>
      <xdr:rowOff>299357</xdr:rowOff>
    </xdr:to>
    <xdr:sp macro="" textlink="">
      <xdr:nvSpPr>
        <xdr:cNvPr id="4" name="Rectangle 3">
          <a:extLst>
            <a:ext uri="{FF2B5EF4-FFF2-40B4-BE49-F238E27FC236}">
              <a16:creationId xmlns:a16="http://schemas.microsoft.com/office/drawing/2014/main" id="{16DCD647-CBC6-4E45-9338-1945C4D7A004}"/>
            </a:ext>
          </a:extLst>
        </xdr:cNvPr>
        <xdr:cNvSpPr/>
      </xdr:nvSpPr>
      <xdr:spPr>
        <a:xfrm>
          <a:off x="3163812" y="1703917"/>
          <a:ext cx="3363987" cy="633790"/>
        </a:xfrm>
        <a:prstGeom prst="rect">
          <a:avLst/>
        </a:prstGeom>
        <a:noFill/>
        <a:ln w="2222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55940</xdr:colOff>
      <xdr:row>8</xdr:row>
      <xdr:rowOff>176894</xdr:rowOff>
    </xdr:from>
    <xdr:to>
      <xdr:col>2</xdr:col>
      <xdr:colOff>4963584</xdr:colOff>
      <xdr:row>10</xdr:row>
      <xdr:rowOff>63501</xdr:rowOff>
    </xdr:to>
    <xdr:sp macro="" textlink="">
      <xdr:nvSpPr>
        <xdr:cNvPr id="5" name="TextBox 4">
          <a:extLst>
            <a:ext uri="{FF2B5EF4-FFF2-40B4-BE49-F238E27FC236}">
              <a16:creationId xmlns:a16="http://schemas.microsoft.com/office/drawing/2014/main" id="{EEBF98CA-7C3A-4215-940E-DE46E8B3B503}"/>
            </a:ext>
          </a:extLst>
        </xdr:cNvPr>
        <xdr:cNvSpPr txBox="1"/>
      </xdr:nvSpPr>
      <xdr:spPr>
        <a:xfrm>
          <a:off x="55940" y="2539094"/>
          <a:ext cx="5593444" cy="524782"/>
        </a:xfrm>
        <a:prstGeom prst="rect">
          <a:avLst/>
        </a:prstGeom>
        <a:solidFill>
          <a:schemeClr val="bg2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en-US" sz="1800" b="1"/>
            <a:t>Date Sample Taken  </a:t>
          </a:r>
          <a:r>
            <a:rPr lang="az-Cyrl-AZ" sz="1800" b="1"/>
            <a:t>Дата отбора образца масла:</a:t>
          </a:r>
        </a:p>
      </xdr:txBody>
    </xdr:sp>
    <xdr:clientData/>
  </xdr:twoCellAnchor>
  <xdr:twoCellAnchor>
    <xdr:from>
      <xdr:col>2</xdr:col>
      <xdr:colOff>5070930</xdr:colOff>
      <xdr:row>8</xdr:row>
      <xdr:rowOff>142119</xdr:rowOff>
    </xdr:from>
    <xdr:to>
      <xdr:col>4</xdr:col>
      <xdr:colOff>736600</xdr:colOff>
      <xdr:row>10</xdr:row>
      <xdr:rowOff>116417</xdr:rowOff>
    </xdr:to>
    <xdr:sp macro="" textlink="">
      <xdr:nvSpPr>
        <xdr:cNvPr id="6" name="Rectangle 5">
          <a:extLst>
            <a:ext uri="{FF2B5EF4-FFF2-40B4-BE49-F238E27FC236}">
              <a16:creationId xmlns:a16="http://schemas.microsoft.com/office/drawing/2014/main" id="{3B5947B9-4F9E-41B6-92F9-31ADBBD04324}"/>
            </a:ext>
          </a:extLst>
        </xdr:cNvPr>
        <xdr:cNvSpPr/>
      </xdr:nvSpPr>
      <xdr:spPr>
        <a:xfrm>
          <a:off x="5756730" y="2504319"/>
          <a:ext cx="3038020" cy="612473"/>
        </a:xfrm>
        <a:prstGeom prst="rect">
          <a:avLst/>
        </a:prstGeom>
        <a:noFill/>
        <a:ln w="2222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1659920</xdr:colOff>
      <xdr:row>5</xdr:row>
      <xdr:rowOff>147109</xdr:rowOff>
    </xdr:from>
    <xdr:to>
      <xdr:col>10</xdr:col>
      <xdr:colOff>2730500</xdr:colOff>
      <xdr:row>7</xdr:row>
      <xdr:rowOff>266549</xdr:rowOff>
    </xdr:to>
    <xdr:sp macro="" textlink="">
      <xdr:nvSpPr>
        <xdr:cNvPr id="7" name="Rectangle 6">
          <a:extLst>
            <a:ext uri="{FF2B5EF4-FFF2-40B4-BE49-F238E27FC236}">
              <a16:creationId xmlns:a16="http://schemas.microsoft.com/office/drawing/2014/main" id="{B529A53D-CE5F-40AE-9258-D13712592BB2}"/>
            </a:ext>
          </a:extLst>
        </xdr:cNvPr>
        <xdr:cNvSpPr/>
      </xdr:nvSpPr>
      <xdr:spPr>
        <a:xfrm>
          <a:off x="14566295" y="1671109"/>
          <a:ext cx="4118580" cy="633790"/>
        </a:xfrm>
        <a:prstGeom prst="rect">
          <a:avLst/>
        </a:prstGeom>
        <a:noFill/>
        <a:ln w="2222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586321</xdr:colOff>
      <xdr:row>10</xdr:row>
      <xdr:rowOff>4234</xdr:rowOff>
    </xdr:from>
    <xdr:to>
      <xdr:col>8</xdr:col>
      <xdr:colOff>1409281</xdr:colOff>
      <xdr:row>11</xdr:row>
      <xdr:rowOff>6774</xdr:rowOff>
    </xdr:to>
    <xdr:sp macro="" textlink="">
      <xdr:nvSpPr>
        <xdr:cNvPr id="8" name="Rectangle 7">
          <a:extLst>
            <a:ext uri="{FF2B5EF4-FFF2-40B4-BE49-F238E27FC236}">
              <a16:creationId xmlns:a16="http://schemas.microsoft.com/office/drawing/2014/main" id="{CFD7A2D8-3517-4FFB-BF7A-85FD6DA381C7}"/>
            </a:ext>
          </a:extLst>
        </xdr:cNvPr>
        <xdr:cNvSpPr/>
      </xdr:nvSpPr>
      <xdr:spPr>
        <a:xfrm>
          <a:off x="13492696" y="3004609"/>
          <a:ext cx="822960" cy="316865"/>
        </a:xfrm>
        <a:prstGeom prst="rect">
          <a:avLst/>
        </a:prstGeom>
        <a:noFill/>
        <a:ln w="2222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588440</xdr:colOff>
      <xdr:row>8</xdr:row>
      <xdr:rowOff>288553</xdr:rowOff>
    </xdr:from>
    <xdr:to>
      <xdr:col>8</xdr:col>
      <xdr:colOff>1411400</xdr:colOff>
      <xdr:row>9</xdr:row>
      <xdr:rowOff>280510</xdr:rowOff>
    </xdr:to>
    <xdr:sp macro="" textlink="">
      <xdr:nvSpPr>
        <xdr:cNvPr id="9" name="Rectangle 8">
          <a:extLst>
            <a:ext uri="{FF2B5EF4-FFF2-40B4-BE49-F238E27FC236}">
              <a16:creationId xmlns:a16="http://schemas.microsoft.com/office/drawing/2014/main" id="{C1AC6595-4661-4039-A3A2-0764FDED4DF4}"/>
            </a:ext>
          </a:extLst>
        </xdr:cNvPr>
        <xdr:cNvSpPr/>
      </xdr:nvSpPr>
      <xdr:spPr>
        <a:xfrm>
          <a:off x="13494815" y="2650753"/>
          <a:ext cx="822960" cy="315807"/>
        </a:xfrm>
        <a:prstGeom prst="rect">
          <a:avLst/>
        </a:prstGeom>
        <a:noFill/>
        <a:ln w="2222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600" b="0">
              <a:solidFill>
                <a:sysClr val="windowText" lastClr="000000"/>
              </a:solidFill>
            </a:rPr>
            <a:t>250</a:t>
          </a:r>
          <a:r>
            <a:rPr lang="en-US" sz="1100"/>
            <a:t>0</a:t>
          </a:r>
        </a:p>
      </xdr:txBody>
    </xdr:sp>
    <xdr:clientData/>
  </xdr:twoCellAnchor>
  <xdr:twoCellAnchor editAs="oneCell">
    <xdr:from>
      <xdr:col>2</xdr:col>
      <xdr:colOff>1738395</xdr:colOff>
      <xdr:row>14</xdr:row>
      <xdr:rowOff>10584</xdr:rowOff>
    </xdr:from>
    <xdr:to>
      <xdr:col>2</xdr:col>
      <xdr:colOff>2116369</xdr:colOff>
      <xdr:row>15</xdr:row>
      <xdr:rowOff>60053</xdr:rowOff>
    </xdr:to>
    <xdr:pic>
      <xdr:nvPicPr>
        <xdr:cNvPr id="10" name="Picture 9">
          <a:extLst>
            <a:ext uri="{FF2B5EF4-FFF2-40B4-BE49-F238E27FC236}">
              <a16:creationId xmlns:a16="http://schemas.microsoft.com/office/drawing/2014/main" id="{5E03BC88-B373-4DD9-B707-936F2C354F24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-1" t="5806" r="58483" b="1606"/>
        <a:stretch/>
      </xdr:blipFill>
      <xdr:spPr>
        <a:xfrm>
          <a:off x="2424195" y="4268259"/>
          <a:ext cx="377974" cy="363794"/>
        </a:xfrm>
        <a:prstGeom prst="rect">
          <a:avLst/>
        </a:prstGeom>
      </xdr:spPr>
    </xdr:pic>
    <xdr:clientData/>
  </xdr:twoCellAnchor>
  <xdr:twoCellAnchor editAs="oneCell">
    <xdr:from>
      <xdr:col>2</xdr:col>
      <xdr:colOff>1689257</xdr:colOff>
      <xdr:row>15</xdr:row>
      <xdr:rowOff>22367</xdr:rowOff>
    </xdr:from>
    <xdr:to>
      <xdr:col>2</xdr:col>
      <xdr:colOff>2054584</xdr:colOff>
      <xdr:row>16</xdr:row>
      <xdr:rowOff>40973</xdr:rowOff>
    </xdr:to>
    <xdr:pic>
      <xdr:nvPicPr>
        <xdr:cNvPr id="11" name="Picture 10">
          <a:extLst>
            <a:ext uri="{FF2B5EF4-FFF2-40B4-BE49-F238E27FC236}">
              <a16:creationId xmlns:a16="http://schemas.microsoft.com/office/drawing/2014/main" id="{ED5B863D-DF5F-485D-82D8-80433CC67CF3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58749" t="8127" r="-1" b="4799"/>
        <a:stretch/>
      </xdr:blipFill>
      <xdr:spPr>
        <a:xfrm>
          <a:off x="2375057" y="4594367"/>
          <a:ext cx="365327" cy="332931"/>
        </a:xfrm>
        <a:prstGeom prst="rect">
          <a:avLst/>
        </a:prstGeom>
      </xdr:spPr>
    </xdr:pic>
    <xdr:clientData/>
  </xdr:twoCellAnchor>
  <xdr:twoCellAnchor>
    <xdr:from>
      <xdr:col>8</xdr:col>
      <xdr:colOff>590254</xdr:colOff>
      <xdr:row>11</xdr:row>
      <xdr:rowOff>8467</xdr:rowOff>
    </xdr:from>
    <xdr:to>
      <xdr:col>8</xdr:col>
      <xdr:colOff>1413214</xdr:colOff>
      <xdr:row>12</xdr:row>
      <xdr:rowOff>21167</xdr:rowOff>
    </xdr:to>
    <xdr:sp macro="" textlink="">
      <xdr:nvSpPr>
        <xdr:cNvPr id="12" name="Rectangle 11">
          <a:extLst>
            <a:ext uri="{FF2B5EF4-FFF2-40B4-BE49-F238E27FC236}">
              <a16:creationId xmlns:a16="http://schemas.microsoft.com/office/drawing/2014/main" id="{45AA2BF8-E6E3-4E86-91D5-D966E3EDEEA3}"/>
            </a:ext>
          </a:extLst>
        </xdr:cNvPr>
        <xdr:cNvSpPr/>
      </xdr:nvSpPr>
      <xdr:spPr>
        <a:xfrm>
          <a:off x="13496629" y="3323167"/>
          <a:ext cx="822960" cy="327025"/>
        </a:xfrm>
        <a:prstGeom prst="rect">
          <a:avLst/>
        </a:prstGeom>
        <a:noFill/>
        <a:ln w="2222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584207</xdr:colOff>
      <xdr:row>12</xdr:row>
      <xdr:rowOff>12701</xdr:rowOff>
    </xdr:from>
    <xdr:to>
      <xdr:col>8</xdr:col>
      <xdr:colOff>1407167</xdr:colOff>
      <xdr:row>13</xdr:row>
      <xdr:rowOff>25401</xdr:rowOff>
    </xdr:to>
    <xdr:sp macro="" textlink="">
      <xdr:nvSpPr>
        <xdr:cNvPr id="13" name="Rectangle 12">
          <a:extLst>
            <a:ext uri="{FF2B5EF4-FFF2-40B4-BE49-F238E27FC236}">
              <a16:creationId xmlns:a16="http://schemas.microsoft.com/office/drawing/2014/main" id="{DB4E2E3C-F182-4479-BB79-C40472B18F6C}"/>
            </a:ext>
          </a:extLst>
        </xdr:cNvPr>
        <xdr:cNvSpPr/>
      </xdr:nvSpPr>
      <xdr:spPr>
        <a:xfrm>
          <a:off x="13490582" y="3641726"/>
          <a:ext cx="822960" cy="327025"/>
        </a:xfrm>
        <a:prstGeom prst="rect">
          <a:avLst/>
        </a:prstGeom>
        <a:noFill/>
        <a:ln w="2222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1452040</xdr:colOff>
      <xdr:row>8</xdr:row>
      <xdr:rowOff>288553</xdr:rowOff>
    </xdr:from>
    <xdr:to>
      <xdr:col>9</xdr:col>
      <xdr:colOff>458900</xdr:colOff>
      <xdr:row>9</xdr:row>
      <xdr:rowOff>280510</xdr:rowOff>
    </xdr:to>
    <xdr:sp macro="" textlink="">
      <xdr:nvSpPr>
        <xdr:cNvPr id="14" name="Rectangle 13">
          <a:extLst>
            <a:ext uri="{FF2B5EF4-FFF2-40B4-BE49-F238E27FC236}">
              <a16:creationId xmlns:a16="http://schemas.microsoft.com/office/drawing/2014/main" id="{8E70615F-E1BB-4F22-A3D1-4558F742CF16}"/>
            </a:ext>
          </a:extLst>
        </xdr:cNvPr>
        <xdr:cNvSpPr/>
      </xdr:nvSpPr>
      <xdr:spPr>
        <a:xfrm>
          <a:off x="14358415" y="2650753"/>
          <a:ext cx="949960" cy="315807"/>
        </a:xfrm>
        <a:prstGeom prst="rect">
          <a:avLst/>
        </a:prstGeom>
        <a:noFill/>
        <a:ln w="2222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600" b="0">
              <a:solidFill>
                <a:sysClr val="windowText" lastClr="000000"/>
              </a:solidFill>
            </a:rPr>
            <a:t>500</a:t>
          </a:r>
          <a:r>
            <a:rPr lang="en-US" sz="1100"/>
            <a:t>0</a:t>
          </a:r>
        </a:p>
      </xdr:txBody>
    </xdr:sp>
    <xdr:clientData/>
  </xdr:twoCellAnchor>
  <xdr:twoCellAnchor>
    <xdr:from>
      <xdr:col>9</xdr:col>
      <xdr:colOff>512240</xdr:colOff>
      <xdr:row>8</xdr:row>
      <xdr:rowOff>288553</xdr:rowOff>
    </xdr:from>
    <xdr:to>
      <xdr:col>10</xdr:col>
      <xdr:colOff>128700</xdr:colOff>
      <xdr:row>9</xdr:row>
      <xdr:rowOff>280510</xdr:rowOff>
    </xdr:to>
    <xdr:sp macro="" textlink="">
      <xdr:nvSpPr>
        <xdr:cNvPr id="15" name="Rectangle 14">
          <a:extLst>
            <a:ext uri="{FF2B5EF4-FFF2-40B4-BE49-F238E27FC236}">
              <a16:creationId xmlns:a16="http://schemas.microsoft.com/office/drawing/2014/main" id="{7416E873-4B6A-4651-9A44-57147A12769C}"/>
            </a:ext>
          </a:extLst>
        </xdr:cNvPr>
        <xdr:cNvSpPr/>
      </xdr:nvSpPr>
      <xdr:spPr>
        <a:xfrm>
          <a:off x="15361715" y="2650753"/>
          <a:ext cx="721360" cy="315807"/>
        </a:xfrm>
        <a:prstGeom prst="rect">
          <a:avLst/>
        </a:prstGeom>
        <a:noFill/>
        <a:ln w="2222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600" b="0">
              <a:solidFill>
                <a:sysClr val="windowText" lastClr="000000"/>
              </a:solidFill>
            </a:rPr>
            <a:t>1000</a:t>
          </a:r>
          <a:endParaRPr lang="en-US" sz="1100"/>
        </a:p>
      </xdr:txBody>
    </xdr:sp>
    <xdr:clientData/>
  </xdr:twoCellAnchor>
  <xdr:twoCellAnchor>
    <xdr:from>
      <xdr:col>10</xdr:col>
      <xdr:colOff>169340</xdr:colOff>
      <xdr:row>8</xdr:row>
      <xdr:rowOff>288553</xdr:rowOff>
    </xdr:from>
    <xdr:to>
      <xdr:col>10</xdr:col>
      <xdr:colOff>992300</xdr:colOff>
      <xdr:row>9</xdr:row>
      <xdr:rowOff>280510</xdr:rowOff>
    </xdr:to>
    <xdr:sp macro="" textlink="">
      <xdr:nvSpPr>
        <xdr:cNvPr id="16" name="Rectangle 15">
          <a:extLst>
            <a:ext uri="{FF2B5EF4-FFF2-40B4-BE49-F238E27FC236}">
              <a16:creationId xmlns:a16="http://schemas.microsoft.com/office/drawing/2014/main" id="{D9B34B83-E5C6-47FE-BC3B-969841F9ACCF}"/>
            </a:ext>
          </a:extLst>
        </xdr:cNvPr>
        <xdr:cNvSpPr/>
      </xdr:nvSpPr>
      <xdr:spPr>
        <a:xfrm>
          <a:off x="16123715" y="2650753"/>
          <a:ext cx="822960" cy="315807"/>
        </a:xfrm>
        <a:prstGeom prst="rect">
          <a:avLst/>
        </a:prstGeom>
        <a:noFill/>
        <a:ln w="2222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600" b="0">
              <a:solidFill>
                <a:sysClr val="windowText" lastClr="000000"/>
              </a:solidFill>
            </a:rPr>
            <a:t>2000</a:t>
          </a:r>
          <a:endParaRPr lang="en-US" sz="1100"/>
        </a:p>
      </xdr:txBody>
    </xdr:sp>
    <xdr:clientData/>
  </xdr:twoCellAnchor>
  <xdr:twoCellAnchor>
    <xdr:from>
      <xdr:col>10</xdr:col>
      <xdr:colOff>1045640</xdr:colOff>
      <xdr:row>8</xdr:row>
      <xdr:rowOff>288553</xdr:rowOff>
    </xdr:from>
    <xdr:to>
      <xdr:col>10</xdr:col>
      <xdr:colOff>1868600</xdr:colOff>
      <xdr:row>9</xdr:row>
      <xdr:rowOff>280510</xdr:rowOff>
    </xdr:to>
    <xdr:sp macro="" textlink="">
      <xdr:nvSpPr>
        <xdr:cNvPr id="17" name="Rectangle 16">
          <a:extLst>
            <a:ext uri="{FF2B5EF4-FFF2-40B4-BE49-F238E27FC236}">
              <a16:creationId xmlns:a16="http://schemas.microsoft.com/office/drawing/2014/main" id="{23325AC2-5977-49F8-91A7-0D6CB7BAC18C}"/>
            </a:ext>
          </a:extLst>
        </xdr:cNvPr>
        <xdr:cNvSpPr/>
      </xdr:nvSpPr>
      <xdr:spPr>
        <a:xfrm>
          <a:off x="17000015" y="2650753"/>
          <a:ext cx="822960" cy="315807"/>
        </a:xfrm>
        <a:prstGeom prst="rect">
          <a:avLst/>
        </a:prstGeom>
        <a:noFill/>
        <a:ln w="2222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600" b="0">
              <a:solidFill>
                <a:sysClr val="windowText" lastClr="000000"/>
              </a:solidFill>
            </a:rPr>
            <a:t>4000</a:t>
          </a:r>
          <a:endParaRPr lang="en-US" sz="1100"/>
        </a:p>
      </xdr:txBody>
    </xdr:sp>
    <xdr:clientData/>
  </xdr:twoCellAnchor>
  <xdr:twoCellAnchor>
    <xdr:from>
      <xdr:col>10</xdr:col>
      <xdr:colOff>1909240</xdr:colOff>
      <xdr:row>8</xdr:row>
      <xdr:rowOff>288553</xdr:rowOff>
    </xdr:from>
    <xdr:to>
      <xdr:col>10</xdr:col>
      <xdr:colOff>2732200</xdr:colOff>
      <xdr:row>9</xdr:row>
      <xdr:rowOff>280510</xdr:rowOff>
    </xdr:to>
    <xdr:sp macro="" textlink="">
      <xdr:nvSpPr>
        <xdr:cNvPr id="18" name="Rectangle 17">
          <a:extLst>
            <a:ext uri="{FF2B5EF4-FFF2-40B4-BE49-F238E27FC236}">
              <a16:creationId xmlns:a16="http://schemas.microsoft.com/office/drawing/2014/main" id="{79974E03-993A-4F08-9BDB-FF56B0F63C13}"/>
            </a:ext>
          </a:extLst>
        </xdr:cNvPr>
        <xdr:cNvSpPr/>
      </xdr:nvSpPr>
      <xdr:spPr>
        <a:xfrm>
          <a:off x="17863615" y="2650753"/>
          <a:ext cx="822960" cy="315807"/>
        </a:xfrm>
        <a:prstGeom prst="rect">
          <a:avLst/>
        </a:prstGeom>
        <a:noFill/>
        <a:ln w="2222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600" b="0">
              <a:solidFill>
                <a:sysClr val="windowText" lastClr="000000"/>
              </a:solidFill>
            </a:rPr>
            <a:t>6000</a:t>
          </a:r>
          <a:endParaRPr lang="en-US" sz="1100"/>
        </a:p>
      </xdr:txBody>
    </xdr:sp>
    <xdr:clientData/>
  </xdr:twoCellAnchor>
  <xdr:twoCellAnchor>
    <xdr:from>
      <xdr:col>0</xdr:col>
      <xdr:colOff>26832</xdr:colOff>
      <xdr:row>10</xdr:row>
      <xdr:rowOff>275699</xdr:rowOff>
    </xdr:from>
    <xdr:to>
      <xdr:col>2</xdr:col>
      <xdr:colOff>4938286</xdr:colOff>
      <xdr:row>12</xdr:row>
      <xdr:rowOff>179531</xdr:rowOff>
    </xdr:to>
    <xdr:sp macro="" textlink="">
      <xdr:nvSpPr>
        <xdr:cNvPr id="19" name="TextBox 18">
          <a:extLst>
            <a:ext uri="{FF2B5EF4-FFF2-40B4-BE49-F238E27FC236}">
              <a16:creationId xmlns:a16="http://schemas.microsoft.com/office/drawing/2014/main" id="{5E6751E5-366F-4AE8-965A-1F7AAC84F06B}"/>
            </a:ext>
          </a:extLst>
        </xdr:cNvPr>
        <xdr:cNvSpPr txBox="1"/>
      </xdr:nvSpPr>
      <xdr:spPr>
        <a:xfrm>
          <a:off x="26832" y="3276074"/>
          <a:ext cx="5597254" cy="532482"/>
        </a:xfrm>
        <a:prstGeom prst="rect">
          <a:avLst/>
        </a:prstGeom>
        <a:solidFill>
          <a:schemeClr val="bg2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en-US" sz="1800" b="1"/>
            <a:t>Scheduled PMS </a:t>
          </a:r>
          <a:r>
            <a:rPr lang="az-Cyrl-AZ" sz="1800" b="1"/>
            <a:t>Запланированный </a:t>
          </a:r>
          <a:r>
            <a:rPr lang="en-US" sz="1800" b="1"/>
            <a:t>PMS</a:t>
          </a:r>
          <a:r>
            <a:rPr lang="az-Cyrl-AZ" sz="1800" b="1"/>
            <a:t>/Неделя</a:t>
          </a:r>
          <a:r>
            <a:rPr lang="en-US" sz="1800" b="1"/>
            <a:t>:</a:t>
          </a:r>
          <a:endParaRPr lang="az-Cyrl-AZ" sz="1800" b="1"/>
        </a:p>
      </xdr:txBody>
    </xdr:sp>
    <xdr:clientData/>
  </xdr:twoCellAnchor>
  <xdr:twoCellAnchor>
    <xdr:from>
      <xdr:col>2</xdr:col>
      <xdr:colOff>5053511</xdr:colOff>
      <xdr:row>10</xdr:row>
      <xdr:rowOff>228063</xdr:rowOff>
    </xdr:from>
    <xdr:to>
      <xdr:col>4</xdr:col>
      <xdr:colOff>147570</xdr:colOff>
      <xdr:row>12</xdr:row>
      <xdr:rowOff>204346</xdr:rowOff>
    </xdr:to>
    <xdr:sp macro="" textlink="">
      <xdr:nvSpPr>
        <xdr:cNvPr id="20" name="Rectangle 19">
          <a:extLst>
            <a:ext uri="{FF2B5EF4-FFF2-40B4-BE49-F238E27FC236}">
              <a16:creationId xmlns:a16="http://schemas.microsoft.com/office/drawing/2014/main" id="{67D6470C-91CD-4390-B945-FA554E54F50F}"/>
            </a:ext>
          </a:extLst>
        </xdr:cNvPr>
        <xdr:cNvSpPr/>
      </xdr:nvSpPr>
      <xdr:spPr>
        <a:xfrm>
          <a:off x="5739311" y="3228438"/>
          <a:ext cx="2466409" cy="604933"/>
        </a:xfrm>
        <a:prstGeom prst="rect">
          <a:avLst/>
        </a:prstGeom>
        <a:noFill/>
        <a:ln w="2222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</xdr:col>
      <xdr:colOff>241480</xdr:colOff>
      <xdr:row>10</xdr:row>
      <xdr:rowOff>228063</xdr:rowOff>
    </xdr:from>
    <xdr:to>
      <xdr:col>5</xdr:col>
      <xdr:colOff>2818</xdr:colOff>
      <xdr:row>12</xdr:row>
      <xdr:rowOff>213871</xdr:rowOff>
    </xdr:to>
    <xdr:sp macro="" textlink="">
      <xdr:nvSpPr>
        <xdr:cNvPr id="21" name="Rectangle 20">
          <a:extLst>
            <a:ext uri="{FF2B5EF4-FFF2-40B4-BE49-F238E27FC236}">
              <a16:creationId xmlns:a16="http://schemas.microsoft.com/office/drawing/2014/main" id="{A29DFFD8-50D2-4ABA-B23F-46EB9DD52942}"/>
            </a:ext>
          </a:extLst>
        </xdr:cNvPr>
        <xdr:cNvSpPr/>
      </xdr:nvSpPr>
      <xdr:spPr>
        <a:xfrm>
          <a:off x="8299630" y="3228438"/>
          <a:ext cx="1390113" cy="614458"/>
        </a:xfrm>
        <a:prstGeom prst="rect">
          <a:avLst/>
        </a:prstGeom>
        <a:noFill/>
        <a:ln w="2222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120739</xdr:colOff>
      <xdr:row>0</xdr:row>
      <xdr:rowOff>53662</xdr:rowOff>
    </xdr:from>
    <xdr:to>
      <xdr:col>2</xdr:col>
      <xdr:colOff>2750175</xdr:colOff>
      <xdr:row>2</xdr:row>
      <xdr:rowOff>281725</xdr:rowOff>
    </xdr:to>
    <xdr:pic>
      <xdr:nvPicPr>
        <xdr:cNvPr id="22" name="Рисунок 1504720245" descr="A picture containing text, clipart&#10;&#10;Description automatically generated">
          <a:extLst>
            <a:ext uri="{FF2B5EF4-FFF2-40B4-BE49-F238E27FC236}">
              <a16:creationId xmlns:a16="http://schemas.microsoft.com/office/drawing/2014/main" id="{0724E3AE-B53D-40AE-B072-0237DB4057B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0739" y="53662"/>
          <a:ext cx="3315236" cy="8090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30240</xdr:colOff>
      <xdr:row>5</xdr:row>
      <xdr:rowOff>236765</xdr:rowOff>
    </xdr:from>
    <xdr:to>
      <xdr:col>2</xdr:col>
      <xdr:colOff>2444751</xdr:colOff>
      <xdr:row>7</xdr:row>
      <xdr:rowOff>211667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6592F70E-2D16-424F-A490-BBC6BA7B87A0}"/>
            </a:ext>
          </a:extLst>
        </xdr:cNvPr>
        <xdr:cNvSpPr txBox="1"/>
      </xdr:nvSpPr>
      <xdr:spPr>
        <a:xfrm>
          <a:off x="30240" y="1760765"/>
          <a:ext cx="3100311" cy="489252"/>
        </a:xfrm>
        <a:prstGeom prst="rect">
          <a:avLst/>
        </a:prstGeom>
        <a:solidFill>
          <a:schemeClr val="bg2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en-US" sz="1800" b="1"/>
            <a:t>Equipment</a:t>
          </a:r>
          <a:r>
            <a:rPr lang="en-US" sz="1800" b="1" baseline="0"/>
            <a:t> </a:t>
          </a:r>
          <a:r>
            <a:rPr lang="ru-RU" sz="1800" b="1"/>
            <a:t>Оборудования:  </a:t>
          </a:r>
          <a:endParaRPr lang="en-US" sz="1800"/>
        </a:p>
      </xdr:txBody>
    </xdr:sp>
    <xdr:clientData/>
  </xdr:twoCellAnchor>
  <xdr:twoCellAnchor>
    <xdr:from>
      <xdr:col>7</xdr:col>
      <xdr:colOff>19504</xdr:colOff>
      <xdr:row>5</xdr:row>
      <xdr:rowOff>178467</xdr:rowOff>
    </xdr:from>
    <xdr:to>
      <xdr:col>8</xdr:col>
      <xdr:colOff>1545166</xdr:colOff>
      <xdr:row>7</xdr:row>
      <xdr:rowOff>214690</xdr:rowOff>
    </xdr:to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588BFB72-20E4-488A-8B42-A3175D6D4075}"/>
            </a:ext>
          </a:extLst>
        </xdr:cNvPr>
        <xdr:cNvSpPr txBox="1"/>
      </xdr:nvSpPr>
      <xdr:spPr>
        <a:xfrm>
          <a:off x="11678104" y="1702467"/>
          <a:ext cx="2773437" cy="550573"/>
        </a:xfrm>
        <a:prstGeom prst="rect">
          <a:avLst/>
        </a:prstGeom>
        <a:solidFill>
          <a:schemeClr val="bg2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en-US" sz="2000" b="1"/>
            <a:t> </a:t>
          </a:r>
          <a:r>
            <a:rPr lang="en-US" sz="1800" b="1"/>
            <a:t>Hour Meter </a:t>
          </a:r>
          <a:r>
            <a:rPr lang="ru-RU" sz="1800" b="1"/>
            <a:t>моточасы: </a:t>
          </a:r>
          <a:endParaRPr lang="en-US" sz="1800"/>
        </a:p>
      </xdr:txBody>
    </xdr:sp>
    <xdr:clientData/>
  </xdr:twoCellAnchor>
  <xdr:twoCellAnchor>
    <xdr:from>
      <xdr:col>2</xdr:col>
      <xdr:colOff>2478012</xdr:colOff>
      <xdr:row>5</xdr:row>
      <xdr:rowOff>179917</xdr:rowOff>
    </xdr:from>
    <xdr:to>
      <xdr:col>2</xdr:col>
      <xdr:colOff>5841999</xdr:colOff>
      <xdr:row>7</xdr:row>
      <xdr:rowOff>299357</xdr:rowOff>
    </xdr:to>
    <xdr:sp macro="" textlink="">
      <xdr:nvSpPr>
        <xdr:cNvPr id="4" name="Rectangle 3">
          <a:extLst>
            <a:ext uri="{FF2B5EF4-FFF2-40B4-BE49-F238E27FC236}">
              <a16:creationId xmlns:a16="http://schemas.microsoft.com/office/drawing/2014/main" id="{3F3105AE-3942-49CB-941F-1BA9A069A572}"/>
            </a:ext>
          </a:extLst>
        </xdr:cNvPr>
        <xdr:cNvSpPr/>
      </xdr:nvSpPr>
      <xdr:spPr>
        <a:xfrm>
          <a:off x="3163812" y="1703917"/>
          <a:ext cx="3363987" cy="633790"/>
        </a:xfrm>
        <a:prstGeom prst="rect">
          <a:avLst/>
        </a:prstGeom>
        <a:noFill/>
        <a:ln w="2222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55940</xdr:colOff>
      <xdr:row>8</xdr:row>
      <xdr:rowOff>176894</xdr:rowOff>
    </xdr:from>
    <xdr:to>
      <xdr:col>2</xdr:col>
      <xdr:colOff>4963584</xdr:colOff>
      <xdr:row>10</xdr:row>
      <xdr:rowOff>63501</xdr:rowOff>
    </xdr:to>
    <xdr:sp macro="" textlink="">
      <xdr:nvSpPr>
        <xdr:cNvPr id="5" name="TextBox 4">
          <a:extLst>
            <a:ext uri="{FF2B5EF4-FFF2-40B4-BE49-F238E27FC236}">
              <a16:creationId xmlns:a16="http://schemas.microsoft.com/office/drawing/2014/main" id="{B18B36DD-D5BE-46D8-AAEC-0E834DF4764C}"/>
            </a:ext>
          </a:extLst>
        </xdr:cNvPr>
        <xdr:cNvSpPr txBox="1"/>
      </xdr:nvSpPr>
      <xdr:spPr>
        <a:xfrm>
          <a:off x="55940" y="2539094"/>
          <a:ext cx="5593444" cy="524782"/>
        </a:xfrm>
        <a:prstGeom prst="rect">
          <a:avLst/>
        </a:prstGeom>
        <a:solidFill>
          <a:schemeClr val="bg2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en-US" sz="1800" b="1"/>
            <a:t>Date Sample Taken  </a:t>
          </a:r>
          <a:r>
            <a:rPr lang="az-Cyrl-AZ" sz="1800" b="1"/>
            <a:t>Дата отбора образца масла:</a:t>
          </a:r>
        </a:p>
      </xdr:txBody>
    </xdr:sp>
    <xdr:clientData/>
  </xdr:twoCellAnchor>
  <xdr:twoCellAnchor>
    <xdr:from>
      <xdr:col>2</xdr:col>
      <xdr:colOff>5070930</xdr:colOff>
      <xdr:row>8</xdr:row>
      <xdr:rowOff>142119</xdr:rowOff>
    </xdr:from>
    <xdr:to>
      <xdr:col>4</xdr:col>
      <xdr:colOff>736600</xdr:colOff>
      <xdr:row>10</xdr:row>
      <xdr:rowOff>116417</xdr:rowOff>
    </xdr:to>
    <xdr:sp macro="" textlink="">
      <xdr:nvSpPr>
        <xdr:cNvPr id="6" name="Rectangle 5">
          <a:extLst>
            <a:ext uri="{FF2B5EF4-FFF2-40B4-BE49-F238E27FC236}">
              <a16:creationId xmlns:a16="http://schemas.microsoft.com/office/drawing/2014/main" id="{89FEF5AB-7B45-471D-8E96-B748FC7AD647}"/>
            </a:ext>
          </a:extLst>
        </xdr:cNvPr>
        <xdr:cNvSpPr/>
      </xdr:nvSpPr>
      <xdr:spPr>
        <a:xfrm>
          <a:off x="5756730" y="2504319"/>
          <a:ext cx="3038020" cy="612473"/>
        </a:xfrm>
        <a:prstGeom prst="rect">
          <a:avLst/>
        </a:prstGeom>
        <a:noFill/>
        <a:ln w="2222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1659920</xdr:colOff>
      <xdr:row>5</xdr:row>
      <xdr:rowOff>147109</xdr:rowOff>
    </xdr:from>
    <xdr:to>
      <xdr:col>10</xdr:col>
      <xdr:colOff>2730500</xdr:colOff>
      <xdr:row>7</xdr:row>
      <xdr:rowOff>266549</xdr:rowOff>
    </xdr:to>
    <xdr:sp macro="" textlink="">
      <xdr:nvSpPr>
        <xdr:cNvPr id="7" name="Rectangle 6">
          <a:extLst>
            <a:ext uri="{FF2B5EF4-FFF2-40B4-BE49-F238E27FC236}">
              <a16:creationId xmlns:a16="http://schemas.microsoft.com/office/drawing/2014/main" id="{8E66B45C-EA58-4BAE-9AFD-B1152D86E184}"/>
            </a:ext>
          </a:extLst>
        </xdr:cNvPr>
        <xdr:cNvSpPr/>
      </xdr:nvSpPr>
      <xdr:spPr>
        <a:xfrm>
          <a:off x="14566295" y="1671109"/>
          <a:ext cx="4118580" cy="633790"/>
        </a:xfrm>
        <a:prstGeom prst="rect">
          <a:avLst/>
        </a:prstGeom>
        <a:noFill/>
        <a:ln w="2222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586321</xdr:colOff>
      <xdr:row>10</xdr:row>
      <xdr:rowOff>4234</xdr:rowOff>
    </xdr:from>
    <xdr:to>
      <xdr:col>8</xdr:col>
      <xdr:colOff>1409281</xdr:colOff>
      <xdr:row>11</xdr:row>
      <xdr:rowOff>6774</xdr:rowOff>
    </xdr:to>
    <xdr:sp macro="" textlink="">
      <xdr:nvSpPr>
        <xdr:cNvPr id="8" name="Rectangle 7">
          <a:extLst>
            <a:ext uri="{FF2B5EF4-FFF2-40B4-BE49-F238E27FC236}">
              <a16:creationId xmlns:a16="http://schemas.microsoft.com/office/drawing/2014/main" id="{ABC51609-3452-435B-8585-93FEBB045236}"/>
            </a:ext>
          </a:extLst>
        </xdr:cNvPr>
        <xdr:cNvSpPr/>
      </xdr:nvSpPr>
      <xdr:spPr>
        <a:xfrm>
          <a:off x="13492696" y="3004609"/>
          <a:ext cx="822960" cy="316865"/>
        </a:xfrm>
        <a:prstGeom prst="rect">
          <a:avLst/>
        </a:prstGeom>
        <a:noFill/>
        <a:ln w="2222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588440</xdr:colOff>
      <xdr:row>8</xdr:row>
      <xdr:rowOff>288553</xdr:rowOff>
    </xdr:from>
    <xdr:to>
      <xdr:col>8</xdr:col>
      <xdr:colOff>1411400</xdr:colOff>
      <xdr:row>9</xdr:row>
      <xdr:rowOff>280510</xdr:rowOff>
    </xdr:to>
    <xdr:sp macro="" textlink="">
      <xdr:nvSpPr>
        <xdr:cNvPr id="9" name="Rectangle 8">
          <a:extLst>
            <a:ext uri="{FF2B5EF4-FFF2-40B4-BE49-F238E27FC236}">
              <a16:creationId xmlns:a16="http://schemas.microsoft.com/office/drawing/2014/main" id="{ECF83DED-3F4C-4E7B-87CE-F9ADFAE11B8B}"/>
            </a:ext>
          </a:extLst>
        </xdr:cNvPr>
        <xdr:cNvSpPr/>
      </xdr:nvSpPr>
      <xdr:spPr>
        <a:xfrm>
          <a:off x="13494815" y="2650753"/>
          <a:ext cx="822960" cy="315807"/>
        </a:xfrm>
        <a:prstGeom prst="rect">
          <a:avLst/>
        </a:prstGeom>
        <a:noFill/>
        <a:ln w="2222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600" b="0">
              <a:solidFill>
                <a:sysClr val="windowText" lastClr="000000"/>
              </a:solidFill>
            </a:rPr>
            <a:t>250</a:t>
          </a:r>
          <a:r>
            <a:rPr lang="en-US" sz="1100"/>
            <a:t>0</a:t>
          </a:r>
        </a:p>
      </xdr:txBody>
    </xdr:sp>
    <xdr:clientData/>
  </xdr:twoCellAnchor>
  <xdr:twoCellAnchor editAs="oneCell">
    <xdr:from>
      <xdr:col>2</xdr:col>
      <xdr:colOff>1738395</xdr:colOff>
      <xdr:row>14</xdr:row>
      <xdr:rowOff>10584</xdr:rowOff>
    </xdr:from>
    <xdr:to>
      <xdr:col>2</xdr:col>
      <xdr:colOff>2120179</xdr:colOff>
      <xdr:row>15</xdr:row>
      <xdr:rowOff>63863</xdr:rowOff>
    </xdr:to>
    <xdr:pic>
      <xdr:nvPicPr>
        <xdr:cNvPr id="10" name="Picture 9">
          <a:extLst>
            <a:ext uri="{FF2B5EF4-FFF2-40B4-BE49-F238E27FC236}">
              <a16:creationId xmlns:a16="http://schemas.microsoft.com/office/drawing/2014/main" id="{2AF327EC-9CAD-4009-907B-FD053821514C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-1" t="5806" r="58483" b="1606"/>
        <a:stretch/>
      </xdr:blipFill>
      <xdr:spPr>
        <a:xfrm>
          <a:off x="2424195" y="4268259"/>
          <a:ext cx="377974" cy="363794"/>
        </a:xfrm>
        <a:prstGeom prst="rect">
          <a:avLst/>
        </a:prstGeom>
      </xdr:spPr>
    </xdr:pic>
    <xdr:clientData/>
  </xdr:twoCellAnchor>
  <xdr:twoCellAnchor editAs="oneCell">
    <xdr:from>
      <xdr:col>2</xdr:col>
      <xdr:colOff>1689257</xdr:colOff>
      <xdr:row>15</xdr:row>
      <xdr:rowOff>22367</xdr:rowOff>
    </xdr:from>
    <xdr:to>
      <xdr:col>2</xdr:col>
      <xdr:colOff>2054584</xdr:colOff>
      <xdr:row>16</xdr:row>
      <xdr:rowOff>40973</xdr:rowOff>
    </xdr:to>
    <xdr:pic>
      <xdr:nvPicPr>
        <xdr:cNvPr id="11" name="Picture 10">
          <a:extLst>
            <a:ext uri="{FF2B5EF4-FFF2-40B4-BE49-F238E27FC236}">
              <a16:creationId xmlns:a16="http://schemas.microsoft.com/office/drawing/2014/main" id="{742E58C2-DF6A-4F07-A645-78FC7C3772E7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58749" t="8127" r="-1" b="4799"/>
        <a:stretch/>
      </xdr:blipFill>
      <xdr:spPr>
        <a:xfrm>
          <a:off x="2375057" y="4594367"/>
          <a:ext cx="365327" cy="332931"/>
        </a:xfrm>
        <a:prstGeom prst="rect">
          <a:avLst/>
        </a:prstGeom>
      </xdr:spPr>
    </xdr:pic>
    <xdr:clientData/>
  </xdr:twoCellAnchor>
  <xdr:twoCellAnchor>
    <xdr:from>
      <xdr:col>8</xdr:col>
      <xdr:colOff>590254</xdr:colOff>
      <xdr:row>11</xdr:row>
      <xdr:rowOff>8467</xdr:rowOff>
    </xdr:from>
    <xdr:to>
      <xdr:col>8</xdr:col>
      <xdr:colOff>1413214</xdr:colOff>
      <xdr:row>12</xdr:row>
      <xdr:rowOff>21167</xdr:rowOff>
    </xdr:to>
    <xdr:sp macro="" textlink="">
      <xdr:nvSpPr>
        <xdr:cNvPr id="12" name="Rectangle 11">
          <a:extLst>
            <a:ext uri="{FF2B5EF4-FFF2-40B4-BE49-F238E27FC236}">
              <a16:creationId xmlns:a16="http://schemas.microsoft.com/office/drawing/2014/main" id="{CFBF0074-2121-478E-AB6B-389580D26D4E}"/>
            </a:ext>
          </a:extLst>
        </xdr:cNvPr>
        <xdr:cNvSpPr/>
      </xdr:nvSpPr>
      <xdr:spPr>
        <a:xfrm>
          <a:off x="13496629" y="3323167"/>
          <a:ext cx="822960" cy="327025"/>
        </a:xfrm>
        <a:prstGeom prst="rect">
          <a:avLst/>
        </a:prstGeom>
        <a:noFill/>
        <a:ln w="2222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584207</xdr:colOff>
      <xdr:row>12</xdr:row>
      <xdr:rowOff>12701</xdr:rowOff>
    </xdr:from>
    <xdr:to>
      <xdr:col>8</xdr:col>
      <xdr:colOff>1407167</xdr:colOff>
      <xdr:row>13</xdr:row>
      <xdr:rowOff>25401</xdr:rowOff>
    </xdr:to>
    <xdr:sp macro="" textlink="">
      <xdr:nvSpPr>
        <xdr:cNvPr id="13" name="Rectangle 12">
          <a:extLst>
            <a:ext uri="{FF2B5EF4-FFF2-40B4-BE49-F238E27FC236}">
              <a16:creationId xmlns:a16="http://schemas.microsoft.com/office/drawing/2014/main" id="{599085D4-1DEB-44D4-90B4-1C988586B466}"/>
            </a:ext>
          </a:extLst>
        </xdr:cNvPr>
        <xdr:cNvSpPr/>
      </xdr:nvSpPr>
      <xdr:spPr>
        <a:xfrm>
          <a:off x="13490582" y="3641726"/>
          <a:ext cx="822960" cy="327025"/>
        </a:xfrm>
        <a:prstGeom prst="rect">
          <a:avLst/>
        </a:prstGeom>
        <a:noFill/>
        <a:ln w="2222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1452040</xdr:colOff>
      <xdr:row>8</xdr:row>
      <xdr:rowOff>288553</xdr:rowOff>
    </xdr:from>
    <xdr:to>
      <xdr:col>9</xdr:col>
      <xdr:colOff>458900</xdr:colOff>
      <xdr:row>9</xdr:row>
      <xdr:rowOff>280510</xdr:rowOff>
    </xdr:to>
    <xdr:sp macro="" textlink="">
      <xdr:nvSpPr>
        <xdr:cNvPr id="14" name="Rectangle 13">
          <a:extLst>
            <a:ext uri="{FF2B5EF4-FFF2-40B4-BE49-F238E27FC236}">
              <a16:creationId xmlns:a16="http://schemas.microsoft.com/office/drawing/2014/main" id="{12CC1DA0-3CFF-4DB0-B3E6-CD4DDD81EBAF}"/>
            </a:ext>
          </a:extLst>
        </xdr:cNvPr>
        <xdr:cNvSpPr/>
      </xdr:nvSpPr>
      <xdr:spPr>
        <a:xfrm>
          <a:off x="14358415" y="2650753"/>
          <a:ext cx="949960" cy="315807"/>
        </a:xfrm>
        <a:prstGeom prst="rect">
          <a:avLst/>
        </a:prstGeom>
        <a:noFill/>
        <a:ln w="2222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600" b="0">
              <a:solidFill>
                <a:sysClr val="windowText" lastClr="000000"/>
              </a:solidFill>
            </a:rPr>
            <a:t>500</a:t>
          </a:r>
          <a:r>
            <a:rPr lang="en-US" sz="1100"/>
            <a:t>0</a:t>
          </a:r>
        </a:p>
      </xdr:txBody>
    </xdr:sp>
    <xdr:clientData/>
  </xdr:twoCellAnchor>
  <xdr:twoCellAnchor>
    <xdr:from>
      <xdr:col>9</xdr:col>
      <xdr:colOff>512240</xdr:colOff>
      <xdr:row>8</xdr:row>
      <xdr:rowOff>288553</xdr:rowOff>
    </xdr:from>
    <xdr:to>
      <xdr:col>10</xdr:col>
      <xdr:colOff>128700</xdr:colOff>
      <xdr:row>9</xdr:row>
      <xdr:rowOff>280510</xdr:rowOff>
    </xdr:to>
    <xdr:sp macro="" textlink="">
      <xdr:nvSpPr>
        <xdr:cNvPr id="15" name="Rectangle 14">
          <a:extLst>
            <a:ext uri="{FF2B5EF4-FFF2-40B4-BE49-F238E27FC236}">
              <a16:creationId xmlns:a16="http://schemas.microsoft.com/office/drawing/2014/main" id="{7C61542E-2B17-4B24-9592-4BF526E75B1D}"/>
            </a:ext>
          </a:extLst>
        </xdr:cNvPr>
        <xdr:cNvSpPr/>
      </xdr:nvSpPr>
      <xdr:spPr>
        <a:xfrm>
          <a:off x="15361715" y="2650753"/>
          <a:ext cx="721360" cy="315807"/>
        </a:xfrm>
        <a:prstGeom prst="rect">
          <a:avLst/>
        </a:prstGeom>
        <a:noFill/>
        <a:ln w="2222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600" b="0">
              <a:solidFill>
                <a:sysClr val="windowText" lastClr="000000"/>
              </a:solidFill>
            </a:rPr>
            <a:t>1000</a:t>
          </a:r>
          <a:endParaRPr lang="en-US" sz="1100"/>
        </a:p>
      </xdr:txBody>
    </xdr:sp>
    <xdr:clientData/>
  </xdr:twoCellAnchor>
  <xdr:twoCellAnchor>
    <xdr:from>
      <xdr:col>10</xdr:col>
      <xdr:colOff>169340</xdr:colOff>
      <xdr:row>8</xdr:row>
      <xdr:rowOff>288553</xdr:rowOff>
    </xdr:from>
    <xdr:to>
      <xdr:col>10</xdr:col>
      <xdr:colOff>992300</xdr:colOff>
      <xdr:row>9</xdr:row>
      <xdr:rowOff>280510</xdr:rowOff>
    </xdr:to>
    <xdr:sp macro="" textlink="">
      <xdr:nvSpPr>
        <xdr:cNvPr id="16" name="Rectangle 15">
          <a:extLst>
            <a:ext uri="{FF2B5EF4-FFF2-40B4-BE49-F238E27FC236}">
              <a16:creationId xmlns:a16="http://schemas.microsoft.com/office/drawing/2014/main" id="{C3097FF7-110E-4AD5-A3C7-233502133481}"/>
            </a:ext>
          </a:extLst>
        </xdr:cNvPr>
        <xdr:cNvSpPr/>
      </xdr:nvSpPr>
      <xdr:spPr>
        <a:xfrm>
          <a:off x="16123715" y="2650753"/>
          <a:ext cx="822960" cy="315807"/>
        </a:xfrm>
        <a:prstGeom prst="rect">
          <a:avLst/>
        </a:prstGeom>
        <a:noFill/>
        <a:ln w="2222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600" b="0">
              <a:solidFill>
                <a:sysClr val="windowText" lastClr="000000"/>
              </a:solidFill>
            </a:rPr>
            <a:t>2000</a:t>
          </a:r>
          <a:endParaRPr lang="en-US" sz="1100"/>
        </a:p>
      </xdr:txBody>
    </xdr:sp>
    <xdr:clientData/>
  </xdr:twoCellAnchor>
  <xdr:twoCellAnchor>
    <xdr:from>
      <xdr:col>10</xdr:col>
      <xdr:colOff>1045640</xdr:colOff>
      <xdr:row>8</xdr:row>
      <xdr:rowOff>288553</xdr:rowOff>
    </xdr:from>
    <xdr:to>
      <xdr:col>10</xdr:col>
      <xdr:colOff>1868600</xdr:colOff>
      <xdr:row>9</xdr:row>
      <xdr:rowOff>280510</xdr:rowOff>
    </xdr:to>
    <xdr:sp macro="" textlink="">
      <xdr:nvSpPr>
        <xdr:cNvPr id="17" name="Rectangle 16">
          <a:extLst>
            <a:ext uri="{FF2B5EF4-FFF2-40B4-BE49-F238E27FC236}">
              <a16:creationId xmlns:a16="http://schemas.microsoft.com/office/drawing/2014/main" id="{17809EFD-FDDF-40D5-915A-5B1448AE5D01}"/>
            </a:ext>
          </a:extLst>
        </xdr:cNvPr>
        <xdr:cNvSpPr/>
      </xdr:nvSpPr>
      <xdr:spPr>
        <a:xfrm>
          <a:off x="17000015" y="2650753"/>
          <a:ext cx="822960" cy="315807"/>
        </a:xfrm>
        <a:prstGeom prst="rect">
          <a:avLst/>
        </a:prstGeom>
        <a:noFill/>
        <a:ln w="2222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600" b="0">
              <a:solidFill>
                <a:sysClr val="windowText" lastClr="000000"/>
              </a:solidFill>
            </a:rPr>
            <a:t>4000</a:t>
          </a:r>
          <a:endParaRPr lang="en-US" sz="1100"/>
        </a:p>
      </xdr:txBody>
    </xdr:sp>
    <xdr:clientData/>
  </xdr:twoCellAnchor>
  <xdr:twoCellAnchor>
    <xdr:from>
      <xdr:col>10</xdr:col>
      <xdr:colOff>1909240</xdr:colOff>
      <xdr:row>8</xdr:row>
      <xdr:rowOff>288553</xdr:rowOff>
    </xdr:from>
    <xdr:to>
      <xdr:col>10</xdr:col>
      <xdr:colOff>2732200</xdr:colOff>
      <xdr:row>9</xdr:row>
      <xdr:rowOff>280510</xdr:rowOff>
    </xdr:to>
    <xdr:sp macro="" textlink="">
      <xdr:nvSpPr>
        <xdr:cNvPr id="18" name="Rectangle 17">
          <a:extLst>
            <a:ext uri="{FF2B5EF4-FFF2-40B4-BE49-F238E27FC236}">
              <a16:creationId xmlns:a16="http://schemas.microsoft.com/office/drawing/2014/main" id="{3E8CEFE1-89B9-4DEA-9D91-8E0F6CABDBF5}"/>
            </a:ext>
          </a:extLst>
        </xdr:cNvPr>
        <xdr:cNvSpPr/>
      </xdr:nvSpPr>
      <xdr:spPr>
        <a:xfrm>
          <a:off x="17863615" y="2650753"/>
          <a:ext cx="822960" cy="315807"/>
        </a:xfrm>
        <a:prstGeom prst="rect">
          <a:avLst/>
        </a:prstGeom>
        <a:noFill/>
        <a:ln w="2222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600" b="0">
              <a:solidFill>
                <a:sysClr val="windowText" lastClr="000000"/>
              </a:solidFill>
            </a:rPr>
            <a:t>6000</a:t>
          </a:r>
          <a:endParaRPr lang="en-US" sz="1100"/>
        </a:p>
      </xdr:txBody>
    </xdr:sp>
    <xdr:clientData/>
  </xdr:twoCellAnchor>
  <xdr:twoCellAnchor>
    <xdr:from>
      <xdr:col>0</xdr:col>
      <xdr:colOff>26832</xdr:colOff>
      <xdr:row>10</xdr:row>
      <xdr:rowOff>275699</xdr:rowOff>
    </xdr:from>
    <xdr:to>
      <xdr:col>2</xdr:col>
      <xdr:colOff>4938286</xdr:colOff>
      <xdr:row>12</xdr:row>
      <xdr:rowOff>179531</xdr:rowOff>
    </xdr:to>
    <xdr:sp macro="" textlink="">
      <xdr:nvSpPr>
        <xdr:cNvPr id="19" name="TextBox 18">
          <a:extLst>
            <a:ext uri="{FF2B5EF4-FFF2-40B4-BE49-F238E27FC236}">
              <a16:creationId xmlns:a16="http://schemas.microsoft.com/office/drawing/2014/main" id="{132F6743-9957-4412-B362-71416AD5779B}"/>
            </a:ext>
          </a:extLst>
        </xdr:cNvPr>
        <xdr:cNvSpPr txBox="1"/>
      </xdr:nvSpPr>
      <xdr:spPr>
        <a:xfrm>
          <a:off x="26832" y="3276074"/>
          <a:ext cx="5597254" cy="532482"/>
        </a:xfrm>
        <a:prstGeom prst="rect">
          <a:avLst/>
        </a:prstGeom>
        <a:solidFill>
          <a:schemeClr val="bg2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en-US" sz="1800" b="1"/>
            <a:t>Scheduled PMS </a:t>
          </a:r>
          <a:r>
            <a:rPr lang="az-Cyrl-AZ" sz="1800" b="1"/>
            <a:t>Запланированный </a:t>
          </a:r>
          <a:r>
            <a:rPr lang="en-US" sz="1800" b="1"/>
            <a:t>PMS</a:t>
          </a:r>
          <a:r>
            <a:rPr lang="az-Cyrl-AZ" sz="1800" b="1"/>
            <a:t>/Неделя</a:t>
          </a:r>
          <a:r>
            <a:rPr lang="en-US" sz="1800" b="1"/>
            <a:t>:</a:t>
          </a:r>
          <a:endParaRPr lang="az-Cyrl-AZ" sz="1800" b="1"/>
        </a:p>
      </xdr:txBody>
    </xdr:sp>
    <xdr:clientData/>
  </xdr:twoCellAnchor>
  <xdr:twoCellAnchor>
    <xdr:from>
      <xdr:col>2</xdr:col>
      <xdr:colOff>5053511</xdr:colOff>
      <xdr:row>10</xdr:row>
      <xdr:rowOff>228063</xdr:rowOff>
    </xdr:from>
    <xdr:to>
      <xdr:col>4</xdr:col>
      <xdr:colOff>147570</xdr:colOff>
      <xdr:row>12</xdr:row>
      <xdr:rowOff>204346</xdr:rowOff>
    </xdr:to>
    <xdr:sp macro="" textlink="">
      <xdr:nvSpPr>
        <xdr:cNvPr id="20" name="Rectangle 19">
          <a:extLst>
            <a:ext uri="{FF2B5EF4-FFF2-40B4-BE49-F238E27FC236}">
              <a16:creationId xmlns:a16="http://schemas.microsoft.com/office/drawing/2014/main" id="{83F14E5C-2076-4BFD-BD96-FDDF54B9DDF6}"/>
            </a:ext>
          </a:extLst>
        </xdr:cNvPr>
        <xdr:cNvSpPr/>
      </xdr:nvSpPr>
      <xdr:spPr>
        <a:xfrm>
          <a:off x="5739311" y="3228438"/>
          <a:ext cx="2466409" cy="604933"/>
        </a:xfrm>
        <a:prstGeom prst="rect">
          <a:avLst/>
        </a:prstGeom>
        <a:noFill/>
        <a:ln w="2222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</xdr:col>
      <xdr:colOff>241480</xdr:colOff>
      <xdr:row>10</xdr:row>
      <xdr:rowOff>228063</xdr:rowOff>
    </xdr:from>
    <xdr:to>
      <xdr:col>5</xdr:col>
      <xdr:colOff>2818</xdr:colOff>
      <xdr:row>12</xdr:row>
      <xdr:rowOff>213871</xdr:rowOff>
    </xdr:to>
    <xdr:sp macro="" textlink="">
      <xdr:nvSpPr>
        <xdr:cNvPr id="21" name="Rectangle 20">
          <a:extLst>
            <a:ext uri="{FF2B5EF4-FFF2-40B4-BE49-F238E27FC236}">
              <a16:creationId xmlns:a16="http://schemas.microsoft.com/office/drawing/2014/main" id="{E8408A4E-DAE4-4A32-9944-0685EF00CA41}"/>
            </a:ext>
          </a:extLst>
        </xdr:cNvPr>
        <xdr:cNvSpPr/>
      </xdr:nvSpPr>
      <xdr:spPr>
        <a:xfrm>
          <a:off x="8299630" y="3228438"/>
          <a:ext cx="1390113" cy="614458"/>
        </a:xfrm>
        <a:prstGeom prst="rect">
          <a:avLst/>
        </a:prstGeom>
        <a:noFill/>
        <a:ln w="2222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120739</xdr:colOff>
      <xdr:row>0</xdr:row>
      <xdr:rowOff>53662</xdr:rowOff>
    </xdr:from>
    <xdr:to>
      <xdr:col>2</xdr:col>
      <xdr:colOff>2750175</xdr:colOff>
      <xdr:row>2</xdr:row>
      <xdr:rowOff>281725</xdr:rowOff>
    </xdr:to>
    <xdr:pic>
      <xdr:nvPicPr>
        <xdr:cNvPr id="22" name="Рисунок 1504720245" descr="A picture containing text, clipart&#10;&#10;Description automatically generated">
          <a:extLst>
            <a:ext uri="{FF2B5EF4-FFF2-40B4-BE49-F238E27FC236}">
              <a16:creationId xmlns:a16="http://schemas.microsoft.com/office/drawing/2014/main" id="{3E1935F5-CA04-4E02-8CE6-AFB3B88299C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0739" y="53662"/>
          <a:ext cx="3315236" cy="8090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30240</xdr:colOff>
      <xdr:row>5</xdr:row>
      <xdr:rowOff>236765</xdr:rowOff>
    </xdr:from>
    <xdr:to>
      <xdr:col>2</xdr:col>
      <xdr:colOff>2444751</xdr:colOff>
      <xdr:row>7</xdr:row>
      <xdr:rowOff>211667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80B66F1E-9561-4E22-9F8B-22924930D340}"/>
            </a:ext>
          </a:extLst>
        </xdr:cNvPr>
        <xdr:cNvSpPr txBox="1"/>
      </xdr:nvSpPr>
      <xdr:spPr>
        <a:xfrm>
          <a:off x="30240" y="1760765"/>
          <a:ext cx="3100311" cy="489252"/>
        </a:xfrm>
        <a:prstGeom prst="rect">
          <a:avLst/>
        </a:prstGeom>
        <a:solidFill>
          <a:schemeClr val="bg2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en-US" sz="1800" b="1"/>
            <a:t>Equipment</a:t>
          </a:r>
          <a:r>
            <a:rPr lang="en-US" sz="1800" b="1" baseline="0"/>
            <a:t> </a:t>
          </a:r>
          <a:r>
            <a:rPr lang="ru-RU" sz="1800" b="1"/>
            <a:t>Оборудования:  </a:t>
          </a:r>
          <a:endParaRPr lang="en-US" sz="1800"/>
        </a:p>
      </xdr:txBody>
    </xdr:sp>
    <xdr:clientData/>
  </xdr:twoCellAnchor>
  <xdr:twoCellAnchor>
    <xdr:from>
      <xdr:col>7</xdr:col>
      <xdr:colOff>19504</xdr:colOff>
      <xdr:row>5</xdr:row>
      <xdr:rowOff>178467</xdr:rowOff>
    </xdr:from>
    <xdr:to>
      <xdr:col>8</xdr:col>
      <xdr:colOff>1545166</xdr:colOff>
      <xdr:row>7</xdr:row>
      <xdr:rowOff>214690</xdr:rowOff>
    </xdr:to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2A4B67D3-B1B5-432A-A6AC-0FB3DA3F0EF5}"/>
            </a:ext>
          </a:extLst>
        </xdr:cNvPr>
        <xdr:cNvSpPr txBox="1"/>
      </xdr:nvSpPr>
      <xdr:spPr>
        <a:xfrm>
          <a:off x="11678104" y="1702467"/>
          <a:ext cx="2773437" cy="550573"/>
        </a:xfrm>
        <a:prstGeom prst="rect">
          <a:avLst/>
        </a:prstGeom>
        <a:solidFill>
          <a:schemeClr val="bg2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en-US" sz="2000" b="1"/>
            <a:t> </a:t>
          </a:r>
          <a:r>
            <a:rPr lang="en-US" sz="1800" b="1"/>
            <a:t>Hour Meter </a:t>
          </a:r>
          <a:r>
            <a:rPr lang="ru-RU" sz="1800" b="1"/>
            <a:t>моточасы: </a:t>
          </a:r>
          <a:endParaRPr lang="en-US" sz="1800"/>
        </a:p>
      </xdr:txBody>
    </xdr:sp>
    <xdr:clientData/>
  </xdr:twoCellAnchor>
  <xdr:twoCellAnchor>
    <xdr:from>
      <xdr:col>2</xdr:col>
      <xdr:colOff>2478012</xdr:colOff>
      <xdr:row>5</xdr:row>
      <xdr:rowOff>179917</xdr:rowOff>
    </xdr:from>
    <xdr:to>
      <xdr:col>2</xdr:col>
      <xdr:colOff>5841999</xdr:colOff>
      <xdr:row>7</xdr:row>
      <xdr:rowOff>299357</xdr:rowOff>
    </xdr:to>
    <xdr:sp macro="" textlink="">
      <xdr:nvSpPr>
        <xdr:cNvPr id="4" name="Rectangle 3">
          <a:extLst>
            <a:ext uri="{FF2B5EF4-FFF2-40B4-BE49-F238E27FC236}">
              <a16:creationId xmlns:a16="http://schemas.microsoft.com/office/drawing/2014/main" id="{AD8AA2AA-2A5B-4C80-8753-60F454FC9D51}"/>
            </a:ext>
          </a:extLst>
        </xdr:cNvPr>
        <xdr:cNvSpPr/>
      </xdr:nvSpPr>
      <xdr:spPr>
        <a:xfrm>
          <a:off x="3163812" y="1703917"/>
          <a:ext cx="3363987" cy="633790"/>
        </a:xfrm>
        <a:prstGeom prst="rect">
          <a:avLst/>
        </a:prstGeom>
        <a:noFill/>
        <a:ln w="2222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55940</xdr:colOff>
      <xdr:row>8</xdr:row>
      <xdr:rowOff>176894</xdr:rowOff>
    </xdr:from>
    <xdr:to>
      <xdr:col>2</xdr:col>
      <xdr:colOff>4963584</xdr:colOff>
      <xdr:row>10</xdr:row>
      <xdr:rowOff>63501</xdr:rowOff>
    </xdr:to>
    <xdr:sp macro="" textlink="">
      <xdr:nvSpPr>
        <xdr:cNvPr id="5" name="TextBox 4">
          <a:extLst>
            <a:ext uri="{FF2B5EF4-FFF2-40B4-BE49-F238E27FC236}">
              <a16:creationId xmlns:a16="http://schemas.microsoft.com/office/drawing/2014/main" id="{D5B2C141-5E18-4246-9F66-CADCC1040955}"/>
            </a:ext>
          </a:extLst>
        </xdr:cNvPr>
        <xdr:cNvSpPr txBox="1"/>
      </xdr:nvSpPr>
      <xdr:spPr>
        <a:xfrm>
          <a:off x="55940" y="2539094"/>
          <a:ext cx="5593444" cy="524782"/>
        </a:xfrm>
        <a:prstGeom prst="rect">
          <a:avLst/>
        </a:prstGeom>
        <a:solidFill>
          <a:schemeClr val="bg2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en-US" sz="1800" b="1"/>
            <a:t>Date Sample Taken  </a:t>
          </a:r>
          <a:r>
            <a:rPr lang="az-Cyrl-AZ" sz="1800" b="1"/>
            <a:t>Дата отбора образца масла:</a:t>
          </a:r>
        </a:p>
      </xdr:txBody>
    </xdr:sp>
    <xdr:clientData/>
  </xdr:twoCellAnchor>
  <xdr:twoCellAnchor>
    <xdr:from>
      <xdr:col>2</xdr:col>
      <xdr:colOff>5070930</xdr:colOff>
      <xdr:row>8</xdr:row>
      <xdr:rowOff>142119</xdr:rowOff>
    </xdr:from>
    <xdr:to>
      <xdr:col>4</xdr:col>
      <xdr:colOff>736600</xdr:colOff>
      <xdr:row>10</xdr:row>
      <xdr:rowOff>116417</xdr:rowOff>
    </xdr:to>
    <xdr:sp macro="" textlink="">
      <xdr:nvSpPr>
        <xdr:cNvPr id="6" name="Rectangle 5">
          <a:extLst>
            <a:ext uri="{FF2B5EF4-FFF2-40B4-BE49-F238E27FC236}">
              <a16:creationId xmlns:a16="http://schemas.microsoft.com/office/drawing/2014/main" id="{20DB7E19-6B5A-42DA-BDF4-27F1E1337096}"/>
            </a:ext>
          </a:extLst>
        </xdr:cNvPr>
        <xdr:cNvSpPr/>
      </xdr:nvSpPr>
      <xdr:spPr>
        <a:xfrm>
          <a:off x="5756730" y="2504319"/>
          <a:ext cx="3038020" cy="612473"/>
        </a:xfrm>
        <a:prstGeom prst="rect">
          <a:avLst/>
        </a:prstGeom>
        <a:noFill/>
        <a:ln w="2222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1659920</xdr:colOff>
      <xdr:row>5</xdr:row>
      <xdr:rowOff>147109</xdr:rowOff>
    </xdr:from>
    <xdr:to>
      <xdr:col>10</xdr:col>
      <xdr:colOff>2730500</xdr:colOff>
      <xdr:row>7</xdr:row>
      <xdr:rowOff>266549</xdr:rowOff>
    </xdr:to>
    <xdr:sp macro="" textlink="">
      <xdr:nvSpPr>
        <xdr:cNvPr id="7" name="Rectangle 6">
          <a:extLst>
            <a:ext uri="{FF2B5EF4-FFF2-40B4-BE49-F238E27FC236}">
              <a16:creationId xmlns:a16="http://schemas.microsoft.com/office/drawing/2014/main" id="{7A4139B5-C54F-40A0-93E5-AA4B88426F83}"/>
            </a:ext>
          </a:extLst>
        </xdr:cNvPr>
        <xdr:cNvSpPr/>
      </xdr:nvSpPr>
      <xdr:spPr>
        <a:xfrm>
          <a:off x="14566295" y="1671109"/>
          <a:ext cx="4118580" cy="633790"/>
        </a:xfrm>
        <a:prstGeom prst="rect">
          <a:avLst/>
        </a:prstGeom>
        <a:noFill/>
        <a:ln w="2222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586321</xdr:colOff>
      <xdr:row>10</xdr:row>
      <xdr:rowOff>4234</xdr:rowOff>
    </xdr:from>
    <xdr:to>
      <xdr:col>8</xdr:col>
      <xdr:colOff>1409281</xdr:colOff>
      <xdr:row>11</xdr:row>
      <xdr:rowOff>6774</xdr:rowOff>
    </xdr:to>
    <xdr:sp macro="" textlink="">
      <xdr:nvSpPr>
        <xdr:cNvPr id="8" name="Rectangle 7">
          <a:extLst>
            <a:ext uri="{FF2B5EF4-FFF2-40B4-BE49-F238E27FC236}">
              <a16:creationId xmlns:a16="http://schemas.microsoft.com/office/drawing/2014/main" id="{FFECCAE8-F722-4819-9E5F-527FDEDC8E4E}"/>
            </a:ext>
          </a:extLst>
        </xdr:cNvPr>
        <xdr:cNvSpPr/>
      </xdr:nvSpPr>
      <xdr:spPr>
        <a:xfrm>
          <a:off x="13492696" y="3004609"/>
          <a:ext cx="822960" cy="316865"/>
        </a:xfrm>
        <a:prstGeom prst="rect">
          <a:avLst/>
        </a:prstGeom>
        <a:noFill/>
        <a:ln w="2222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588440</xdr:colOff>
      <xdr:row>8</xdr:row>
      <xdr:rowOff>288553</xdr:rowOff>
    </xdr:from>
    <xdr:to>
      <xdr:col>8</xdr:col>
      <xdr:colOff>1411400</xdr:colOff>
      <xdr:row>9</xdr:row>
      <xdr:rowOff>280510</xdr:rowOff>
    </xdr:to>
    <xdr:sp macro="" textlink="">
      <xdr:nvSpPr>
        <xdr:cNvPr id="9" name="Rectangle 8">
          <a:extLst>
            <a:ext uri="{FF2B5EF4-FFF2-40B4-BE49-F238E27FC236}">
              <a16:creationId xmlns:a16="http://schemas.microsoft.com/office/drawing/2014/main" id="{0013CC77-8349-4D7F-90BA-EB5C817C9E77}"/>
            </a:ext>
          </a:extLst>
        </xdr:cNvPr>
        <xdr:cNvSpPr/>
      </xdr:nvSpPr>
      <xdr:spPr>
        <a:xfrm>
          <a:off x="13494815" y="2650753"/>
          <a:ext cx="822960" cy="315807"/>
        </a:xfrm>
        <a:prstGeom prst="rect">
          <a:avLst/>
        </a:prstGeom>
        <a:noFill/>
        <a:ln w="2222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600" b="0">
              <a:solidFill>
                <a:sysClr val="windowText" lastClr="000000"/>
              </a:solidFill>
            </a:rPr>
            <a:t>250</a:t>
          </a:r>
          <a:r>
            <a:rPr lang="en-US" sz="1100"/>
            <a:t>0</a:t>
          </a:r>
        </a:p>
      </xdr:txBody>
    </xdr:sp>
    <xdr:clientData/>
  </xdr:twoCellAnchor>
  <xdr:twoCellAnchor editAs="oneCell">
    <xdr:from>
      <xdr:col>2</xdr:col>
      <xdr:colOff>1738395</xdr:colOff>
      <xdr:row>14</xdr:row>
      <xdr:rowOff>10584</xdr:rowOff>
    </xdr:from>
    <xdr:to>
      <xdr:col>2</xdr:col>
      <xdr:colOff>2116369</xdr:colOff>
      <xdr:row>15</xdr:row>
      <xdr:rowOff>60053</xdr:rowOff>
    </xdr:to>
    <xdr:pic>
      <xdr:nvPicPr>
        <xdr:cNvPr id="10" name="Picture 9">
          <a:extLst>
            <a:ext uri="{FF2B5EF4-FFF2-40B4-BE49-F238E27FC236}">
              <a16:creationId xmlns:a16="http://schemas.microsoft.com/office/drawing/2014/main" id="{3F64CCDE-5143-42D4-BF7D-2B90AB1238BD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-1" t="5806" r="58483" b="1606"/>
        <a:stretch/>
      </xdr:blipFill>
      <xdr:spPr>
        <a:xfrm>
          <a:off x="2424195" y="4268259"/>
          <a:ext cx="377974" cy="363794"/>
        </a:xfrm>
        <a:prstGeom prst="rect">
          <a:avLst/>
        </a:prstGeom>
      </xdr:spPr>
    </xdr:pic>
    <xdr:clientData/>
  </xdr:twoCellAnchor>
  <xdr:twoCellAnchor editAs="oneCell">
    <xdr:from>
      <xdr:col>2</xdr:col>
      <xdr:colOff>1689257</xdr:colOff>
      <xdr:row>15</xdr:row>
      <xdr:rowOff>22367</xdr:rowOff>
    </xdr:from>
    <xdr:to>
      <xdr:col>2</xdr:col>
      <xdr:colOff>2054584</xdr:colOff>
      <xdr:row>16</xdr:row>
      <xdr:rowOff>40973</xdr:rowOff>
    </xdr:to>
    <xdr:pic>
      <xdr:nvPicPr>
        <xdr:cNvPr id="11" name="Picture 10">
          <a:extLst>
            <a:ext uri="{FF2B5EF4-FFF2-40B4-BE49-F238E27FC236}">
              <a16:creationId xmlns:a16="http://schemas.microsoft.com/office/drawing/2014/main" id="{65BFD64A-10A3-4A10-9938-6311460EA3D7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58749" t="8127" r="-1" b="4799"/>
        <a:stretch/>
      </xdr:blipFill>
      <xdr:spPr>
        <a:xfrm>
          <a:off x="2375057" y="4594367"/>
          <a:ext cx="365327" cy="332931"/>
        </a:xfrm>
        <a:prstGeom prst="rect">
          <a:avLst/>
        </a:prstGeom>
      </xdr:spPr>
    </xdr:pic>
    <xdr:clientData/>
  </xdr:twoCellAnchor>
  <xdr:twoCellAnchor>
    <xdr:from>
      <xdr:col>8</xdr:col>
      <xdr:colOff>590254</xdr:colOff>
      <xdr:row>11</xdr:row>
      <xdr:rowOff>8467</xdr:rowOff>
    </xdr:from>
    <xdr:to>
      <xdr:col>8</xdr:col>
      <xdr:colOff>1413214</xdr:colOff>
      <xdr:row>12</xdr:row>
      <xdr:rowOff>21167</xdr:rowOff>
    </xdr:to>
    <xdr:sp macro="" textlink="">
      <xdr:nvSpPr>
        <xdr:cNvPr id="12" name="Rectangle 11">
          <a:extLst>
            <a:ext uri="{FF2B5EF4-FFF2-40B4-BE49-F238E27FC236}">
              <a16:creationId xmlns:a16="http://schemas.microsoft.com/office/drawing/2014/main" id="{7D6AEF04-F7AA-42DE-B6F5-1CC4738ED5E3}"/>
            </a:ext>
          </a:extLst>
        </xdr:cNvPr>
        <xdr:cNvSpPr/>
      </xdr:nvSpPr>
      <xdr:spPr>
        <a:xfrm>
          <a:off x="13496629" y="3323167"/>
          <a:ext cx="822960" cy="327025"/>
        </a:xfrm>
        <a:prstGeom prst="rect">
          <a:avLst/>
        </a:prstGeom>
        <a:noFill/>
        <a:ln w="2222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584207</xdr:colOff>
      <xdr:row>12</xdr:row>
      <xdr:rowOff>12701</xdr:rowOff>
    </xdr:from>
    <xdr:to>
      <xdr:col>8</xdr:col>
      <xdr:colOff>1407167</xdr:colOff>
      <xdr:row>13</xdr:row>
      <xdr:rowOff>25401</xdr:rowOff>
    </xdr:to>
    <xdr:sp macro="" textlink="">
      <xdr:nvSpPr>
        <xdr:cNvPr id="13" name="Rectangle 12">
          <a:extLst>
            <a:ext uri="{FF2B5EF4-FFF2-40B4-BE49-F238E27FC236}">
              <a16:creationId xmlns:a16="http://schemas.microsoft.com/office/drawing/2014/main" id="{2E80F58F-46CA-4364-82E2-8027E815E4CE}"/>
            </a:ext>
          </a:extLst>
        </xdr:cNvPr>
        <xdr:cNvSpPr/>
      </xdr:nvSpPr>
      <xdr:spPr>
        <a:xfrm>
          <a:off x="13490582" y="3641726"/>
          <a:ext cx="822960" cy="327025"/>
        </a:xfrm>
        <a:prstGeom prst="rect">
          <a:avLst/>
        </a:prstGeom>
        <a:noFill/>
        <a:ln w="2222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1452040</xdr:colOff>
      <xdr:row>8</xdr:row>
      <xdr:rowOff>288553</xdr:rowOff>
    </xdr:from>
    <xdr:to>
      <xdr:col>9</xdr:col>
      <xdr:colOff>458900</xdr:colOff>
      <xdr:row>9</xdr:row>
      <xdr:rowOff>280510</xdr:rowOff>
    </xdr:to>
    <xdr:sp macro="" textlink="">
      <xdr:nvSpPr>
        <xdr:cNvPr id="14" name="Rectangle 13">
          <a:extLst>
            <a:ext uri="{FF2B5EF4-FFF2-40B4-BE49-F238E27FC236}">
              <a16:creationId xmlns:a16="http://schemas.microsoft.com/office/drawing/2014/main" id="{876A5C9B-FDA8-45E2-A076-BB3F75091836}"/>
            </a:ext>
          </a:extLst>
        </xdr:cNvPr>
        <xdr:cNvSpPr/>
      </xdr:nvSpPr>
      <xdr:spPr>
        <a:xfrm>
          <a:off x="14358415" y="2650753"/>
          <a:ext cx="949960" cy="315807"/>
        </a:xfrm>
        <a:prstGeom prst="rect">
          <a:avLst/>
        </a:prstGeom>
        <a:noFill/>
        <a:ln w="2222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600" b="0">
              <a:solidFill>
                <a:sysClr val="windowText" lastClr="000000"/>
              </a:solidFill>
            </a:rPr>
            <a:t>500</a:t>
          </a:r>
          <a:r>
            <a:rPr lang="en-US" sz="1100"/>
            <a:t>0</a:t>
          </a:r>
        </a:p>
      </xdr:txBody>
    </xdr:sp>
    <xdr:clientData/>
  </xdr:twoCellAnchor>
  <xdr:twoCellAnchor>
    <xdr:from>
      <xdr:col>9</xdr:col>
      <xdr:colOff>512240</xdr:colOff>
      <xdr:row>8</xdr:row>
      <xdr:rowOff>288553</xdr:rowOff>
    </xdr:from>
    <xdr:to>
      <xdr:col>10</xdr:col>
      <xdr:colOff>128700</xdr:colOff>
      <xdr:row>9</xdr:row>
      <xdr:rowOff>280510</xdr:rowOff>
    </xdr:to>
    <xdr:sp macro="" textlink="">
      <xdr:nvSpPr>
        <xdr:cNvPr id="15" name="Rectangle 14">
          <a:extLst>
            <a:ext uri="{FF2B5EF4-FFF2-40B4-BE49-F238E27FC236}">
              <a16:creationId xmlns:a16="http://schemas.microsoft.com/office/drawing/2014/main" id="{E2C3C079-C1AA-4F1D-8E70-DAEE741FA406}"/>
            </a:ext>
          </a:extLst>
        </xdr:cNvPr>
        <xdr:cNvSpPr/>
      </xdr:nvSpPr>
      <xdr:spPr>
        <a:xfrm>
          <a:off x="15361715" y="2650753"/>
          <a:ext cx="721360" cy="315807"/>
        </a:xfrm>
        <a:prstGeom prst="rect">
          <a:avLst/>
        </a:prstGeom>
        <a:noFill/>
        <a:ln w="2222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600" b="0">
              <a:solidFill>
                <a:sysClr val="windowText" lastClr="000000"/>
              </a:solidFill>
            </a:rPr>
            <a:t>1000</a:t>
          </a:r>
          <a:endParaRPr lang="en-US" sz="1100"/>
        </a:p>
      </xdr:txBody>
    </xdr:sp>
    <xdr:clientData/>
  </xdr:twoCellAnchor>
  <xdr:twoCellAnchor>
    <xdr:from>
      <xdr:col>10</xdr:col>
      <xdr:colOff>169340</xdr:colOff>
      <xdr:row>8</xdr:row>
      <xdr:rowOff>288553</xdr:rowOff>
    </xdr:from>
    <xdr:to>
      <xdr:col>10</xdr:col>
      <xdr:colOff>992300</xdr:colOff>
      <xdr:row>9</xdr:row>
      <xdr:rowOff>280510</xdr:rowOff>
    </xdr:to>
    <xdr:sp macro="" textlink="">
      <xdr:nvSpPr>
        <xdr:cNvPr id="16" name="Rectangle 15">
          <a:extLst>
            <a:ext uri="{FF2B5EF4-FFF2-40B4-BE49-F238E27FC236}">
              <a16:creationId xmlns:a16="http://schemas.microsoft.com/office/drawing/2014/main" id="{DCC1FCFE-802B-4874-8CB6-EB9BECD84C02}"/>
            </a:ext>
          </a:extLst>
        </xdr:cNvPr>
        <xdr:cNvSpPr/>
      </xdr:nvSpPr>
      <xdr:spPr>
        <a:xfrm>
          <a:off x="16123715" y="2650753"/>
          <a:ext cx="822960" cy="315807"/>
        </a:xfrm>
        <a:prstGeom prst="rect">
          <a:avLst/>
        </a:prstGeom>
        <a:noFill/>
        <a:ln w="2222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600" b="0">
              <a:solidFill>
                <a:sysClr val="windowText" lastClr="000000"/>
              </a:solidFill>
            </a:rPr>
            <a:t>2000</a:t>
          </a:r>
          <a:endParaRPr lang="en-US" sz="1100"/>
        </a:p>
      </xdr:txBody>
    </xdr:sp>
    <xdr:clientData/>
  </xdr:twoCellAnchor>
  <xdr:twoCellAnchor>
    <xdr:from>
      <xdr:col>10</xdr:col>
      <xdr:colOff>1045640</xdr:colOff>
      <xdr:row>8</xdr:row>
      <xdr:rowOff>288553</xdr:rowOff>
    </xdr:from>
    <xdr:to>
      <xdr:col>10</xdr:col>
      <xdr:colOff>1868600</xdr:colOff>
      <xdr:row>9</xdr:row>
      <xdr:rowOff>280510</xdr:rowOff>
    </xdr:to>
    <xdr:sp macro="" textlink="">
      <xdr:nvSpPr>
        <xdr:cNvPr id="17" name="Rectangle 16">
          <a:extLst>
            <a:ext uri="{FF2B5EF4-FFF2-40B4-BE49-F238E27FC236}">
              <a16:creationId xmlns:a16="http://schemas.microsoft.com/office/drawing/2014/main" id="{6562E7C2-35BC-49D9-8B8F-B52A6C093506}"/>
            </a:ext>
          </a:extLst>
        </xdr:cNvPr>
        <xdr:cNvSpPr/>
      </xdr:nvSpPr>
      <xdr:spPr>
        <a:xfrm>
          <a:off x="17000015" y="2650753"/>
          <a:ext cx="822960" cy="315807"/>
        </a:xfrm>
        <a:prstGeom prst="rect">
          <a:avLst/>
        </a:prstGeom>
        <a:noFill/>
        <a:ln w="2222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600" b="0">
              <a:solidFill>
                <a:sysClr val="windowText" lastClr="000000"/>
              </a:solidFill>
            </a:rPr>
            <a:t>4000</a:t>
          </a:r>
          <a:endParaRPr lang="en-US" sz="1100"/>
        </a:p>
      </xdr:txBody>
    </xdr:sp>
    <xdr:clientData/>
  </xdr:twoCellAnchor>
  <xdr:twoCellAnchor>
    <xdr:from>
      <xdr:col>10</xdr:col>
      <xdr:colOff>1909240</xdr:colOff>
      <xdr:row>8</xdr:row>
      <xdr:rowOff>288553</xdr:rowOff>
    </xdr:from>
    <xdr:to>
      <xdr:col>10</xdr:col>
      <xdr:colOff>2732200</xdr:colOff>
      <xdr:row>9</xdr:row>
      <xdr:rowOff>280510</xdr:rowOff>
    </xdr:to>
    <xdr:sp macro="" textlink="">
      <xdr:nvSpPr>
        <xdr:cNvPr id="18" name="Rectangle 17">
          <a:extLst>
            <a:ext uri="{FF2B5EF4-FFF2-40B4-BE49-F238E27FC236}">
              <a16:creationId xmlns:a16="http://schemas.microsoft.com/office/drawing/2014/main" id="{2012653E-1EAC-4F38-A3A2-9935FCE1CF51}"/>
            </a:ext>
          </a:extLst>
        </xdr:cNvPr>
        <xdr:cNvSpPr/>
      </xdr:nvSpPr>
      <xdr:spPr>
        <a:xfrm>
          <a:off x="17863615" y="2650753"/>
          <a:ext cx="822960" cy="315807"/>
        </a:xfrm>
        <a:prstGeom prst="rect">
          <a:avLst/>
        </a:prstGeom>
        <a:noFill/>
        <a:ln w="2222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600" b="0">
              <a:solidFill>
                <a:sysClr val="windowText" lastClr="000000"/>
              </a:solidFill>
            </a:rPr>
            <a:t>6000</a:t>
          </a:r>
          <a:endParaRPr lang="en-US" sz="1100"/>
        </a:p>
      </xdr:txBody>
    </xdr:sp>
    <xdr:clientData/>
  </xdr:twoCellAnchor>
  <xdr:twoCellAnchor>
    <xdr:from>
      <xdr:col>0</xdr:col>
      <xdr:colOff>26832</xdr:colOff>
      <xdr:row>10</xdr:row>
      <xdr:rowOff>275699</xdr:rowOff>
    </xdr:from>
    <xdr:to>
      <xdr:col>2</xdr:col>
      <xdr:colOff>4938286</xdr:colOff>
      <xdr:row>12</xdr:row>
      <xdr:rowOff>179531</xdr:rowOff>
    </xdr:to>
    <xdr:sp macro="" textlink="">
      <xdr:nvSpPr>
        <xdr:cNvPr id="19" name="TextBox 18">
          <a:extLst>
            <a:ext uri="{FF2B5EF4-FFF2-40B4-BE49-F238E27FC236}">
              <a16:creationId xmlns:a16="http://schemas.microsoft.com/office/drawing/2014/main" id="{518D05C3-65AF-4785-8D10-A30BBE161F8E}"/>
            </a:ext>
          </a:extLst>
        </xdr:cNvPr>
        <xdr:cNvSpPr txBox="1"/>
      </xdr:nvSpPr>
      <xdr:spPr>
        <a:xfrm>
          <a:off x="26832" y="3276074"/>
          <a:ext cx="5597254" cy="532482"/>
        </a:xfrm>
        <a:prstGeom prst="rect">
          <a:avLst/>
        </a:prstGeom>
        <a:solidFill>
          <a:schemeClr val="bg2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en-US" sz="1800" b="1"/>
            <a:t>Scheduled PMS </a:t>
          </a:r>
          <a:r>
            <a:rPr lang="az-Cyrl-AZ" sz="1800" b="1"/>
            <a:t>Запланированный </a:t>
          </a:r>
          <a:r>
            <a:rPr lang="en-US" sz="1800" b="1"/>
            <a:t>PMS</a:t>
          </a:r>
          <a:r>
            <a:rPr lang="az-Cyrl-AZ" sz="1800" b="1"/>
            <a:t>/Неделя</a:t>
          </a:r>
          <a:r>
            <a:rPr lang="en-US" sz="1800" b="1"/>
            <a:t>:</a:t>
          </a:r>
          <a:endParaRPr lang="az-Cyrl-AZ" sz="1800" b="1"/>
        </a:p>
      </xdr:txBody>
    </xdr:sp>
    <xdr:clientData/>
  </xdr:twoCellAnchor>
  <xdr:twoCellAnchor>
    <xdr:from>
      <xdr:col>2</xdr:col>
      <xdr:colOff>5053511</xdr:colOff>
      <xdr:row>10</xdr:row>
      <xdr:rowOff>228063</xdr:rowOff>
    </xdr:from>
    <xdr:to>
      <xdr:col>4</xdr:col>
      <xdr:colOff>147570</xdr:colOff>
      <xdr:row>12</xdr:row>
      <xdr:rowOff>204346</xdr:rowOff>
    </xdr:to>
    <xdr:sp macro="" textlink="">
      <xdr:nvSpPr>
        <xdr:cNvPr id="20" name="Rectangle 19">
          <a:extLst>
            <a:ext uri="{FF2B5EF4-FFF2-40B4-BE49-F238E27FC236}">
              <a16:creationId xmlns:a16="http://schemas.microsoft.com/office/drawing/2014/main" id="{E82631DA-484F-4572-A575-53C415526845}"/>
            </a:ext>
          </a:extLst>
        </xdr:cNvPr>
        <xdr:cNvSpPr/>
      </xdr:nvSpPr>
      <xdr:spPr>
        <a:xfrm>
          <a:off x="5739311" y="3228438"/>
          <a:ext cx="2466409" cy="604933"/>
        </a:xfrm>
        <a:prstGeom prst="rect">
          <a:avLst/>
        </a:prstGeom>
        <a:noFill/>
        <a:ln w="2222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</xdr:col>
      <xdr:colOff>241480</xdr:colOff>
      <xdr:row>10</xdr:row>
      <xdr:rowOff>228063</xdr:rowOff>
    </xdr:from>
    <xdr:to>
      <xdr:col>5</xdr:col>
      <xdr:colOff>2818</xdr:colOff>
      <xdr:row>12</xdr:row>
      <xdr:rowOff>213871</xdr:rowOff>
    </xdr:to>
    <xdr:sp macro="" textlink="">
      <xdr:nvSpPr>
        <xdr:cNvPr id="21" name="Rectangle 20">
          <a:extLst>
            <a:ext uri="{FF2B5EF4-FFF2-40B4-BE49-F238E27FC236}">
              <a16:creationId xmlns:a16="http://schemas.microsoft.com/office/drawing/2014/main" id="{22B14316-FA73-4993-A116-0A7B17D866EC}"/>
            </a:ext>
          </a:extLst>
        </xdr:cNvPr>
        <xdr:cNvSpPr/>
      </xdr:nvSpPr>
      <xdr:spPr>
        <a:xfrm>
          <a:off x="8299630" y="3228438"/>
          <a:ext cx="1390113" cy="614458"/>
        </a:xfrm>
        <a:prstGeom prst="rect">
          <a:avLst/>
        </a:prstGeom>
        <a:noFill/>
        <a:ln w="2222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120739</xdr:colOff>
      <xdr:row>0</xdr:row>
      <xdr:rowOff>53662</xdr:rowOff>
    </xdr:from>
    <xdr:to>
      <xdr:col>2</xdr:col>
      <xdr:colOff>2750175</xdr:colOff>
      <xdr:row>2</xdr:row>
      <xdr:rowOff>281725</xdr:rowOff>
    </xdr:to>
    <xdr:pic>
      <xdr:nvPicPr>
        <xdr:cNvPr id="22" name="Рисунок 1504720245" descr="A picture containing text, clipart&#10;&#10;Description automatically generated">
          <a:extLst>
            <a:ext uri="{FF2B5EF4-FFF2-40B4-BE49-F238E27FC236}">
              <a16:creationId xmlns:a16="http://schemas.microsoft.com/office/drawing/2014/main" id="{7E14CDB6-E46C-4BDE-B371-79313ADDE33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0739" y="53662"/>
          <a:ext cx="3315236" cy="8090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30240</xdr:colOff>
      <xdr:row>5</xdr:row>
      <xdr:rowOff>236765</xdr:rowOff>
    </xdr:from>
    <xdr:to>
      <xdr:col>2</xdr:col>
      <xdr:colOff>2444751</xdr:colOff>
      <xdr:row>7</xdr:row>
      <xdr:rowOff>211667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2A727B29-551C-4DB1-B2D5-80810C6A6024}"/>
            </a:ext>
          </a:extLst>
        </xdr:cNvPr>
        <xdr:cNvSpPr txBox="1"/>
      </xdr:nvSpPr>
      <xdr:spPr>
        <a:xfrm>
          <a:off x="33415" y="1776640"/>
          <a:ext cx="3100311" cy="492427"/>
        </a:xfrm>
        <a:prstGeom prst="rect">
          <a:avLst/>
        </a:prstGeom>
        <a:solidFill>
          <a:schemeClr val="bg2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en-US" sz="1800" b="1"/>
            <a:t>Equipment</a:t>
          </a:r>
          <a:r>
            <a:rPr lang="en-US" sz="1800" b="1" baseline="0"/>
            <a:t> </a:t>
          </a:r>
          <a:r>
            <a:rPr lang="ru-RU" sz="1800" b="1"/>
            <a:t>Оборудования:  </a:t>
          </a:r>
          <a:endParaRPr lang="en-US" sz="1800"/>
        </a:p>
      </xdr:txBody>
    </xdr:sp>
    <xdr:clientData/>
  </xdr:twoCellAnchor>
  <xdr:twoCellAnchor>
    <xdr:from>
      <xdr:col>7</xdr:col>
      <xdr:colOff>19504</xdr:colOff>
      <xdr:row>5</xdr:row>
      <xdr:rowOff>178467</xdr:rowOff>
    </xdr:from>
    <xdr:to>
      <xdr:col>8</xdr:col>
      <xdr:colOff>1545166</xdr:colOff>
      <xdr:row>7</xdr:row>
      <xdr:rowOff>214690</xdr:rowOff>
    </xdr:to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A445E704-41E6-4245-A5F2-1D22A916ACCD}"/>
            </a:ext>
          </a:extLst>
        </xdr:cNvPr>
        <xdr:cNvSpPr txBox="1"/>
      </xdr:nvSpPr>
      <xdr:spPr>
        <a:xfrm>
          <a:off x="11690804" y="1718342"/>
          <a:ext cx="2776612" cy="556923"/>
        </a:xfrm>
        <a:prstGeom prst="rect">
          <a:avLst/>
        </a:prstGeom>
        <a:solidFill>
          <a:schemeClr val="bg2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en-US" sz="2000" b="1"/>
            <a:t> </a:t>
          </a:r>
          <a:r>
            <a:rPr lang="en-US" sz="1800" b="1"/>
            <a:t>Hour Meter </a:t>
          </a:r>
          <a:r>
            <a:rPr lang="ru-RU" sz="1800" b="1"/>
            <a:t>моточасы: </a:t>
          </a:r>
          <a:endParaRPr lang="en-US" sz="1800"/>
        </a:p>
      </xdr:txBody>
    </xdr:sp>
    <xdr:clientData/>
  </xdr:twoCellAnchor>
  <xdr:twoCellAnchor>
    <xdr:from>
      <xdr:col>2</xdr:col>
      <xdr:colOff>2478012</xdr:colOff>
      <xdr:row>5</xdr:row>
      <xdr:rowOff>179917</xdr:rowOff>
    </xdr:from>
    <xdr:to>
      <xdr:col>2</xdr:col>
      <xdr:colOff>5841999</xdr:colOff>
      <xdr:row>7</xdr:row>
      <xdr:rowOff>299357</xdr:rowOff>
    </xdr:to>
    <xdr:sp macro="" textlink="">
      <xdr:nvSpPr>
        <xdr:cNvPr id="4" name="Rectangle 3">
          <a:extLst>
            <a:ext uri="{FF2B5EF4-FFF2-40B4-BE49-F238E27FC236}">
              <a16:creationId xmlns:a16="http://schemas.microsoft.com/office/drawing/2014/main" id="{EA7360C5-CCF0-4F9D-A8C9-57825629F6DF}"/>
            </a:ext>
          </a:extLst>
        </xdr:cNvPr>
        <xdr:cNvSpPr/>
      </xdr:nvSpPr>
      <xdr:spPr>
        <a:xfrm>
          <a:off x="3163812" y="1719792"/>
          <a:ext cx="3367162" cy="640140"/>
        </a:xfrm>
        <a:prstGeom prst="rect">
          <a:avLst/>
        </a:prstGeom>
        <a:noFill/>
        <a:ln w="2222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55940</xdr:colOff>
      <xdr:row>8</xdr:row>
      <xdr:rowOff>176894</xdr:rowOff>
    </xdr:from>
    <xdr:to>
      <xdr:col>2</xdr:col>
      <xdr:colOff>4963584</xdr:colOff>
      <xdr:row>10</xdr:row>
      <xdr:rowOff>63501</xdr:rowOff>
    </xdr:to>
    <xdr:sp macro="" textlink="">
      <xdr:nvSpPr>
        <xdr:cNvPr id="5" name="TextBox 4">
          <a:extLst>
            <a:ext uri="{FF2B5EF4-FFF2-40B4-BE49-F238E27FC236}">
              <a16:creationId xmlns:a16="http://schemas.microsoft.com/office/drawing/2014/main" id="{CDCB4F32-F1A9-4514-AF65-5EBC348FBB0F}"/>
            </a:ext>
          </a:extLst>
        </xdr:cNvPr>
        <xdr:cNvSpPr txBox="1"/>
      </xdr:nvSpPr>
      <xdr:spPr>
        <a:xfrm>
          <a:off x="55940" y="2561319"/>
          <a:ext cx="5596619" cy="527957"/>
        </a:xfrm>
        <a:prstGeom prst="rect">
          <a:avLst/>
        </a:prstGeom>
        <a:solidFill>
          <a:schemeClr val="bg2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en-US" sz="1800" b="1"/>
            <a:t>Date Sample Taken  </a:t>
          </a:r>
          <a:r>
            <a:rPr lang="az-Cyrl-AZ" sz="1800" b="1"/>
            <a:t>Дата отбора образца масла:</a:t>
          </a:r>
        </a:p>
      </xdr:txBody>
    </xdr:sp>
    <xdr:clientData/>
  </xdr:twoCellAnchor>
  <xdr:twoCellAnchor>
    <xdr:from>
      <xdr:col>2</xdr:col>
      <xdr:colOff>5070930</xdr:colOff>
      <xdr:row>8</xdr:row>
      <xdr:rowOff>142119</xdr:rowOff>
    </xdr:from>
    <xdr:to>
      <xdr:col>4</xdr:col>
      <xdr:colOff>736600</xdr:colOff>
      <xdr:row>10</xdr:row>
      <xdr:rowOff>116417</xdr:rowOff>
    </xdr:to>
    <xdr:sp macro="" textlink="">
      <xdr:nvSpPr>
        <xdr:cNvPr id="6" name="Rectangle 5">
          <a:extLst>
            <a:ext uri="{FF2B5EF4-FFF2-40B4-BE49-F238E27FC236}">
              <a16:creationId xmlns:a16="http://schemas.microsoft.com/office/drawing/2014/main" id="{0581E274-2ED1-4E50-BEBE-F93ACF46C885}"/>
            </a:ext>
          </a:extLst>
        </xdr:cNvPr>
        <xdr:cNvSpPr/>
      </xdr:nvSpPr>
      <xdr:spPr>
        <a:xfrm>
          <a:off x="5756730" y="2526544"/>
          <a:ext cx="3047545" cy="612473"/>
        </a:xfrm>
        <a:prstGeom prst="rect">
          <a:avLst/>
        </a:prstGeom>
        <a:noFill/>
        <a:ln w="2222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1659920</xdr:colOff>
      <xdr:row>5</xdr:row>
      <xdr:rowOff>147109</xdr:rowOff>
    </xdr:from>
    <xdr:to>
      <xdr:col>10</xdr:col>
      <xdr:colOff>2730500</xdr:colOff>
      <xdr:row>7</xdr:row>
      <xdr:rowOff>266549</xdr:rowOff>
    </xdr:to>
    <xdr:sp macro="" textlink="">
      <xdr:nvSpPr>
        <xdr:cNvPr id="7" name="Rectangle 6">
          <a:extLst>
            <a:ext uri="{FF2B5EF4-FFF2-40B4-BE49-F238E27FC236}">
              <a16:creationId xmlns:a16="http://schemas.microsoft.com/office/drawing/2014/main" id="{EA25C378-E953-4FF4-BD6D-F0AFC40C3050}"/>
            </a:ext>
          </a:extLst>
        </xdr:cNvPr>
        <xdr:cNvSpPr/>
      </xdr:nvSpPr>
      <xdr:spPr>
        <a:xfrm>
          <a:off x="14582170" y="1686984"/>
          <a:ext cx="4121755" cy="636965"/>
        </a:xfrm>
        <a:prstGeom prst="rect">
          <a:avLst/>
        </a:prstGeom>
        <a:noFill/>
        <a:ln w="2222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586321</xdr:colOff>
      <xdr:row>10</xdr:row>
      <xdr:rowOff>4234</xdr:rowOff>
    </xdr:from>
    <xdr:to>
      <xdr:col>8</xdr:col>
      <xdr:colOff>1409281</xdr:colOff>
      <xdr:row>11</xdr:row>
      <xdr:rowOff>6774</xdr:rowOff>
    </xdr:to>
    <xdr:sp macro="" textlink="">
      <xdr:nvSpPr>
        <xdr:cNvPr id="8" name="Rectangle 7">
          <a:extLst>
            <a:ext uri="{FF2B5EF4-FFF2-40B4-BE49-F238E27FC236}">
              <a16:creationId xmlns:a16="http://schemas.microsoft.com/office/drawing/2014/main" id="{B8AECE29-E1D8-42E0-9C64-19A11036A065}"/>
            </a:ext>
          </a:extLst>
        </xdr:cNvPr>
        <xdr:cNvSpPr/>
      </xdr:nvSpPr>
      <xdr:spPr>
        <a:xfrm>
          <a:off x="13508571" y="3026834"/>
          <a:ext cx="822960" cy="323215"/>
        </a:xfrm>
        <a:prstGeom prst="rect">
          <a:avLst/>
        </a:prstGeom>
        <a:noFill/>
        <a:ln w="2222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588440</xdr:colOff>
      <xdr:row>8</xdr:row>
      <xdr:rowOff>288553</xdr:rowOff>
    </xdr:from>
    <xdr:to>
      <xdr:col>8</xdr:col>
      <xdr:colOff>1411400</xdr:colOff>
      <xdr:row>9</xdr:row>
      <xdr:rowOff>280510</xdr:rowOff>
    </xdr:to>
    <xdr:sp macro="" textlink="">
      <xdr:nvSpPr>
        <xdr:cNvPr id="9" name="Rectangle 8">
          <a:extLst>
            <a:ext uri="{FF2B5EF4-FFF2-40B4-BE49-F238E27FC236}">
              <a16:creationId xmlns:a16="http://schemas.microsoft.com/office/drawing/2014/main" id="{33FAFE4F-9600-4BAF-B7BD-0A39975D4048}"/>
            </a:ext>
          </a:extLst>
        </xdr:cNvPr>
        <xdr:cNvSpPr/>
      </xdr:nvSpPr>
      <xdr:spPr>
        <a:xfrm>
          <a:off x="13510690" y="2669803"/>
          <a:ext cx="822960" cy="318982"/>
        </a:xfrm>
        <a:prstGeom prst="rect">
          <a:avLst/>
        </a:prstGeom>
        <a:noFill/>
        <a:ln w="2222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600" b="0">
              <a:solidFill>
                <a:sysClr val="windowText" lastClr="000000"/>
              </a:solidFill>
            </a:rPr>
            <a:t>250</a:t>
          </a:r>
          <a:r>
            <a:rPr lang="en-US" sz="1100"/>
            <a:t>0</a:t>
          </a:r>
        </a:p>
      </xdr:txBody>
    </xdr:sp>
    <xdr:clientData/>
  </xdr:twoCellAnchor>
  <xdr:twoCellAnchor editAs="oneCell">
    <xdr:from>
      <xdr:col>2</xdr:col>
      <xdr:colOff>1738395</xdr:colOff>
      <xdr:row>14</xdr:row>
      <xdr:rowOff>10584</xdr:rowOff>
    </xdr:from>
    <xdr:to>
      <xdr:col>2</xdr:col>
      <xdr:colOff>2120179</xdr:colOff>
      <xdr:row>15</xdr:row>
      <xdr:rowOff>63863</xdr:rowOff>
    </xdr:to>
    <xdr:pic>
      <xdr:nvPicPr>
        <xdr:cNvPr id="10" name="Picture 9">
          <a:extLst>
            <a:ext uri="{FF2B5EF4-FFF2-40B4-BE49-F238E27FC236}">
              <a16:creationId xmlns:a16="http://schemas.microsoft.com/office/drawing/2014/main" id="{5254B6EB-1EFB-4E07-9408-CED265775AA9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-1" t="5806" r="58483" b="1606"/>
        <a:stretch/>
      </xdr:blipFill>
      <xdr:spPr>
        <a:xfrm>
          <a:off x="2427370" y="4306359"/>
          <a:ext cx="374799" cy="363794"/>
        </a:xfrm>
        <a:prstGeom prst="rect">
          <a:avLst/>
        </a:prstGeom>
      </xdr:spPr>
    </xdr:pic>
    <xdr:clientData/>
  </xdr:twoCellAnchor>
  <xdr:twoCellAnchor editAs="oneCell">
    <xdr:from>
      <xdr:col>2</xdr:col>
      <xdr:colOff>1689257</xdr:colOff>
      <xdr:row>15</xdr:row>
      <xdr:rowOff>22367</xdr:rowOff>
    </xdr:from>
    <xdr:to>
      <xdr:col>2</xdr:col>
      <xdr:colOff>2054584</xdr:colOff>
      <xdr:row>16</xdr:row>
      <xdr:rowOff>40973</xdr:rowOff>
    </xdr:to>
    <xdr:pic>
      <xdr:nvPicPr>
        <xdr:cNvPr id="11" name="Picture 10">
          <a:extLst>
            <a:ext uri="{FF2B5EF4-FFF2-40B4-BE49-F238E27FC236}">
              <a16:creationId xmlns:a16="http://schemas.microsoft.com/office/drawing/2014/main" id="{FBA3FD0F-0CA3-46A0-8938-F3FA7E78B162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58749" t="8127" r="-1" b="4799"/>
        <a:stretch/>
      </xdr:blipFill>
      <xdr:spPr>
        <a:xfrm>
          <a:off x="2378232" y="4632467"/>
          <a:ext cx="362152" cy="336106"/>
        </a:xfrm>
        <a:prstGeom prst="rect">
          <a:avLst/>
        </a:prstGeom>
      </xdr:spPr>
    </xdr:pic>
    <xdr:clientData/>
  </xdr:twoCellAnchor>
  <xdr:twoCellAnchor>
    <xdr:from>
      <xdr:col>8</xdr:col>
      <xdr:colOff>590254</xdr:colOff>
      <xdr:row>11</xdr:row>
      <xdr:rowOff>8467</xdr:rowOff>
    </xdr:from>
    <xdr:to>
      <xdr:col>8</xdr:col>
      <xdr:colOff>1413214</xdr:colOff>
      <xdr:row>12</xdr:row>
      <xdr:rowOff>21167</xdr:rowOff>
    </xdr:to>
    <xdr:sp macro="" textlink="">
      <xdr:nvSpPr>
        <xdr:cNvPr id="12" name="Rectangle 11">
          <a:extLst>
            <a:ext uri="{FF2B5EF4-FFF2-40B4-BE49-F238E27FC236}">
              <a16:creationId xmlns:a16="http://schemas.microsoft.com/office/drawing/2014/main" id="{2DACDD6E-B612-42BC-B784-B2816FE47E46}"/>
            </a:ext>
          </a:extLst>
        </xdr:cNvPr>
        <xdr:cNvSpPr/>
      </xdr:nvSpPr>
      <xdr:spPr>
        <a:xfrm>
          <a:off x="13512504" y="3351742"/>
          <a:ext cx="822960" cy="327025"/>
        </a:xfrm>
        <a:prstGeom prst="rect">
          <a:avLst/>
        </a:prstGeom>
        <a:noFill/>
        <a:ln w="2222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584207</xdr:colOff>
      <xdr:row>12</xdr:row>
      <xdr:rowOff>12701</xdr:rowOff>
    </xdr:from>
    <xdr:to>
      <xdr:col>8</xdr:col>
      <xdr:colOff>1407167</xdr:colOff>
      <xdr:row>13</xdr:row>
      <xdr:rowOff>25401</xdr:rowOff>
    </xdr:to>
    <xdr:sp macro="" textlink="">
      <xdr:nvSpPr>
        <xdr:cNvPr id="13" name="Rectangle 12">
          <a:extLst>
            <a:ext uri="{FF2B5EF4-FFF2-40B4-BE49-F238E27FC236}">
              <a16:creationId xmlns:a16="http://schemas.microsoft.com/office/drawing/2014/main" id="{D65C50AE-A714-4E1A-AA4B-7390111D0675}"/>
            </a:ext>
          </a:extLst>
        </xdr:cNvPr>
        <xdr:cNvSpPr/>
      </xdr:nvSpPr>
      <xdr:spPr>
        <a:xfrm>
          <a:off x="13509632" y="3673476"/>
          <a:ext cx="819785" cy="330200"/>
        </a:xfrm>
        <a:prstGeom prst="rect">
          <a:avLst/>
        </a:prstGeom>
        <a:noFill/>
        <a:ln w="2222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1452040</xdr:colOff>
      <xdr:row>8</xdr:row>
      <xdr:rowOff>288553</xdr:rowOff>
    </xdr:from>
    <xdr:to>
      <xdr:col>9</xdr:col>
      <xdr:colOff>458900</xdr:colOff>
      <xdr:row>9</xdr:row>
      <xdr:rowOff>280510</xdr:rowOff>
    </xdr:to>
    <xdr:sp macro="" textlink="">
      <xdr:nvSpPr>
        <xdr:cNvPr id="14" name="Rectangle 13">
          <a:extLst>
            <a:ext uri="{FF2B5EF4-FFF2-40B4-BE49-F238E27FC236}">
              <a16:creationId xmlns:a16="http://schemas.microsoft.com/office/drawing/2014/main" id="{697D30CA-A412-4156-A299-8911C7ABD926}"/>
            </a:ext>
          </a:extLst>
        </xdr:cNvPr>
        <xdr:cNvSpPr/>
      </xdr:nvSpPr>
      <xdr:spPr>
        <a:xfrm>
          <a:off x="14374290" y="2669803"/>
          <a:ext cx="949960" cy="318982"/>
        </a:xfrm>
        <a:prstGeom prst="rect">
          <a:avLst/>
        </a:prstGeom>
        <a:noFill/>
        <a:ln w="2222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600" b="0">
              <a:solidFill>
                <a:sysClr val="windowText" lastClr="000000"/>
              </a:solidFill>
            </a:rPr>
            <a:t>500</a:t>
          </a:r>
          <a:r>
            <a:rPr lang="en-US" sz="1100"/>
            <a:t>0</a:t>
          </a:r>
        </a:p>
      </xdr:txBody>
    </xdr:sp>
    <xdr:clientData/>
  </xdr:twoCellAnchor>
  <xdr:twoCellAnchor>
    <xdr:from>
      <xdr:col>9</xdr:col>
      <xdr:colOff>512240</xdr:colOff>
      <xdr:row>8</xdr:row>
      <xdr:rowOff>288553</xdr:rowOff>
    </xdr:from>
    <xdr:to>
      <xdr:col>10</xdr:col>
      <xdr:colOff>128700</xdr:colOff>
      <xdr:row>9</xdr:row>
      <xdr:rowOff>280510</xdr:rowOff>
    </xdr:to>
    <xdr:sp macro="" textlink="">
      <xdr:nvSpPr>
        <xdr:cNvPr id="15" name="Rectangle 14">
          <a:extLst>
            <a:ext uri="{FF2B5EF4-FFF2-40B4-BE49-F238E27FC236}">
              <a16:creationId xmlns:a16="http://schemas.microsoft.com/office/drawing/2014/main" id="{C1C8FAF4-9500-4890-8015-63934F90C9F9}"/>
            </a:ext>
          </a:extLst>
        </xdr:cNvPr>
        <xdr:cNvSpPr/>
      </xdr:nvSpPr>
      <xdr:spPr>
        <a:xfrm>
          <a:off x="15377590" y="2669803"/>
          <a:ext cx="721360" cy="318982"/>
        </a:xfrm>
        <a:prstGeom prst="rect">
          <a:avLst/>
        </a:prstGeom>
        <a:noFill/>
        <a:ln w="2222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600" b="0">
              <a:solidFill>
                <a:sysClr val="windowText" lastClr="000000"/>
              </a:solidFill>
            </a:rPr>
            <a:t>1000</a:t>
          </a:r>
          <a:endParaRPr lang="en-US" sz="1100"/>
        </a:p>
      </xdr:txBody>
    </xdr:sp>
    <xdr:clientData/>
  </xdr:twoCellAnchor>
  <xdr:twoCellAnchor>
    <xdr:from>
      <xdr:col>10</xdr:col>
      <xdr:colOff>169340</xdr:colOff>
      <xdr:row>8</xdr:row>
      <xdr:rowOff>288553</xdr:rowOff>
    </xdr:from>
    <xdr:to>
      <xdr:col>10</xdr:col>
      <xdr:colOff>992300</xdr:colOff>
      <xdr:row>9</xdr:row>
      <xdr:rowOff>280510</xdr:rowOff>
    </xdr:to>
    <xdr:sp macro="" textlink="">
      <xdr:nvSpPr>
        <xdr:cNvPr id="16" name="Rectangle 15">
          <a:extLst>
            <a:ext uri="{FF2B5EF4-FFF2-40B4-BE49-F238E27FC236}">
              <a16:creationId xmlns:a16="http://schemas.microsoft.com/office/drawing/2014/main" id="{5547AACB-C693-488F-A436-37116B49B4D2}"/>
            </a:ext>
          </a:extLst>
        </xdr:cNvPr>
        <xdr:cNvSpPr/>
      </xdr:nvSpPr>
      <xdr:spPr>
        <a:xfrm>
          <a:off x="16139590" y="2669803"/>
          <a:ext cx="822960" cy="318982"/>
        </a:xfrm>
        <a:prstGeom prst="rect">
          <a:avLst/>
        </a:prstGeom>
        <a:noFill/>
        <a:ln w="2222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600" b="0">
              <a:solidFill>
                <a:sysClr val="windowText" lastClr="000000"/>
              </a:solidFill>
            </a:rPr>
            <a:t>2000</a:t>
          </a:r>
          <a:endParaRPr lang="en-US" sz="1100"/>
        </a:p>
      </xdr:txBody>
    </xdr:sp>
    <xdr:clientData/>
  </xdr:twoCellAnchor>
  <xdr:twoCellAnchor>
    <xdr:from>
      <xdr:col>10</xdr:col>
      <xdr:colOff>1045640</xdr:colOff>
      <xdr:row>8</xdr:row>
      <xdr:rowOff>288553</xdr:rowOff>
    </xdr:from>
    <xdr:to>
      <xdr:col>10</xdr:col>
      <xdr:colOff>1868600</xdr:colOff>
      <xdr:row>9</xdr:row>
      <xdr:rowOff>280510</xdr:rowOff>
    </xdr:to>
    <xdr:sp macro="" textlink="">
      <xdr:nvSpPr>
        <xdr:cNvPr id="17" name="Rectangle 16">
          <a:extLst>
            <a:ext uri="{FF2B5EF4-FFF2-40B4-BE49-F238E27FC236}">
              <a16:creationId xmlns:a16="http://schemas.microsoft.com/office/drawing/2014/main" id="{1CB82AB0-80E6-4D84-9F1A-91FE77AD463B}"/>
            </a:ext>
          </a:extLst>
        </xdr:cNvPr>
        <xdr:cNvSpPr/>
      </xdr:nvSpPr>
      <xdr:spPr>
        <a:xfrm>
          <a:off x="17015890" y="2669803"/>
          <a:ext cx="822960" cy="318982"/>
        </a:xfrm>
        <a:prstGeom prst="rect">
          <a:avLst/>
        </a:prstGeom>
        <a:noFill/>
        <a:ln w="2222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600" b="0">
              <a:solidFill>
                <a:sysClr val="windowText" lastClr="000000"/>
              </a:solidFill>
            </a:rPr>
            <a:t>4000</a:t>
          </a:r>
          <a:endParaRPr lang="en-US" sz="1100"/>
        </a:p>
      </xdr:txBody>
    </xdr:sp>
    <xdr:clientData/>
  </xdr:twoCellAnchor>
  <xdr:twoCellAnchor>
    <xdr:from>
      <xdr:col>10</xdr:col>
      <xdr:colOff>1909240</xdr:colOff>
      <xdr:row>8</xdr:row>
      <xdr:rowOff>288553</xdr:rowOff>
    </xdr:from>
    <xdr:to>
      <xdr:col>10</xdr:col>
      <xdr:colOff>2732200</xdr:colOff>
      <xdr:row>9</xdr:row>
      <xdr:rowOff>280510</xdr:rowOff>
    </xdr:to>
    <xdr:sp macro="" textlink="">
      <xdr:nvSpPr>
        <xdr:cNvPr id="18" name="Rectangle 17">
          <a:extLst>
            <a:ext uri="{FF2B5EF4-FFF2-40B4-BE49-F238E27FC236}">
              <a16:creationId xmlns:a16="http://schemas.microsoft.com/office/drawing/2014/main" id="{7320920F-08CC-4681-A114-7D6BB0F26C6C}"/>
            </a:ext>
          </a:extLst>
        </xdr:cNvPr>
        <xdr:cNvSpPr/>
      </xdr:nvSpPr>
      <xdr:spPr>
        <a:xfrm>
          <a:off x="17879490" y="2669803"/>
          <a:ext cx="826135" cy="318982"/>
        </a:xfrm>
        <a:prstGeom prst="rect">
          <a:avLst/>
        </a:prstGeom>
        <a:noFill/>
        <a:ln w="2222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600" b="0">
              <a:solidFill>
                <a:sysClr val="windowText" lastClr="000000"/>
              </a:solidFill>
            </a:rPr>
            <a:t>6000</a:t>
          </a:r>
          <a:endParaRPr lang="en-US" sz="1100"/>
        </a:p>
      </xdr:txBody>
    </xdr:sp>
    <xdr:clientData/>
  </xdr:twoCellAnchor>
  <xdr:twoCellAnchor>
    <xdr:from>
      <xdr:col>0</xdr:col>
      <xdr:colOff>26832</xdr:colOff>
      <xdr:row>10</xdr:row>
      <xdr:rowOff>275699</xdr:rowOff>
    </xdr:from>
    <xdr:to>
      <xdr:col>2</xdr:col>
      <xdr:colOff>4938286</xdr:colOff>
      <xdr:row>12</xdr:row>
      <xdr:rowOff>179531</xdr:rowOff>
    </xdr:to>
    <xdr:sp macro="" textlink="">
      <xdr:nvSpPr>
        <xdr:cNvPr id="19" name="TextBox 18">
          <a:extLst>
            <a:ext uri="{FF2B5EF4-FFF2-40B4-BE49-F238E27FC236}">
              <a16:creationId xmlns:a16="http://schemas.microsoft.com/office/drawing/2014/main" id="{26DCB092-E678-4C2B-93F3-B3C97EC417C9}"/>
            </a:ext>
          </a:extLst>
        </xdr:cNvPr>
        <xdr:cNvSpPr txBox="1"/>
      </xdr:nvSpPr>
      <xdr:spPr>
        <a:xfrm>
          <a:off x="30007" y="3301474"/>
          <a:ext cx="5594079" cy="538832"/>
        </a:xfrm>
        <a:prstGeom prst="rect">
          <a:avLst/>
        </a:prstGeom>
        <a:solidFill>
          <a:schemeClr val="bg2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en-US" sz="1800" b="1"/>
            <a:t>Scheduled PMS </a:t>
          </a:r>
          <a:r>
            <a:rPr lang="az-Cyrl-AZ" sz="1800" b="1"/>
            <a:t>Запланированный </a:t>
          </a:r>
          <a:r>
            <a:rPr lang="en-US" sz="1800" b="1"/>
            <a:t>PMS</a:t>
          </a:r>
          <a:r>
            <a:rPr lang="az-Cyrl-AZ" sz="1800" b="1"/>
            <a:t>/Неделя</a:t>
          </a:r>
          <a:r>
            <a:rPr lang="en-US" sz="1800" b="1"/>
            <a:t>:</a:t>
          </a:r>
          <a:endParaRPr lang="az-Cyrl-AZ" sz="1800" b="1"/>
        </a:p>
      </xdr:txBody>
    </xdr:sp>
    <xdr:clientData/>
  </xdr:twoCellAnchor>
  <xdr:twoCellAnchor>
    <xdr:from>
      <xdr:col>2</xdr:col>
      <xdr:colOff>5053511</xdr:colOff>
      <xdr:row>10</xdr:row>
      <xdr:rowOff>228063</xdr:rowOff>
    </xdr:from>
    <xdr:to>
      <xdr:col>4</xdr:col>
      <xdr:colOff>147570</xdr:colOff>
      <xdr:row>12</xdr:row>
      <xdr:rowOff>204346</xdr:rowOff>
    </xdr:to>
    <xdr:sp macro="" textlink="">
      <xdr:nvSpPr>
        <xdr:cNvPr id="20" name="Rectangle 19">
          <a:extLst>
            <a:ext uri="{FF2B5EF4-FFF2-40B4-BE49-F238E27FC236}">
              <a16:creationId xmlns:a16="http://schemas.microsoft.com/office/drawing/2014/main" id="{26D60269-65AF-458F-98C9-3C1E639BDC01}"/>
            </a:ext>
          </a:extLst>
        </xdr:cNvPr>
        <xdr:cNvSpPr/>
      </xdr:nvSpPr>
      <xdr:spPr>
        <a:xfrm>
          <a:off x="5742486" y="3250663"/>
          <a:ext cx="2472759" cy="614458"/>
        </a:xfrm>
        <a:prstGeom prst="rect">
          <a:avLst/>
        </a:prstGeom>
        <a:noFill/>
        <a:ln w="2222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</xdr:col>
      <xdr:colOff>241480</xdr:colOff>
      <xdr:row>10</xdr:row>
      <xdr:rowOff>228063</xdr:rowOff>
    </xdr:from>
    <xdr:to>
      <xdr:col>5</xdr:col>
      <xdr:colOff>2818</xdr:colOff>
      <xdr:row>12</xdr:row>
      <xdr:rowOff>213871</xdr:rowOff>
    </xdr:to>
    <xdr:sp macro="" textlink="">
      <xdr:nvSpPr>
        <xdr:cNvPr id="21" name="Rectangle 20">
          <a:extLst>
            <a:ext uri="{FF2B5EF4-FFF2-40B4-BE49-F238E27FC236}">
              <a16:creationId xmlns:a16="http://schemas.microsoft.com/office/drawing/2014/main" id="{2435828C-3EE8-40A8-83F9-0C198E09D0F8}"/>
            </a:ext>
          </a:extLst>
        </xdr:cNvPr>
        <xdr:cNvSpPr/>
      </xdr:nvSpPr>
      <xdr:spPr>
        <a:xfrm>
          <a:off x="8309155" y="3250663"/>
          <a:ext cx="1390113" cy="620808"/>
        </a:xfrm>
        <a:prstGeom prst="rect">
          <a:avLst/>
        </a:prstGeom>
        <a:noFill/>
        <a:ln w="2222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120739</xdr:colOff>
      <xdr:row>0</xdr:row>
      <xdr:rowOff>53662</xdr:rowOff>
    </xdr:from>
    <xdr:to>
      <xdr:col>2</xdr:col>
      <xdr:colOff>2750175</xdr:colOff>
      <xdr:row>2</xdr:row>
      <xdr:rowOff>281725</xdr:rowOff>
    </xdr:to>
    <xdr:pic>
      <xdr:nvPicPr>
        <xdr:cNvPr id="22" name="Рисунок 1504720245" descr="A picture containing text, clipart&#10;&#10;Description automatically generated">
          <a:extLst>
            <a:ext uri="{FF2B5EF4-FFF2-40B4-BE49-F238E27FC236}">
              <a16:creationId xmlns:a16="http://schemas.microsoft.com/office/drawing/2014/main" id="{F5701B03-9E8C-4F06-89DF-9F91575F81E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3914" y="53662"/>
          <a:ext cx="3315236" cy="81226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30240</xdr:colOff>
      <xdr:row>5</xdr:row>
      <xdr:rowOff>236765</xdr:rowOff>
    </xdr:from>
    <xdr:to>
      <xdr:col>2</xdr:col>
      <xdr:colOff>2444751</xdr:colOff>
      <xdr:row>7</xdr:row>
      <xdr:rowOff>211667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8B46A7C5-7CE4-4B0D-815A-CA492C6693A6}"/>
            </a:ext>
          </a:extLst>
        </xdr:cNvPr>
        <xdr:cNvSpPr txBox="1"/>
      </xdr:nvSpPr>
      <xdr:spPr>
        <a:xfrm>
          <a:off x="33415" y="1776640"/>
          <a:ext cx="3100311" cy="492427"/>
        </a:xfrm>
        <a:prstGeom prst="rect">
          <a:avLst/>
        </a:prstGeom>
        <a:solidFill>
          <a:schemeClr val="bg2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en-US" sz="1800" b="1"/>
            <a:t>Equipment</a:t>
          </a:r>
          <a:r>
            <a:rPr lang="en-US" sz="1800" b="1" baseline="0"/>
            <a:t> </a:t>
          </a:r>
          <a:r>
            <a:rPr lang="ru-RU" sz="1800" b="1"/>
            <a:t>Оборудования:  </a:t>
          </a:r>
          <a:endParaRPr lang="en-US" sz="1800"/>
        </a:p>
      </xdr:txBody>
    </xdr:sp>
    <xdr:clientData/>
  </xdr:twoCellAnchor>
  <xdr:twoCellAnchor>
    <xdr:from>
      <xdr:col>7</xdr:col>
      <xdr:colOff>19504</xdr:colOff>
      <xdr:row>5</xdr:row>
      <xdr:rowOff>178467</xdr:rowOff>
    </xdr:from>
    <xdr:to>
      <xdr:col>8</xdr:col>
      <xdr:colOff>1545166</xdr:colOff>
      <xdr:row>7</xdr:row>
      <xdr:rowOff>214690</xdr:rowOff>
    </xdr:to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794C05E4-54C2-4C5F-A06E-58D38A05040D}"/>
            </a:ext>
          </a:extLst>
        </xdr:cNvPr>
        <xdr:cNvSpPr txBox="1"/>
      </xdr:nvSpPr>
      <xdr:spPr>
        <a:xfrm>
          <a:off x="11690804" y="1718342"/>
          <a:ext cx="2776612" cy="556923"/>
        </a:xfrm>
        <a:prstGeom prst="rect">
          <a:avLst/>
        </a:prstGeom>
        <a:solidFill>
          <a:schemeClr val="bg2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en-US" sz="2000" b="1"/>
            <a:t> </a:t>
          </a:r>
          <a:r>
            <a:rPr lang="en-US" sz="1800" b="1"/>
            <a:t>Hour Meter </a:t>
          </a:r>
          <a:r>
            <a:rPr lang="ru-RU" sz="1800" b="1"/>
            <a:t>моточасы: </a:t>
          </a:r>
          <a:endParaRPr lang="en-US" sz="1800"/>
        </a:p>
      </xdr:txBody>
    </xdr:sp>
    <xdr:clientData/>
  </xdr:twoCellAnchor>
  <xdr:twoCellAnchor>
    <xdr:from>
      <xdr:col>2</xdr:col>
      <xdr:colOff>2478012</xdr:colOff>
      <xdr:row>5</xdr:row>
      <xdr:rowOff>179917</xdr:rowOff>
    </xdr:from>
    <xdr:to>
      <xdr:col>2</xdr:col>
      <xdr:colOff>5841999</xdr:colOff>
      <xdr:row>7</xdr:row>
      <xdr:rowOff>299357</xdr:rowOff>
    </xdr:to>
    <xdr:sp macro="" textlink="">
      <xdr:nvSpPr>
        <xdr:cNvPr id="4" name="Rectangle 3">
          <a:extLst>
            <a:ext uri="{FF2B5EF4-FFF2-40B4-BE49-F238E27FC236}">
              <a16:creationId xmlns:a16="http://schemas.microsoft.com/office/drawing/2014/main" id="{2F6C815C-86D4-427E-A240-0C7979B91611}"/>
            </a:ext>
          </a:extLst>
        </xdr:cNvPr>
        <xdr:cNvSpPr/>
      </xdr:nvSpPr>
      <xdr:spPr>
        <a:xfrm>
          <a:off x="3163812" y="1719792"/>
          <a:ext cx="3367162" cy="640140"/>
        </a:xfrm>
        <a:prstGeom prst="rect">
          <a:avLst/>
        </a:prstGeom>
        <a:noFill/>
        <a:ln w="2222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55940</xdr:colOff>
      <xdr:row>8</xdr:row>
      <xdr:rowOff>176894</xdr:rowOff>
    </xdr:from>
    <xdr:to>
      <xdr:col>2</xdr:col>
      <xdr:colOff>4963584</xdr:colOff>
      <xdr:row>10</xdr:row>
      <xdr:rowOff>63501</xdr:rowOff>
    </xdr:to>
    <xdr:sp macro="" textlink="">
      <xdr:nvSpPr>
        <xdr:cNvPr id="5" name="TextBox 4">
          <a:extLst>
            <a:ext uri="{FF2B5EF4-FFF2-40B4-BE49-F238E27FC236}">
              <a16:creationId xmlns:a16="http://schemas.microsoft.com/office/drawing/2014/main" id="{3891BF68-803B-44CF-A77D-9F53472B3B59}"/>
            </a:ext>
          </a:extLst>
        </xdr:cNvPr>
        <xdr:cNvSpPr txBox="1"/>
      </xdr:nvSpPr>
      <xdr:spPr>
        <a:xfrm>
          <a:off x="55940" y="2561319"/>
          <a:ext cx="5596619" cy="527957"/>
        </a:xfrm>
        <a:prstGeom prst="rect">
          <a:avLst/>
        </a:prstGeom>
        <a:solidFill>
          <a:schemeClr val="bg2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en-US" sz="1800" b="1"/>
            <a:t>Date Sample Taken  </a:t>
          </a:r>
          <a:r>
            <a:rPr lang="az-Cyrl-AZ" sz="1800" b="1"/>
            <a:t>Дата отбора образца масла:</a:t>
          </a:r>
        </a:p>
      </xdr:txBody>
    </xdr:sp>
    <xdr:clientData/>
  </xdr:twoCellAnchor>
  <xdr:twoCellAnchor>
    <xdr:from>
      <xdr:col>2</xdr:col>
      <xdr:colOff>5070930</xdr:colOff>
      <xdr:row>8</xdr:row>
      <xdr:rowOff>142119</xdr:rowOff>
    </xdr:from>
    <xdr:to>
      <xdr:col>4</xdr:col>
      <xdr:colOff>736600</xdr:colOff>
      <xdr:row>10</xdr:row>
      <xdr:rowOff>116417</xdr:rowOff>
    </xdr:to>
    <xdr:sp macro="" textlink="">
      <xdr:nvSpPr>
        <xdr:cNvPr id="6" name="Rectangle 5">
          <a:extLst>
            <a:ext uri="{FF2B5EF4-FFF2-40B4-BE49-F238E27FC236}">
              <a16:creationId xmlns:a16="http://schemas.microsoft.com/office/drawing/2014/main" id="{5914FC92-B39A-41AD-A9EB-7B271E60C6F0}"/>
            </a:ext>
          </a:extLst>
        </xdr:cNvPr>
        <xdr:cNvSpPr/>
      </xdr:nvSpPr>
      <xdr:spPr>
        <a:xfrm>
          <a:off x="5756730" y="2526544"/>
          <a:ext cx="3047545" cy="612473"/>
        </a:xfrm>
        <a:prstGeom prst="rect">
          <a:avLst/>
        </a:prstGeom>
        <a:noFill/>
        <a:ln w="2222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1659920</xdr:colOff>
      <xdr:row>5</xdr:row>
      <xdr:rowOff>147109</xdr:rowOff>
    </xdr:from>
    <xdr:to>
      <xdr:col>10</xdr:col>
      <xdr:colOff>2730500</xdr:colOff>
      <xdr:row>7</xdr:row>
      <xdr:rowOff>266549</xdr:rowOff>
    </xdr:to>
    <xdr:sp macro="" textlink="">
      <xdr:nvSpPr>
        <xdr:cNvPr id="7" name="Rectangle 6">
          <a:extLst>
            <a:ext uri="{FF2B5EF4-FFF2-40B4-BE49-F238E27FC236}">
              <a16:creationId xmlns:a16="http://schemas.microsoft.com/office/drawing/2014/main" id="{FF18278E-1E26-4214-81CA-99C2C2CEFE46}"/>
            </a:ext>
          </a:extLst>
        </xdr:cNvPr>
        <xdr:cNvSpPr/>
      </xdr:nvSpPr>
      <xdr:spPr>
        <a:xfrm>
          <a:off x="14582170" y="1686984"/>
          <a:ext cx="4121755" cy="636965"/>
        </a:xfrm>
        <a:prstGeom prst="rect">
          <a:avLst/>
        </a:prstGeom>
        <a:noFill/>
        <a:ln w="2222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586321</xdr:colOff>
      <xdr:row>10</xdr:row>
      <xdr:rowOff>4234</xdr:rowOff>
    </xdr:from>
    <xdr:to>
      <xdr:col>8</xdr:col>
      <xdr:colOff>1409281</xdr:colOff>
      <xdr:row>11</xdr:row>
      <xdr:rowOff>6774</xdr:rowOff>
    </xdr:to>
    <xdr:sp macro="" textlink="">
      <xdr:nvSpPr>
        <xdr:cNvPr id="8" name="Rectangle 7">
          <a:extLst>
            <a:ext uri="{FF2B5EF4-FFF2-40B4-BE49-F238E27FC236}">
              <a16:creationId xmlns:a16="http://schemas.microsoft.com/office/drawing/2014/main" id="{D0E2871E-8DB9-4DE9-B327-398233396BD9}"/>
            </a:ext>
          </a:extLst>
        </xdr:cNvPr>
        <xdr:cNvSpPr/>
      </xdr:nvSpPr>
      <xdr:spPr>
        <a:xfrm>
          <a:off x="13508571" y="3026834"/>
          <a:ext cx="822960" cy="323215"/>
        </a:xfrm>
        <a:prstGeom prst="rect">
          <a:avLst/>
        </a:prstGeom>
        <a:noFill/>
        <a:ln w="2222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588440</xdr:colOff>
      <xdr:row>8</xdr:row>
      <xdr:rowOff>288553</xdr:rowOff>
    </xdr:from>
    <xdr:to>
      <xdr:col>8</xdr:col>
      <xdr:colOff>1411400</xdr:colOff>
      <xdr:row>9</xdr:row>
      <xdr:rowOff>280510</xdr:rowOff>
    </xdr:to>
    <xdr:sp macro="" textlink="">
      <xdr:nvSpPr>
        <xdr:cNvPr id="9" name="Rectangle 8">
          <a:extLst>
            <a:ext uri="{FF2B5EF4-FFF2-40B4-BE49-F238E27FC236}">
              <a16:creationId xmlns:a16="http://schemas.microsoft.com/office/drawing/2014/main" id="{0BD91E1E-9FCC-4178-AD02-0AB8D671B418}"/>
            </a:ext>
          </a:extLst>
        </xdr:cNvPr>
        <xdr:cNvSpPr/>
      </xdr:nvSpPr>
      <xdr:spPr>
        <a:xfrm>
          <a:off x="13510690" y="2669803"/>
          <a:ext cx="822960" cy="318982"/>
        </a:xfrm>
        <a:prstGeom prst="rect">
          <a:avLst/>
        </a:prstGeom>
        <a:noFill/>
        <a:ln w="2222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600" b="0">
              <a:solidFill>
                <a:sysClr val="windowText" lastClr="000000"/>
              </a:solidFill>
            </a:rPr>
            <a:t>250</a:t>
          </a:r>
          <a:r>
            <a:rPr lang="en-US" sz="1100"/>
            <a:t>0</a:t>
          </a:r>
        </a:p>
      </xdr:txBody>
    </xdr:sp>
    <xdr:clientData/>
  </xdr:twoCellAnchor>
  <xdr:twoCellAnchor editAs="oneCell">
    <xdr:from>
      <xdr:col>2</xdr:col>
      <xdr:colOff>1738395</xdr:colOff>
      <xdr:row>14</xdr:row>
      <xdr:rowOff>10584</xdr:rowOff>
    </xdr:from>
    <xdr:to>
      <xdr:col>2</xdr:col>
      <xdr:colOff>2120179</xdr:colOff>
      <xdr:row>15</xdr:row>
      <xdr:rowOff>63863</xdr:rowOff>
    </xdr:to>
    <xdr:pic>
      <xdr:nvPicPr>
        <xdr:cNvPr id="10" name="Picture 9">
          <a:extLst>
            <a:ext uri="{FF2B5EF4-FFF2-40B4-BE49-F238E27FC236}">
              <a16:creationId xmlns:a16="http://schemas.microsoft.com/office/drawing/2014/main" id="{824BED6D-BE02-4F7B-A41D-6AE093801EE4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-1" t="5806" r="58483" b="1606"/>
        <a:stretch/>
      </xdr:blipFill>
      <xdr:spPr>
        <a:xfrm>
          <a:off x="2427370" y="4306359"/>
          <a:ext cx="374799" cy="363794"/>
        </a:xfrm>
        <a:prstGeom prst="rect">
          <a:avLst/>
        </a:prstGeom>
      </xdr:spPr>
    </xdr:pic>
    <xdr:clientData/>
  </xdr:twoCellAnchor>
  <xdr:twoCellAnchor editAs="oneCell">
    <xdr:from>
      <xdr:col>2</xdr:col>
      <xdr:colOff>1689257</xdr:colOff>
      <xdr:row>15</xdr:row>
      <xdr:rowOff>22367</xdr:rowOff>
    </xdr:from>
    <xdr:to>
      <xdr:col>2</xdr:col>
      <xdr:colOff>2054584</xdr:colOff>
      <xdr:row>16</xdr:row>
      <xdr:rowOff>40973</xdr:rowOff>
    </xdr:to>
    <xdr:pic>
      <xdr:nvPicPr>
        <xdr:cNvPr id="11" name="Picture 10">
          <a:extLst>
            <a:ext uri="{FF2B5EF4-FFF2-40B4-BE49-F238E27FC236}">
              <a16:creationId xmlns:a16="http://schemas.microsoft.com/office/drawing/2014/main" id="{11AB0210-696C-4AD2-AEB9-E716A94F53E6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58749" t="8127" r="-1" b="4799"/>
        <a:stretch/>
      </xdr:blipFill>
      <xdr:spPr>
        <a:xfrm>
          <a:off x="2378232" y="4632467"/>
          <a:ext cx="362152" cy="336106"/>
        </a:xfrm>
        <a:prstGeom prst="rect">
          <a:avLst/>
        </a:prstGeom>
      </xdr:spPr>
    </xdr:pic>
    <xdr:clientData/>
  </xdr:twoCellAnchor>
  <xdr:twoCellAnchor>
    <xdr:from>
      <xdr:col>8</xdr:col>
      <xdr:colOff>590254</xdr:colOff>
      <xdr:row>11</xdr:row>
      <xdr:rowOff>8467</xdr:rowOff>
    </xdr:from>
    <xdr:to>
      <xdr:col>8</xdr:col>
      <xdr:colOff>1413214</xdr:colOff>
      <xdr:row>12</xdr:row>
      <xdr:rowOff>21167</xdr:rowOff>
    </xdr:to>
    <xdr:sp macro="" textlink="">
      <xdr:nvSpPr>
        <xdr:cNvPr id="12" name="Rectangle 11">
          <a:extLst>
            <a:ext uri="{FF2B5EF4-FFF2-40B4-BE49-F238E27FC236}">
              <a16:creationId xmlns:a16="http://schemas.microsoft.com/office/drawing/2014/main" id="{8A4C56DD-C75B-462C-9CD5-251F4C5924FC}"/>
            </a:ext>
          </a:extLst>
        </xdr:cNvPr>
        <xdr:cNvSpPr/>
      </xdr:nvSpPr>
      <xdr:spPr>
        <a:xfrm>
          <a:off x="13512504" y="3351742"/>
          <a:ext cx="822960" cy="327025"/>
        </a:xfrm>
        <a:prstGeom prst="rect">
          <a:avLst/>
        </a:prstGeom>
        <a:noFill/>
        <a:ln w="2222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584207</xdr:colOff>
      <xdr:row>12</xdr:row>
      <xdr:rowOff>12701</xdr:rowOff>
    </xdr:from>
    <xdr:to>
      <xdr:col>8</xdr:col>
      <xdr:colOff>1407167</xdr:colOff>
      <xdr:row>13</xdr:row>
      <xdr:rowOff>25401</xdr:rowOff>
    </xdr:to>
    <xdr:sp macro="" textlink="">
      <xdr:nvSpPr>
        <xdr:cNvPr id="13" name="Rectangle 12">
          <a:extLst>
            <a:ext uri="{FF2B5EF4-FFF2-40B4-BE49-F238E27FC236}">
              <a16:creationId xmlns:a16="http://schemas.microsoft.com/office/drawing/2014/main" id="{E643D4E8-E0AD-4547-8480-121FF178802A}"/>
            </a:ext>
          </a:extLst>
        </xdr:cNvPr>
        <xdr:cNvSpPr/>
      </xdr:nvSpPr>
      <xdr:spPr>
        <a:xfrm>
          <a:off x="13509632" y="3673476"/>
          <a:ext cx="819785" cy="330200"/>
        </a:xfrm>
        <a:prstGeom prst="rect">
          <a:avLst/>
        </a:prstGeom>
        <a:noFill/>
        <a:ln w="2222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1452040</xdr:colOff>
      <xdr:row>8</xdr:row>
      <xdr:rowOff>288553</xdr:rowOff>
    </xdr:from>
    <xdr:to>
      <xdr:col>9</xdr:col>
      <xdr:colOff>458900</xdr:colOff>
      <xdr:row>9</xdr:row>
      <xdr:rowOff>280510</xdr:rowOff>
    </xdr:to>
    <xdr:sp macro="" textlink="">
      <xdr:nvSpPr>
        <xdr:cNvPr id="14" name="Rectangle 13">
          <a:extLst>
            <a:ext uri="{FF2B5EF4-FFF2-40B4-BE49-F238E27FC236}">
              <a16:creationId xmlns:a16="http://schemas.microsoft.com/office/drawing/2014/main" id="{DA610604-DE9F-44DD-B7E7-BA1F92EE0AE6}"/>
            </a:ext>
          </a:extLst>
        </xdr:cNvPr>
        <xdr:cNvSpPr/>
      </xdr:nvSpPr>
      <xdr:spPr>
        <a:xfrm>
          <a:off x="14374290" y="2669803"/>
          <a:ext cx="949960" cy="318982"/>
        </a:xfrm>
        <a:prstGeom prst="rect">
          <a:avLst/>
        </a:prstGeom>
        <a:noFill/>
        <a:ln w="2222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600" b="0">
              <a:solidFill>
                <a:sysClr val="windowText" lastClr="000000"/>
              </a:solidFill>
            </a:rPr>
            <a:t>500</a:t>
          </a:r>
          <a:r>
            <a:rPr lang="en-US" sz="1100"/>
            <a:t>0</a:t>
          </a:r>
        </a:p>
      </xdr:txBody>
    </xdr:sp>
    <xdr:clientData/>
  </xdr:twoCellAnchor>
  <xdr:twoCellAnchor>
    <xdr:from>
      <xdr:col>9</xdr:col>
      <xdr:colOff>512240</xdr:colOff>
      <xdr:row>8</xdr:row>
      <xdr:rowOff>288553</xdr:rowOff>
    </xdr:from>
    <xdr:to>
      <xdr:col>10</xdr:col>
      <xdr:colOff>128700</xdr:colOff>
      <xdr:row>9</xdr:row>
      <xdr:rowOff>280510</xdr:rowOff>
    </xdr:to>
    <xdr:sp macro="" textlink="">
      <xdr:nvSpPr>
        <xdr:cNvPr id="15" name="Rectangle 14">
          <a:extLst>
            <a:ext uri="{FF2B5EF4-FFF2-40B4-BE49-F238E27FC236}">
              <a16:creationId xmlns:a16="http://schemas.microsoft.com/office/drawing/2014/main" id="{56F75A95-DAEE-43A0-8B4E-8AD544AA6904}"/>
            </a:ext>
          </a:extLst>
        </xdr:cNvPr>
        <xdr:cNvSpPr/>
      </xdr:nvSpPr>
      <xdr:spPr>
        <a:xfrm>
          <a:off x="15377590" y="2669803"/>
          <a:ext cx="721360" cy="318982"/>
        </a:xfrm>
        <a:prstGeom prst="rect">
          <a:avLst/>
        </a:prstGeom>
        <a:noFill/>
        <a:ln w="2222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600" b="0">
              <a:solidFill>
                <a:sysClr val="windowText" lastClr="000000"/>
              </a:solidFill>
            </a:rPr>
            <a:t>1000</a:t>
          </a:r>
          <a:endParaRPr lang="en-US" sz="1100"/>
        </a:p>
      </xdr:txBody>
    </xdr:sp>
    <xdr:clientData/>
  </xdr:twoCellAnchor>
  <xdr:twoCellAnchor>
    <xdr:from>
      <xdr:col>10</xdr:col>
      <xdr:colOff>169340</xdr:colOff>
      <xdr:row>8</xdr:row>
      <xdr:rowOff>288553</xdr:rowOff>
    </xdr:from>
    <xdr:to>
      <xdr:col>10</xdr:col>
      <xdr:colOff>992300</xdr:colOff>
      <xdr:row>9</xdr:row>
      <xdr:rowOff>280510</xdr:rowOff>
    </xdr:to>
    <xdr:sp macro="" textlink="">
      <xdr:nvSpPr>
        <xdr:cNvPr id="16" name="Rectangle 15">
          <a:extLst>
            <a:ext uri="{FF2B5EF4-FFF2-40B4-BE49-F238E27FC236}">
              <a16:creationId xmlns:a16="http://schemas.microsoft.com/office/drawing/2014/main" id="{AA2AD2D2-3112-4EBD-B0C4-41076BF997D7}"/>
            </a:ext>
          </a:extLst>
        </xdr:cNvPr>
        <xdr:cNvSpPr/>
      </xdr:nvSpPr>
      <xdr:spPr>
        <a:xfrm>
          <a:off x="16139590" y="2669803"/>
          <a:ext cx="822960" cy="318982"/>
        </a:xfrm>
        <a:prstGeom prst="rect">
          <a:avLst/>
        </a:prstGeom>
        <a:noFill/>
        <a:ln w="2222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600" b="0">
              <a:solidFill>
                <a:sysClr val="windowText" lastClr="000000"/>
              </a:solidFill>
            </a:rPr>
            <a:t>2000</a:t>
          </a:r>
          <a:endParaRPr lang="en-US" sz="1100"/>
        </a:p>
      </xdr:txBody>
    </xdr:sp>
    <xdr:clientData/>
  </xdr:twoCellAnchor>
  <xdr:twoCellAnchor>
    <xdr:from>
      <xdr:col>10</xdr:col>
      <xdr:colOff>1045640</xdr:colOff>
      <xdr:row>8</xdr:row>
      <xdr:rowOff>288553</xdr:rowOff>
    </xdr:from>
    <xdr:to>
      <xdr:col>10</xdr:col>
      <xdr:colOff>1868600</xdr:colOff>
      <xdr:row>9</xdr:row>
      <xdr:rowOff>280510</xdr:rowOff>
    </xdr:to>
    <xdr:sp macro="" textlink="">
      <xdr:nvSpPr>
        <xdr:cNvPr id="17" name="Rectangle 16">
          <a:extLst>
            <a:ext uri="{FF2B5EF4-FFF2-40B4-BE49-F238E27FC236}">
              <a16:creationId xmlns:a16="http://schemas.microsoft.com/office/drawing/2014/main" id="{1B00DB07-701C-403B-9EAB-B19B6354DB64}"/>
            </a:ext>
          </a:extLst>
        </xdr:cNvPr>
        <xdr:cNvSpPr/>
      </xdr:nvSpPr>
      <xdr:spPr>
        <a:xfrm>
          <a:off x="17015890" y="2669803"/>
          <a:ext cx="822960" cy="318982"/>
        </a:xfrm>
        <a:prstGeom prst="rect">
          <a:avLst/>
        </a:prstGeom>
        <a:noFill/>
        <a:ln w="2222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600" b="0">
              <a:solidFill>
                <a:sysClr val="windowText" lastClr="000000"/>
              </a:solidFill>
            </a:rPr>
            <a:t>4000</a:t>
          </a:r>
          <a:endParaRPr lang="en-US" sz="1100"/>
        </a:p>
      </xdr:txBody>
    </xdr:sp>
    <xdr:clientData/>
  </xdr:twoCellAnchor>
  <xdr:twoCellAnchor>
    <xdr:from>
      <xdr:col>10</xdr:col>
      <xdr:colOff>1909240</xdr:colOff>
      <xdr:row>8</xdr:row>
      <xdr:rowOff>288553</xdr:rowOff>
    </xdr:from>
    <xdr:to>
      <xdr:col>10</xdr:col>
      <xdr:colOff>2732200</xdr:colOff>
      <xdr:row>9</xdr:row>
      <xdr:rowOff>280510</xdr:rowOff>
    </xdr:to>
    <xdr:sp macro="" textlink="">
      <xdr:nvSpPr>
        <xdr:cNvPr id="18" name="Rectangle 17">
          <a:extLst>
            <a:ext uri="{FF2B5EF4-FFF2-40B4-BE49-F238E27FC236}">
              <a16:creationId xmlns:a16="http://schemas.microsoft.com/office/drawing/2014/main" id="{00AAF00C-01F1-4F97-8774-C95EB68BCE64}"/>
            </a:ext>
          </a:extLst>
        </xdr:cNvPr>
        <xdr:cNvSpPr/>
      </xdr:nvSpPr>
      <xdr:spPr>
        <a:xfrm>
          <a:off x="17879490" y="2669803"/>
          <a:ext cx="826135" cy="318982"/>
        </a:xfrm>
        <a:prstGeom prst="rect">
          <a:avLst/>
        </a:prstGeom>
        <a:noFill/>
        <a:ln w="2222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600" b="0">
              <a:solidFill>
                <a:sysClr val="windowText" lastClr="000000"/>
              </a:solidFill>
            </a:rPr>
            <a:t>6000</a:t>
          </a:r>
          <a:endParaRPr lang="en-US" sz="1100"/>
        </a:p>
      </xdr:txBody>
    </xdr:sp>
    <xdr:clientData/>
  </xdr:twoCellAnchor>
  <xdr:twoCellAnchor>
    <xdr:from>
      <xdr:col>0</xdr:col>
      <xdr:colOff>26832</xdr:colOff>
      <xdr:row>10</xdr:row>
      <xdr:rowOff>275699</xdr:rowOff>
    </xdr:from>
    <xdr:to>
      <xdr:col>2</xdr:col>
      <xdr:colOff>4938286</xdr:colOff>
      <xdr:row>12</xdr:row>
      <xdr:rowOff>179531</xdr:rowOff>
    </xdr:to>
    <xdr:sp macro="" textlink="">
      <xdr:nvSpPr>
        <xdr:cNvPr id="19" name="TextBox 18">
          <a:extLst>
            <a:ext uri="{FF2B5EF4-FFF2-40B4-BE49-F238E27FC236}">
              <a16:creationId xmlns:a16="http://schemas.microsoft.com/office/drawing/2014/main" id="{34631216-90B8-4BB0-B398-3B4410EB39DE}"/>
            </a:ext>
          </a:extLst>
        </xdr:cNvPr>
        <xdr:cNvSpPr txBox="1"/>
      </xdr:nvSpPr>
      <xdr:spPr>
        <a:xfrm>
          <a:off x="30007" y="3301474"/>
          <a:ext cx="5594079" cy="538832"/>
        </a:xfrm>
        <a:prstGeom prst="rect">
          <a:avLst/>
        </a:prstGeom>
        <a:solidFill>
          <a:schemeClr val="bg2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en-US" sz="1800" b="1"/>
            <a:t>Scheduled PMS </a:t>
          </a:r>
          <a:r>
            <a:rPr lang="az-Cyrl-AZ" sz="1800" b="1"/>
            <a:t>Запланированный </a:t>
          </a:r>
          <a:r>
            <a:rPr lang="en-US" sz="1800" b="1"/>
            <a:t>PMS</a:t>
          </a:r>
          <a:r>
            <a:rPr lang="az-Cyrl-AZ" sz="1800" b="1"/>
            <a:t>/Неделя</a:t>
          </a:r>
          <a:r>
            <a:rPr lang="en-US" sz="1800" b="1"/>
            <a:t>:</a:t>
          </a:r>
          <a:endParaRPr lang="az-Cyrl-AZ" sz="1800" b="1"/>
        </a:p>
      </xdr:txBody>
    </xdr:sp>
    <xdr:clientData/>
  </xdr:twoCellAnchor>
  <xdr:twoCellAnchor>
    <xdr:from>
      <xdr:col>2</xdr:col>
      <xdr:colOff>5053511</xdr:colOff>
      <xdr:row>10</xdr:row>
      <xdr:rowOff>228063</xdr:rowOff>
    </xdr:from>
    <xdr:to>
      <xdr:col>4</xdr:col>
      <xdr:colOff>147570</xdr:colOff>
      <xdr:row>12</xdr:row>
      <xdr:rowOff>204346</xdr:rowOff>
    </xdr:to>
    <xdr:sp macro="" textlink="">
      <xdr:nvSpPr>
        <xdr:cNvPr id="20" name="Rectangle 19">
          <a:extLst>
            <a:ext uri="{FF2B5EF4-FFF2-40B4-BE49-F238E27FC236}">
              <a16:creationId xmlns:a16="http://schemas.microsoft.com/office/drawing/2014/main" id="{8391A1DF-2771-44B4-9713-F0C63986BBE1}"/>
            </a:ext>
          </a:extLst>
        </xdr:cNvPr>
        <xdr:cNvSpPr/>
      </xdr:nvSpPr>
      <xdr:spPr>
        <a:xfrm>
          <a:off x="5742486" y="3250663"/>
          <a:ext cx="2472759" cy="614458"/>
        </a:xfrm>
        <a:prstGeom prst="rect">
          <a:avLst/>
        </a:prstGeom>
        <a:noFill/>
        <a:ln w="2222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</xdr:col>
      <xdr:colOff>241480</xdr:colOff>
      <xdr:row>10</xdr:row>
      <xdr:rowOff>228063</xdr:rowOff>
    </xdr:from>
    <xdr:to>
      <xdr:col>5</xdr:col>
      <xdr:colOff>2818</xdr:colOff>
      <xdr:row>12</xdr:row>
      <xdr:rowOff>213871</xdr:rowOff>
    </xdr:to>
    <xdr:sp macro="" textlink="">
      <xdr:nvSpPr>
        <xdr:cNvPr id="21" name="Rectangle 20">
          <a:extLst>
            <a:ext uri="{FF2B5EF4-FFF2-40B4-BE49-F238E27FC236}">
              <a16:creationId xmlns:a16="http://schemas.microsoft.com/office/drawing/2014/main" id="{9EA45007-0538-484C-9301-6C4410C36448}"/>
            </a:ext>
          </a:extLst>
        </xdr:cNvPr>
        <xdr:cNvSpPr/>
      </xdr:nvSpPr>
      <xdr:spPr>
        <a:xfrm>
          <a:off x="8309155" y="3250663"/>
          <a:ext cx="1390113" cy="620808"/>
        </a:xfrm>
        <a:prstGeom prst="rect">
          <a:avLst/>
        </a:prstGeom>
        <a:noFill/>
        <a:ln w="2222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120739</xdr:colOff>
      <xdr:row>0</xdr:row>
      <xdr:rowOff>53662</xdr:rowOff>
    </xdr:from>
    <xdr:to>
      <xdr:col>2</xdr:col>
      <xdr:colOff>2750175</xdr:colOff>
      <xdr:row>2</xdr:row>
      <xdr:rowOff>281725</xdr:rowOff>
    </xdr:to>
    <xdr:pic>
      <xdr:nvPicPr>
        <xdr:cNvPr id="22" name="Рисунок 1504720245" descr="A picture containing text, clipart&#10;&#10;Description automatically generated">
          <a:extLst>
            <a:ext uri="{FF2B5EF4-FFF2-40B4-BE49-F238E27FC236}">
              <a16:creationId xmlns:a16="http://schemas.microsoft.com/office/drawing/2014/main" id="{9CFBDE93-4C5F-41D2-8E0F-0D52814ECE4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3914" y="53662"/>
          <a:ext cx="3315236" cy="81226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30240</xdr:colOff>
      <xdr:row>5</xdr:row>
      <xdr:rowOff>236765</xdr:rowOff>
    </xdr:from>
    <xdr:to>
      <xdr:col>2</xdr:col>
      <xdr:colOff>2444751</xdr:colOff>
      <xdr:row>7</xdr:row>
      <xdr:rowOff>211667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875ADF54-2BD8-4A7F-BBAF-345171DBAB80}"/>
            </a:ext>
          </a:extLst>
        </xdr:cNvPr>
        <xdr:cNvSpPr txBox="1"/>
      </xdr:nvSpPr>
      <xdr:spPr>
        <a:xfrm>
          <a:off x="28335" y="1762670"/>
          <a:ext cx="3123171" cy="483537"/>
        </a:xfrm>
        <a:prstGeom prst="rect">
          <a:avLst/>
        </a:prstGeom>
        <a:solidFill>
          <a:schemeClr val="bg2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en-US" sz="1800" b="1"/>
            <a:t>Equipment</a:t>
          </a:r>
          <a:r>
            <a:rPr lang="en-US" sz="1800" b="1" baseline="0"/>
            <a:t> </a:t>
          </a:r>
          <a:r>
            <a:rPr lang="ru-RU" sz="1800" b="1"/>
            <a:t>Оборудования:  </a:t>
          </a:r>
          <a:endParaRPr lang="en-US" sz="1800"/>
        </a:p>
      </xdr:txBody>
    </xdr:sp>
    <xdr:clientData/>
  </xdr:twoCellAnchor>
  <xdr:twoCellAnchor>
    <xdr:from>
      <xdr:col>7</xdr:col>
      <xdr:colOff>19504</xdr:colOff>
      <xdr:row>5</xdr:row>
      <xdr:rowOff>178467</xdr:rowOff>
    </xdr:from>
    <xdr:to>
      <xdr:col>8</xdr:col>
      <xdr:colOff>1545166</xdr:colOff>
      <xdr:row>7</xdr:row>
      <xdr:rowOff>214690</xdr:rowOff>
    </xdr:to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653ADD26-B444-4273-B72A-EE5B7C840D25}"/>
            </a:ext>
          </a:extLst>
        </xdr:cNvPr>
        <xdr:cNvSpPr txBox="1"/>
      </xdr:nvSpPr>
      <xdr:spPr>
        <a:xfrm>
          <a:off x="11760019" y="1698657"/>
          <a:ext cx="2668662" cy="550573"/>
        </a:xfrm>
        <a:prstGeom prst="rect">
          <a:avLst/>
        </a:prstGeom>
        <a:solidFill>
          <a:schemeClr val="bg2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en-US" sz="2000" b="1"/>
            <a:t> </a:t>
          </a:r>
          <a:r>
            <a:rPr lang="en-US" sz="1800" b="1"/>
            <a:t>Hour Meter </a:t>
          </a:r>
          <a:r>
            <a:rPr lang="ru-RU" sz="1800" b="1"/>
            <a:t>моточасы: </a:t>
          </a:r>
          <a:endParaRPr lang="en-US" sz="1800"/>
        </a:p>
      </xdr:txBody>
    </xdr:sp>
    <xdr:clientData/>
  </xdr:twoCellAnchor>
  <xdr:twoCellAnchor>
    <xdr:from>
      <xdr:col>2</xdr:col>
      <xdr:colOff>2478012</xdr:colOff>
      <xdr:row>5</xdr:row>
      <xdr:rowOff>179917</xdr:rowOff>
    </xdr:from>
    <xdr:to>
      <xdr:col>2</xdr:col>
      <xdr:colOff>5841999</xdr:colOff>
      <xdr:row>7</xdr:row>
      <xdr:rowOff>299357</xdr:rowOff>
    </xdr:to>
    <xdr:sp macro="" textlink="">
      <xdr:nvSpPr>
        <xdr:cNvPr id="4" name="Rectangle 3">
          <a:extLst>
            <a:ext uri="{FF2B5EF4-FFF2-40B4-BE49-F238E27FC236}">
              <a16:creationId xmlns:a16="http://schemas.microsoft.com/office/drawing/2014/main" id="{E689DDB3-EFDA-484E-AA40-4953BA0C6CBE}"/>
            </a:ext>
          </a:extLst>
        </xdr:cNvPr>
        <xdr:cNvSpPr/>
      </xdr:nvSpPr>
      <xdr:spPr>
        <a:xfrm>
          <a:off x="3182862" y="1702012"/>
          <a:ext cx="3367797" cy="633790"/>
        </a:xfrm>
        <a:prstGeom prst="rect">
          <a:avLst/>
        </a:prstGeom>
        <a:noFill/>
        <a:ln w="2222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55940</xdr:colOff>
      <xdr:row>8</xdr:row>
      <xdr:rowOff>176894</xdr:rowOff>
    </xdr:from>
    <xdr:to>
      <xdr:col>2</xdr:col>
      <xdr:colOff>4963584</xdr:colOff>
      <xdr:row>10</xdr:row>
      <xdr:rowOff>63501</xdr:rowOff>
    </xdr:to>
    <xdr:sp macro="" textlink="">
      <xdr:nvSpPr>
        <xdr:cNvPr id="5" name="TextBox 4">
          <a:extLst>
            <a:ext uri="{FF2B5EF4-FFF2-40B4-BE49-F238E27FC236}">
              <a16:creationId xmlns:a16="http://schemas.microsoft.com/office/drawing/2014/main" id="{7B4B427C-118D-44CA-AF92-FD319B7BE8B3}"/>
            </a:ext>
          </a:extLst>
        </xdr:cNvPr>
        <xdr:cNvSpPr txBox="1"/>
      </xdr:nvSpPr>
      <xdr:spPr>
        <a:xfrm>
          <a:off x="59750" y="2535284"/>
          <a:ext cx="5610589" cy="524782"/>
        </a:xfrm>
        <a:prstGeom prst="rect">
          <a:avLst/>
        </a:prstGeom>
        <a:solidFill>
          <a:schemeClr val="bg2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en-US" sz="1800" b="1"/>
            <a:t>Date Sample Taken  </a:t>
          </a:r>
          <a:r>
            <a:rPr lang="az-Cyrl-AZ" sz="1800" b="1"/>
            <a:t>Дата отбора образца масла:</a:t>
          </a:r>
        </a:p>
      </xdr:txBody>
    </xdr:sp>
    <xdr:clientData/>
  </xdr:twoCellAnchor>
  <xdr:twoCellAnchor>
    <xdr:from>
      <xdr:col>2</xdr:col>
      <xdr:colOff>5070930</xdr:colOff>
      <xdr:row>8</xdr:row>
      <xdr:rowOff>142119</xdr:rowOff>
    </xdr:from>
    <xdr:to>
      <xdr:col>4</xdr:col>
      <xdr:colOff>736600</xdr:colOff>
      <xdr:row>10</xdr:row>
      <xdr:rowOff>116417</xdr:rowOff>
    </xdr:to>
    <xdr:sp macro="" textlink="">
      <xdr:nvSpPr>
        <xdr:cNvPr id="6" name="Rectangle 5">
          <a:extLst>
            <a:ext uri="{FF2B5EF4-FFF2-40B4-BE49-F238E27FC236}">
              <a16:creationId xmlns:a16="http://schemas.microsoft.com/office/drawing/2014/main" id="{4D394CAC-9E9F-4FF8-B4E1-4FF8B50519A4}"/>
            </a:ext>
          </a:extLst>
        </xdr:cNvPr>
        <xdr:cNvSpPr/>
      </xdr:nvSpPr>
      <xdr:spPr>
        <a:xfrm>
          <a:off x="5775780" y="2502414"/>
          <a:ext cx="3003730" cy="614378"/>
        </a:xfrm>
        <a:prstGeom prst="rect">
          <a:avLst/>
        </a:prstGeom>
        <a:noFill/>
        <a:ln w="2222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1659920</xdr:colOff>
      <xdr:row>5</xdr:row>
      <xdr:rowOff>147109</xdr:rowOff>
    </xdr:from>
    <xdr:to>
      <xdr:col>10</xdr:col>
      <xdr:colOff>2730500</xdr:colOff>
      <xdr:row>7</xdr:row>
      <xdr:rowOff>266549</xdr:rowOff>
    </xdr:to>
    <xdr:sp macro="" textlink="">
      <xdr:nvSpPr>
        <xdr:cNvPr id="7" name="Rectangle 6">
          <a:extLst>
            <a:ext uri="{FF2B5EF4-FFF2-40B4-BE49-F238E27FC236}">
              <a16:creationId xmlns:a16="http://schemas.microsoft.com/office/drawing/2014/main" id="{85BBE265-876A-4BE9-BCE6-0E925DBAE740}"/>
            </a:ext>
          </a:extLst>
        </xdr:cNvPr>
        <xdr:cNvSpPr/>
      </xdr:nvSpPr>
      <xdr:spPr>
        <a:xfrm>
          <a:off x="14543435" y="1669204"/>
          <a:ext cx="4090005" cy="635695"/>
        </a:xfrm>
        <a:prstGeom prst="rect">
          <a:avLst/>
        </a:prstGeom>
        <a:noFill/>
        <a:ln w="2222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586321</xdr:colOff>
      <xdr:row>10</xdr:row>
      <xdr:rowOff>4234</xdr:rowOff>
    </xdr:from>
    <xdr:to>
      <xdr:col>8</xdr:col>
      <xdr:colOff>1409281</xdr:colOff>
      <xdr:row>11</xdr:row>
      <xdr:rowOff>6774</xdr:rowOff>
    </xdr:to>
    <xdr:sp macro="" textlink="">
      <xdr:nvSpPr>
        <xdr:cNvPr id="8" name="Rectangle 7">
          <a:extLst>
            <a:ext uri="{FF2B5EF4-FFF2-40B4-BE49-F238E27FC236}">
              <a16:creationId xmlns:a16="http://schemas.microsoft.com/office/drawing/2014/main" id="{09F89B3D-8C2A-413E-912F-148282B51172}"/>
            </a:ext>
          </a:extLst>
        </xdr:cNvPr>
        <xdr:cNvSpPr/>
      </xdr:nvSpPr>
      <xdr:spPr>
        <a:xfrm>
          <a:off x="13477456" y="3006514"/>
          <a:ext cx="819150" cy="316865"/>
        </a:xfrm>
        <a:prstGeom prst="rect">
          <a:avLst/>
        </a:prstGeom>
        <a:noFill/>
        <a:ln w="2222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588440</xdr:colOff>
      <xdr:row>8</xdr:row>
      <xdr:rowOff>315383</xdr:rowOff>
    </xdr:from>
    <xdr:to>
      <xdr:col>8</xdr:col>
      <xdr:colOff>1411400</xdr:colOff>
      <xdr:row>9</xdr:row>
      <xdr:rowOff>307340</xdr:rowOff>
    </xdr:to>
    <xdr:sp macro="" textlink="">
      <xdr:nvSpPr>
        <xdr:cNvPr id="9" name="Rectangle 8">
          <a:extLst>
            <a:ext uri="{FF2B5EF4-FFF2-40B4-BE49-F238E27FC236}">
              <a16:creationId xmlns:a16="http://schemas.microsoft.com/office/drawing/2014/main" id="{58C5C395-49EF-49E8-9690-78A6638B35A6}"/>
            </a:ext>
          </a:extLst>
        </xdr:cNvPr>
        <xdr:cNvSpPr/>
      </xdr:nvSpPr>
      <xdr:spPr>
        <a:xfrm>
          <a:off x="13479575" y="2679488"/>
          <a:ext cx="819150" cy="313902"/>
        </a:xfrm>
        <a:prstGeom prst="rect">
          <a:avLst/>
        </a:prstGeom>
        <a:noFill/>
        <a:ln w="2222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600" b="0">
              <a:solidFill>
                <a:sysClr val="windowText" lastClr="000000"/>
              </a:solidFill>
            </a:rPr>
            <a:t>250</a:t>
          </a:r>
          <a:r>
            <a:rPr lang="en-US" sz="1100"/>
            <a:t>0</a:t>
          </a:r>
        </a:p>
      </xdr:txBody>
    </xdr:sp>
    <xdr:clientData/>
  </xdr:twoCellAnchor>
  <xdr:twoCellAnchor editAs="oneCell">
    <xdr:from>
      <xdr:col>2</xdr:col>
      <xdr:colOff>1738395</xdr:colOff>
      <xdr:row>14</xdr:row>
      <xdr:rowOff>10584</xdr:rowOff>
    </xdr:from>
    <xdr:to>
      <xdr:col>2</xdr:col>
      <xdr:colOff>2116369</xdr:colOff>
      <xdr:row>15</xdr:row>
      <xdr:rowOff>60053</xdr:rowOff>
    </xdr:to>
    <xdr:pic>
      <xdr:nvPicPr>
        <xdr:cNvPr id="10" name="Picture 9">
          <a:extLst>
            <a:ext uri="{FF2B5EF4-FFF2-40B4-BE49-F238E27FC236}">
              <a16:creationId xmlns:a16="http://schemas.microsoft.com/office/drawing/2014/main" id="{216028A0-B860-4D84-A1A9-0476CC430705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-1" t="5806" r="58483" b="1606"/>
        <a:stretch/>
      </xdr:blipFill>
      <xdr:spPr>
        <a:xfrm>
          <a:off x="2439435" y="4270164"/>
          <a:ext cx="377974" cy="358079"/>
        </a:xfrm>
        <a:prstGeom prst="rect">
          <a:avLst/>
        </a:prstGeom>
      </xdr:spPr>
    </xdr:pic>
    <xdr:clientData/>
  </xdr:twoCellAnchor>
  <xdr:twoCellAnchor editAs="oneCell">
    <xdr:from>
      <xdr:col>2</xdr:col>
      <xdr:colOff>1689257</xdr:colOff>
      <xdr:row>15</xdr:row>
      <xdr:rowOff>22367</xdr:rowOff>
    </xdr:from>
    <xdr:to>
      <xdr:col>2</xdr:col>
      <xdr:colOff>2054584</xdr:colOff>
      <xdr:row>16</xdr:row>
      <xdr:rowOff>40973</xdr:rowOff>
    </xdr:to>
    <xdr:pic>
      <xdr:nvPicPr>
        <xdr:cNvPr id="11" name="Picture 10">
          <a:extLst>
            <a:ext uri="{FF2B5EF4-FFF2-40B4-BE49-F238E27FC236}">
              <a16:creationId xmlns:a16="http://schemas.microsoft.com/office/drawing/2014/main" id="{2BFA42EE-7091-4D42-BDA0-9DCF7EFBA54B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58749" t="8127" r="-1" b="4799"/>
        <a:stretch/>
      </xdr:blipFill>
      <xdr:spPr>
        <a:xfrm>
          <a:off x="2397917" y="4590557"/>
          <a:ext cx="361517" cy="336741"/>
        </a:xfrm>
        <a:prstGeom prst="rect">
          <a:avLst/>
        </a:prstGeom>
      </xdr:spPr>
    </xdr:pic>
    <xdr:clientData/>
  </xdr:twoCellAnchor>
  <xdr:twoCellAnchor>
    <xdr:from>
      <xdr:col>8</xdr:col>
      <xdr:colOff>590254</xdr:colOff>
      <xdr:row>11</xdr:row>
      <xdr:rowOff>8467</xdr:rowOff>
    </xdr:from>
    <xdr:to>
      <xdr:col>8</xdr:col>
      <xdr:colOff>1413214</xdr:colOff>
      <xdr:row>12</xdr:row>
      <xdr:rowOff>21167</xdr:rowOff>
    </xdr:to>
    <xdr:sp macro="" textlink="">
      <xdr:nvSpPr>
        <xdr:cNvPr id="12" name="Rectangle 11">
          <a:extLst>
            <a:ext uri="{FF2B5EF4-FFF2-40B4-BE49-F238E27FC236}">
              <a16:creationId xmlns:a16="http://schemas.microsoft.com/office/drawing/2014/main" id="{249AB8D3-7247-449F-A22C-6AA864685967}"/>
            </a:ext>
          </a:extLst>
        </xdr:cNvPr>
        <xdr:cNvSpPr/>
      </xdr:nvSpPr>
      <xdr:spPr>
        <a:xfrm>
          <a:off x="13481389" y="3325072"/>
          <a:ext cx="819150" cy="321310"/>
        </a:xfrm>
        <a:prstGeom prst="rect">
          <a:avLst/>
        </a:prstGeom>
        <a:noFill/>
        <a:ln w="2222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584207</xdr:colOff>
      <xdr:row>12</xdr:row>
      <xdr:rowOff>12701</xdr:rowOff>
    </xdr:from>
    <xdr:to>
      <xdr:col>8</xdr:col>
      <xdr:colOff>1407167</xdr:colOff>
      <xdr:row>13</xdr:row>
      <xdr:rowOff>25401</xdr:rowOff>
    </xdr:to>
    <xdr:sp macro="" textlink="">
      <xdr:nvSpPr>
        <xdr:cNvPr id="13" name="Rectangle 12">
          <a:extLst>
            <a:ext uri="{FF2B5EF4-FFF2-40B4-BE49-F238E27FC236}">
              <a16:creationId xmlns:a16="http://schemas.microsoft.com/office/drawing/2014/main" id="{E014B984-9E32-47DD-ACDC-9448FBBB9028}"/>
            </a:ext>
          </a:extLst>
        </xdr:cNvPr>
        <xdr:cNvSpPr/>
      </xdr:nvSpPr>
      <xdr:spPr>
        <a:xfrm>
          <a:off x="13475342" y="3645536"/>
          <a:ext cx="819150" cy="319405"/>
        </a:xfrm>
        <a:prstGeom prst="rect">
          <a:avLst/>
        </a:prstGeom>
        <a:noFill/>
        <a:ln w="2222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1452040</xdr:colOff>
      <xdr:row>8</xdr:row>
      <xdr:rowOff>315383</xdr:rowOff>
    </xdr:from>
    <xdr:to>
      <xdr:col>9</xdr:col>
      <xdr:colOff>458900</xdr:colOff>
      <xdr:row>9</xdr:row>
      <xdr:rowOff>307340</xdr:rowOff>
    </xdr:to>
    <xdr:sp macro="" textlink="">
      <xdr:nvSpPr>
        <xdr:cNvPr id="15" name="Rectangle 14">
          <a:extLst>
            <a:ext uri="{FF2B5EF4-FFF2-40B4-BE49-F238E27FC236}">
              <a16:creationId xmlns:a16="http://schemas.microsoft.com/office/drawing/2014/main" id="{BD750AEB-628E-4761-93EA-BA54D2635780}"/>
            </a:ext>
          </a:extLst>
        </xdr:cNvPr>
        <xdr:cNvSpPr/>
      </xdr:nvSpPr>
      <xdr:spPr>
        <a:xfrm>
          <a:off x="14341270" y="2679488"/>
          <a:ext cx="824230" cy="313902"/>
        </a:xfrm>
        <a:prstGeom prst="rect">
          <a:avLst/>
        </a:prstGeom>
        <a:noFill/>
        <a:ln w="2222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600" b="0">
              <a:solidFill>
                <a:sysClr val="windowText" lastClr="000000"/>
              </a:solidFill>
            </a:rPr>
            <a:t>500</a:t>
          </a:r>
          <a:r>
            <a:rPr lang="en-US" sz="1100"/>
            <a:t>0</a:t>
          </a:r>
        </a:p>
      </xdr:txBody>
    </xdr:sp>
    <xdr:clientData/>
  </xdr:twoCellAnchor>
  <xdr:twoCellAnchor>
    <xdr:from>
      <xdr:col>9</xdr:col>
      <xdr:colOff>512240</xdr:colOff>
      <xdr:row>8</xdr:row>
      <xdr:rowOff>315383</xdr:rowOff>
    </xdr:from>
    <xdr:to>
      <xdr:col>10</xdr:col>
      <xdr:colOff>128700</xdr:colOff>
      <xdr:row>9</xdr:row>
      <xdr:rowOff>307340</xdr:rowOff>
    </xdr:to>
    <xdr:sp macro="" textlink="">
      <xdr:nvSpPr>
        <xdr:cNvPr id="16" name="Rectangle 15">
          <a:extLst>
            <a:ext uri="{FF2B5EF4-FFF2-40B4-BE49-F238E27FC236}">
              <a16:creationId xmlns:a16="http://schemas.microsoft.com/office/drawing/2014/main" id="{DD8BDE35-9323-4064-99A8-4320090D99A8}"/>
            </a:ext>
          </a:extLst>
        </xdr:cNvPr>
        <xdr:cNvSpPr/>
      </xdr:nvSpPr>
      <xdr:spPr>
        <a:xfrm>
          <a:off x="15222650" y="2679488"/>
          <a:ext cx="816610" cy="313902"/>
        </a:xfrm>
        <a:prstGeom prst="rect">
          <a:avLst/>
        </a:prstGeom>
        <a:noFill/>
        <a:ln w="2222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600" b="0">
              <a:solidFill>
                <a:sysClr val="windowText" lastClr="000000"/>
              </a:solidFill>
            </a:rPr>
            <a:t>1000</a:t>
          </a:r>
          <a:endParaRPr lang="en-US" sz="1100"/>
        </a:p>
      </xdr:txBody>
    </xdr:sp>
    <xdr:clientData/>
  </xdr:twoCellAnchor>
  <xdr:twoCellAnchor>
    <xdr:from>
      <xdr:col>10</xdr:col>
      <xdr:colOff>169340</xdr:colOff>
      <xdr:row>8</xdr:row>
      <xdr:rowOff>315383</xdr:rowOff>
    </xdr:from>
    <xdr:to>
      <xdr:col>10</xdr:col>
      <xdr:colOff>992300</xdr:colOff>
      <xdr:row>9</xdr:row>
      <xdr:rowOff>307340</xdr:rowOff>
    </xdr:to>
    <xdr:sp macro="" textlink="">
      <xdr:nvSpPr>
        <xdr:cNvPr id="17" name="Rectangle 16">
          <a:extLst>
            <a:ext uri="{FF2B5EF4-FFF2-40B4-BE49-F238E27FC236}">
              <a16:creationId xmlns:a16="http://schemas.microsoft.com/office/drawing/2014/main" id="{FAA43CEF-ACF5-45D8-B789-1F54A5358661}"/>
            </a:ext>
          </a:extLst>
        </xdr:cNvPr>
        <xdr:cNvSpPr/>
      </xdr:nvSpPr>
      <xdr:spPr>
        <a:xfrm>
          <a:off x="16079900" y="2679488"/>
          <a:ext cx="819150" cy="313902"/>
        </a:xfrm>
        <a:prstGeom prst="rect">
          <a:avLst/>
        </a:prstGeom>
        <a:noFill/>
        <a:ln w="2222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600" b="0">
              <a:solidFill>
                <a:sysClr val="windowText" lastClr="000000"/>
              </a:solidFill>
            </a:rPr>
            <a:t>2000</a:t>
          </a:r>
          <a:endParaRPr lang="en-US" sz="1100"/>
        </a:p>
      </xdr:txBody>
    </xdr:sp>
    <xdr:clientData/>
  </xdr:twoCellAnchor>
  <xdr:twoCellAnchor>
    <xdr:from>
      <xdr:col>10</xdr:col>
      <xdr:colOff>1045640</xdr:colOff>
      <xdr:row>8</xdr:row>
      <xdr:rowOff>315383</xdr:rowOff>
    </xdr:from>
    <xdr:to>
      <xdr:col>10</xdr:col>
      <xdr:colOff>1868600</xdr:colOff>
      <xdr:row>9</xdr:row>
      <xdr:rowOff>307340</xdr:rowOff>
    </xdr:to>
    <xdr:sp macro="" textlink="">
      <xdr:nvSpPr>
        <xdr:cNvPr id="18" name="Rectangle 17">
          <a:extLst>
            <a:ext uri="{FF2B5EF4-FFF2-40B4-BE49-F238E27FC236}">
              <a16:creationId xmlns:a16="http://schemas.microsoft.com/office/drawing/2014/main" id="{3883E5AA-FDA4-41EF-8315-98820B0C4E2B}"/>
            </a:ext>
          </a:extLst>
        </xdr:cNvPr>
        <xdr:cNvSpPr/>
      </xdr:nvSpPr>
      <xdr:spPr>
        <a:xfrm>
          <a:off x="16956200" y="2679488"/>
          <a:ext cx="819150" cy="313902"/>
        </a:xfrm>
        <a:prstGeom prst="rect">
          <a:avLst/>
        </a:prstGeom>
        <a:noFill/>
        <a:ln w="2222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600" b="0">
              <a:solidFill>
                <a:sysClr val="windowText" lastClr="000000"/>
              </a:solidFill>
            </a:rPr>
            <a:t>4000</a:t>
          </a:r>
          <a:endParaRPr lang="en-US" sz="1100"/>
        </a:p>
      </xdr:txBody>
    </xdr:sp>
    <xdr:clientData/>
  </xdr:twoCellAnchor>
  <xdr:twoCellAnchor>
    <xdr:from>
      <xdr:col>10</xdr:col>
      <xdr:colOff>1909240</xdr:colOff>
      <xdr:row>8</xdr:row>
      <xdr:rowOff>315383</xdr:rowOff>
    </xdr:from>
    <xdr:to>
      <xdr:col>10</xdr:col>
      <xdr:colOff>2732200</xdr:colOff>
      <xdr:row>9</xdr:row>
      <xdr:rowOff>307340</xdr:rowOff>
    </xdr:to>
    <xdr:sp macro="" textlink="">
      <xdr:nvSpPr>
        <xdr:cNvPr id="19" name="Rectangle 18">
          <a:extLst>
            <a:ext uri="{FF2B5EF4-FFF2-40B4-BE49-F238E27FC236}">
              <a16:creationId xmlns:a16="http://schemas.microsoft.com/office/drawing/2014/main" id="{D9549834-99AE-4E81-BA6D-E477A88BCF61}"/>
            </a:ext>
          </a:extLst>
        </xdr:cNvPr>
        <xdr:cNvSpPr/>
      </xdr:nvSpPr>
      <xdr:spPr>
        <a:xfrm>
          <a:off x="17817895" y="2679488"/>
          <a:ext cx="819150" cy="313902"/>
        </a:xfrm>
        <a:prstGeom prst="rect">
          <a:avLst/>
        </a:prstGeom>
        <a:noFill/>
        <a:ln w="2222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600" b="0">
              <a:solidFill>
                <a:sysClr val="windowText" lastClr="000000"/>
              </a:solidFill>
            </a:rPr>
            <a:t>6000</a:t>
          </a:r>
          <a:endParaRPr lang="en-US" sz="1100"/>
        </a:p>
      </xdr:txBody>
    </xdr:sp>
    <xdr:clientData/>
  </xdr:twoCellAnchor>
  <xdr:twoCellAnchor>
    <xdr:from>
      <xdr:col>0</xdr:col>
      <xdr:colOff>53662</xdr:colOff>
      <xdr:row>10</xdr:row>
      <xdr:rowOff>248868</xdr:rowOff>
    </xdr:from>
    <xdr:to>
      <xdr:col>2</xdr:col>
      <xdr:colOff>4963211</xdr:colOff>
      <xdr:row>12</xdr:row>
      <xdr:rowOff>152700</xdr:rowOff>
    </xdr:to>
    <xdr:sp macro="" textlink="">
      <xdr:nvSpPr>
        <xdr:cNvPr id="20" name="TextBox 19">
          <a:extLst>
            <a:ext uri="{FF2B5EF4-FFF2-40B4-BE49-F238E27FC236}">
              <a16:creationId xmlns:a16="http://schemas.microsoft.com/office/drawing/2014/main" id="{290F5652-8F8E-443D-86F5-DAB8FEA7ABF0}"/>
            </a:ext>
          </a:extLst>
        </xdr:cNvPr>
        <xdr:cNvSpPr txBox="1"/>
      </xdr:nvSpPr>
      <xdr:spPr>
        <a:xfrm>
          <a:off x="53662" y="3213692"/>
          <a:ext cx="5607155" cy="520945"/>
        </a:xfrm>
        <a:prstGeom prst="rect">
          <a:avLst/>
        </a:prstGeom>
        <a:solidFill>
          <a:schemeClr val="bg2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en-US" sz="1800" b="1"/>
            <a:t>Scheduled PMS </a:t>
          </a:r>
          <a:r>
            <a:rPr lang="az-Cyrl-AZ" sz="1800" b="1"/>
            <a:t>Запланированный </a:t>
          </a:r>
          <a:r>
            <a:rPr lang="en-US" sz="1800" b="1"/>
            <a:t>PMS</a:t>
          </a:r>
          <a:r>
            <a:rPr lang="az-Cyrl-AZ" sz="1800" b="1"/>
            <a:t>/Неделя</a:t>
          </a:r>
          <a:r>
            <a:rPr lang="en-US" sz="1800" b="1"/>
            <a:t> :</a:t>
          </a:r>
          <a:endParaRPr lang="az-Cyrl-AZ" sz="1800" b="1"/>
        </a:p>
      </xdr:txBody>
    </xdr:sp>
    <xdr:clientData/>
  </xdr:twoCellAnchor>
  <xdr:twoCellAnchor>
    <xdr:from>
      <xdr:col>2</xdr:col>
      <xdr:colOff>5078436</xdr:colOff>
      <xdr:row>10</xdr:row>
      <xdr:rowOff>201232</xdr:rowOff>
    </xdr:from>
    <xdr:to>
      <xdr:col>4</xdr:col>
      <xdr:colOff>770937</xdr:colOff>
      <xdr:row>12</xdr:row>
      <xdr:rowOff>177515</xdr:rowOff>
    </xdr:to>
    <xdr:sp macro="" textlink="">
      <xdr:nvSpPr>
        <xdr:cNvPr id="21" name="Rectangle 20">
          <a:extLst>
            <a:ext uri="{FF2B5EF4-FFF2-40B4-BE49-F238E27FC236}">
              <a16:creationId xmlns:a16="http://schemas.microsoft.com/office/drawing/2014/main" id="{C08992E8-DC1C-4838-B68E-E43DA9C67887}"/>
            </a:ext>
          </a:extLst>
        </xdr:cNvPr>
        <xdr:cNvSpPr/>
      </xdr:nvSpPr>
      <xdr:spPr>
        <a:xfrm>
          <a:off x="5776042" y="3166056"/>
          <a:ext cx="3030775" cy="593396"/>
        </a:xfrm>
        <a:prstGeom prst="rect">
          <a:avLst/>
        </a:prstGeom>
        <a:noFill/>
        <a:ln w="2222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</xdr:col>
      <xdr:colOff>831760</xdr:colOff>
      <xdr:row>10</xdr:row>
      <xdr:rowOff>187817</xdr:rowOff>
    </xdr:from>
    <xdr:to>
      <xdr:col>4</xdr:col>
      <xdr:colOff>1652921</xdr:colOff>
      <xdr:row>12</xdr:row>
      <xdr:rowOff>173625</xdr:rowOff>
    </xdr:to>
    <xdr:sp macro="" textlink="">
      <xdr:nvSpPr>
        <xdr:cNvPr id="22" name="Rectangle 21">
          <a:extLst>
            <a:ext uri="{FF2B5EF4-FFF2-40B4-BE49-F238E27FC236}">
              <a16:creationId xmlns:a16="http://schemas.microsoft.com/office/drawing/2014/main" id="{CD788450-8BE0-4E72-9AC9-06BD4C0892DF}"/>
            </a:ext>
          </a:extLst>
        </xdr:cNvPr>
        <xdr:cNvSpPr/>
      </xdr:nvSpPr>
      <xdr:spPr>
        <a:xfrm>
          <a:off x="8867640" y="3152641"/>
          <a:ext cx="821161" cy="602921"/>
        </a:xfrm>
        <a:prstGeom prst="rect">
          <a:avLst/>
        </a:prstGeom>
        <a:noFill/>
        <a:ln w="2222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2</xdr:col>
      <xdr:colOff>2629436</xdr:colOff>
      <xdr:row>2</xdr:row>
      <xdr:rowOff>228063</xdr:rowOff>
    </xdr:to>
    <xdr:pic>
      <xdr:nvPicPr>
        <xdr:cNvPr id="23" name="Рисунок 1504720245" descr="A picture containing text, clipart&#10;&#10;Description automatically generated">
          <a:extLst>
            <a:ext uri="{FF2B5EF4-FFF2-40B4-BE49-F238E27FC236}">
              <a16:creationId xmlns:a16="http://schemas.microsoft.com/office/drawing/2014/main" id="{DE314872-1589-45BA-9322-60F2ADBF3EC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3313626" cy="80492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30240</xdr:colOff>
      <xdr:row>5</xdr:row>
      <xdr:rowOff>236765</xdr:rowOff>
    </xdr:from>
    <xdr:to>
      <xdr:col>2</xdr:col>
      <xdr:colOff>2444751</xdr:colOff>
      <xdr:row>7</xdr:row>
      <xdr:rowOff>211667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1C8135AA-68E0-42B1-9A9E-CF80DD23DF19}"/>
            </a:ext>
          </a:extLst>
        </xdr:cNvPr>
        <xdr:cNvSpPr txBox="1"/>
      </xdr:nvSpPr>
      <xdr:spPr>
        <a:xfrm>
          <a:off x="28335" y="1762670"/>
          <a:ext cx="3123171" cy="483537"/>
        </a:xfrm>
        <a:prstGeom prst="rect">
          <a:avLst/>
        </a:prstGeom>
        <a:solidFill>
          <a:schemeClr val="bg2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en-US" sz="1800" b="1"/>
            <a:t>Equipment</a:t>
          </a:r>
          <a:r>
            <a:rPr lang="en-US" sz="1800" b="1" baseline="0"/>
            <a:t> </a:t>
          </a:r>
          <a:r>
            <a:rPr lang="ru-RU" sz="1800" b="1"/>
            <a:t>Оборудования:  </a:t>
          </a:r>
          <a:endParaRPr lang="en-US" sz="1800"/>
        </a:p>
      </xdr:txBody>
    </xdr:sp>
    <xdr:clientData/>
  </xdr:twoCellAnchor>
  <xdr:twoCellAnchor>
    <xdr:from>
      <xdr:col>7</xdr:col>
      <xdr:colOff>19504</xdr:colOff>
      <xdr:row>5</xdr:row>
      <xdr:rowOff>178467</xdr:rowOff>
    </xdr:from>
    <xdr:to>
      <xdr:col>8</xdr:col>
      <xdr:colOff>1545166</xdr:colOff>
      <xdr:row>7</xdr:row>
      <xdr:rowOff>214690</xdr:rowOff>
    </xdr:to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CD2FA0FB-5724-453D-87CD-9B0D4284A3F0}"/>
            </a:ext>
          </a:extLst>
        </xdr:cNvPr>
        <xdr:cNvSpPr txBox="1"/>
      </xdr:nvSpPr>
      <xdr:spPr>
        <a:xfrm>
          <a:off x="11760019" y="1698657"/>
          <a:ext cx="2668662" cy="550573"/>
        </a:xfrm>
        <a:prstGeom prst="rect">
          <a:avLst/>
        </a:prstGeom>
        <a:solidFill>
          <a:schemeClr val="bg2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en-US" sz="2000" b="1"/>
            <a:t> </a:t>
          </a:r>
          <a:r>
            <a:rPr lang="en-US" sz="1800" b="1"/>
            <a:t>Hour Meter </a:t>
          </a:r>
          <a:r>
            <a:rPr lang="ru-RU" sz="1800" b="1"/>
            <a:t>моточасы: </a:t>
          </a:r>
          <a:endParaRPr lang="en-US" sz="1800"/>
        </a:p>
      </xdr:txBody>
    </xdr:sp>
    <xdr:clientData/>
  </xdr:twoCellAnchor>
  <xdr:twoCellAnchor>
    <xdr:from>
      <xdr:col>2</xdr:col>
      <xdr:colOff>2478012</xdr:colOff>
      <xdr:row>5</xdr:row>
      <xdr:rowOff>179917</xdr:rowOff>
    </xdr:from>
    <xdr:to>
      <xdr:col>2</xdr:col>
      <xdr:colOff>5841999</xdr:colOff>
      <xdr:row>7</xdr:row>
      <xdr:rowOff>299357</xdr:rowOff>
    </xdr:to>
    <xdr:sp macro="" textlink="">
      <xdr:nvSpPr>
        <xdr:cNvPr id="4" name="Rectangle 3">
          <a:extLst>
            <a:ext uri="{FF2B5EF4-FFF2-40B4-BE49-F238E27FC236}">
              <a16:creationId xmlns:a16="http://schemas.microsoft.com/office/drawing/2014/main" id="{E099BECB-F0FC-4859-BEB3-3FF0A12098EA}"/>
            </a:ext>
          </a:extLst>
        </xdr:cNvPr>
        <xdr:cNvSpPr/>
      </xdr:nvSpPr>
      <xdr:spPr>
        <a:xfrm>
          <a:off x="3182862" y="1702012"/>
          <a:ext cx="3367797" cy="633790"/>
        </a:xfrm>
        <a:prstGeom prst="rect">
          <a:avLst/>
        </a:prstGeom>
        <a:noFill/>
        <a:ln w="2222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55940</xdr:colOff>
      <xdr:row>8</xdr:row>
      <xdr:rowOff>176894</xdr:rowOff>
    </xdr:from>
    <xdr:to>
      <xdr:col>2</xdr:col>
      <xdr:colOff>4963584</xdr:colOff>
      <xdr:row>10</xdr:row>
      <xdr:rowOff>63501</xdr:rowOff>
    </xdr:to>
    <xdr:sp macro="" textlink="">
      <xdr:nvSpPr>
        <xdr:cNvPr id="5" name="TextBox 4">
          <a:extLst>
            <a:ext uri="{FF2B5EF4-FFF2-40B4-BE49-F238E27FC236}">
              <a16:creationId xmlns:a16="http://schemas.microsoft.com/office/drawing/2014/main" id="{322F40D0-A003-4AB5-8C21-72FA7FD0D427}"/>
            </a:ext>
          </a:extLst>
        </xdr:cNvPr>
        <xdr:cNvSpPr txBox="1"/>
      </xdr:nvSpPr>
      <xdr:spPr>
        <a:xfrm>
          <a:off x="59750" y="2535284"/>
          <a:ext cx="5610589" cy="524782"/>
        </a:xfrm>
        <a:prstGeom prst="rect">
          <a:avLst/>
        </a:prstGeom>
        <a:solidFill>
          <a:schemeClr val="bg2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en-US" sz="1800" b="1"/>
            <a:t>Date Sample Taken  </a:t>
          </a:r>
          <a:r>
            <a:rPr lang="az-Cyrl-AZ" sz="1800" b="1"/>
            <a:t>Дата отбора образца масла:</a:t>
          </a:r>
        </a:p>
      </xdr:txBody>
    </xdr:sp>
    <xdr:clientData/>
  </xdr:twoCellAnchor>
  <xdr:twoCellAnchor>
    <xdr:from>
      <xdr:col>2</xdr:col>
      <xdr:colOff>5070930</xdr:colOff>
      <xdr:row>8</xdr:row>
      <xdr:rowOff>142119</xdr:rowOff>
    </xdr:from>
    <xdr:to>
      <xdr:col>4</xdr:col>
      <xdr:colOff>736600</xdr:colOff>
      <xdr:row>10</xdr:row>
      <xdr:rowOff>116417</xdr:rowOff>
    </xdr:to>
    <xdr:sp macro="" textlink="">
      <xdr:nvSpPr>
        <xdr:cNvPr id="6" name="Rectangle 5">
          <a:extLst>
            <a:ext uri="{FF2B5EF4-FFF2-40B4-BE49-F238E27FC236}">
              <a16:creationId xmlns:a16="http://schemas.microsoft.com/office/drawing/2014/main" id="{DF57119E-6DB5-4104-B9C4-2F30CA0AAF61}"/>
            </a:ext>
          </a:extLst>
        </xdr:cNvPr>
        <xdr:cNvSpPr/>
      </xdr:nvSpPr>
      <xdr:spPr>
        <a:xfrm>
          <a:off x="5775780" y="2502414"/>
          <a:ext cx="3003730" cy="614378"/>
        </a:xfrm>
        <a:prstGeom prst="rect">
          <a:avLst/>
        </a:prstGeom>
        <a:noFill/>
        <a:ln w="2222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1659920</xdr:colOff>
      <xdr:row>5</xdr:row>
      <xdr:rowOff>147109</xdr:rowOff>
    </xdr:from>
    <xdr:to>
      <xdr:col>10</xdr:col>
      <xdr:colOff>2730500</xdr:colOff>
      <xdr:row>7</xdr:row>
      <xdr:rowOff>266549</xdr:rowOff>
    </xdr:to>
    <xdr:sp macro="" textlink="">
      <xdr:nvSpPr>
        <xdr:cNvPr id="7" name="Rectangle 6">
          <a:extLst>
            <a:ext uri="{FF2B5EF4-FFF2-40B4-BE49-F238E27FC236}">
              <a16:creationId xmlns:a16="http://schemas.microsoft.com/office/drawing/2014/main" id="{31128226-09DD-43AF-9CA2-C91204EC09A0}"/>
            </a:ext>
          </a:extLst>
        </xdr:cNvPr>
        <xdr:cNvSpPr/>
      </xdr:nvSpPr>
      <xdr:spPr>
        <a:xfrm>
          <a:off x="14543435" y="1669204"/>
          <a:ext cx="4090005" cy="635695"/>
        </a:xfrm>
        <a:prstGeom prst="rect">
          <a:avLst/>
        </a:prstGeom>
        <a:noFill/>
        <a:ln w="2222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586321</xdr:colOff>
      <xdr:row>10</xdr:row>
      <xdr:rowOff>4234</xdr:rowOff>
    </xdr:from>
    <xdr:to>
      <xdr:col>8</xdr:col>
      <xdr:colOff>1409281</xdr:colOff>
      <xdr:row>11</xdr:row>
      <xdr:rowOff>6774</xdr:rowOff>
    </xdr:to>
    <xdr:sp macro="" textlink="">
      <xdr:nvSpPr>
        <xdr:cNvPr id="8" name="Rectangle 7">
          <a:extLst>
            <a:ext uri="{FF2B5EF4-FFF2-40B4-BE49-F238E27FC236}">
              <a16:creationId xmlns:a16="http://schemas.microsoft.com/office/drawing/2014/main" id="{138D79B1-C3C5-4973-ADE0-86B1BF0CF7E2}"/>
            </a:ext>
          </a:extLst>
        </xdr:cNvPr>
        <xdr:cNvSpPr/>
      </xdr:nvSpPr>
      <xdr:spPr>
        <a:xfrm>
          <a:off x="13477456" y="3006514"/>
          <a:ext cx="819150" cy="316865"/>
        </a:xfrm>
        <a:prstGeom prst="rect">
          <a:avLst/>
        </a:prstGeom>
        <a:noFill/>
        <a:ln w="2222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588440</xdr:colOff>
      <xdr:row>8</xdr:row>
      <xdr:rowOff>315383</xdr:rowOff>
    </xdr:from>
    <xdr:to>
      <xdr:col>8</xdr:col>
      <xdr:colOff>1411400</xdr:colOff>
      <xdr:row>9</xdr:row>
      <xdr:rowOff>307340</xdr:rowOff>
    </xdr:to>
    <xdr:sp macro="" textlink="">
      <xdr:nvSpPr>
        <xdr:cNvPr id="9" name="Rectangle 8">
          <a:extLst>
            <a:ext uri="{FF2B5EF4-FFF2-40B4-BE49-F238E27FC236}">
              <a16:creationId xmlns:a16="http://schemas.microsoft.com/office/drawing/2014/main" id="{9F2B54A7-32E2-4A10-83C0-183C19529D6B}"/>
            </a:ext>
          </a:extLst>
        </xdr:cNvPr>
        <xdr:cNvSpPr/>
      </xdr:nvSpPr>
      <xdr:spPr>
        <a:xfrm>
          <a:off x="13479575" y="2679488"/>
          <a:ext cx="819150" cy="313902"/>
        </a:xfrm>
        <a:prstGeom prst="rect">
          <a:avLst/>
        </a:prstGeom>
        <a:noFill/>
        <a:ln w="2222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600" b="0">
              <a:solidFill>
                <a:sysClr val="windowText" lastClr="000000"/>
              </a:solidFill>
            </a:rPr>
            <a:t>250</a:t>
          </a:r>
          <a:r>
            <a:rPr lang="en-US" sz="1100"/>
            <a:t>0</a:t>
          </a:r>
        </a:p>
      </xdr:txBody>
    </xdr:sp>
    <xdr:clientData/>
  </xdr:twoCellAnchor>
  <xdr:twoCellAnchor editAs="oneCell">
    <xdr:from>
      <xdr:col>2</xdr:col>
      <xdr:colOff>1738395</xdr:colOff>
      <xdr:row>14</xdr:row>
      <xdr:rowOff>10584</xdr:rowOff>
    </xdr:from>
    <xdr:to>
      <xdr:col>2</xdr:col>
      <xdr:colOff>2116369</xdr:colOff>
      <xdr:row>15</xdr:row>
      <xdr:rowOff>60053</xdr:rowOff>
    </xdr:to>
    <xdr:pic>
      <xdr:nvPicPr>
        <xdr:cNvPr id="10" name="Picture 9">
          <a:extLst>
            <a:ext uri="{FF2B5EF4-FFF2-40B4-BE49-F238E27FC236}">
              <a16:creationId xmlns:a16="http://schemas.microsoft.com/office/drawing/2014/main" id="{DB01C614-4AFA-45F9-A53E-A144E8A2E30F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-1" t="5806" r="58483" b="1606"/>
        <a:stretch/>
      </xdr:blipFill>
      <xdr:spPr>
        <a:xfrm>
          <a:off x="2439435" y="4270164"/>
          <a:ext cx="377974" cy="358079"/>
        </a:xfrm>
        <a:prstGeom prst="rect">
          <a:avLst/>
        </a:prstGeom>
      </xdr:spPr>
    </xdr:pic>
    <xdr:clientData/>
  </xdr:twoCellAnchor>
  <xdr:twoCellAnchor editAs="oneCell">
    <xdr:from>
      <xdr:col>2</xdr:col>
      <xdr:colOff>1689257</xdr:colOff>
      <xdr:row>15</xdr:row>
      <xdr:rowOff>22367</xdr:rowOff>
    </xdr:from>
    <xdr:to>
      <xdr:col>2</xdr:col>
      <xdr:colOff>2054584</xdr:colOff>
      <xdr:row>16</xdr:row>
      <xdr:rowOff>40973</xdr:rowOff>
    </xdr:to>
    <xdr:pic>
      <xdr:nvPicPr>
        <xdr:cNvPr id="11" name="Picture 10">
          <a:extLst>
            <a:ext uri="{FF2B5EF4-FFF2-40B4-BE49-F238E27FC236}">
              <a16:creationId xmlns:a16="http://schemas.microsoft.com/office/drawing/2014/main" id="{F81026C7-4A5E-43B9-8F0F-ADC1F87647A2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58749" t="8127" r="-1" b="4799"/>
        <a:stretch/>
      </xdr:blipFill>
      <xdr:spPr>
        <a:xfrm>
          <a:off x="2397917" y="4590557"/>
          <a:ext cx="361517" cy="336741"/>
        </a:xfrm>
        <a:prstGeom prst="rect">
          <a:avLst/>
        </a:prstGeom>
      </xdr:spPr>
    </xdr:pic>
    <xdr:clientData/>
  </xdr:twoCellAnchor>
  <xdr:twoCellAnchor>
    <xdr:from>
      <xdr:col>8</xdr:col>
      <xdr:colOff>590254</xdr:colOff>
      <xdr:row>11</xdr:row>
      <xdr:rowOff>8467</xdr:rowOff>
    </xdr:from>
    <xdr:to>
      <xdr:col>8</xdr:col>
      <xdr:colOff>1413214</xdr:colOff>
      <xdr:row>12</xdr:row>
      <xdr:rowOff>21167</xdr:rowOff>
    </xdr:to>
    <xdr:sp macro="" textlink="">
      <xdr:nvSpPr>
        <xdr:cNvPr id="12" name="Rectangle 11">
          <a:extLst>
            <a:ext uri="{FF2B5EF4-FFF2-40B4-BE49-F238E27FC236}">
              <a16:creationId xmlns:a16="http://schemas.microsoft.com/office/drawing/2014/main" id="{7897B037-7650-4183-9A0D-0B079B5035AD}"/>
            </a:ext>
          </a:extLst>
        </xdr:cNvPr>
        <xdr:cNvSpPr/>
      </xdr:nvSpPr>
      <xdr:spPr>
        <a:xfrm>
          <a:off x="13481389" y="3325072"/>
          <a:ext cx="819150" cy="321310"/>
        </a:xfrm>
        <a:prstGeom prst="rect">
          <a:avLst/>
        </a:prstGeom>
        <a:noFill/>
        <a:ln w="2222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584207</xdr:colOff>
      <xdr:row>12</xdr:row>
      <xdr:rowOff>12701</xdr:rowOff>
    </xdr:from>
    <xdr:to>
      <xdr:col>8</xdr:col>
      <xdr:colOff>1407167</xdr:colOff>
      <xdr:row>13</xdr:row>
      <xdr:rowOff>25401</xdr:rowOff>
    </xdr:to>
    <xdr:sp macro="" textlink="">
      <xdr:nvSpPr>
        <xdr:cNvPr id="13" name="Rectangle 12">
          <a:extLst>
            <a:ext uri="{FF2B5EF4-FFF2-40B4-BE49-F238E27FC236}">
              <a16:creationId xmlns:a16="http://schemas.microsoft.com/office/drawing/2014/main" id="{7F91D4D6-5FBD-46A1-A62B-AA50FBAC982E}"/>
            </a:ext>
          </a:extLst>
        </xdr:cNvPr>
        <xdr:cNvSpPr/>
      </xdr:nvSpPr>
      <xdr:spPr>
        <a:xfrm>
          <a:off x="13475342" y="3645536"/>
          <a:ext cx="819150" cy="319405"/>
        </a:xfrm>
        <a:prstGeom prst="rect">
          <a:avLst/>
        </a:prstGeom>
        <a:noFill/>
        <a:ln w="2222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1452040</xdr:colOff>
      <xdr:row>8</xdr:row>
      <xdr:rowOff>315383</xdr:rowOff>
    </xdr:from>
    <xdr:to>
      <xdr:col>9</xdr:col>
      <xdr:colOff>458900</xdr:colOff>
      <xdr:row>9</xdr:row>
      <xdr:rowOff>307340</xdr:rowOff>
    </xdr:to>
    <xdr:sp macro="" textlink="">
      <xdr:nvSpPr>
        <xdr:cNvPr id="15" name="Rectangle 14">
          <a:extLst>
            <a:ext uri="{FF2B5EF4-FFF2-40B4-BE49-F238E27FC236}">
              <a16:creationId xmlns:a16="http://schemas.microsoft.com/office/drawing/2014/main" id="{6B00FE36-A6A5-44BD-B522-DD8B9D4C0BE6}"/>
            </a:ext>
          </a:extLst>
        </xdr:cNvPr>
        <xdr:cNvSpPr/>
      </xdr:nvSpPr>
      <xdr:spPr>
        <a:xfrm>
          <a:off x="14341270" y="2679488"/>
          <a:ext cx="824230" cy="313902"/>
        </a:xfrm>
        <a:prstGeom prst="rect">
          <a:avLst/>
        </a:prstGeom>
        <a:noFill/>
        <a:ln w="2222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600" b="0">
              <a:solidFill>
                <a:sysClr val="windowText" lastClr="000000"/>
              </a:solidFill>
            </a:rPr>
            <a:t>500</a:t>
          </a:r>
          <a:r>
            <a:rPr lang="en-US" sz="1100"/>
            <a:t>0</a:t>
          </a:r>
        </a:p>
      </xdr:txBody>
    </xdr:sp>
    <xdr:clientData/>
  </xdr:twoCellAnchor>
  <xdr:twoCellAnchor>
    <xdr:from>
      <xdr:col>9</xdr:col>
      <xdr:colOff>512240</xdr:colOff>
      <xdr:row>8</xdr:row>
      <xdr:rowOff>315383</xdr:rowOff>
    </xdr:from>
    <xdr:to>
      <xdr:col>10</xdr:col>
      <xdr:colOff>128700</xdr:colOff>
      <xdr:row>9</xdr:row>
      <xdr:rowOff>307340</xdr:rowOff>
    </xdr:to>
    <xdr:sp macro="" textlink="">
      <xdr:nvSpPr>
        <xdr:cNvPr id="16" name="Rectangle 15">
          <a:extLst>
            <a:ext uri="{FF2B5EF4-FFF2-40B4-BE49-F238E27FC236}">
              <a16:creationId xmlns:a16="http://schemas.microsoft.com/office/drawing/2014/main" id="{728555C3-39A2-4B4B-975D-D14745076404}"/>
            </a:ext>
          </a:extLst>
        </xdr:cNvPr>
        <xdr:cNvSpPr/>
      </xdr:nvSpPr>
      <xdr:spPr>
        <a:xfrm>
          <a:off x="15222650" y="2679488"/>
          <a:ext cx="816610" cy="313902"/>
        </a:xfrm>
        <a:prstGeom prst="rect">
          <a:avLst/>
        </a:prstGeom>
        <a:noFill/>
        <a:ln w="2222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600" b="0">
              <a:solidFill>
                <a:sysClr val="windowText" lastClr="000000"/>
              </a:solidFill>
            </a:rPr>
            <a:t>1000</a:t>
          </a:r>
          <a:endParaRPr lang="en-US" sz="1100"/>
        </a:p>
      </xdr:txBody>
    </xdr:sp>
    <xdr:clientData/>
  </xdr:twoCellAnchor>
  <xdr:twoCellAnchor>
    <xdr:from>
      <xdr:col>10</xdr:col>
      <xdr:colOff>169340</xdr:colOff>
      <xdr:row>8</xdr:row>
      <xdr:rowOff>315383</xdr:rowOff>
    </xdr:from>
    <xdr:to>
      <xdr:col>10</xdr:col>
      <xdr:colOff>992300</xdr:colOff>
      <xdr:row>9</xdr:row>
      <xdr:rowOff>307340</xdr:rowOff>
    </xdr:to>
    <xdr:sp macro="" textlink="">
      <xdr:nvSpPr>
        <xdr:cNvPr id="17" name="Rectangle 16">
          <a:extLst>
            <a:ext uri="{FF2B5EF4-FFF2-40B4-BE49-F238E27FC236}">
              <a16:creationId xmlns:a16="http://schemas.microsoft.com/office/drawing/2014/main" id="{CDA7AD63-C708-4C09-AF58-713BE1229EB5}"/>
            </a:ext>
          </a:extLst>
        </xdr:cNvPr>
        <xdr:cNvSpPr/>
      </xdr:nvSpPr>
      <xdr:spPr>
        <a:xfrm>
          <a:off x="16079900" y="2679488"/>
          <a:ext cx="819150" cy="313902"/>
        </a:xfrm>
        <a:prstGeom prst="rect">
          <a:avLst/>
        </a:prstGeom>
        <a:noFill/>
        <a:ln w="2222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600" b="0">
              <a:solidFill>
                <a:sysClr val="windowText" lastClr="000000"/>
              </a:solidFill>
            </a:rPr>
            <a:t>2000</a:t>
          </a:r>
          <a:endParaRPr lang="en-US" sz="1100"/>
        </a:p>
      </xdr:txBody>
    </xdr:sp>
    <xdr:clientData/>
  </xdr:twoCellAnchor>
  <xdr:twoCellAnchor>
    <xdr:from>
      <xdr:col>10</xdr:col>
      <xdr:colOff>1045640</xdr:colOff>
      <xdr:row>8</xdr:row>
      <xdr:rowOff>315383</xdr:rowOff>
    </xdr:from>
    <xdr:to>
      <xdr:col>10</xdr:col>
      <xdr:colOff>1868600</xdr:colOff>
      <xdr:row>9</xdr:row>
      <xdr:rowOff>307340</xdr:rowOff>
    </xdr:to>
    <xdr:sp macro="" textlink="">
      <xdr:nvSpPr>
        <xdr:cNvPr id="18" name="Rectangle 17">
          <a:extLst>
            <a:ext uri="{FF2B5EF4-FFF2-40B4-BE49-F238E27FC236}">
              <a16:creationId xmlns:a16="http://schemas.microsoft.com/office/drawing/2014/main" id="{576DD8F8-1742-491F-9698-28020977BF39}"/>
            </a:ext>
          </a:extLst>
        </xdr:cNvPr>
        <xdr:cNvSpPr/>
      </xdr:nvSpPr>
      <xdr:spPr>
        <a:xfrm>
          <a:off x="16956200" y="2679488"/>
          <a:ext cx="819150" cy="313902"/>
        </a:xfrm>
        <a:prstGeom prst="rect">
          <a:avLst/>
        </a:prstGeom>
        <a:noFill/>
        <a:ln w="2222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600" b="0">
              <a:solidFill>
                <a:sysClr val="windowText" lastClr="000000"/>
              </a:solidFill>
            </a:rPr>
            <a:t>4000</a:t>
          </a:r>
          <a:endParaRPr lang="en-US" sz="1100"/>
        </a:p>
      </xdr:txBody>
    </xdr:sp>
    <xdr:clientData/>
  </xdr:twoCellAnchor>
  <xdr:twoCellAnchor>
    <xdr:from>
      <xdr:col>10</xdr:col>
      <xdr:colOff>1909240</xdr:colOff>
      <xdr:row>8</xdr:row>
      <xdr:rowOff>315383</xdr:rowOff>
    </xdr:from>
    <xdr:to>
      <xdr:col>10</xdr:col>
      <xdr:colOff>2732200</xdr:colOff>
      <xdr:row>9</xdr:row>
      <xdr:rowOff>307340</xdr:rowOff>
    </xdr:to>
    <xdr:sp macro="" textlink="">
      <xdr:nvSpPr>
        <xdr:cNvPr id="19" name="Rectangle 18">
          <a:extLst>
            <a:ext uri="{FF2B5EF4-FFF2-40B4-BE49-F238E27FC236}">
              <a16:creationId xmlns:a16="http://schemas.microsoft.com/office/drawing/2014/main" id="{0FE1C685-E6A3-485C-B7BB-F6FE1D7E5C4C}"/>
            </a:ext>
          </a:extLst>
        </xdr:cNvPr>
        <xdr:cNvSpPr/>
      </xdr:nvSpPr>
      <xdr:spPr>
        <a:xfrm>
          <a:off x="17817895" y="2679488"/>
          <a:ext cx="819150" cy="313902"/>
        </a:xfrm>
        <a:prstGeom prst="rect">
          <a:avLst/>
        </a:prstGeom>
        <a:noFill/>
        <a:ln w="2222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600" b="0">
              <a:solidFill>
                <a:sysClr val="windowText" lastClr="000000"/>
              </a:solidFill>
            </a:rPr>
            <a:t>6000</a:t>
          </a:r>
          <a:endParaRPr lang="en-US" sz="1100"/>
        </a:p>
      </xdr:txBody>
    </xdr:sp>
    <xdr:clientData/>
  </xdr:twoCellAnchor>
  <xdr:twoCellAnchor>
    <xdr:from>
      <xdr:col>0</xdr:col>
      <xdr:colOff>26832</xdr:colOff>
      <xdr:row>10</xdr:row>
      <xdr:rowOff>275699</xdr:rowOff>
    </xdr:from>
    <xdr:to>
      <xdr:col>2</xdr:col>
      <xdr:colOff>4938286</xdr:colOff>
      <xdr:row>12</xdr:row>
      <xdr:rowOff>179531</xdr:rowOff>
    </xdr:to>
    <xdr:sp macro="" textlink="">
      <xdr:nvSpPr>
        <xdr:cNvPr id="20" name="TextBox 19">
          <a:extLst>
            <a:ext uri="{FF2B5EF4-FFF2-40B4-BE49-F238E27FC236}">
              <a16:creationId xmlns:a16="http://schemas.microsoft.com/office/drawing/2014/main" id="{EBA13E0F-AAD3-48F9-B84D-248E02A2E841}"/>
            </a:ext>
          </a:extLst>
        </xdr:cNvPr>
        <xdr:cNvSpPr txBox="1"/>
      </xdr:nvSpPr>
      <xdr:spPr>
        <a:xfrm>
          <a:off x="26832" y="3240523"/>
          <a:ext cx="5609060" cy="520945"/>
        </a:xfrm>
        <a:prstGeom prst="rect">
          <a:avLst/>
        </a:prstGeom>
        <a:solidFill>
          <a:schemeClr val="bg2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en-US" sz="1800" b="1"/>
            <a:t>Scheduled PMS </a:t>
          </a:r>
          <a:r>
            <a:rPr lang="az-Cyrl-AZ" sz="1800" b="1"/>
            <a:t>Запланированный </a:t>
          </a:r>
          <a:r>
            <a:rPr lang="en-US" sz="1800" b="1"/>
            <a:t>PMS</a:t>
          </a:r>
          <a:r>
            <a:rPr lang="az-Cyrl-AZ" sz="1800" b="1"/>
            <a:t>/Неделя</a:t>
          </a:r>
          <a:r>
            <a:rPr lang="en-US" sz="1800" b="1"/>
            <a:t>:</a:t>
          </a:r>
          <a:endParaRPr lang="az-Cyrl-AZ" sz="1800" b="1"/>
        </a:p>
      </xdr:txBody>
    </xdr:sp>
    <xdr:clientData/>
  </xdr:twoCellAnchor>
  <xdr:twoCellAnchor>
    <xdr:from>
      <xdr:col>2</xdr:col>
      <xdr:colOff>5053511</xdr:colOff>
      <xdr:row>10</xdr:row>
      <xdr:rowOff>228063</xdr:rowOff>
    </xdr:from>
    <xdr:to>
      <xdr:col>4</xdr:col>
      <xdr:colOff>746012</xdr:colOff>
      <xdr:row>12</xdr:row>
      <xdr:rowOff>204346</xdr:rowOff>
    </xdr:to>
    <xdr:sp macro="" textlink="">
      <xdr:nvSpPr>
        <xdr:cNvPr id="21" name="Rectangle 20">
          <a:extLst>
            <a:ext uri="{FF2B5EF4-FFF2-40B4-BE49-F238E27FC236}">
              <a16:creationId xmlns:a16="http://schemas.microsoft.com/office/drawing/2014/main" id="{B998C3EF-311A-4531-A85E-3DC04118CD86}"/>
            </a:ext>
          </a:extLst>
        </xdr:cNvPr>
        <xdr:cNvSpPr/>
      </xdr:nvSpPr>
      <xdr:spPr>
        <a:xfrm>
          <a:off x="5751117" y="3192887"/>
          <a:ext cx="3030775" cy="593396"/>
        </a:xfrm>
        <a:prstGeom prst="rect">
          <a:avLst/>
        </a:prstGeom>
        <a:noFill/>
        <a:ln w="2222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</xdr:col>
      <xdr:colOff>804930</xdr:colOff>
      <xdr:row>10</xdr:row>
      <xdr:rowOff>228063</xdr:rowOff>
    </xdr:from>
    <xdr:to>
      <xdr:col>4</xdr:col>
      <xdr:colOff>1626091</xdr:colOff>
      <xdr:row>12</xdr:row>
      <xdr:rowOff>213871</xdr:rowOff>
    </xdr:to>
    <xdr:sp macro="" textlink="">
      <xdr:nvSpPr>
        <xdr:cNvPr id="22" name="Rectangle 21">
          <a:extLst>
            <a:ext uri="{FF2B5EF4-FFF2-40B4-BE49-F238E27FC236}">
              <a16:creationId xmlns:a16="http://schemas.microsoft.com/office/drawing/2014/main" id="{86AE47B9-422A-4DE9-A7DF-72CD80136821}"/>
            </a:ext>
          </a:extLst>
        </xdr:cNvPr>
        <xdr:cNvSpPr/>
      </xdr:nvSpPr>
      <xdr:spPr>
        <a:xfrm>
          <a:off x="8840810" y="3192887"/>
          <a:ext cx="821161" cy="602921"/>
        </a:xfrm>
        <a:prstGeom prst="rect">
          <a:avLst/>
        </a:prstGeom>
        <a:noFill/>
        <a:ln w="2222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2</xdr:col>
      <xdr:colOff>2629436</xdr:colOff>
      <xdr:row>2</xdr:row>
      <xdr:rowOff>228063</xdr:rowOff>
    </xdr:to>
    <xdr:pic>
      <xdr:nvPicPr>
        <xdr:cNvPr id="23" name="Рисунок 1504720245" descr="A picture containing text, clipart&#10;&#10;Description automatically generated">
          <a:extLst>
            <a:ext uri="{FF2B5EF4-FFF2-40B4-BE49-F238E27FC236}">
              <a16:creationId xmlns:a16="http://schemas.microsoft.com/office/drawing/2014/main" id="{BD9FD7D1-DBA4-495A-913E-984DAD8352F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3313626" cy="80492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L1" dT="2026-03-01T21:54:22.73" personId="{00000000-0000-0000-0000-000000000000}" id="{83A1E9AE-2718-4CFC-B97E-D03B8C43C365}">
    <text>Mark Print only. If done it will change to Printed</text>
  </threadedComment>
</ThreadedComments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555" row="5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BEF1CC3E-1EDC-43B2-9B38-A260823168CA}">
  <we:reference id="wa200009404" version="1.0.0.8" store="en-US" storeType="OMEX"/>
  <we:alternateReferences>
    <we:reference id="WA200009404" version="1.0.0.8" store="" storeType="OMEX"/>
  </we:alternateReferences>
  <we:properties>
    <we:property name="claude.fileId" value="&quot;421d38c3-d561-4c11-8eb9-73fbd681ea78&quot;"/>
  </we:properties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Relationship Id="rId4" Type="http://schemas.microsoft.com/office/2017/10/relationships/threadedComment" Target="../threadedComments/threadedComment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_rels/sheet5.xml.rels><?xml version="1.0" encoding="UTF-8" standalone="yes"?>
<Relationships xmlns="http://schemas.openxmlformats.org/package/2006/relationships"><Relationship Id="rId13" Type="http://schemas.openxmlformats.org/officeDocument/2006/relationships/hyperlink" Target="mailto:NEXVG#@" TargetMode="External"/><Relationship Id="rId18" Type="http://schemas.openxmlformats.org/officeDocument/2006/relationships/hyperlink" Target="mailto:NEXVG#@" TargetMode="External"/><Relationship Id="rId26" Type="http://schemas.openxmlformats.org/officeDocument/2006/relationships/hyperlink" Target="mailto:NEXVG#@" TargetMode="External"/><Relationship Id="rId3" Type="http://schemas.openxmlformats.org/officeDocument/2006/relationships/hyperlink" Target="mailto:NEXVG#@" TargetMode="External"/><Relationship Id="rId21" Type="http://schemas.openxmlformats.org/officeDocument/2006/relationships/hyperlink" Target="mailto:NEXVG#@" TargetMode="External"/><Relationship Id="rId34" Type="http://schemas.openxmlformats.org/officeDocument/2006/relationships/comments" Target="../comments3.xml"/><Relationship Id="rId7" Type="http://schemas.openxmlformats.org/officeDocument/2006/relationships/hyperlink" Target="mailto:NEXVG#@" TargetMode="External"/><Relationship Id="rId12" Type="http://schemas.openxmlformats.org/officeDocument/2006/relationships/hyperlink" Target="mailto:NEXVG#@" TargetMode="External"/><Relationship Id="rId17" Type="http://schemas.openxmlformats.org/officeDocument/2006/relationships/hyperlink" Target="mailto:NEXVG#@" TargetMode="External"/><Relationship Id="rId25" Type="http://schemas.openxmlformats.org/officeDocument/2006/relationships/hyperlink" Target="mailto:NEXVG#@" TargetMode="External"/><Relationship Id="rId33" Type="http://schemas.openxmlformats.org/officeDocument/2006/relationships/vmlDrawing" Target="../drawings/vmlDrawing3.vml"/><Relationship Id="rId2" Type="http://schemas.openxmlformats.org/officeDocument/2006/relationships/hyperlink" Target="mailto:NEXVG#@" TargetMode="External"/><Relationship Id="rId16" Type="http://schemas.openxmlformats.org/officeDocument/2006/relationships/hyperlink" Target="mailto:NEXVG#@" TargetMode="External"/><Relationship Id="rId20" Type="http://schemas.openxmlformats.org/officeDocument/2006/relationships/hyperlink" Target="mailto:NEXVG#@" TargetMode="External"/><Relationship Id="rId29" Type="http://schemas.openxmlformats.org/officeDocument/2006/relationships/hyperlink" Target="mailto:NEXVG#@" TargetMode="External"/><Relationship Id="rId1" Type="http://schemas.openxmlformats.org/officeDocument/2006/relationships/hyperlink" Target="mailto:NEXVG#@" TargetMode="External"/><Relationship Id="rId6" Type="http://schemas.openxmlformats.org/officeDocument/2006/relationships/hyperlink" Target="mailto:NEXVG#@" TargetMode="External"/><Relationship Id="rId11" Type="http://schemas.openxmlformats.org/officeDocument/2006/relationships/hyperlink" Target="mailto:NEXVG#@" TargetMode="External"/><Relationship Id="rId24" Type="http://schemas.openxmlformats.org/officeDocument/2006/relationships/hyperlink" Target="mailto:NEXVG#@" TargetMode="External"/><Relationship Id="rId32" Type="http://schemas.openxmlformats.org/officeDocument/2006/relationships/printerSettings" Target="../printerSettings/printerSettings3.bin"/><Relationship Id="rId5" Type="http://schemas.openxmlformats.org/officeDocument/2006/relationships/hyperlink" Target="mailto:NEXVG#@" TargetMode="External"/><Relationship Id="rId15" Type="http://schemas.openxmlformats.org/officeDocument/2006/relationships/hyperlink" Target="mailto:NEXVG#@" TargetMode="External"/><Relationship Id="rId23" Type="http://schemas.openxmlformats.org/officeDocument/2006/relationships/hyperlink" Target="mailto:NEXVG#@" TargetMode="External"/><Relationship Id="rId28" Type="http://schemas.openxmlformats.org/officeDocument/2006/relationships/hyperlink" Target="mailto:NEXVG#@" TargetMode="External"/><Relationship Id="rId10" Type="http://schemas.openxmlformats.org/officeDocument/2006/relationships/hyperlink" Target="mailto:NEXVG#@" TargetMode="External"/><Relationship Id="rId19" Type="http://schemas.openxmlformats.org/officeDocument/2006/relationships/hyperlink" Target="mailto:NEXVG#@" TargetMode="External"/><Relationship Id="rId31" Type="http://schemas.openxmlformats.org/officeDocument/2006/relationships/hyperlink" Target="mailto:NEXVG#@" TargetMode="External"/><Relationship Id="rId4" Type="http://schemas.openxmlformats.org/officeDocument/2006/relationships/hyperlink" Target="mailto:NEXVG#@" TargetMode="External"/><Relationship Id="rId9" Type="http://schemas.openxmlformats.org/officeDocument/2006/relationships/hyperlink" Target="mailto:NEXVG#@" TargetMode="External"/><Relationship Id="rId14" Type="http://schemas.openxmlformats.org/officeDocument/2006/relationships/hyperlink" Target="mailto:NEXVG#@" TargetMode="External"/><Relationship Id="rId22" Type="http://schemas.openxmlformats.org/officeDocument/2006/relationships/hyperlink" Target="mailto:NEXVG#@" TargetMode="External"/><Relationship Id="rId27" Type="http://schemas.openxmlformats.org/officeDocument/2006/relationships/hyperlink" Target="mailto:NEXVG#@" TargetMode="External"/><Relationship Id="rId30" Type="http://schemas.openxmlformats.org/officeDocument/2006/relationships/hyperlink" Target="mailto:NEXVG#@" TargetMode="External"/><Relationship Id="rId8" Type="http://schemas.openxmlformats.org/officeDocument/2006/relationships/hyperlink" Target="mailto:NEXVG#@" TargetMode="Externa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6.bin"/><Relationship Id="rId1" Type="http://schemas.openxmlformats.org/officeDocument/2006/relationships/hyperlink" Target="mailto:NEXVG#@" TargetMode="Externa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8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9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10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1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2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3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4E5C62-07FA-4E00-8A32-48382AEE8A0C}">
  <sheetPr codeName="Sheet2">
    <pageSetUpPr fitToPage="1"/>
  </sheetPr>
  <dimension ref="A1:F9"/>
  <sheetViews>
    <sheetView showGridLines="0" zoomScale="180" zoomScaleNormal="180" zoomScaleSheetLayoutView="130" workbookViewId="0">
      <selection activeCell="K26" sqref="K26"/>
    </sheetView>
  </sheetViews>
  <sheetFormatPr defaultRowHeight="12.5" x14ac:dyDescent="0.25"/>
  <cols>
    <col min="1" max="1" width="12.7265625" customWidth="1"/>
    <col min="2" max="2" width="11.26953125" style="225" customWidth="1"/>
    <col min="3" max="3" width="5.54296875" style="225" customWidth="1"/>
    <col min="4" max="6" width="6.54296875" customWidth="1"/>
  </cols>
  <sheetData>
    <row r="1" spans="1:6" ht="12" customHeight="1" x14ac:dyDescent="0.25">
      <c r="A1" s="235" t="s">
        <v>226</v>
      </c>
      <c r="B1" s="534" t="s">
        <v>354</v>
      </c>
      <c r="C1" s="535"/>
      <c r="D1" s="229"/>
      <c r="E1" s="229"/>
      <c r="F1" s="230"/>
    </row>
    <row r="2" spans="1:6" ht="12" customHeight="1" x14ac:dyDescent="0.25">
      <c r="A2" s="236" t="s">
        <v>224</v>
      </c>
      <c r="B2" s="536">
        <v>46148</v>
      </c>
      <c r="C2" s="537"/>
      <c r="D2" s="251"/>
      <c r="E2" s="251"/>
      <c r="F2" s="231"/>
    </row>
    <row r="3" spans="1:6" ht="12" customHeight="1" x14ac:dyDescent="0.25">
      <c r="A3" s="237" t="s">
        <v>227</v>
      </c>
      <c r="B3" s="528" t="s">
        <v>248</v>
      </c>
      <c r="C3" s="529"/>
      <c r="D3" s="251"/>
      <c r="E3" s="251"/>
      <c r="F3" s="231"/>
    </row>
    <row r="4" spans="1:6" ht="12" customHeight="1" x14ac:dyDescent="0.25">
      <c r="A4" s="237" t="s">
        <v>228</v>
      </c>
      <c r="B4" s="528">
        <v>4747</v>
      </c>
      <c r="C4" s="529"/>
      <c r="D4" s="251"/>
      <c r="E4" s="251"/>
      <c r="F4" s="231"/>
    </row>
    <row r="5" spans="1:6" ht="12" customHeight="1" x14ac:dyDescent="0.25">
      <c r="A5" s="237" t="s">
        <v>229</v>
      </c>
      <c r="B5" s="528" t="s">
        <v>206</v>
      </c>
      <c r="C5" s="529"/>
      <c r="D5" s="251"/>
      <c r="E5" s="251"/>
      <c r="F5" s="231"/>
    </row>
    <row r="6" spans="1:6" ht="12" customHeight="1" x14ac:dyDescent="0.25">
      <c r="A6" s="237" t="s">
        <v>230</v>
      </c>
      <c r="B6" s="528"/>
      <c r="C6" s="529"/>
      <c r="D6" s="251"/>
      <c r="E6" s="251"/>
      <c r="F6" s="231"/>
    </row>
    <row r="7" spans="1:6" ht="12" customHeight="1" x14ac:dyDescent="0.25">
      <c r="A7" s="237" t="s">
        <v>231</v>
      </c>
      <c r="B7" s="530"/>
      <c r="C7" s="531"/>
      <c r="D7" s="252"/>
      <c r="E7" s="252"/>
      <c r="F7" s="232"/>
    </row>
    <row r="8" spans="1:6" ht="12" customHeight="1" x14ac:dyDescent="0.25">
      <c r="A8" s="237" t="s">
        <v>232</v>
      </c>
      <c r="B8" s="528"/>
      <c r="C8" s="529"/>
      <c r="D8" s="252"/>
      <c r="E8" s="252"/>
      <c r="F8" s="232"/>
    </row>
    <row r="9" spans="1:6" ht="12" customHeight="1" x14ac:dyDescent="0.25">
      <c r="A9" s="238" t="s">
        <v>237</v>
      </c>
      <c r="B9" s="532" t="s">
        <v>268</v>
      </c>
      <c r="C9" s="533"/>
      <c r="D9" s="233"/>
      <c r="E9" s="233"/>
      <c r="F9" s="234"/>
    </row>
  </sheetData>
  <mergeCells count="9">
    <mergeCell ref="B6:C6"/>
    <mergeCell ref="B7:C7"/>
    <mergeCell ref="B8:C8"/>
    <mergeCell ref="B9:C9"/>
    <mergeCell ref="B1:C1"/>
    <mergeCell ref="B2:C2"/>
    <mergeCell ref="B3:C3"/>
    <mergeCell ref="B4:C4"/>
    <mergeCell ref="B5:C5"/>
  </mergeCells>
  <pageMargins left="3.9370078740157487E-2" right="3.9370078740157487E-2" top="3.9370078740157487E-2" bottom="3.9370078740157487E-2" header="0" footer="0"/>
  <pageSetup paperSize="256" orientation="portrait" horizontalDpi="300" verticalDpi="3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E9AC46-B223-4709-9BAC-5B4A46C1CC91}">
  <sheetPr codeName="Sheet3"/>
  <dimension ref="A1:O781"/>
  <sheetViews>
    <sheetView view="pageBreakPreview" zoomScale="130" zoomScaleNormal="120" zoomScaleSheetLayoutView="130" workbookViewId="0">
      <pane ySplit="1" topLeftCell="A2" activePane="bottomLeft" state="frozen"/>
      <selection pane="bottomLeft" activeCell="H110" sqref="H110"/>
    </sheetView>
  </sheetViews>
  <sheetFormatPr defaultRowHeight="12.5" x14ac:dyDescent="0.25"/>
  <cols>
    <col min="1" max="1" width="18.26953125" customWidth="1"/>
    <col min="2" max="2" width="9.7265625" style="227" customWidth="1"/>
    <col min="3" max="3" width="10.26953125" customWidth="1"/>
    <col min="4" max="4" width="9.26953125" customWidth="1"/>
    <col min="5" max="5" width="17.7265625" customWidth="1"/>
    <col min="6" max="6" width="10.54296875" customWidth="1"/>
    <col min="7" max="7" width="11.26953125" style="226" customWidth="1"/>
    <col min="9" max="9" width="9.26953125" style="225" customWidth="1"/>
    <col min="10" max="10" width="9.453125" customWidth="1"/>
    <col min="11" max="11" width="8.1796875" style="225" customWidth="1"/>
    <col min="13" max="13" width="29.7265625" customWidth="1"/>
  </cols>
  <sheetData>
    <row r="1" spans="1:13" s="240" customFormat="1" ht="24.65" customHeight="1" x14ac:dyDescent="0.3">
      <c r="A1" s="241" t="s">
        <v>208</v>
      </c>
      <c r="B1" s="242" t="s">
        <v>201</v>
      </c>
      <c r="C1" s="243" t="s">
        <v>200</v>
      </c>
      <c r="D1" s="243" t="s">
        <v>202</v>
      </c>
      <c r="E1" s="243" t="s">
        <v>225</v>
      </c>
      <c r="F1" s="243" t="s">
        <v>219</v>
      </c>
      <c r="G1" s="243" t="s">
        <v>220</v>
      </c>
      <c r="H1" s="243" t="s">
        <v>42</v>
      </c>
      <c r="I1" s="243" t="s">
        <v>234</v>
      </c>
      <c r="J1" s="243" t="s">
        <v>203</v>
      </c>
      <c r="K1" s="243" t="s">
        <v>221</v>
      </c>
      <c r="L1" s="239" t="s">
        <v>223</v>
      </c>
      <c r="M1" s="240" t="s">
        <v>243</v>
      </c>
    </row>
    <row r="2" spans="1:13" x14ac:dyDescent="0.25">
      <c r="A2" s="244" t="str">
        <f t="shared" ref="A2:A33" si="0">TEXT(DAY(B2),"00")&amp;TEXT(MONTH(B2),"00")&amp;YEAR(B2)&amp;"-"&amp;C2&amp;"-"&amp;LEFT(E2,SEARCH(" ",E2&amp;" ")-1)</f>
        <v>20022026-EX024-1</v>
      </c>
      <c r="B2" s="245">
        <v>46073</v>
      </c>
      <c r="C2" s="246" t="s">
        <v>204</v>
      </c>
      <c r="D2" s="244">
        <v>4039</v>
      </c>
      <c r="E2" s="244" t="s">
        <v>205</v>
      </c>
      <c r="F2" s="244"/>
      <c r="G2" s="247"/>
      <c r="H2" s="244">
        <v>500</v>
      </c>
      <c r="I2" s="248" t="s">
        <v>81</v>
      </c>
      <c r="J2" s="244">
        <v>4000</v>
      </c>
      <c r="K2" s="248" t="s">
        <v>207</v>
      </c>
      <c r="L2" s="228" t="s">
        <v>222</v>
      </c>
    </row>
    <row r="3" spans="1:13" x14ac:dyDescent="0.25">
      <c r="A3" s="244" t="str">
        <f t="shared" si="0"/>
        <v>20022026-EX024-3</v>
      </c>
      <c r="B3" s="245">
        <v>46073</v>
      </c>
      <c r="C3" s="246" t="s">
        <v>204</v>
      </c>
      <c r="D3" s="244">
        <v>4039</v>
      </c>
      <c r="E3" s="244" t="s">
        <v>206</v>
      </c>
      <c r="F3" s="244"/>
      <c r="G3" s="247"/>
      <c r="H3" s="244">
        <v>1000</v>
      </c>
      <c r="I3" s="248" t="s">
        <v>82</v>
      </c>
      <c r="J3" s="244">
        <v>4000</v>
      </c>
      <c r="K3" s="248" t="s">
        <v>207</v>
      </c>
      <c r="L3" s="228" t="s">
        <v>222</v>
      </c>
    </row>
    <row r="4" spans="1:13" x14ac:dyDescent="0.25">
      <c r="A4" s="244" t="str">
        <f t="shared" si="0"/>
        <v>21022026-TK114-1</v>
      </c>
      <c r="B4" s="245">
        <v>46074</v>
      </c>
      <c r="C4" s="246" t="s">
        <v>209</v>
      </c>
      <c r="D4" s="244">
        <v>31468</v>
      </c>
      <c r="E4" s="244" t="s">
        <v>205</v>
      </c>
      <c r="F4" s="244">
        <v>459</v>
      </c>
      <c r="G4" s="247">
        <v>46052</v>
      </c>
      <c r="H4" s="244">
        <v>500</v>
      </c>
      <c r="I4" s="248" t="s">
        <v>81</v>
      </c>
      <c r="J4" s="244">
        <v>500</v>
      </c>
      <c r="K4" s="248" t="s">
        <v>207</v>
      </c>
      <c r="L4" s="228" t="s">
        <v>222</v>
      </c>
    </row>
    <row r="5" spans="1:13" x14ac:dyDescent="0.25">
      <c r="A5" s="244" t="str">
        <f t="shared" si="0"/>
        <v>21022026-TK114-2</v>
      </c>
      <c r="B5" s="245">
        <v>46074</v>
      </c>
      <c r="C5" s="246" t="s">
        <v>209</v>
      </c>
      <c r="D5" s="244">
        <v>31468</v>
      </c>
      <c r="E5" s="244" t="s">
        <v>210</v>
      </c>
      <c r="F5" s="244">
        <v>459</v>
      </c>
      <c r="G5" s="247">
        <v>46052</v>
      </c>
      <c r="H5" s="244">
        <v>1000</v>
      </c>
      <c r="I5" s="248" t="s">
        <v>82</v>
      </c>
      <c r="J5" s="244">
        <v>500</v>
      </c>
      <c r="K5" s="248" t="s">
        <v>207</v>
      </c>
      <c r="L5" s="228" t="s">
        <v>222</v>
      </c>
    </row>
    <row r="6" spans="1:13" x14ac:dyDescent="0.25">
      <c r="A6" s="244" t="str">
        <f t="shared" si="0"/>
        <v>21022026-TK114-3</v>
      </c>
      <c r="B6" s="245">
        <v>46074</v>
      </c>
      <c r="C6" s="246" t="s">
        <v>209</v>
      </c>
      <c r="D6" s="244">
        <v>31468</v>
      </c>
      <c r="E6" s="244" t="s">
        <v>206</v>
      </c>
      <c r="F6" s="244">
        <v>1455</v>
      </c>
      <c r="G6" s="247">
        <v>46052</v>
      </c>
      <c r="H6" s="244">
        <v>2000</v>
      </c>
      <c r="I6" s="248" t="s">
        <v>82</v>
      </c>
      <c r="J6" s="244">
        <v>500</v>
      </c>
      <c r="K6" s="248" t="s">
        <v>207</v>
      </c>
      <c r="L6" s="228" t="s">
        <v>222</v>
      </c>
    </row>
    <row r="7" spans="1:13" x14ac:dyDescent="0.25">
      <c r="A7" s="244" t="str">
        <f t="shared" si="0"/>
        <v>21022026-TK107-1</v>
      </c>
      <c r="B7" s="245">
        <v>46074</v>
      </c>
      <c r="C7" s="246" t="s">
        <v>211</v>
      </c>
      <c r="D7" s="244">
        <v>31026</v>
      </c>
      <c r="E7" s="244" t="s">
        <v>205</v>
      </c>
      <c r="F7" s="244">
        <v>462</v>
      </c>
      <c r="G7" s="247">
        <v>46054</v>
      </c>
      <c r="H7" s="244">
        <v>500</v>
      </c>
      <c r="I7" s="248" t="s">
        <v>81</v>
      </c>
      <c r="J7" s="244">
        <v>1000</v>
      </c>
      <c r="K7" s="248" t="s">
        <v>207</v>
      </c>
      <c r="L7" s="228" t="s">
        <v>222</v>
      </c>
    </row>
    <row r="8" spans="1:13" x14ac:dyDescent="0.25">
      <c r="A8" s="244" t="str">
        <f t="shared" si="0"/>
        <v>21022026-TK107-2</v>
      </c>
      <c r="B8" s="245">
        <v>46074</v>
      </c>
      <c r="C8" s="246" t="s">
        <v>211</v>
      </c>
      <c r="D8" s="244">
        <v>31026</v>
      </c>
      <c r="E8" s="244" t="s">
        <v>210</v>
      </c>
      <c r="F8" s="244">
        <v>976</v>
      </c>
      <c r="G8" s="247">
        <v>46032</v>
      </c>
      <c r="H8" s="244">
        <v>1000</v>
      </c>
      <c r="I8" s="248" t="s">
        <v>82</v>
      </c>
      <c r="J8" s="244">
        <v>1000</v>
      </c>
      <c r="K8" s="248" t="s">
        <v>207</v>
      </c>
      <c r="L8" s="228" t="s">
        <v>222</v>
      </c>
    </row>
    <row r="9" spans="1:13" x14ac:dyDescent="0.25">
      <c r="A9" s="244" t="str">
        <f t="shared" si="0"/>
        <v>21022026-TK107-3</v>
      </c>
      <c r="B9" s="245">
        <v>46074</v>
      </c>
      <c r="C9" s="246" t="s">
        <v>211</v>
      </c>
      <c r="D9" s="244">
        <v>31026</v>
      </c>
      <c r="E9" s="244" t="s">
        <v>206</v>
      </c>
      <c r="F9" s="244">
        <v>976</v>
      </c>
      <c r="G9" s="247">
        <v>46032</v>
      </c>
      <c r="H9" s="244">
        <v>2000</v>
      </c>
      <c r="I9" s="248" t="s">
        <v>82</v>
      </c>
      <c r="J9" s="244">
        <v>1000</v>
      </c>
      <c r="K9" s="248" t="s">
        <v>207</v>
      </c>
      <c r="L9" s="228" t="s">
        <v>222</v>
      </c>
    </row>
    <row r="10" spans="1:13" x14ac:dyDescent="0.25">
      <c r="A10" s="244" t="str">
        <f t="shared" si="0"/>
        <v>22022026-TK115-1</v>
      </c>
      <c r="B10" s="245">
        <v>46075</v>
      </c>
      <c r="C10" s="246" t="s">
        <v>212</v>
      </c>
      <c r="D10" s="244">
        <v>37003</v>
      </c>
      <c r="E10" s="244" t="s">
        <v>205</v>
      </c>
      <c r="F10" s="244"/>
      <c r="G10" s="247"/>
      <c r="H10" s="244"/>
      <c r="I10" s="248" t="s">
        <v>81</v>
      </c>
      <c r="J10" s="244">
        <v>1000</v>
      </c>
      <c r="K10" s="248" t="s">
        <v>207</v>
      </c>
      <c r="L10" s="228" t="s">
        <v>222</v>
      </c>
    </row>
    <row r="11" spans="1:13" x14ac:dyDescent="0.25">
      <c r="A11" s="244" t="str">
        <f t="shared" si="0"/>
        <v>22022026-TK115-2</v>
      </c>
      <c r="B11" s="245">
        <v>46075</v>
      </c>
      <c r="C11" s="246" t="s">
        <v>212</v>
      </c>
      <c r="D11" s="244">
        <v>37003</v>
      </c>
      <c r="E11" s="244" t="s">
        <v>210</v>
      </c>
      <c r="F11" s="244"/>
      <c r="G11" s="247"/>
      <c r="H11" s="244"/>
      <c r="I11" s="248" t="s">
        <v>82</v>
      </c>
      <c r="J11" s="244">
        <v>1000</v>
      </c>
      <c r="K11" s="248" t="s">
        <v>207</v>
      </c>
      <c r="L11" s="228" t="s">
        <v>222</v>
      </c>
    </row>
    <row r="12" spans="1:13" x14ac:dyDescent="0.25">
      <c r="A12" s="244" t="str">
        <f t="shared" si="0"/>
        <v>22022026-TK115-3</v>
      </c>
      <c r="B12" s="245">
        <v>46075</v>
      </c>
      <c r="C12" s="246" t="s">
        <v>212</v>
      </c>
      <c r="D12" s="244">
        <v>37003</v>
      </c>
      <c r="E12" s="244" t="s">
        <v>206</v>
      </c>
      <c r="F12" s="244"/>
      <c r="G12" s="247"/>
      <c r="H12" s="244"/>
      <c r="I12" s="248" t="s">
        <v>82</v>
      </c>
      <c r="J12" s="244">
        <v>1000</v>
      </c>
      <c r="K12" s="248" t="s">
        <v>207</v>
      </c>
      <c r="L12" s="228" t="s">
        <v>222</v>
      </c>
    </row>
    <row r="13" spans="1:13" x14ac:dyDescent="0.25">
      <c r="A13" s="244" t="str">
        <f t="shared" si="0"/>
        <v>23022026-TK160-1</v>
      </c>
      <c r="B13" s="245">
        <v>46076</v>
      </c>
      <c r="C13" s="246" t="s">
        <v>213</v>
      </c>
      <c r="D13" s="244">
        <v>4985</v>
      </c>
      <c r="E13" s="244" t="s">
        <v>205</v>
      </c>
      <c r="F13" s="244"/>
      <c r="G13" s="247"/>
      <c r="H13" s="244">
        <v>250</v>
      </c>
      <c r="I13" s="248" t="s">
        <v>81</v>
      </c>
      <c r="J13" s="244">
        <v>1000</v>
      </c>
      <c r="K13" s="248" t="s">
        <v>207</v>
      </c>
      <c r="L13" s="228" t="s">
        <v>222</v>
      </c>
    </row>
    <row r="14" spans="1:13" x14ac:dyDescent="0.25">
      <c r="A14" s="244" t="str">
        <f t="shared" si="0"/>
        <v>23022026-TK160-2</v>
      </c>
      <c r="B14" s="245">
        <v>46076</v>
      </c>
      <c r="C14" s="246" t="s">
        <v>213</v>
      </c>
      <c r="D14" s="244">
        <v>4985</v>
      </c>
      <c r="E14" s="244" t="s">
        <v>210</v>
      </c>
      <c r="F14" s="244"/>
      <c r="G14" s="247"/>
      <c r="H14" s="244">
        <v>500</v>
      </c>
      <c r="I14" s="248" t="s">
        <v>82</v>
      </c>
      <c r="J14" s="244">
        <v>1000</v>
      </c>
      <c r="K14" s="248" t="s">
        <v>207</v>
      </c>
      <c r="L14" s="228" t="s">
        <v>222</v>
      </c>
    </row>
    <row r="15" spans="1:13" x14ac:dyDescent="0.25">
      <c r="A15" s="244" t="str">
        <f t="shared" si="0"/>
        <v>23022026-TK160-3</v>
      </c>
      <c r="B15" s="245">
        <v>46076</v>
      </c>
      <c r="C15" s="246" t="s">
        <v>213</v>
      </c>
      <c r="D15" s="244">
        <v>4985</v>
      </c>
      <c r="E15" s="244" t="s">
        <v>206</v>
      </c>
      <c r="F15" s="244"/>
      <c r="G15" s="247"/>
      <c r="H15" s="244">
        <v>1000</v>
      </c>
      <c r="I15" s="248" t="s">
        <v>82</v>
      </c>
      <c r="J15" s="244">
        <v>1000</v>
      </c>
      <c r="K15" s="248" t="s">
        <v>207</v>
      </c>
      <c r="L15" s="228" t="s">
        <v>222</v>
      </c>
    </row>
    <row r="16" spans="1:13" x14ac:dyDescent="0.25">
      <c r="A16" s="244" t="str">
        <f t="shared" si="0"/>
        <v>25022026-TK101-1</v>
      </c>
      <c r="B16" s="245">
        <v>46078</v>
      </c>
      <c r="C16" s="246" t="s">
        <v>214</v>
      </c>
      <c r="D16" s="244">
        <v>31010</v>
      </c>
      <c r="E16" s="244" t="s">
        <v>205</v>
      </c>
      <c r="F16" s="244"/>
      <c r="G16" s="247"/>
      <c r="H16" s="244">
        <v>500</v>
      </c>
      <c r="I16" s="248" t="s">
        <v>81</v>
      </c>
      <c r="J16" s="244">
        <v>1000</v>
      </c>
      <c r="K16" s="248" t="s">
        <v>207</v>
      </c>
      <c r="L16" s="228" t="s">
        <v>222</v>
      </c>
    </row>
    <row r="17" spans="1:12" x14ac:dyDescent="0.25">
      <c r="A17" s="244" t="str">
        <f t="shared" si="0"/>
        <v>25022026-TK101-2</v>
      </c>
      <c r="B17" s="245">
        <v>46078</v>
      </c>
      <c r="C17" s="246" t="s">
        <v>214</v>
      </c>
      <c r="D17" s="244">
        <v>31010</v>
      </c>
      <c r="E17" s="244" t="s">
        <v>210</v>
      </c>
      <c r="F17" s="244">
        <v>30502</v>
      </c>
      <c r="G17" s="247"/>
      <c r="H17" s="244">
        <v>1000</v>
      </c>
      <c r="I17" s="248" t="s">
        <v>82</v>
      </c>
      <c r="J17" s="244">
        <v>1000</v>
      </c>
      <c r="K17" s="248" t="s">
        <v>207</v>
      </c>
      <c r="L17" s="228" t="s">
        <v>222</v>
      </c>
    </row>
    <row r="18" spans="1:12" x14ac:dyDescent="0.25">
      <c r="A18" s="244" t="str">
        <f t="shared" si="0"/>
        <v>25022026-TK101-3</v>
      </c>
      <c r="B18" s="245">
        <v>46078</v>
      </c>
      <c r="C18" s="246" t="s">
        <v>214</v>
      </c>
      <c r="D18" s="244">
        <v>31010</v>
      </c>
      <c r="E18" s="244" t="s">
        <v>206</v>
      </c>
      <c r="F18" s="244">
        <v>30025</v>
      </c>
      <c r="G18" s="247"/>
      <c r="H18" s="244">
        <v>4000</v>
      </c>
      <c r="I18" s="248" t="s">
        <v>82</v>
      </c>
      <c r="J18" s="244">
        <v>1000</v>
      </c>
      <c r="K18" s="248" t="s">
        <v>207</v>
      </c>
      <c r="L18" s="228" t="s">
        <v>222</v>
      </c>
    </row>
    <row r="19" spans="1:12" x14ac:dyDescent="0.25">
      <c r="A19" s="244" t="str">
        <f t="shared" si="0"/>
        <v>25022026-TK121-1</v>
      </c>
      <c r="B19" s="245">
        <v>46078</v>
      </c>
      <c r="C19" s="246" t="s">
        <v>215</v>
      </c>
      <c r="D19" s="244">
        <v>25486</v>
      </c>
      <c r="E19" s="244" t="s">
        <v>205</v>
      </c>
      <c r="F19" s="244">
        <v>25486</v>
      </c>
      <c r="G19" s="247">
        <v>46078</v>
      </c>
      <c r="H19" s="244">
        <v>500</v>
      </c>
      <c r="I19" s="248" t="s">
        <v>81</v>
      </c>
      <c r="J19" s="244">
        <v>500</v>
      </c>
      <c r="K19" s="248" t="s">
        <v>207</v>
      </c>
      <c r="L19" s="228" t="s">
        <v>222</v>
      </c>
    </row>
    <row r="20" spans="1:12" x14ac:dyDescent="0.25">
      <c r="A20" s="244" t="str">
        <f t="shared" si="0"/>
        <v>25022026-TK121-2</v>
      </c>
      <c r="B20" s="245">
        <v>46078</v>
      </c>
      <c r="C20" s="246" t="s">
        <v>215</v>
      </c>
      <c r="D20" s="244">
        <v>25486</v>
      </c>
      <c r="E20" s="244" t="s">
        <v>210</v>
      </c>
      <c r="F20" s="244">
        <v>25486</v>
      </c>
      <c r="G20" s="247">
        <v>46078</v>
      </c>
      <c r="H20" s="244">
        <v>500</v>
      </c>
      <c r="I20" s="248" t="s">
        <v>82</v>
      </c>
      <c r="J20" s="244">
        <v>500</v>
      </c>
      <c r="K20" s="248" t="s">
        <v>207</v>
      </c>
      <c r="L20" s="228" t="s">
        <v>222</v>
      </c>
    </row>
    <row r="21" spans="1:12" x14ac:dyDescent="0.25">
      <c r="A21" s="244" t="str">
        <f t="shared" si="0"/>
        <v>25022026-TK121-3</v>
      </c>
      <c r="B21" s="245">
        <v>46078</v>
      </c>
      <c r="C21" s="246" t="s">
        <v>215</v>
      </c>
      <c r="D21" s="244">
        <v>25486</v>
      </c>
      <c r="E21" s="244" t="s">
        <v>206</v>
      </c>
      <c r="F21" s="244">
        <v>25486</v>
      </c>
      <c r="G21" s="247">
        <v>46078</v>
      </c>
      <c r="H21" s="244">
        <v>1500</v>
      </c>
      <c r="I21" s="248" t="s">
        <v>82</v>
      </c>
      <c r="J21" s="244">
        <v>500</v>
      </c>
      <c r="K21" s="248" t="s">
        <v>207</v>
      </c>
      <c r="L21" s="228" t="s">
        <v>222</v>
      </c>
    </row>
    <row r="22" spans="1:12" x14ac:dyDescent="0.25">
      <c r="A22" s="244" t="str">
        <f t="shared" si="0"/>
        <v>26022026-TK156-1</v>
      </c>
      <c r="B22" s="245">
        <v>46079</v>
      </c>
      <c r="C22" s="246" t="s">
        <v>216</v>
      </c>
      <c r="D22" s="244">
        <v>4546</v>
      </c>
      <c r="E22" s="244" t="s">
        <v>205</v>
      </c>
      <c r="F22" s="244"/>
      <c r="G22" s="247"/>
      <c r="H22" s="244"/>
      <c r="I22" s="248" t="s">
        <v>81</v>
      </c>
      <c r="J22" s="244">
        <v>500</v>
      </c>
      <c r="K22" s="248" t="s">
        <v>207</v>
      </c>
      <c r="L22" s="228" t="s">
        <v>222</v>
      </c>
    </row>
    <row r="23" spans="1:12" x14ac:dyDescent="0.25">
      <c r="A23" s="244" t="str">
        <f t="shared" si="0"/>
        <v>26022026-TK156-2</v>
      </c>
      <c r="B23" s="245">
        <v>46079</v>
      </c>
      <c r="C23" s="246" t="s">
        <v>216</v>
      </c>
      <c r="D23" s="244">
        <v>4546</v>
      </c>
      <c r="E23" s="244" t="s">
        <v>210</v>
      </c>
      <c r="F23" s="244"/>
      <c r="G23" s="247"/>
      <c r="H23" s="244"/>
      <c r="I23" s="248" t="s">
        <v>82</v>
      </c>
      <c r="J23" s="244">
        <v>500</v>
      </c>
      <c r="K23" s="248" t="s">
        <v>217</v>
      </c>
      <c r="L23" s="228" t="s">
        <v>222</v>
      </c>
    </row>
    <row r="24" spans="1:12" x14ac:dyDescent="0.25">
      <c r="A24" s="244" t="str">
        <f t="shared" si="0"/>
        <v>26022026-TK156-3</v>
      </c>
      <c r="B24" s="245">
        <v>46079</v>
      </c>
      <c r="C24" s="246" t="s">
        <v>216</v>
      </c>
      <c r="D24" s="244">
        <v>4546</v>
      </c>
      <c r="E24" s="244" t="s">
        <v>206</v>
      </c>
      <c r="F24" s="244"/>
      <c r="G24" s="247"/>
      <c r="H24" s="244"/>
      <c r="I24" s="248" t="s">
        <v>82</v>
      </c>
      <c r="J24" s="244">
        <v>500</v>
      </c>
      <c r="K24" s="248" t="s">
        <v>217</v>
      </c>
      <c r="L24" s="228" t="s">
        <v>222</v>
      </c>
    </row>
    <row r="25" spans="1:12" x14ac:dyDescent="0.25">
      <c r="A25" s="244" t="str">
        <f t="shared" si="0"/>
        <v>27022026-TK126-1</v>
      </c>
      <c r="B25" s="245">
        <v>46080</v>
      </c>
      <c r="C25" s="246" t="s">
        <v>218</v>
      </c>
      <c r="D25" s="244">
        <v>26972</v>
      </c>
      <c r="E25" s="244" t="s">
        <v>205</v>
      </c>
      <c r="F25" s="244">
        <v>26543</v>
      </c>
      <c r="G25" s="247">
        <v>46061</v>
      </c>
      <c r="H25" s="244">
        <v>429</v>
      </c>
      <c r="I25" s="248" t="s">
        <v>81</v>
      </c>
      <c r="J25" s="244">
        <v>1000</v>
      </c>
      <c r="K25" s="248" t="s">
        <v>207</v>
      </c>
      <c r="L25" s="228" t="s">
        <v>222</v>
      </c>
    </row>
    <row r="26" spans="1:12" x14ac:dyDescent="0.25">
      <c r="A26" s="244" t="str">
        <f t="shared" si="0"/>
        <v>27022026-TK126-2</v>
      </c>
      <c r="B26" s="245">
        <v>46080</v>
      </c>
      <c r="C26" s="246" t="s">
        <v>218</v>
      </c>
      <c r="D26" s="244">
        <v>26972</v>
      </c>
      <c r="E26" s="244" t="s">
        <v>210</v>
      </c>
      <c r="F26" s="244">
        <v>26100</v>
      </c>
      <c r="G26" s="247">
        <v>46042</v>
      </c>
      <c r="H26" s="244">
        <v>872</v>
      </c>
      <c r="I26" s="248" t="s">
        <v>82</v>
      </c>
      <c r="J26" s="244">
        <v>1000</v>
      </c>
      <c r="K26" s="248" t="s">
        <v>207</v>
      </c>
      <c r="L26" s="228" t="s">
        <v>222</v>
      </c>
    </row>
    <row r="27" spans="1:12" x14ac:dyDescent="0.25">
      <c r="A27" s="244" t="str">
        <f t="shared" si="0"/>
        <v>27022026-TK126-3</v>
      </c>
      <c r="B27" s="245">
        <v>46080</v>
      </c>
      <c r="C27" s="246" t="s">
        <v>218</v>
      </c>
      <c r="D27" s="244">
        <v>26972</v>
      </c>
      <c r="E27" s="244" t="s">
        <v>206</v>
      </c>
      <c r="F27" s="244">
        <v>24980</v>
      </c>
      <c r="G27" s="247">
        <v>45952</v>
      </c>
      <c r="H27" s="244">
        <v>1992</v>
      </c>
      <c r="I27" s="248" t="s">
        <v>82</v>
      </c>
      <c r="J27" s="244">
        <v>1000</v>
      </c>
      <c r="K27" s="248" t="s">
        <v>217</v>
      </c>
      <c r="L27" s="228" t="s">
        <v>222</v>
      </c>
    </row>
    <row r="28" spans="1:12" x14ac:dyDescent="0.25">
      <c r="A28" s="244" t="str">
        <f t="shared" si="0"/>
        <v>06021901-DZ003-1</v>
      </c>
      <c r="B28" s="245">
        <v>403</v>
      </c>
      <c r="C28" s="246" t="s">
        <v>233</v>
      </c>
      <c r="D28" s="244">
        <v>23522</v>
      </c>
      <c r="E28" s="244" t="s">
        <v>205</v>
      </c>
      <c r="F28" s="244"/>
      <c r="G28" s="247"/>
      <c r="H28" s="244">
        <v>250</v>
      </c>
      <c r="I28" s="248" t="s">
        <v>81</v>
      </c>
      <c r="J28" s="244">
        <v>500</v>
      </c>
      <c r="K28" s="248" t="s">
        <v>207</v>
      </c>
      <c r="L28" s="228" t="s">
        <v>222</v>
      </c>
    </row>
    <row r="29" spans="1:12" x14ac:dyDescent="0.25">
      <c r="A29" s="244" t="str">
        <f t="shared" si="0"/>
        <v>06021901-DZ003-2</v>
      </c>
      <c r="B29" s="245">
        <v>403</v>
      </c>
      <c r="C29" s="246" t="s">
        <v>233</v>
      </c>
      <c r="D29" s="244">
        <v>23522</v>
      </c>
      <c r="E29" s="244" t="s">
        <v>210</v>
      </c>
      <c r="F29" s="244"/>
      <c r="G29" s="247"/>
      <c r="H29" s="244">
        <v>1000</v>
      </c>
      <c r="I29" s="248" t="s">
        <v>82</v>
      </c>
      <c r="J29" s="244">
        <v>500</v>
      </c>
      <c r="K29" s="248" t="s">
        <v>217</v>
      </c>
      <c r="L29" s="228" t="s">
        <v>222</v>
      </c>
    </row>
    <row r="30" spans="1:12" x14ac:dyDescent="0.25">
      <c r="A30" s="244" t="str">
        <f t="shared" si="0"/>
        <v>06021901-DZ003-3</v>
      </c>
      <c r="B30" s="245">
        <v>403</v>
      </c>
      <c r="C30" s="246" t="s">
        <v>233</v>
      </c>
      <c r="D30" s="244">
        <v>23522</v>
      </c>
      <c r="E30" s="244" t="s">
        <v>206</v>
      </c>
      <c r="F30" s="244"/>
      <c r="G30" s="247"/>
      <c r="H30" s="244">
        <v>1000</v>
      </c>
      <c r="I30" s="248" t="s">
        <v>82</v>
      </c>
      <c r="J30" s="244">
        <v>500</v>
      </c>
      <c r="K30" s="248" t="s">
        <v>217</v>
      </c>
      <c r="L30" s="228" t="s">
        <v>222</v>
      </c>
    </row>
    <row r="31" spans="1:12" x14ac:dyDescent="0.25">
      <c r="A31" s="244" t="str">
        <f t="shared" si="0"/>
        <v>21022026-GR012-1</v>
      </c>
      <c r="B31" s="245">
        <v>46074</v>
      </c>
      <c r="C31" s="246" t="s">
        <v>235</v>
      </c>
      <c r="D31" s="244">
        <v>22944</v>
      </c>
      <c r="E31" s="244" t="s">
        <v>205</v>
      </c>
      <c r="F31" s="244"/>
      <c r="G31" s="247"/>
      <c r="H31" s="244">
        <v>500</v>
      </c>
      <c r="I31" s="248" t="s">
        <v>81</v>
      </c>
      <c r="J31" s="244">
        <v>1000</v>
      </c>
      <c r="K31" s="248" t="s">
        <v>207</v>
      </c>
      <c r="L31" s="228" t="s">
        <v>222</v>
      </c>
    </row>
    <row r="32" spans="1:12" x14ac:dyDescent="0.25">
      <c r="A32" s="244" t="str">
        <f t="shared" si="0"/>
        <v>21022026-GR012-2</v>
      </c>
      <c r="B32" s="245">
        <v>46074</v>
      </c>
      <c r="C32" s="246" t="s">
        <v>235</v>
      </c>
      <c r="D32" s="244">
        <v>22944</v>
      </c>
      <c r="E32" s="244" t="s">
        <v>210</v>
      </c>
      <c r="F32" s="244"/>
      <c r="G32" s="247"/>
      <c r="H32" s="244">
        <v>1000</v>
      </c>
      <c r="I32" s="248" t="s">
        <v>82</v>
      </c>
      <c r="J32" s="244">
        <v>1000</v>
      </c>
      <c r="K32" s="248" t="s">
        <v>207</v>
      </c>
      <c r="L32" s="228" t="s">
        <v>222</v>
      </c>
    </row>
    <row r="33" spans="1:13" x14ac:dyDescent="0.25">
      <c r="A33" s="244" t="str">
        <f t="shared" si="0"/>
        <v>21022026-GR012-3</v>
      </c>
      <c r="B33" s="245">
        <v>46074</v>
      </c>
      <c r="C33" s="246" t="s">
        <v>235</v>
      </c>
      <c r="D33" s="244">
        <v>22944</v>
      </c>
      <c r="E33" s="244" t="s">
        <v>206</v>
      </c>
      <c r="F33" s="244"/>
      <c r="G33" s="247"/>
      <c r="H33" s="244">
        <v>1000</v>
      </c>
      <c r="I33" s="248" t="s">
        <v>82</v>
      </c>
      <c r="J33" s="244">
        <v>1000</v>
      </c>
      <c r="K33" s="248" t="s">
        <v>217</v>
      </c>
      <c r="L33" s="228" t="s">
        <v>222</v>
      </c>
    </row>
    <row r="34" spans="1:13" x14ac:dyDescent="0.25">
      <c r="A34" s="244" t="str">
        <f t="shared" ref="A34:A64" si="1">TEXT(DAY(B34),"00")&amp;TEXT(MONTH(B34),"00")&amp;YEAR(B34)&amp;"-"&amp;C34&amp;"-"&amp;LEFT(E34,SEARCH(" ",E34&amp;" ")-1)</f>
        <v>25022026-DZ020-1</v>
      </c>
      <c r="B34" s="245">
        <v>46078</v>
      </c>
      <c r="C34" s="246" t="s">
        <v>236</v>
      </c>
      <c r="D34" s="244">
        <v>5005</v>
      </c>
      <c r="E34" s="244" t="s">
        <v>205</v>
      </c>
      <c r="F34" s="244"/>
      <c r="G34" s="247"/>
      <c r="H34" s="244">
        <v>250</v>
      </c>
      <c r="I34" s="248" t="s">
        <v>81</v>
      </c>
      <c r="J34" s="244">
        <v>1000</v>
      </c>
      <c r="K34" s="248" t="s">
        <v>207</v>
      </c>
      <c r="L34" s="228" t="s">
        <v>222</v>
      </c>
    </row>
    <row r="35" spans="1:13" x14ac:dyDescent="0.25">
      <c r="A35" s="244" t="str">
        <f t="shared" si="1"/>
        <v>25022026-DZ020-2</v>
      </c>
      <c r="B35" s="245">
        <v>46078</v>
      </c>
      <c r="C35" s="246" t="s">
        <v>236</v>
      </c>
      <c r="D35" s="244">
        <v>5005</v>
      </c>
      <c r="E35" s="244" t="s">
        <v>210</v>
      </c>
      <c r="F35" s="244"/>
      <c r="G35" s="247"/>
      <c r="H35" s="244">
        <v>1000</v>
      </c>
      <c r="I35" s="248" t="s">
        <v>82</v>
      </c>
      <c r="J35" s="244">
        <v>1000</v>
      </c>
      <c r="K35" s="248" t="s">
        <v>207</v>
      </c>
      <c r="L35" s="228" t="s">
        <v>222</v>
      </c>
    </row>
    <row r="36" spans="1:13" x14ac:dyDescent="0.25">
      <c r="A36" s="244" t="str">
        <f t="shared" si="1"/>
        <v>25022026-DZ020-3</v>
      </c>
      <c r="B36" s="245">
        <v>46078</v>
      </c>
      <c r="C36" s="246" t="s">
        <v>236</v>
      </c>
      <c r="D36" s="244">
        <v>5005</v>
      </c>
      <c r="E36" s="244" t="s">
        <v>206</v>
      </c>
      <c r="F36" s="244"/>
      <c r="G36" s="247"/>
      <c r="H36" s="244">
        <v>1000</v>
      </c>
      <c r="I36" s="248" t="s">
        <v>82</v>
      </c>
      <c r="J36" s="244">
        <v>1000</v>
      </c>
      <c r="K36" s="248" t="s">
        <v>217</v>
      </c>
      <c r="L36" s="228" t="s">
        <v>222</v>
      </c>
    </row>
    <row r="37" spans="1:13" x14ac:dyDescent="0.25">
      <c r="A37" s="244" t="str">
        <f t="shared" si="1"/>
        <v>25022026-DR008-1</v>
      </c>
      <c r="B37" s="245">
        <v>46078</v>
      </c>
      <c r="C37" s="246" t="s">
        <v>238</v>
      </c>
      <c r="D37" s="244">
        <v>2730</v>
      </c>
      <c r="E37" s="244" t="s">
        <v>205</v>
      </c>
      <c r="F37" s="244"/>
      <c r="G37" s="247"/>
      <c r="H37" s="244">
        <v>250</v>
      </c>
      <c r="I37" s="248" t="s">
        <v>81</v>
      </c>
      <c r="J37" s="244">
        <v>250</v>
      </c>
      <c r="K37" s="248" t="s">
        <v>207</v>
      </c>
      <c r="L37" s="228" t="s">
        <v>222</v>
      </c>
    </row>
    <row r="38" spans="1:13" x14ac:dyDescent="0.25">
      <c r="A38" s="244" t="str">
        <f t="shared" si="1"/>
        <v>25022026-DR008-3</v>
      </c>
      <c r="B38" s="245">
        <v>46078</v>
      </c>
      <c r="C38" s="246" t="s">
        <v>238</v>
      </c>
      <c r="D38" s="244">
        <v>2730</v>
      </c>
      <c r="E38" s="244" t="s">
        <v>206</v>
      </c>
      <c r="F38" s="244"/>
      <c r="G38" s="247"/>
      <c r="H38" s="244"/>
      <c r="I38" s="248" t="s">
        <v>82</v>
      </c>
      <c r="J38" s="244">
        <v>250</v>
      </c>
      <c r="K38" s="248" t="s">
        <v>217</v>
      </c>
      <c r="L38" s="228" t="s">
        <v>222</v>
      </c>
    </row>
    <row r="39" spans="1:13" x14ac:dyDescent="0.25">
      <c r="A39" s="244" t="str">
        <f t="shared" si="1"/>
        <v>05032026-TK148-1</v>
      </c>
      <c r="B39" s="245">
        <v>46086</v>
      </c>
      <c r="C39" s="246" t="s">
        <v>239</v>
      </c>
      <c r="D39" s="244">
        <v>4513</v>
      </c>
      <c r="E39" s="244" t="s">
        <v>205</v>
      </c>
      <c r="F39" s="244"/>
      <c r="G39" s="247">
        <v>46077</v>
      </c>
      <c r="H39" s="244">
        <v>232</v>
      </c>
      <c r="I39" s="248" t="s">
        <v>81</v>
      </c>
      <c r="J39" s="244">
        <v>1500</v>
      </c>
      <c r="K39" s="248" t="s">
        <v>207</v>
      </c>
      <c r="L39" s="228" t="s">
        <v>222</v>
      </c>
    </row>
    <row r="40" spans="1:13" x14ac:dyDescent="0.25">
      <c r="A40" s="244" t="str">
        <f t="shared" si="1"/>
        <v>05032026-TK148-2</v>
      </c>
      <c r="B40" s="245">
        <v>46086</v>
      </c>
      <c r="C40" s="246" t="s">
        <v>239</v>
      </c>
      <c r="D40" s="244">
        <v>4513</v>
      </c>
      <c r="E40" s="244" t="s">
        <v>210</v>
      </c>
      <c r="F40" s="244"/>
      <c r="G40" s="247">
        <v>46065</v>
      </c>
      <c r="H40" s="244">
        <v>513</v>
      </c>
      <c r="I40" s="248" t="s">
        <v>82</v>
      </c>
      <c r="J40" s="244">
        <v>1500</v>
      </c>
      <c r="K40" s="248" t="s">
        <v>217</v>
      </c>
      <c r="L40" s="228" t="s">
        <v>222</v>
      </c>
    </row>
    <row r="41" spans="1:13" x14ac:dyDescent="0.25">
      <c r="A41" s="244" t="str">
        <f t="shared" si="1"/>
        <v>03032026-TK153-1</v>
      </c>
      <c r="B41" s="245">
        <v>46084</v>
      </c>
      <c r="C41" s="246" t="s">
        <v>240</v>
      </c>
      <c r="D41" s="244">
        <v>4519</v>
      </c>
      <c r="E41" s="244" t="s">
        <v>205</v>
      </c>
      <c r="F41" s="244">
        <v>4318</v>
      </c>
      <c r="G41" s="247">
        <v>46075</v>
      </c>
      <c r="H41" s="244">
        <v>201</v>
      </c>
      <c r="I41" s="248" t="s">
        <v>81</v>
      </c>
      <c r="J41" s="244">
        <v>500</v>
      </c>
      <c r="K41" s="248" t="s">
        <v>207</v>
      </c>
      <c r="L41" s="228" t="s">
        <v>222</v>
      </c>
    </row>
    <row r="42" spans="1:13" x14ac:dyDescent="0.25">
      <c r="A42" s="244" t="str">
        <f t="shared" si="1"/>
        <v>03032026-TK153-2</v>
      </c>
      <c r="B42" s="245">
        <v>46084</v>
      </c>
      <c r="C42" s="246" t="s">
        <v>240</v>
      </c>
      <c r="D42" s="244">
        <v>4519</v>
      </c>
      <c r="E42" s="244" t="s">
        <v>210</v>
      </c>
      <c r="F42" s="244">
        <v>3934</v>
      </c>
      <c r="G42" s="247">
        <v>46058</v>
      </c>
      <c r="H42" s="244">
        <v>585</v>
      </c>
      <c r="I42" s="248" t="s">
        <v>82</v>
      </c>
      <c r="J42" s="244">
        <v>500</v>
      </c>
      <c r="K42" s="248" t="s">
        <v>217</v>
      </c>
      <c r="L42" s="228" t="s">
        <v>222</v>
      </c>
    </row>
    <row r="43" spans="1:13" x14ac:dyDescent="0.25">
      <c r="A43" s="244" t="str">
        <f t="shared" si="1"/>
        <v>03032026-TK153-3</v>
      </c>
      <c r="B43" s="245">
        <v>46084</v>
      </c>
      <c r="C43" s="246" t="s">
        <v>240</v>
      </c>
      <c r="D43" s="244">
        <v>4519</v>
      </c>
      <c r="E43" s="244" t="s">
        <v>206</v>
      </c>
      <c r="F43" s="244">
        <v>3934</v>
      </c>
      <c r="G43" s="247">
        <v>46058</v>
      </c>
      <c r="H43" s="244">
        <v>585</v>
      </c>
      <c r="I43" s="248" t="s">
        <v>82</v>
      </c>
      <c r="J43" s="244">
        <v>500</v>
      </c>
      <c r="K43" s="248" t="s">
        <v>217</v>
      </c>
      <c r="L43" s="228" t="s">
        <v>222</v>
      </c>
    </row>
    <row r="44" spans="1:13" x14ac:dyDescent="0.25">
      <c r="A44" s="244" t="str">
        <f t="shared" si="1"/>
        <v>01032026-TK157-1</v>
      </c>
      <c r="B44" s="245">
        <v>46082</v>
      </c>
      <c r="C44" s="246" t="s">
        <v>241</v>
      </c>
      <c r="D44" s="244">
        <v>4992</v>
      </c>
      <c r="E44" s="244" t="s">
        <v>205</v>
      </c>
      <c r="F44" s="244">
        <v>4794</v>
      </c>
      <c r="G44" s="247">
        <v>46073</v>
      </c>
      <c r="H44" s="244">
        <v>198</v>
      </c>
      <c r="I44" s="248" t="s">
        <v>81</v>
      </c>
      <c r="J44" s="244">
        <v>1000</v>
      </c>
      <c r="K44" s="248" t="s">
        <v>207</v>
      </c>
      <c r="L44" s="228" t="s">
        <v>222</v>
      </c>
    </row>
    <row r="45" spans="1:13" x14ac:dyDescent="0.25">
      <c r="A45" s="244" t="str">
        <f t="shared" si="1"/>
        <v>01032026-TK157-2</v>
      </c>
      <c r="B45" s="245">
        <v>46082</v>
      </c>
      <c r="C45" s="246" t="s">
        <v>241</v>
      </c>
      <c r="D45" s="244">
        <v>4992</v>
      </c>
      <c r="E45" s="244" t="s">
        <v>210</v>
      </c>
      <c r="F45" s="244">
        <v>4107</v>
      </c>
      <c r="G45" s="247">
        <v>46033</v>
      </c>
      <c r="H45" s="244">
        <v>885</v>
      </c>
      <c r="I45" s="248" t="s">
        <v>82</v>
      </c>
      <c r="J45" s="244">
        <v>1000</v>
      </c>
      <c r="K45" s="248" t="s">
        <v>207</v>
      </c>
      <c r="L45" s="228" t="s">
        <v>222</v>
      </c>
    </row>
    <row r="46" spans="1:13" x14ac:dyDescent="0.25">
      <c r="A46" s="244" t="str">
        <f t="shared" si="1"/>
        <v>01032026-TK157-3</v>
      </c>
      <c r="B46" s="245">
        <v>46082</v>
      </c>
      <c r="C46" s="246" t="s">
        <v>241</v>
      </c>
      <c r="D46" s="244">
        <v>4992</v>
      </c>
      <c r="E46" s="244" t="s">
        <v>206</v>
      </c>
      <c r="F46" s="244">
        <v>4107</v>
      </c>
      <c r="G46" s="247">
        <v>46033</v>
      </c>
      <c r="H46" s="244">
        <v>885</v>
      </c>
      <c r="I46" s="248" t="s">
        <v>82</v>
      </c>
      <c r="J46" s="244">
        <v>1000</v>
      </c>
      <c r="K46" s="248" t="s">
        <v>207</v>
      </c>
      <c r="L46" s="228" t="s">
        <v>222</v>
      </c>
    </row>
    <row r="47" spans="1:13" x14ac:dyDescent="0.25">
      <c r="A47" s="244" t="str">
        <f t="shared" si="1"/>
        <v>26022026-TK106-1</v>
      </c>
      <c r="B47" s="245">
        <v>46079</v>
      </c>
      <c r="C47" s="246" t="s">
        <v>242</v>
      </c>
      <c r="D47" s="244">
        <v>29055</v>
      </c>
      <c r="E47" s="244" t="s">
        <v>205</v>
      </c>
      <c r="F47" s="244"/>
      <c r="G47" s="247"/>
      <c r="H47" s="244"/>
      <c r="I47" s="248" t="s">
        <v>81</v>
      </c>
      <c r="J47" s="244">
        <v>1000</v>
      </c>
      <c r="K47" s="248" t="s">
        <v>207</v>
      </c>
      <c r="L47" s="228" t="s">
        <v>222</v>
      </c>
      <c r="M47" t="s">
        <v>244</v>
      </c>
    </row>
    <row r="48" spans="1:13" x14ac:dyDescent="0.25">
      <c r="A48" s="244" t="str">
        <f t="shared" si="1"/>
        <v>26022026-TK106-2</v>
      </c>
      <c r="B48" s="245">
        <v>46079</v>
      </c>
      <c r="C48" s="246" t="s">
        <v>242</v>
      </c>
      <c r="D48" s="244">
        <v>29055</v>
      </c>
      <c r="E48" s="244" t="s">
        <v>210</v>
      </c>
      <c r="F48" s="244"/>
      <c r="G48" s="247"/>
      <c r="H48" s="244"/>
      <c r="I48" s="248" t="s">
        <v>82</v>
      </c>
      <c r="J48" s="244">
        <v>1000</v>
      </c>
      <c r="K48" s="248" t="s">
        <v>207</v>
      </c>
      <c r="L48" s="228" t="s">
        <v>222</v>
      </c>
      <c r="M48" t="s">
        <v>244</v>
      </c>
    </row>
    <row r="49" spans="1:13" x14ac:dyDescent="0.25">
      <c r="A49" s="244" t="str">
        <f t="shared" si="1"/>
        <v>26022026-TK106-3</v>
      </c>
      <c r="B49" s="245">
        <v>46079</v>
      </c>
      <c r="C49" s="246" t="s">
        <v>242</v>
      </c>
      <c r="D49" s="244">
        <v>29055</v>
      </c>
      <c r="E49" s="244" t="s">
        <v>206</v>
      </c>
      <c r="F49" s="244"/>
      <c r="G49" s="247"/>
      <c r="H49" s="244"/>
      <c r="I49" s="248" t="s">
        <v>82</v>
      </c>
      <c r="J49" s="244">
        <v>1000</v>
      </c>
      <c r="K49" s="248" t="s">
        <v>207</v>
      </c>
      <c r="L49" s="228" t="s">
        <v>222</v>
      </c>
      <c r="M49" t="s">
        <v>244</v>
      </c>
    </row>
    <row r="50" spans="1:13" x14ac:dyDescent="0.25">
      <c r="A50" s="244" t="str">
        <f t="shared" si="1"/>
        <v>26022026-TK118-1</v>
      </c>
      <c r="B50" s="245">
        <v>46079</v>
      </c>
      <c r="C50" s="246" t="s">
        <v>245</v>
      </c>
      <c r="D50" s="244">
        <v>27973</v>
      </c>
      <c r="E50" s="244" t="s">
        <v>205</v>
      </c>
      <c r="F50" s="244"/>
      <c r="G50" s="247"/>
      <c r="H50" s="244"/>
      <c r="I50" s="248" t="s">
        <v>81</v>
      </c>
      <c r="J50" s="244">
        <v>4000</v>
      </c>
      <c r="K50" s="248" t="s">
        <v>207</v>
      </c>
      <c r="L50" s="228" t="s">
        <v>222</v>
      </c>
      <c r="M50" t="s">
        <v>244</v>
      </c>
    </row>
    <row r="51" spans="1:13" x14ac:dyDescent="0.25">
      <c r="A51" s="244" t="str">
        <f t="shared" si="1"/>
        <v>26022026-TK118-2</v>
      </c>
      <c r="B51" s="245">
        <v>46079</v>
      </c>
      <c r="C51" s="246" t="s">
        <v>245</v>
      </c>
      <c r="D51" s="244">
        <v>27973</v>
      </c>
      <c r="E51" s="244" t="s">
        <v>210</v>
      </c>
      <c r="F51" s="244"/>
      <c r="G51" s="247"/>
      <c r="H51" s="244"/>
      <c r="I51" s="248" t="s">
        <v>82</v>
      </c>
      <c r="J51" s="244">
        <v>4000</v>
      </c>
      <c r="K51" s="248" t="s">
        <v>207</v>
      </c>
      <c r="L51" s="228" t="s">
        <v>222</v>
      </c>
      <c r="M51" t="s">
        <v>244</v>
      </c>
    </row>
    <row r="52" spans="1:13" x14ac:dyDescent="0.25">
      <c r="A52" s="244" t="str">
        <f t="shared" si="1"/>
        <v>26022026-TK118-3</v>
      </c>
      <c r="B52" s="245">
        <v>46079</v>
      </c>
      <c r="C52" s="246" t="s">
        <v>245</v>
      </c>
      <c r="D52" s="244">
        <v>27973</v>
      </c>
      <c r="E52" s="244" t="s">
        <v>206</v>
      </c>
      <c r="F52" s="244"/>
      <c r="G52" s="247"/>
      <c r="H52" s="244"/>
      <c r="I52" s="248" t="s">
        <v>82</v>
      </c>
      <c r="J52" s="244">
        <v>4000</v>
      </c>
      <c r="K52" s="248" t="s">
        <v>207</v>
      </c>
      <c r="L52" s="228" t="s">
        <v>222</v>
      </c>
      <c r="M52" t="s">
        <v>244</v>
      </c>
    </row>
    <row r="53" spans="1:13" x14ac:dyDescent="0.25">
      <c r="A53" s="244" t="str">
        <f t="shared" si="1"/>
        <v>26022026-TK124-1</v>
      </c>
      <c r="B53" s="245">
        <v>46079</v>
      </c>
      <c r="C53" s="246" t="s">
        <v>246</v>
      </c>
      <c r="D53" s="244">
        <v>26503</v>
      </c>
      <c r="E53" s="244" t="s">
        <v>205</v>
      </c>
      <c r="F53" s="244"/>
      <c r="G53" s="247"/>
      <c r="H53" s="244"/>
      <c r="I53" s="248" t="s">
        <v>81</v>
      </c>
      <c r="J53" s="244">
        <v>500</v>
      </c>
      <c r="K53" s="248" t="s">
        <v>207</v>
      </c>
      <c r="L53" s="228" t="s">
        <v>222</v>
      </c>
      <c r="M53" t="s">
        <v>244</v>
      </c>
    </row>
    <row r="54" spans="1:13" x14ac:dyDescent="0.25">
      <c r="A54" s="244" t="str">
        <f t="shared" si="1"/>
        <v>26022026-TK124-2</v>
      </c>
      <c r="B54" s="245">
        <v>46079</v>
      </c>
      <c r="C54" s="246" t="s">
        <v>246</v>
      </c>
      <c r="D54" s="244">
        <v>26503</v>
      </c>
      <c r="E54" s="244" t="s">
        <v>210</v>
      </c>
      <c r="F54" s="244"/>
      <c r="G54" s="247"/>
      <c r="H54" s="244"/>
      <c r="I54" s="248" t="s">
        <v>82</v>
      </c>
      <c r="J54" s="244">
        <v>500</v>
      </c>
      <c r="K54" s="248" t="s">
        <v>217</v>
      </c>
      <c r="L54" s="228" t="s">
        <v>222</v>
      </c>
      <c r="M54" t="s">
        <v>244</v>
      </c>
    </row>
    <row r="55" spans="1:13" x14ac:dyDescent="0.25">
      <c r="A55" s="244" t="str">
        <f t="shared" si="1"/>
        <v>26022026-TK124-3</v>
      </c>
      <c r="B55" s="245">
        <v>46079</v>
      </c>
      <c r="C55" s="246" t="s">
        <v>246</v>
      </c>
      <c r="D55" s="244">
        <v>26503</v>
      </c>
      <c r="E55" s="244" t="s">
        <v>206</v>
      </c>
      <c r="F55" s="244"/>
      <c r="G55" s="247"/>
      <c r="H55" s="244"/>
      <c r="I55" s="248" t="s">
        <v>82</v>
      </c>
      <c r="J55" s="244">
        <v>500</v>
      </c>
      <c r="K55" s="248" t="s">
        <v>217</v>
      </c>
      <c r="L55" s="228" t="s">
        <v>222</v>
      </c>
      <c r="M55" t="s">
        <v>244</v>
      </c>
    </row>
    <row r="56" spans="1:13" x14ac:dyDescent="0.25">
      <c r="A56" s="244" t="str">
        <f t="shared" si="1"/>
        <v>02032026-TK152-1</v>
      </c>
      <c r="B56" s="245">
        <v>46083</v>
      </c>
      <c r="C56" s="246" t="s">
        <v>247</v>
      </c>
      <c r="D56" s="244">
        <v>4503</v>
      </c>
      <c r="E56" s="244" t="s">
        <v>205</v>
      </c>
      <c r="F56" s="244"/>
      <c r="G56" s="247"/>
      <c r="H56" s="244"/>
      <c r="I56" s="248" t="s">
        <v>81</v>
      </c>
      <c r="J56" s="244">
        <v>1500</v>
      </c>
      <c r="K56" s="248" t="s">
        <v>207</v>
      </c>
      <c r="L56" s="228" t="s">
        <v>222</v>
      </c>
      <c r="M56" t="s">
        <v>244</v>
      </c>
    </row>
    <row r="57" spans="1:13" x14ac:dyDescent="0.25">
      <c r="A57" s="244" t="str">
        <f t="shared" si="1"/>
        <v>02032026-TK152-2</v>
      </c>
      <c r="B57" s="245">
        <v>46083</v>
      </c>
      <c r="C57" s="246" t="s">
        <v>247</v>
      </c>
      <c r="D57" s="244">
        <v>4503</v>
      </c>
      <c r="E57" s="244" t="s">
        <v>210</v>
      </c>
      <c r="F57" s="244"/>
      <c r="G57" s="247"/>
      <c r="H57" s="244"/>
      <c r="I57" s="248" t="s">
        <v>82</v>
      </c>
      <c r="J57" s="244">
        <v>1500</v>
      </c>
      <c r="K57" s="248" t="s">
        <v>217</v>
      </c>
      <c r="L57" s="228" t="s">
        <v>222</v>
      </c>
      <c r="M57" t="s">
        <v>244</v>
      </c>
    </row>
    <row r="58" spans="1:13" x14ac:dyDescent="0.25">
      <c r="A58" s="244" t="str">
        <f t="shared" si="1"/>
        <v>02032026-TK152-3</v>
      </c>
      <c r="B58" s="245">
        <v>46083</v>
      </c>
      <c r="C58" s="246" t="s">
        <v>247</v>
      </c>
      <c r="D58" s="244">
        <v>4503</v>
      </c>
      <c r="E58" s="244" t="s">
        <v>206</v>
      </c>
      <c r="F58" s="244"/>
      <c r="G58" s="247"/>
      <c r="H58" s="244"/>
      <c r="I58" s="248" t="s">
        <v>82</v>
      </c>
      <c r="J58" s="244">
        <v>1500</v>
      </c>
      <c r="K58" s="248" t="s">
        <v>217</v>
      </c>
      <c r="L58" s="228" t="s">
        <v>222</v>
      </c>
      <c r="M58" t="s">
        <v>244</v>
      </c>
    </row>
    <row r="59" spans="1:13" x14ac:dyDescent="0.25">
      <c r="A59" s="244" t="str">
        <f t="shared" si="1"/>
        <v>02032026-TK154-1</v>
      </c>
      <c r="B59" s="245">
        <v>46083</v>
      </c>
      <c r="C59" s="246" t="s">
        <v>248</v>
      </c>
      <c r="D59" s="244">
        <v>3266</v>
      </c>
      <c r="E59" s="244" t="s">
        <v>205</v>
      </c>
      <c r="F59" s="244"/>
      <c r="G59" s="247"/>
      <c r="H59" s="244"/>
      <c r="I59" s="248" t="s">
        <v>81</v>
      </c>
      <c r="J59" s="244">
        <v>250</v>
      </c>
      <c r="K59" s="248" t="s">
        <v>207</v>
      </c>
      <c r="L59" s="228" t="s">
        <v>222</v>
      </c>
      <c r="M59" t="s">
        <v>244</v>
      </c>
    </row>
    <row r="60" spans="1:13" x14ac:dyDescent="0.25">
      <c r="A60" s="244" t="str">
        <f t="shared" si="1"/>
        <v>02032026-TK154-2</v>
      </c>
      <c r="B60" s="245">
        <v>46083</v>
      </c>
      <c r="C60" s="246" t="s">
        <v>248</v>
      </c>
      <c r="D60" s="244">
        <v>3266</v>
      </c>
      <c r="E60" s="244" t="s">
        <v>210</v>
      </c>
      <c r="F60" s="244"/>
      <c r="G60" s="247"/>
      <c r="H60" s="244"/>
      <c r="I60" s="248" t="s">
        <v>82</v>
      </c>
      <c r="J60" s="244">
        <v>250</v>
      </c>
      <c r="K60" s="248" t="s">
        <v>217</v>
      </c>
      <c r="L60" s="228" t="s">
        <v>222</v>
      </c>
      <c r="M60" t="s">
        <v>244</v>
      </c>
    </row>
    <row r="61" spans="1:13" x14ac:dyDescent="0.25">
      <c r="A61" s="244" t="str">
        <f t="shared" si="1"/>
        <v>02032026-TK154-3</v>
      </c>
      <c r="B61" s="245">
        <v>46083</v>
      </c>
      <c r="C61" s="246" t="s">
        <v>248</v>
      </c>
      <c r="D61" s="244">
        <v>3266</v>
      </c>
      <c r="E61" s="244" t="s">
        <v>206</v>
      </c>
      <c r="F61" s="244"/>
      <c r="G61" s="247"/>
      <c r="H61" s="244"/>
      <c r="I61" s="248" t="s">
        <v>82</v>
      </c>
      <c r="J61" s="244">
        <v>250</v>
      </c>
      <c r="K61" s="248" t="s">
        <v>217</v>
      </c>
      <c r="L61" s="228" t="s">
        <v>222</v>
      </c>
      <c r="M61" t="s">
        <v>244</v>
      </c>
    </row>
    <row r="62" spans="1:13" x14ac:dyDescent="0.25">
      <c r="A62" s="244" t="str">
        <f t="shared" si="1"/>
        <v>05032026-TK103-1</v>
      </c>
      <c r="B62" s="245">
        <v>46086</v>
      </c>
      <c r="C62" s="246" t="s">
        <v>249</v>
      </c>
      <c r="D62" s="244">
        <v>32009</v>
      </c>
      <c r="E62" s="244" t="s">
        <v>205</v>
      </c>
      <c r="F62" s="244"/>
      <c r="G62" s="247"/>
      <c r="H62" s="244"/>
      <c r="I62" s="248" t="s">
        <v>81</v>
      </c>
      <c r="J62" s="244">
        <v>4000</v>
      </c>
      <c r="K62" s="248" t="s">
        <v>207</v>
      </c>
      <c r="L62" s="228" t="s">
        <v>222</v>
      </c>
      <c r="M62" t="s">
        <v>244</v>
      </c>
    </row>
    <row r="63" spans="1:13" x14ac:dyDescent="0.25">
      <c r="A63" s="244" t="str">
        <f t="shared" si="1"/>
        <v>05032026-TK103-2</v>
      </c>
      <c r="B63" s="245">
        <v>46086</v>
      </c>
      <c r="C63" s="246" t="s">
        <v>249</v>
      </c>
      <c r="D63" s="244">
        <v>32009</v>
      </c>
      <c r="E63" s="244" t="s">
        <v>210</v>
      </c>
      <c r="F63" s="244"/>
      <c r="G63" s="247"/>
      <c r="H63" s="244"/>
      <c r="I63" s="248" t="s">
        <v>82</v>
      </c>
      <c r="J63" s="244">
        <v>4000</v>
      </c>
      <c r="K63" s="248" t="s">
        <v>207</v>
      </c>
      <c r="L63" s="228" t="s">
        <v>222</v>
      </c>
      <c r="M63" t="s">
        <v>244</v>
      </c>
    </row>
    <row r="64" spans="1:13" x14ac:dyDescent="0.25">
      <c r="A64" s="244" t="str">
        <f t="shared" si="1"/>
        <v>05032026-TK103-3</v>
      </c>
      <c r="B64" s="245">
        <v>46086</v>
      </c>
      <c r="C64" s="246" t="s">
        <v>249</v>
      </c>
      <c r="D64" s="244">
        <v>32009</v>
      </c>
      <c r="E64" s="244" t="s">
        <v>206</v>
      </c>
      <c r="F64" s="244"/>
      <c r="G64" s="247"/>
      <c r="H64" s="244"/>
      <c r="I64" s="248" t="s">
        <v>82</v>
      </c>
      <c r="J64" s="244">
        <v>4000</v>
      </c>
      <c r="K64" s="248" t="s">
        <v>207</v>
      </c>
      <c r="L64" s="228" t="s">
        <v>222</v>
      </c>
      <c r="M64" t="s">
        <v>244</v>
      </c>
    </row>
    <row r="65" spans="1:15" x14ac:dyDescent="0.25">
      <c r="A65" s="244" t="str">
        <f t="shared" ref="A65:A96" si="2">TEXT(DAY(B65),"00")&amp;TEXT(MONTH(B65),"00")&amp;YEAR(B65)&amp;"-"&amp;C65&amp;"-"&amp;LEFT(E65,SEARCH(" ",E65&amp;" ")-1)</f>
        <v>01032026-LD002-1</v>
      </c>
      <c r="B65" s="245">
        <v>46082</v>
      </c>
      <c r="C65" s="246" t="s">
        <v>250</v>
      </c>
      <c r="D65" s="244">
        <v>30096</v>
      </c>
      <c r="E65" s="244" t="s">
        <v>205</v>
      </c>
      <c r="F65" s="244"/>
      <c r="G65" s="247"/>
      <c r="H65" s="244"/>
      <c r="I65" s="248" t="s">
        <v>81</v>
      </c>
      <c r="J65" s="244">
        <v>2000</v>
      </c>
      <c r="K65" s="248" t="s">
        <v>207</v>
      </c>
      <c r="L65" s="228" t="s">
        <v>222</v>
      </c>
      <c r="M65" t="s">
        <v>244</v>
      </c>
    </row>
    <row r="66" spans="1:15" x14ac:dyDescent="0.25">
      <c r="A66" s="244" t="str">
        <f t="shared" si="2"/>
        <v>01032026-LD002-2</v>
      </c>
      <c r="B66" s="245">
        <v>46082</v>
      </c>
      <c r="C66" s="246" t="s">
        <v>250</v>
      </c>
      <c r="D66" s="244">
        <v>30096</v>
      </c>
      <c r="E66" s="244" t="s">
        <v>210</v>
      </c>
      <c r="F66" s="244"/>
      <c r="G66" s="247"/>
      <c r="H66" s="244"/>
      <c r="I66" s="248" t="s">
        <v>82</v>
      </c>
      <c r="J66" s="244">
        <v>2000</v>
      </c>
      <c r="K66" s="248" t="s">
        <v>207</v>
      </c>
      <c r="L66" s="228" t="s">
        <v>222</v>
      </c>
      <c r="M66" t="s">
        <v>244</v>
      </c>
    </row>
    <row r="67" spans="1:15" x14ac:dyDescent="0.25">
      <c r="A67" s="244" t="str">
        <f t="shared" si="2"/>
        <v>01032026-LD002-3</v>
      </c>
      <c r="B67" s="245">
        <v>46082</v>
      </c>
      <c r="C67" s="246" t="s">
        <v>250</v>
      </c>
      <c r="D67" s="244">
        <v>30096</v>
      </c>
      <c r="E67" s="244" t="s">
        <v>206</v>
      </c>
      <c r="F67" s="244"/>
      <c r="G67" s="247"/>
      <c r="H67" s="244"/>
      <c r="I67" s="248" t="s">
        <v>82</v>
      </c>
      <c r="J67" s="244">
        <v>2000</v>
      </c>
      <c r="K67" s="248" t="s">
        <v>207</v>
      </c>
      <c r="L67" s="228" t="s">
        <v>222</v>
      </c>
      <c r="M67" t="s">
        <v>244</v>
      </c>
      <c r="O67" s="250"/>
    </row>
    <row r="68" spans="1:15" x14ac:dyDescent="0.25">
      <c r="A68" s="244" t="str">
        <f t="shared" si="2"/>
        <v>01032026-LD004-1</v>
      </c>
      <c r="B68" s="245">
        <v>46082</v>
      </c>
      <c r="C68" s="246" t="s">
        <v>251</v>
      </c>
      <c r="D68" s="244">
        <v>20016</v>
      </c>
      <c r="E68" s="244" t="s">
        <v>205</v>
      </c>
      <c r="F68" s="244"/>
      <c r="G68" s="247"/>
      <c r="H68" s="244"/>
      <c r="I68" s="248" t="s">
        <v>81</v>
      </c>
      <c r="J68" s="244">
        <v>4000</v>
      </c>
      <c r="K68" s="248" t="s">
        <v>207</v>
      </c>
      <c r="L68" s="228" t="s">
        <v>222</v>
      </c>
      <c r="M68" t="s">
        <v>244</v>
      </c>
    </row>
    <row r="69" spans="1:15" x14ac:dyDescent="0.25">
      <c r="A69" s="244" t="str">
        <f t="shared" si="2"/>
        <v>01032026-LD004-2</v>
      </c>
      <c r="B69" s="245">
        <v>46082</v>
      </c>
      <c r="C69" s="246" t="s">
        <v>251</v>
      </c>
      <c r="D69" s="244">
        <v>20016</v>
      </c>
      <c r="E69" s="244" t="s">
        <v>210</v>
      </c>
      <c r="F69" s="244"/>
      <c r="G69" s="247"/>
      <c r="H69" s="244"/>
      <c r="I69" s="248" t="s">
        <v>82</v>
      </c>
      <c r="J69" s="244">
        <v>4000</v>
      </c>
      <c r="K69" s="248" t="s">
        <v>207</v>
      </c>
      <c r="L69" s="228" t="s">
        <v>222</v>
      </c>
      <c r="M69" t="s">
        <v>244</v>
      </c>
    </row>
    <row r="70" spans="1:15" x14ac:dyDescent="0.25">
      <c r="A70" s="244" t="str">
        <f t="shared" si="2"/>
        <v>01032026-LD004-3</v>
      </c>
      <c r="B70" s="245">
        <v>46082</v>
      </c>
      <c r="C70" s="246" t="s">
        <v>251</v>
      </c>
      <c r="D70" s="244">
        <v>20016</v>
      </c>
      <c r="E70" s="244" t="s">
        <v>206</v>
      </c>
      <c r="F70" s="244"/>
      <c r="G70" s="247"/>
      <c r="H70" s="244"/>
      <c r="I70" s="248" t="s">
        <v>82</v>
      </c>
      <c r="J70" s="244">
        <v>4000</v>
      </c>
      <c r="K70" s="248" t="s">
        <v>207</v>
      </c>
      <c r="L70" s="228" t="s">
        <v>222</v>
      </c>
      <c r="M70" t="s">
        <v>244</v>
      </c>
    </row>
    <row r="71" spans="1:15" x14ac:dyDescent="0.25">
      <c r="A71" s="244" t="str">
        <f t="shared" si="2"/>
        <v>26022026-DZ006-2</v>
      </c>
      <c r="B71" s="245">
        <v>46079</v>
      </c>
      <c r="C71" s="246" t="s">
        <v>252</v>
      </c>
      <c r="D71" s="244">
        <v>25122</v>
      </c>
      <c r="E71" s="244" t="s">
        <v>210</v>
      </c>
      <c r="F71" s="244"/>
      <c r="G71" s="247"/>
      <c r="H71" s="244"/>
      <c r="I71" s="248" t="s">
        <v>82</v>
      </c>
      <c r="J71" s="244">
        <v>1000</v>
      </c>
      <c r="K71" s="248" t="s">
        <v>207</v>
      </c>
      <c r="L71" s="228" t="s">
        <v>222</v>
      </c>
      <c r="M71" t="s">
        <v>244</v>
      </c>
    </row>
    <row r="72" spans="1:15" x14ac:dyDescent="0.25">
      <c r="A72" s="244" t="str">
        <f t="shared" si="2"/>
        <v>26022026-DZ006-3</v>
      </c>
      <c r="B72" s="245">
        <v>46079</v>
      </c>
      <c r="C72" s="246" t="s">
        <v>252</v>
      </c>
      <c r="D72" s="244">
        <v>25122</v>
      </c>
      <c r="E72" s="244" t="s">
        <v>206</v>
      </c>
      <c r="F72" s="244"/>
      <c r="G72" s="247"/>
      <c r="H72" s="244"/>
      <c r="I72" s="248" t="s">
        <v>82</v>
      </c>
      <c r="J72" s="244">
        <v>1000</v>
      </c>
      <c r="K72" s="248" t="s">
        <v>207</v>
      </c>
      <c r="L72" s="228" t="s">
        <v>222</v>
      </c>
      <c r="M72" t="s">
        <v>244</v>
      </c>
    </row>
    <row r="73" spans="1:15" x14ac:dyDescent="0.25">
      <c r="A73" s="244" t="str">
        <f t="shared" si="2"/>
        <v>22022026-LD005-1</v>
      </c>
      <c r="B73" s="245">
        <v>46075</v>
      </c>
      <c r="C73" s="246" t="s">
        <v>253</v>
      </c>
      <c r="D73" s="244">
        <v>18008</v>
      </c>
      <c r="E73" s="244" t="s">
        <v>205</v>
      </c>
      <c r="F73" s="244"/>
      <c r="G73" s="247"/>
      <c r="H73" s="244"/>
      <c r="I73" s="248" t="s">
        <v>81</v>
      </c>
      <c r="J73" s="244">
        <v>2000</v>
      </c>
      <c r="K73" s="248" t="s">
        <v>207</v>
      </c>
      <c r="L73" s="228" t="s">
        <v>222</v>
      </c>
      <c r="M73" t="s">
        <v>244</v>
      </c>
    </row>
    <row r="74" spans="1:15" x14ac:dyDescent="0.25">
      <c r="A74" s="244" t="str">
        <f t="shared" si="2"/>
        <v>22022026-LD005-2</v>
      </c>
      <c r="B74" s="245">
        <v>46075</v>
      </c>
      <c r="C74" s="246" t="s">
        <v>253</v>
      </c>
      <c r="D74" s="244">
        <v>18008</v>
      </c>
      <c r="E74" s="244" t="s">
        <v>210</v>
      </c>
      <c r="F74" s="244"/>
      <c r="G74" s="247"/>
      <c r="H74" s="244"/>
      <c r="I74" s="248" t="s">
        <v>82</v>
      </c>
      <c r="J74" s="244">
        <v>2000</v>
      </c>
      <c r="K74" s="248" t="s">
        <v>207</v>
      </c>
      <c r="L74" s="228" t="s">
        <v>222</v>
      </c>
      <c r="M74" t="s">
        <v>244</v>
      </c>
    </row>
    <row r="75" spans="1:15" x14ac:dyDescent="0.25">
      <c r="A75" s="244" t="str">
        <f t="shared" ref="A75" si="3">TEXT(DAY(B75),"00")&amp;TEXT(MONTH(B75),"00")&amp;YEAR(B75)&amp;"-"&amp;C75&amp;"-"&amp;LEFT(E75,SEARCH(" ",E75&amp;" ")-1)</f>
        <v>22022026-LD005-3</v>
      </c>
      <c r="B75" s="245">
        <v>46075</v>
      </c>
      <c r="C75" s="246" t="s">
        <v>253</v>
      </c>
      <c r="D75" s="244">
        <v>18008</v>
      </c>
      <c r="E75" s="244" t="s">
        <v>206</v>
      </c>
      <c r="F75" s="244"/>
      <c r="G75" s="247"/>
      <c r="H75" s="244"/>
      <c r="I75" s="248" t="s">
        <v>82</v>
      </c>
      <c r="J75" s="244">
        <v>2000</v>
      </c>
      <c r="K75" s="248" t="s">
        <v>207</v>
      </c>
      <c r="L75" s="228" t="s">
        <v>222</v>
      </c>
      <c r="M75" t="s">
        <v>244</v>
      </c>
    </row>
    <row r="76" spans="1:15" x14ac:dyDescent="0.25">
      <c r="A76" s="244" t="str">
        <f t="shared" si="2"/>
        <v>25022026-DZ020-1</v>
      </c>
      <c r="B76" s="245">
        <v>46078</v>
      </c>
      <c r="C76" s="246" t="s">
        <v>236</v>
      </c>
      <c r="D76" s="244">
        <v>5004</v>
      </c>
      <c r="E76" s="244" t="s">
        <v>205</v>
      </c>
      <c r="F76" s="244"/>
      <c r="G76" s="247"/>
      <c r="H76" s="244"/>
      <c r="I76" s="248" t="s">
        <v>81</v>
      </c>
      <c r="J76" s="244">
        <v>5000</v>
      </c>
      <c r="K76" s="248" t="s">
        <v>207</v>
      </c>
      <c r="L76" s="228" t="s">
        <v>222</v>
      </c>
      <c r="M76" t="s">
        <v>244</v>
      </c>
    </row>
    <row r="77" spans="1:15" x14ac:dyDescent="0.25">
      <c r="A77" s="244" t="str">
        <f t="shared" si="2"/>
        <v>25022026-DZ020-2</v>
      </c>
      <c r="B77" s="245">
        <v>46078</v>
      </c>
      <c r="C77" s="246" t="s">
        <v>236</v>
      </c>
      <c r="D77" s="244">
        <v>5004</v>
      </c>
      <c r="E77" s="244" t="s">
        <v>210</v>
      </c>
      <c r="F77" s="244"/>
      <c r="G77" s="247"/>
      <c r="H77" s="244"/>
      <c r="I77" s="248" t="s">
        <v>82</v>
      </c>
      <c r="J77" s="244">
        <v>5000</v>
      </c>
      <c r="K77" s="248" t="s">
        <v>207</v>
      </c>
      <c r="L77" s="228" t="s">
        <v>222</v>
      </c>
      <c r="M77" t="s">
        <v>244</v>
      </c>
    </row>
    <row r="78" spans="1:15" x14ac:dyDescent="0.25">
      <c r="A78" s="244" t="str">
        <f t="shared" si="2"/>
        <v>25022026-DZ020-4AL</v>
      </c>
      <c r="B78" s="245">
        <v>46078</v>
      </c>
      <c r="C78" s="246" t="s">
        <v>236</v>
      </c>
      <c r="D78" s="244">
        <v>5004</v>
      </c>
      <c r="E78" s="244" t="s">
        <v>254</v>
      </c>
      <c r="F78" s="244"/>
      <c r="G78" s="247"/>
      <c r="H78" s="244"/>
      <c r="I78" s="248" t="s">
        <v>82</v>
      </c>
      <c r="J78" s="244">
        <v>5000</v>
      </c>
      <c r="K78" s="248" t="s">
        <v>207</v>
      </c>
      <c r="L78" s="228" t="s">
        <v>222</v>
      </c>
    </row>
    <row r="79" spans="1:15" x14ac:dyDescent="0.25">
      <c r="A79" s="244" t="str">
        <f t="shared" si="2"/>
        <v>25022026-DZ020-4AR</v>
      </c>
      <c r="B79" s="245">
        <v>46078</v>
      </c>
      <c r="C79" s="246" t="s">
        <v>236</v>
      </c>
      <c r="D79" s="244">
        <v>5004</v>
      </c>
      <c r="E79" s="244" t="s">
        <v>255</v>
      </c>
      <c r="F79" s="244"/>
      <c r="G79" s="247"/>
      <c r="H79" s="244"/>
      <c r="I79" s="248" t="s">
        <v>82</v>
      </c>
      <c r="J79" s="244">
        <v>5000</v>
      </c>
      <c r="K79" s="248" t="s">
        <v>207</v>
      </c>
      <c r="L79" s="228" t="s">
        <v>222</v>
      </c>
    </row>
    <row r="80" spans="1:15" x14ac:dyDescent="0.25">
      <c r="A80" s="244" t="str">
        <f t="shared" si="2"/>
        <v>03032026-GR008-1</v>
      </c>
      <c r="B80" s="245">
        <v>46084</v>
      </c>
      <c r="C80" s="246" t="s">
        <v>256</v>
      </c>
      <c r="D80" s="244">
        <v>22057</v>
      </c>
      <c r="E80" s="244" t="s">
        <v>205</v>
      </c>
      <c r="F80" s="244"/>
      <c r="G80" s="247"/>
      <c r="H80" s="244"/>
      <c r="I80" s="248" t="s">
        <v>81</v>
      </c>
      <c r="J80" s="244">
        <v>2000</v>
      </c>
      <c r="K80" s="248" t="s">
        <v>207</v>
      </c>
      <c r="L80" s="228" t="s">
        <v>222</v>
      </c>
    </row>
    <row r="81" spans="1:12" x14ac:dyDescent="0.25">
      <c r="A81" s="244" t="str">
        <f t="shared" si="2"/>
        <v>03032026-GR008-2</v>
      </c>
      <c r="B81" s="245">
        <v>46084</v>
      </c>
      <c r="C81" s="246" t="s">
        <v>256</v>
      </c>
      <c r="D81" s="244">
        <v>22057</v>
      </c>
      <c r="E81" s="244" t="s">
        <v>210</v>
      </c>
      <c r="F81" s="244"/>
      <c r="G81" s="247"/>
      <c r="H81" s="244"/>
      <c r="I81" s="248" t="s">
        <v>82</v>
      </c>
      <c r="J81" s="244">
        <v>2000</v>
      </c>
      <c r="K81" s="248" t="s">
        <v>207</v>
      </c>
      <c r="L81" s="228" t="s">
        <v>222</v>
      </c>
    </row>
    <row r="82" spans="1:12" x14ac:dyDescent="0.25">
      <c r="A82" s="244" t="str">
        <f t="shared" si="2"/>
        <v>03032026-GR008-3</v>
      </c>
      <c r="B82" s="245">
        <v>46084</v>
      </c>
      <c r="C82" s="246" t="s">
        <v>256</v>
      </c>
      <c r="D82" s="244">
        <v>22057</v>
      </c>
      <c r="E82" s="244" t="s">
        <v>206</v>
      </c>
      <c r="F82" s="244"/>
      <c r="G82" s="247"/>
      <c r="H82" s="244"/>
      <c r="I82" s="248" t="s">
        <v>82</v>
      </c>
      <c r="J82" s="244">
        <v>2000</v>
      </c>
      <c r="K82" s="248" t="s">
        <v>207</v>
      </c>
      <c r="L82" s="228" t="s">
        <v>222</v>
      </c>
    </row>
    <row r="83" spans="1:12" x14ac:dyDescent="0.25">
      <c r="A83" s="244" t="str">
        <f t="shared" si="2"/>
        <v>05032026-EX013-1</v>
      </c>
      <c r="B83" s="245">
        <v>46086</v>
      </c>
      <c r="C83" s="246" t="s">
        <v>257</v>
      </c>
      <c r="D83" s="244">
        <v>12564</v>
      </c>
      <c r="E83" s="244" t="s">
        <v>205</v>
      </c>
      <c r="F83" s="244"/>
      <c r="G83" s="247"/>
      <c r="H83" s="244"/>
      <c r="I83" s="248" t="s">
        <v>81</v>
      </c>
      <c r="J83" s="244">
        <v>500</v>
      </c>
      <c r="K83" s="248" t="s">
        <v>207</v>
      </c>
      <c r="L83" s="228" t="s">
        <v>222</v>
      </c>
    </row>
    <row r="84" spans="1:12" x14ac:dyDescent="0.25">
      <c r="A84" s="244" t="str">
        <f t="shared" si="2"/>
        <v>05032026-EX013-3</v>
      </c>
      <c r="B84" s="245">
        <v>46086</v>
      </c>
      <c r="C84" s="246" t="s">
        <v>257</v>
      </c>
      <c r="D84" s="244">
        <v>12564</v>
      </c>
      <c r="E84" s="244" t="s">
        <v>206</v>
      </c>
      <c r="F84" s="244"/>
      <c r="G84" s="247"/>
      <c r="H84" s="244"/>
      <c r="I84" s="248" t="s">
        <v>82</v>
      </c>
      <c r="J84" s="244">
        <v>500</v>
      </c>
      <c r="K84" s="248" t="s">
        <v>217</v>
      </c>
      <c r="L84" s="228" t="s">
        <v>222</v>
      </c>
    </row>
    <row r="85" spans="1:12" x14ac:dyDescent="0.25">
      <c r="A85" s="244" t="str">
        <f t="shared" si="2"/>
        <v>19022026-DR002-1</v>
      </c>
      <c r="B85" s="245">
        <v>46072</v>
      </c>
      <c r="C85" s="246" t="s">
        <v>258</v>
      </c>
      <c r="D85" s="244">
        <v>4449</v>
      </c>
      <c r="E85" s="244" t="s">
        <v>205</v>
      </c>
      <c r="F85" s="244"/>
      <c r="G85" s="247"/>
      <c r="H85" s="244"/>
      <c r="I85" s="248" t="s">
        <v>81</v>
      </c>
      <c r="J85" s="244">
        <v>500</v>
      </c>
      <c r="K85" s="248" t="s">
        <v>207</v>
      </c>
      <c r="L85" s="228" t="s">
        <v>222</v>
      </c>
    </row>
    <row r="86" spans="1:12" x14ac:dyDescent="0.25">
      <c r="A86" s="244" t="str">
        <f t="shared" si="2"/>
        <v>19022026-DR002-3</v>
      </c>
      <c r="B86" s="245">
        <v>46072</v>
      </c>
      <c r="C86" s="246" t="s">
        <v>258</v>
      </c>
      <c r="D86" s="244">
        <v>4449</v>
      </c>
      <c r="E86" s="244" t="s">
        <v>206</v>
      </c>
      <c r="F86" s="244"/>
      <c r="G86" s="247"/>
      <c r="H86" s="244"/>
      <c r="I86" s="248" t="s">
        <v>82</v>
      </c>
      <c r="J86" s="244">
        <v>500</v>
      </c>
      <c r="K86" s="248" t="s">
        <v>217</v>
      </c>
      <c r="L86" s="228" t="s">
        <v>222</v>
      </c>
    </row>
    <row r="87" spans="1:12" x14ac:dyDescent="0.25">
      <c r="A87" s="244" t="str">
        <f t="shared" si="2"/>
        <v>21022026-GR012-1</v>
      </c>
      <c r="B87" s="245">
        <v>46074</v>
      </c>
      <c r="C87" s="246" t="s">
        <v>235</v>
      </c>
      <c r="D87" s="244">
        <v>22994</v>
      </c>
      <c r="E87" s="244" t="s">
        <v>205</v>
      </c>
      <c r="F87" s="244"/>
      <c r="G87" s="247"/>
      <c r="H87" s="244"/>
      <c r="I87" s="248" t="s">
        <v>81</v>
      </c>
      <c r="J87" s="244">
        <v>1000</v>
      </c>
      <c r="K87" s="248" t="s">
        <v>207</v>
      </c>
      <c r="L87" s="228" t="s">
        <v>222</v>
      </c>
    </row>
    <row r="88" spans="1:12" x14ac:dyDescent="0.25">
      <c r="A88" s="244" t="str">
        <f t="shared" si="2"/>
        <v>21022026-GR012-3</v>
      </c>
      <c r="B88" s="245">
        <v>46074</v>
      </c>
      <c r="C88" s="246" t="s">
        <v>235</v>
      </c>
      <c r="D88" s="244">
        <v>22994</v>
      </c>
      <c r="E88" s="244" t="s">
        <v>206</v>
      </c>
      <c r="F88" s="244"/>
      <c r="G88" s="247"/>
      <c r="H88" s="244"/>
      <c r="I88" s="248" t="s">
        <v>82</v>
      </c>
      <c r="J88" s="244">
        <v>1000</v>
      </c>
      <c r="K88" s="248" t="s">
        <v>217</v>
      </c>
      <c r="L88" s="228" t="s">
        <v>222</v>
      </c>
    </row>
    <row r="89" spans="1:12" x14ac:dyDescent="0.25">
      <c r="A89" s="244" t="str">
        <f t="shared" si="2"/>
        <v>24022026-DR008-1</v>
      </c>
      <c r="B89" s="245">
        <v>46077</v>
      </c>
      <c r="C89" s="246" t="s">
        <v>238</v>
      </c>
      <c r="D89" s="244">
        <v>2728</v>
      </c>
      <c r="E89" s="244" t="s">
        <v>205</v>
      </c>
      <c r="F89" s="244"/>
      <c r="G89" s="247"/>
      <c r="H89" s="244"/>
      <c r="I89" s="248" t="s">
        <v>81</v>
      </c>
      <c r="J89" s="244">
        <v>250</v>
      </c>
      <c r="K89" s="248" t="s">
        <v>207</v>
      </c>
      <c r="L89" s="228" t="s">
        <v>222</v>
      </c>
    </row>
    <row r="90" spans="1:12" x14ac:dyDescent="0.25">
      <c r="A90" s="244" t="str">
        <f t="shared" si="2"/>
        <v>24022026-DR008-1A</v>
      </c>
      <c r="B90" s="245">
        <v>46077</v>
      </c>
      <c r="C90" s="246" t="s">
        <v>238</v>
      </c>
      <c r="D90" s="244">
        <v>2728</v>
      </c>
      <c r="E90" s="244" t="s">
        <v>259</v>
      </c>
      <c r="F90" s="244"/>
      <c r="G90" s="247"/>
      <c r="H90" s="244"/>
      <c r="I90" s="248" t="s">
        <v>81</v>
      </c>
      <c r="J90" s="244">
        <v>250</v>
      </c>
      <c r="K90" s="248" t="s">
        <v>207</v>
      </c>
      <c r="L90" s="228" t="s">
        <v>222</v>
      </c>
    </row>
    <row r="91" spans="1:12" x14ac:dyDescent="0.25">
      <c r="A91" s="244" t="str">
        <f t="shared" si="2"/>
        <v>28022026-EX012-3</v>
      </c>
      <c r="B91" s="245">
        <v>46081</v>
      </c>
      <c r="C91" s="246" t="s">
        <v>260</v>
      </c>
      <c r="D91" s="244">
        <v>4529</v>
      </c>
      <c r="E91" s="244" t="s">
        <v>206</v>
      </c>
      <c r="F91" s="244"/>
      <c r="G91" s="247">
        <v>46070</v>
      </c>
      <c r="H91" s="244">
        <v>4282</v>
      </c>
      <c r="I91" s="248" t="s">
        <v>82</v>
      </c>
      <c r="J91" s="244">
        <v>500</v>
      </c>
      <c r="K91" s="248" t="s">
        <v>217</v>
      </c>
      <c r="L91" s="228" t="s">
        <v>222</v>
      </c>
    </row>
    <row r="92" spans="1:12" x14ac:dyDescent="0.25">
      <c r="A92" s="244" t="str">
        <f t="shared" si="2"/>
        <v>27022026-GR014-1</v>
      </c>
      <c r="B92" s="245">
        <v>46080</v>
      </c>
      <c r="C92" s="246" t="s">
        <v>261</v>
      </c>
      <c r="D92" s="244">
        <v>527</v>
      </c>
      <c r="E92" s="244" t="s">
        <v>205</v>
      </c>
      <c r="F92" s="244"/>
      <c r="G92" s="247"/>
      <c r="H92" s="244"/>
      <c r="I92" s="248" t="s">
        <v>81</v>
      </c>
      <c r="J92" s="244">
        <v>500</v>
      </c>
      <c r="K92" s="248" t="s">
        <v>207</v>
      </c>
      <c r="L92" s="228" t="s">
        <v>222</v>
      </c>
    </row>
    <row r="93" spans="1:12" x14ac:dyDescent="0.25">
      <c r="A93" s="244" t="str">
        <f t="shared" si="2"/>
        <v>21022026-DZ004-2</v>
      </c>
      <c r="B93" s="245">
        <v>46074</v>
      </c>
      <c r="C93" s="246" t="s">
        <v>262</v>
      </c>
      <c r="D93" s="244">
        <v>23504</v>
      </c>
      <c r="E93" s="244" t="s">
        <v>210</v>
      </c>
      <c r="F93" s="244"/>
      <c r="G93" s="247"/>
      <c r="H93" s="244"/>
      <c r="I93" s="248" t="s">
        <v>82</v>
      </c>
      <c r="J93" s="244">
        <v>500</v>
      </c>
      <c r="K93" s="248" t="s">
        <v>217</v>
      </c>
      <c r="L93" s="228" t="s">
        <v>222</v>
      </c>
    </row>
    <row r="94" spans="1:12" x14ac:dyDescent="0.25">
      <c r="A94" s="244" t="str">
        <f t="shared" si="2"/>
        <v>23022026-GR016-1</v>
      </c>
      <c r="B94" s="245">
        <v>46076</v>
      </c>
      <c r="C94" s="246" t="s">
        <v>263</v>
      </c>
      <c r="D94" s="244">
        <v>3286</v>
      </c>
      <c r="E94" s="244" t="s">
        <v>205</v>
      </c>
      <c r="F94" s="244"/>
      <c r="G94" s="247"/>
      <c r="H94" s="244"/>
      <c r="I94" s="248" t="s">
        <v>81</v>
      </c>
      <c r="J94" s="244">
        <v>250</v>
      </c>
      <c r="K94" s="248" t="s">
        <v>207</v>
      </c>
      <c r="L94" s="228" t="s">
        <v>222</v>
      </c>
    </row>
    <row r="95" spans="1:12" x14ac:dyDescent="0.25">
      <c r="A95" s="244" t="str">
        <f t="shared" si="2"/>
        <v>16022026-TK113-1</v>
      </c>
      <c r="B95" s="245">
        <v>46069</v>
      </c>
      <c r="C95" s="246" t="s">
        <v>264</v>
      </c>
      <c r="D95" s="244">
        <v>34496</v>
      </c>
      <c r="E95" s="244" t="s">
        <v>205</v>
      </c>
      <c r="F95" s="244"/>
      <c r="G95" s="247"/>
      <c r="H95" s="244"/>
      <c r="I95" s="248" t="s">
        <v>81</v>
      </c>
      <c r="J95" s="244">
        <v>500</v>
      </c>
      <c r="K95" s="248" t="s">
        <v>207</v>
      </c>
      <c r="L95" s="228" t="s">
        <v>222</v>
      </c>
    </row>
    <row r="96" spans="1:12" x14ac:dyDescent="0.25">
      <c r="A96" s="244" t="str">
        <f t="shared" si="2"/>
        <v>25022026-TK101-1</v>
      </c>
      <c r="B96" s="245">
        <v>46078</v>
      </c>
      <c r="C96" s="246" t="s">
        <v>214</v>
      </c>
      <c r="D96" s="244">
        <v>31010</v>
      </c>
      <c r="E96" s="244" t="s">
        <v>205</v>
      </c>
      <c r="F96" s="244"/>
      <c r="G96" s="247"/>
      <c r="H96" s="244"/>
      <c r="I96" s="248" t="s">
        <v>81</v>
      </c>
      <c r="J96" s="244">
        <v>1000</v>
      </c>
      <c r="K96" s="248" t="s">
        <v>207</v>
      </c>
      <c r="L96" s="228" t="s">
        <v>222</v>
      </c>
    </row>
    <row r="97" spans="1:12" x14ac:dyDescent="0.25">
      <c r="A97" s="244" t="str">
        <f t="shared" ref="A97:A128" si="4">TEXT(DAY(B97),"00")&amp;TEXT(MONTH(B97),"00")&amp;YEAR(B97)&amp;"-"&amp;C97&amp;"-"&amp;LEFT(E97,SEARCH(" ",E97&amp;" ")-1)</f>
        <v>25022026-TK101-3</v>
      </c>
      <c r="B97" s="245">
        <v>46078</v>
      </c>
      <c r="C97" s="246" t="s">
        <v>214</v>
      </c>
      <c r="D97" s="244">
        <v>31010</v>
      </c>
      <c r="E97" s="244" t="s">
        <v>206</v>
      </c>
      <c r="F97" s="244"/>
      <c r="G97" s="247"/>
      <c r="H97" s="244"/>
      <c r="I97" s="248" t="s">
        <v>82</v>
      </c>
      <c r="J97" s="244">
        <v>1000</v>
      </c>
      <c r="K97" s="248" t="s">
        <v>217</v>
      </c>
      <c r="L97" s="228" t="s">
        <v>222</v>
      </c>
    </row>
    <row r="98" spans="1:12" x14ac:dyDescent="0.25">
      <c r="A98" s="244" t="str">
        <f t="shared" si="4"/>
        <v>23022026-TK146-2</v>
      </c>
      <c r="B98" s="245">
        <v>46076</v>
      </c>
      <c r="C98" s="246" t="s">
        <v>265</v>
      </c>
      <c r="D98" s="244">
        <v>50</v>
      </c>
      <c r="E98" s="244" t="s">
        <v>210</v>
      </c>
      <c r="F98" s="244"/>
      <c r="G98" s="247"/>
      <c r="H98" s="244"/>
      <c r="I98" s="248" t="s">
        <v>81</v>
      </c>
      <c r="J98" s="244">
        <v>50</v>
      </c>
      <c r="K98" s="248" t="s">
        <v>207</v>
      </c>
      <c r="L98" s="228" t="s">
        <v>222</v>
      </c>
    </row>
    <row r="99" spans="1:12" x14ac:dyDescent="0.25">
      <c r="A99" s="244" t="str">
        <f t="shared" si="4"/>
        <v>28022026-EX012-1</v>
      </c>
      <c r="B99" s="245">
        <v>46081</v>
      </c>
      <c r="C99" s="246" t="s">
        <v>260</v>
      </c>
      <c r="D99" s="244">
        <v>4529</v>
      </c>
      <c r="E99" s="244" t="s">
        <v>205</v>
      </c>
      <c r="F99" s="244"/>
      <c r="G99" s="247"/>
      <c r="H99" s="244"/>
      <c r="I99" s="248" t="s">
        <v>81</v>
      </c>
      <c r="J99" s="244">
        <v>500</v>
      </c>
      <c r="K99" s="248" t="s">
        <v>207</v>
      </c>
      <c r="L99" s="228" t="s">
        <v>222</v>
      </c>
    </row>
    <row r="100" spans="1:12" x14ac:dyDescent="0.25">
      <c r="A100" s="244" t="str">
        <f t="shared" si="4"/>
        <v>13032026-SR004-1</v>
      </c>
      <c r="B100" s="245">
        <v>46094</v>
      </c>
      <c r="C100" s="246" t="s">
        <v>266</v>
      </c>
      <c r="D100" s="244">
        <v>22797</v>
      </c>
      <c r="E100" s="244" t="s">
        <v>205</v>
      </c>
      <c r="F100" s="244"/>
      <c r="G100" s="247"/>
      <c r="H100" s="244"/>
      <c r="I100" s="248" t="s">
        <v>81</v>
      </c>
      <c r="J100" s="249" t="s">
        <v>269</v>
      </c>
      <c r="K100" s="248" t="s">
        <v>207</v>
      </c>
      <c r="L100" s="228" t="s">
        <v>222</v>
      </c>
    </row>
    <row r="101" spans="1:12" x14ac:dyDescent="0.25">
      <c r="A101" s="244" t="str">
        <f t="shared" si="4"/>
        <v>13032026-SR004-2</v>
      </c>
      <c r="B101" s="245">
        <v>46094</v>
      </c>
      <c r="C101" s="246" t="s">
        <v>266</v>
      </c>
      <c r="D101" s="244">
        <v>22797</v>
      </c>
      <c r="E101" s="244" t="s">
        <v>210</v>
      </c>
      <c r="F101" s="244"/>
      <c r="G101" s="247"/>
      <c r="H101" s="244"/>
      <c r="I101" s="248" t="s">
        <v>267</v>
      </c>
      <c r="J101" s="249" t="s">
        <v>269</v>
      </c>
      <c r="K101" s="248" t="s">
        <v>217</v>
      </c>
      <c r="L101" s="228" t="s">
        <v>222</v>
      </c>
    </row>
    <row r="102" spans="1:12" x14ac:dyDescent="0.25">
      <c r="A102" s="244" t="str">
        <f t="shared" si="4"/>
        <v>13032026-SR004-3</v>
      </c>
      <c r="B102" s="245">
        <v>46094</v>
      </c>
      <c r="C102" s="246" t="s">
        <v>266</v>
      </c>
      <c r="D102" s="244">
        <v>22797</v>
      </c>
      <c r="E102" s="244" t="s">
        <v>206</v>
      </c>
      <c r="F102" s="244"/>
      <c r="G102" s="247"/>
      <c r="H102" s="244"/>
      <c r="I102" s="248" t="s">
        <v>268</v>
      </c>
      <c r="J102" s="249" t="s">
        <v>269</v>
      </c>
      <c r="K102" s="248" t="s">
        <v>217</v>
      </c>
      <c r="L102" s="228" t="s">
        <v>222</v>
      </c>
    </row>
    <row r="103" spans="1:12" x14ac:dyDescent="0.25">
      <c r="A103" s="244" t="str">
        <f t="shared" si="4"/>
        <v>13032026-SN001-1</v>
      </c>
      <c r="B103" s="245">
        <v>46094</v>
      </c>
      <c r="C103" s="246" t="s">
        <v>270</v>
      </c>
      <c r="D103" s="244">
        <v>32115</v>
      </c>
      <c r="E103" s="244" t="s">
        <v>205</v>
      </c>
      <c r="F103" s="244"/>
      <c r="G103" s="247"/>
      <c r="H103" s="244"/>
      <c r="I103" s="248" t="s">
        <v>81</v>
      </c>
      <c r="J103" s="249" t="s">
        <v>269</v>
      </c>
      <c r="K103" s="248" t="s">
        <v>207</v>
      </c>
      <c r="L103" s="228" t="s">
        <v>222</v>
      </c>
    </row>
    <row r="104" spans="1:12" x14ac:dyDescent="0.25">
      <c r="A104" s="244" t="str">
        <f t="shared" si="4"/>
        <v>02032026-CR002-1</v>
      </c>
      <c r="B104" s="245">
        <v>46083</v>
      </c>
      <c r="C104" s="246" t="s">
        <v>271</v>
      </c>
      <c r="D104" s="244">
        <v>6647</v>
      </c>
      <c r="E104" s="244" t="s">
        <v>205</v>
      </c>
      <c r="F104" s="244"/>
      <c r="G104" s="247"/>
      <c r="H104" s="244">
        <v>250</v>
      </c>
      <c r="I104" s="248" t="s">
        <v>81</v>
      </c>
      <c r="J104" s="244">
        <v>500</v>
      </c>
      <c r="K104" s="248" t="s">
        <v>207</v>
      </c>
      <c r="L104" s="228" t="s">
        <v>222</v>
      </c>
    </row>
    <row r="105" spans="1:12" x14ac:dyDescent="0.25">
      <c r="A105" s="244" t="str">
        <f t="shared" si="4"/>
        <v>02032026-CR003-1</v>
      </c>
      <c r="B105" s="245">
        <v>46083</v>
      </c>
      <c r="C105" s="246" t="s">
        <v>272</v>
      </c>
      <c r="D105" s="244">
        <v>15115</v>
      </c>
      <c r="E105" s="244" t="s">
        <v>205</v>
      </c>
      <c r="F105" s="244"/>
      <c r="G105" s="247"/>
      <c r="H105" s="244">
        <v>131</v>
      </c>
      <c r="I105" s="248" t="s">
        <v>81</v>
      </c>
      <c r="J105" s="244">
        <v>1000</v>
      </c>
      <c r="K105" s="248" t="s">
        <v>207</v>
      </c>
      <c r="L105" s="228" t="s">
        <v>222</v>
      </c>
    </row>
    <row r="106" spans="1:12" x14ac:dyDescent="0.25">
      <c r="A106" s="244" t="str">
        <f>TEXT(DAY(B106),"00")&amp;TEXT(MONTH(B106),"00")&amp;YEAR(B106)&amp;"-"&amp;C106&amp;"-"&amp;LEFT(E106,SEARCH(" ",E106&amp;" ")-1)</f>
        <v>02032026-CR006-1</v>
      </c>
      <c r="B106" s="245">
        <v>46083</v>
      </c>
      <c r="C106" s="246" t="s">
        <v>273</v>
      </c>
      <c r="D106" s="244">
        <v>3574</v>
      </c>
      <c r="E106" s="244" t="s">
        <v>205</v>
      </c>
      <c r="F106" s="244"/>
      <c r="G106" s="247"/>
      <c r="H106" s="244"/>
      <c r="I106" s="248" t="s">
        <v>81</v>
      </c>
      <c r="J106" s="244">
        <v>500</v>
      </c>
      <c r="K106" s="248" t="s">
        <v>207</v>
      </c>
      <c r="L106" s="228" t="s">
        <v>222</v>
      </c>
    </row>
    <row r="107" spans="1:12" x14ac:dyDescent="0.25">
      <c r="A107" s="244" t="str">
        <f>TEXT(DAY(B107),"00")&amp;TEXT(MONTH(B107),"00")&amp;YEAR(B107)&amp;"-"&amp;C107&amp;"-"&amp;LEFT(E107,SEARCH(" ",E107&amp;" ")-1)</f>
        <v>11032026-DZ011-4F</v>
      </c>
      <c r="B107" s="245">
        <v>46092</v>
      </c>
      <c r="C107" s="244" t="s">
        <v>274</v>
      </c>
      <c r="D107" s="244">
        <v>28521</v>
      </c>
      <c r="E107" s="244" t="s">
        <v>275</v>
      </c>
      <c r="F107" s="244"/>
      <c r="G107" s="247"/>
      <c r="H107" s="244"/>
      <c r="I107" s="248" t="s">
        <v>82</v>
      </c>
      <c r="J107" s="244">
        <v>500</v>
      </c>
      <c r="K107" s="248" t="s">
        <v>217</v>
      </c>
      <c r="L107" s="228" t="s">
        <v>222</v>
      </c>
    </row>
    <row r="108" spans="1:12" x14ac:dyDescent="0.25">
      <c r="A108" s="244" t="str">
        <f t="shared" si="4"/>
        <v>11032026-DZ011-1</v>
      </c>
      <c r="B108" s="245">
        <v>46092</v>
      </c>
      <c r="C108" s="244" t="s">
        <v>274</v>
      </c>
      <c r="D108" s="244">
        <v>28521</v>
      </c>
      <c r="E108" s="244" t="s">
        <v>205</v>
      </c>
      <c r="F108" s="244"/>
      <c r="G108" s="247"/>
      <c r="H108" s="244"/>
      <c r="I108" s="248" t="s">
        <v>81</v>
      </c>
      <c r="J108" s="244">
        <v>500</v>
      </c>
      <c r="K108" s="248" t="s">
        <v>207</v>
      </c>
      <c r="L108" s="228" t="s">
        <v>222</v>
      </c>
    </row>
    <row r="109" spans="1:12" x14ac:dyDescent="0.25">
      <c r="A109" s="244" t="str">
        <f t="shared" si="4"/>
        <v>11032026-DZ011-4E</v>
      </c>
      <c r="B109" s="245">
        <v>46092</v>
      </c>
      <c r="C109" s="244" t="s">
        <v>274</v>
      </c>
      <c r="D109" s="244">
        <v>28521</v>
      </c>
      <c r="E109" s="244" t="s">
        <v>276</v>
      </c>
      <c r="F109" s="244"/>
      <c r="G109" s="247"/>
      <c r="H109" s="244"/>
      <c r="I109" s="248" t="s">
        <v>82</v>
      </c>
      <c r="J109" s="244">
        <v>500</v>
      </c>
      <c r="K109" s="248" t="s">
        <v>217</v>
      </c>
      <c r="L109" s="228" t="s">
        <v>222</v>
      </c>
    </row>
    <row r="110" spans="1:12" x14ac:dyDescent="0.25">
      <c r="A110" s="244" t="str">
        <f t="shared" si="4"/>
        <v>11032026-DZ011-3</v>
      </c>
      <c r="B110" s="245">
        <v>46092</v>
      </c>
      <c r="C110" s="244" t="s">
        <v>274</v>
      </c>
      <c r="D110" s="244">
        <v>28521</v>
      </c>
      <c r="E110" s="244" t="s">
        <v>206</v>
      </c>
      <c r="F110" s="244"/>
      <c r="G110" s="247"/>
      <c r="H110" s="244"/>
      <c r="I110" s="248" t="s">
        <v>268</v>
      </c>
      <c r="J110" s="244">
        <v>500</v>
      </c>
      <c r="K110" s="248" t="s">
        <v>217</v>
      </c>
      <c r="L110" s="228" t="s">
        <v>222</v>
      </c>
    </row>
    <row r="111" spans="1:12" x14ac:dyDescent="0.25">
      <c r="A111" s="244" t="str">
        <f t="shared" si="4"/>
        <v>11032026-DZ011-2</v>
      </c>
      <c r="B111" s="245">
        <v>46092</v>
      </c>
      <c r="C111" s="244" t="s">
        <v>274</v>
      </c>
      <c r="D111" s="244">
        <v>28521</v>
      </c>
      <c r="E111" s="244" t="s">
        <v>210</v>
      </c>
      <c r="F111" s="244"/>
      <c r="G111" s="247"/>
      <c r="H111" s="244"/>
      <c r="I111" s="248" t="s">
        <v>82</v>
      </c>
      <c r="J111" s="244">
        <v>500</v>
      </c>
      <c r="K111" s="248" t="s">
        <v>217</v>
      </c>
      <c r="L111" s="228" t="s">
        <v>222</v>
      </c>
    </row>
    <row r="112" spans="1:12" x14ac:dyDescent="0.25">
      <c r="A112" s="244" t="str">
        <f t="shared" si="4"/>
        <v>20032026-DR002-1</v>
      </c>
      <c r="B112" s="245">
        <v>46101</v>
      </c>
      <c r="C112" s="244" t="s">
        <v>258</v>
      </c>
      <c r="D112" s="244">
        <v>5038</v>
      </c>
      <c r="E112" s="244" t="s">
        <v>205</v>
      </c>
      <c r="F112" s="244"/>
      <c r="G112" s="247"/>
      <c r="H112" s="244"/>
      <c r="I112" s="248" t="s">
        <v>81</v>
      </c>
      <c r="J112" s="244">
        <v>5000</v>
      </c>
      <c r="K112" s="248" t="s">
        <v>207</v>
      </c>
      <c r="L112" s="228" t="s">
        <v>222</v>
      </c>
    </row>
    <row r="113" spans="1:12" x14ac:dyDescent="0.25">
      <c r="A113" s="244" t="str">
        <f t="shared" si="4"/>
        <v>20032026-DR002-3</v>
      </c>
      <c r="B113" s="245">
        <v>46101</v>
      </c>
      <c r="C113" s="244" t="s">
        <v>258</v>
      </c>
      <c r="D113" s="244">
        <v>5038</v>
      </c>
      <c r="E113" s="244" t="s">
        <v>206</v>
      </c>
      <c r="F113" s="244"/>
      <c r="G113" s="247"/>
      <c r="H113" s="244"/>
      <c r="I113" s="248" t="s">
        <v>268</v>
      </c>
      <c r="J113" s="244">
        <v>5000</v>
      </c>
      <c r="K113" s="248" t="s">
        <v>207</v>
      </c>
      <c r="L113" s="228" t="s">
        <v>222</v>
      </c>
    </row>
    <row r="114" spans="1:12" x14ac:dyDescent="0.25">
      <c r="A114" s="244" t="str">
        <f t="shared" si="4"/>
        <v>06032026-TK116-1</v>
      </c>
      <c r="B114" s="245">
        <v>46087</v>
      </c>
      <c r="C114" s="244" t="s">
        <v>277</v>
      </c>
      <c r="D114" s="244">
        <v>25968</v>
      </c>
      <c r="E114" s="244" t="s">
        <v>205</v>
      </c>
      <c r="F114" s="244"/>
      <c r="G114" s="247"/>
      <c r="H114" s="244"/>
      <c r="I114" s="248" t="s">
        <v>81</v>
      </c>
      <c r="J114" s="244">
        <v>2000</v>
      </c>
      <c r="K114" s="248" t="s">
        <v>207</v>
      </c>
      <c r="L114" s="228" t="s">
        <v>222</v>
      </c>
    </row>
    <row r="115" spans="1:12" x14ac:dyDescent="0.25">
      <c r="A115" s="244" t="str">
        <f t="shared" si="4"/>
        <v>06032026-TK116-3</v>
      </c>
      <c r="B115" s="245">
        <v>46087</v>
      </c>
      <c r="C115" s="244" t="s">
        <v>277</v>
      </c>
      <c r="D115" s="244">
        <v>25968</v>
      </c>
      <c r="E115" s="244" t="s">
        <v>206</v>
      </c>
      <c r="F115" s="244"/>
      <c r="G115" s="247"/>
      <c r="H115" s="244"/>
      <c r="I115" s="248" t="s">
        <v>268</v>
      </c>
      <c r="J115" s="244">
        <v>2000</v>
      </c>
      <c r="K115" s="248" t="s">
        <v>217</v>
      </c>
      <c r="L115" s="228" t="s">
        <v>222</v>
      </c>
    </row>
    <row r="116" spans="1:12" x14ac:dyDescent="0.25">
      <c r="A116" s="244" t="str">
        <f t="shared" si="4"/>
        <v>06032026-TK116-2</v>
      </c>
      <c r="B116" s="245">
        <v>46087</v>
      </c>
      <c r="C116" s="244" t="s">
        <v>277</v>
      </c>
      <c r="D116" s="244">
        <v>25968</v>
      </c>
      <c r="E116" s="244" t="s">
        <v>210</v>
      </c>
      <c r="F116" s="244"/>
      <c r="G116" s="247"/>
      <c r="H116" s="244"/>
      <c r="I116" s="248" t="s">
        <v>82</v>
      </c>
      <c r="J116" s="244">
        <v>2000</v>
      </c>
      <c r="K116" s="248" t="s">
        <v>207</v>
      </c>
      <c r="L116" s="228" t="s">
        <v>222</v>
      </c>
    </row>
    <row r="117" spans="1:12" x14ac:dyDescent="0.25">
      <c r="A117" s="244" t="str">
        <f t="shared" si="4"/>
        <v>18032026-TK107-1</v>
      </c>
      <c r="B117" s="245">
        <v>46099</v>
      </c>
      <c r="C117" s="244" t="s">
        <v>211</v>
      </c>
      <c r="D117" s="244">
        <v>31431</v>
      </c>
      <c r="E117" s="244" t="s">
        <v>205</v>
      </c>
      <c r="F117" s="244"/>
      <c r="G117" s="247"/>
      <c r="H117" s="244"/>
      <c r="I117" s="248" t="s">
        <v>81</v>
      </c>
      <c r="J117" s="244">
        <v>500</v>
      </c>
      <c r="K117" s="248" t="s">
        <v>207</v>
      </c>
      <c r="L117" s="228" t="s">
        <v>222</v>
      </c>
    </row>
    <row r="118" spans="1:12" x14ac:dyDescent="0.25">
      <c r="A118" s="244" t="str">
        <f t="shared" si="4"/>
        <v>18032026-TK107-3</v>
      </c>
      <c r="B118" s="245">
        <v>46099</v>
      </c>
      <c r="C118" s="244" t="s">
        <v>211</v>
      </c>
      <c r="D118" s="244">
        <v>31431</v>
      </c>
      <c r="E118" s="244" t="s">
        <v>206</v>
      </c>
      <c r="F118" s="244"/>
      <c r="G118" s="247"/>
      <c r="H118" s="244"/>
      <c r="I118" s="248" t="s">
        <v>268</v>
      </c>
      <c r="J118" s="244">
        <v>500</v>
      </c>
      <c r="K118" s="248" t="s">
        <v>217</v>
      </c>
      <c r="L118" s="228" t="s">
        <v>222</v>
      </c>
    </row>
    <row r="119" spans="1:12" x14ac:dyDescent="0.25">
      <c r="A119" s="244" t="str">
        <f t="shared" si="4"/>
        <v>18032026-TK107-2</v>
      </c>
      <c r="B119" s="245">
        <v>46099</v>
      </c>
      <c r="C119" s="244" t="s">
        <v>211</v>
      </c>
      <c r="D119" s="244">
        <v>31431</v>
      </c>
      <c r="E119" s="244" t="s">
        <v>210</v>
      </c>
      <c r="F119" s="244"/>
      <c r="G119" s="247"/>
      <c r="H119" s="244"/>
      <c r="I119" s="248" t="s">
        <v>82</v>
      </c>
      <c r="J119" s="244">
        <v>500</v>
      </c>
      <c r="K119" s="248" t="s">
        <v>217</v>
      </c>
      <c r="L119" s="228" t="s">
        <v>222</v>
      </c>
    </row>
    <row r="120" spans="1:12" x14ac:dyDescent="0.25">
      <c r="A120" s="244" t="str">
        <f t="shared" si="4"/>
        <v>06032026-LD001-1</v>
      </c>
      <c r="B120" s="245">
        <v>46087</v>
      </c>
      <c r="C120" s="246" t="s">
        <v>278</v>
      </c>
      <c r="D120" s="244">
        <v>30932</v>
      </c>
      <c r="E120" s="244" t="s">
        <v>205</v>
      </c>
      <c r="F120" s="244"/>
      <c r="G120" s="247"/>
      <c r="H120" s="244"/>
      <c r="I120" s="248" t="s">
        <v>81</v>
      </c>
      <c r="J120" s="244">
        <v>1000</v>
      </c>
      <c r="K120" s="248" t="s">
        <v>207</v>
      </c>
      <c r="L120" s="228" t="s">
        <v>222</v>
      </c>
    </row>
    <row r="121" spans="1:12" x14ac:dyDescent="0.25">
      <c r="A121" s="244" t="str">
        <f t="shared" si="4"/>
        <v>06032026-TK150-1</v>
      </c>
      <c r="B121" s="245">
        <v>46087</v>
      </c>
      <c r="C121" s="244" t="s">
        <v>281</v>
      </c>
      <c r="D121" s="244">
        <v>4016</v>
      </c>
      <c r="E121" s="244" t="s">
        <v>205</v>
      </c>
      <c r="F121" s="244"/>
      <c r="G121" s="247"/>
      <c r="H121" s="244"/>
      <c r="I121" s="248" t="s">
        <v>81</v>
      </c>
      <c r="J121" s="244">
        <v>1000</v>
      </c>
      <c r="K121" s="248" t="s">
        <v>207</v>
      </c>
      <c r="L121" s="228" t="s">
        <v>222</v>
      </c>
    </row>
    <row r="122" spans="1:12" x14ac:dyDescent="0.25">
      <c r="A122" s="244" t="str">
        <f t="shared" si="4"/>
        <v>21032026-DR003-1</v>
      </c>
      <c r="B122" s="245">
        <v>46102</v>
      </c>
      <c r="C122" s="244" t="s">
        <v>279</v>
      </c>
      <c r="D122" s="244">
        <v>6966</v>
      </c>
      <c r="E122" s="244" t="s">
        <v>205</v>
      </c>
      <c r="F122" s="244"/>
      <c r="G122" s="247"/>
      <c r="H122" s="244"/>
      <c r="I122" s="248" t="s">
        <v>81</v>
      </c>
      <c r="J122" s="244">
        <v>1000</v>
      </c>
      <c r="K122" s="248" t="s">
        <v>207</v>
      </c>
      <c r="L122" s="228" t="s">
        <v>222</v>
      </c>
    </row>
    <row r="123" spans="1:12" x14ac:dyDescent="0.25">
      <c r="A123" s="244" t="str">
        <f t="shared" si="4"/>
        <v>21032026-DR003-3</v>
      </c>
      <c r="B123" s="245">
        <v>46102</v>
      </c>
      <c r="C123" s="244" t="s">
        <v>279</v>
      </c>
      <c r="D123" s="244">
        <v>6966</v>
      </c>
      <c r="E123" s="244" t="s">
        <v>206</v>
      </c>
      <c r="F123" s="244"/>
      <c r="G123" s="247"/>
      <c r="H123" s="244"/>
      <c r="I123" s="248" t="s">
        <v>268</v>
      </c>
      <c r="J123" s="244">
        <v>1000</v>
      </c>
      <c r="K123" s="248" t="s">
        <v>207</v>
      </c>
      <c r="L123" s="228" t="s">
        <v>222</v>
      </c>
    </row>
    <row r="124" spans="1:12" x14ac:dyDescent="0.25">
      <c r="A124" s="244" t="str">
        <f t="shared" si="4"/>
        <v>21032026-TK156-1</v>
      </c>
      <c r="B124" s="245">
        <v>46102</v>
      </c>
      <c r="C124" s="244" t="s">
        <v>216</v>
      </c>
      <c r="D124" s="244">
        <v>5000</v>
      </c>
      <c r="E124" s="244" t="s">
        <v>205</v>
      </c>
      <c r="F124" s="244"/>
      <c r="G124" s="247"/>
      <c r="H124" s="244"/>
      <c r="I124" s="248" t="s">
        <v>81</v>
      </c>
      <c r="J124" s="244">
        <v>1000</v>
      </c>
      <c r="K124" s="248" t="s">
        <v>207</v>
      </c>
      <c r="L124" s="228" t="s">
        <v>222</v>
      </c>
    </row>
    <row r="125" spans="1:12" x14ac:dyDescent="0.25">
      <c r="A125" s="244" t="str">
        <f t="shared" si="4"/>
        <v>21032026-TK156-2</v>
      </c>
      <c r="B125" s="245">
        <v>46102</v>
      </c>
      <c r="C125" s="244" t="s">
        <v>216</v>
      </c>
      <c r="D125" s="244">
        <v>5000</v>
      </c>
      <c r="E125" s="244" t="s">
        <v>210</v>
      </c>
      <c r="F125" s="244"/>
      <c r="G125" s="247"/>
      <c r="H125" s="244"/>
      <c r="I125" s="248" t="s">
        <v>82</v>
      </c>
      <c r="J125" s="244">
        <v>1000</v>
      </c>
      <c r="K125" s="248" t="s">
        <v>207</v>
      </c>
      <c r="L125" s="228" t="s">
        <v>222</v>
      </c>
    </row>
    <row r="126" spans="1:12" x14ac:dyDescent="0.25">
      <c r="A126" s="244" t="str">
        <f t="shared" si="4"/>
        <v>21032026-TK156-3</v>
      </c>
      <c r="B126" s="245">
        <v>46102</v>
      </c>
      <c r="C126" s="244" t="s">
        <v>216</v>
      </c>
      <c r="D126" s="244">
        <v>5000</v>
      </c>
      <c r="E126" s="244" t="s">
        <v>206</v>
      </c>
      <c r="F126" s="244"/>
      <c r="G126" s="247"/>
      <c r="H126" s="244"/>
      <c r="I126" s="248" t="s">
        <v>268</v>
      </c>
      <c r="J126" s="244">
        <v>1000</v>
      </c>
      <c r="K126" s="248" t="s">
        <v>217</v>
      </c>
      <c r="L126" s="228" t="s">
        <v>222</v>
      </c>
    </row>
    <row r="127" spans="1:12" x14ac:dyDescent="0.25">
      <c r="A127" s="244" t="str">
        <f t="shared" si="4"/>
        <v>20032026-TK110-1</v>
      </c>
      <c r="B127" s="245">
        <v>46101</v>
      </c>
      <c r="C127" s="244" t="s">
        <v>280</v>
      </c>
      <c r="D127" s="244">
        <v>33581</v>
      </c>
      <c r="E127" s="244" t="s">
        <v>205</v>
      </c>
      <c r="F127" s="244"/>
      <c r="G127" s="247"/>
      <c r="H127" s="244"/>
      <c r="I127" s="248" t="s">
        <v>81</v>
      </c>
      <c r="J127" s="244">
        <v>500</v>
      </c>
      <c r="K127" s="248" t="s">
        <v>207</v>
      </c>
      <c r="L127" s="228" t="s">
        <v>222</v>
      </c>
    </row>
    <row r="128" spans="1:12" x14ac:dyDescent="0.25">
      <c r="A128" s="244" t="str">
        <f t="shared" si="4"/>
        <v>20032026-TK110-2</v>
      </c>
      <c r="B128" s="245">
        <v>46101</v>
      </c>
      <c r="C128" s="244" t="s">
        <v>280</v>
      </c>
      <c r="D128" s="244">
        <v>33581</v>
      </c>
      <c r="E128" s="244" t="s">
        <v>210</v>
      </c>
      <c r="F128" s="244"/>
      <c r="G128" s="247"/>
      <c r="H128" s="244"/>
      <c r="I128" s="248" t="s">
        <v>82</v>
      </c>
      <c r="J128" s="244">
        <v>500</v>
      </c>
      <c r="K128" s="248" t="s">
        <v>217</v>
      </c>
      <c r="L128" s="228" t="s">
        <v>222</v>
      </c>
    </row>
    <row r="129" spans="1:12" x14ac:dyDescent="0.25">
      <c r="A129" s="244" t="str">
        <f t="shared" ref="A129:A141" si="5">TEXT(DAY(B129),"00")&amp;TEXT(MONTH(B129),"00")&amp;YEAR(B129)&amp;"-"&amp;C129&amp;"-"&amp;LEFT(E129,SEARCH(" ",E129&amp;" ")-1)</f>
        <v>20032026-TK110-3</v>
      </c>
      <c r="B129" s="245">
        <v>46101</v>
      </c>
      <c r="C129" s="244" t="s">
        <v>280</v>
      </c>
      <c r="D129" s="244">
        <v>33581</v>
      </c>
      <c r="E129" s="244" t="s">
        <v>206</v>
      </c>
      <c r="F129" s="244"/>
      <c r="G129" s="247"/>
      <c r="H129" s="244"/>
      <c r="I129" s="248" t="s">
        <v>268</v>
      </c>
      <c r="J129" s="244">
        <v>500</v>
      </c>
      <c r="K129" s="248" t="s">
        <v>217</v>
      </c>
      <c r="L129" s="228" t="s">
        <v>222</v>
      </c>
    </row>
    <row r="130" spans="1:12" x14ac:dyDescent="0.25">
      <c r="A130" s="244" t="str">
        <f t="shared" si="5"/>
        <v>19032026-TK104-1</v>
      </c>
      <c r="B130" s="245">
        <v>46100</v>
      </c>
      <c r="C130" s="244" t="s">
        <v>282</v>
      </c>
      <c r="D130" s="244">
        <v>30281</v>
      </c>
      <c r="E130" s="244" t="s">
        <v>205</v>
      </c>
      <c r="F130" s="244"/>
      <c r="G130" s="247"/>
      <c r="H130" s="244">
        <v>250</v>
      </c>
      <c r="I130" s="248" t="s">
        <v>82</v>
      </c>
      <c r="J130" s="244">
        <v>250</v>
      </c>
      <c r="K130" s="248" t="s">
        <v>217</v>
      </c>
      <c r="L130" s="228" t="s">
        <v>222</v>
      </c>
    </row>
    <row r="131" spans="1:12" x14ac:dyDescent="0.25">
      <c r="A131" s="244" t="str">
        <f t="shared" si="5"/>
        <v>19032026-TK121-1</v>
      </c>
      <c r="B131" s="245">
        <v>46100</v>
      </c>
      <c r="C131" s="244" t="s">
        <v>215</v>
      </c>
      <c r="D131" s="244">
        <v>26003</v>
      </c>
      <c r="E131" s="244" t="s">
        <v>205</v>
      </c>
      <c r="F131" s="244"/>
      <c r="G131" s="247"/>
      <c r="H131" s="244">
        <v>500</v>
      </c>
      <c r="I131" s="248" t="s">
        <v>81</v>
      </c>
      <c r="J131" s="244">
        <v>2000</v>
      </c>
      <c r="K131" s="248" t="s">
        <v>207</v>
      </c>
      <c r="L131" s="228" t="s">
        <v>222</v>
      </c>
    </row>
    <row r="132" spans="1:12" x14ac:dyDescent="0.25">
      <c r="A132" s="244" t="str">
        <f t="shared" si="5"/>
        <v>19032026-TK121-2</v>
      </c>
      <c r="B132" s="245">
        <v>46100</v>
      </c>
      <c r="C132" s="244" t="s">
        <v>215</v>
      </c>
      <c r="D132" s="244">
        <v>26003</v>
      </c>
      <c r="E132" s="244" t="s">
        <v>210</v>
      </c>
      <c r="F132" s="244"/>
      <c r="G132" s="247"/>
      <c r="H132" s="244">
        <v>1022</v>
      </c>
      <c r="I132" s="248" t="s">
        <v>82</v>
      </c>
      <c r="J132" s="244">
        <v>2000</v>
      </c>
      <c r="K132" s="248" t="s">
        <v>207</v>
      </c>
      <c r="L132" s="228" t="s">
        <v>222</v>
      </c>
    </row>
    <row r="133" spans="1:12" x14ac:dyDescent="0.25">
      <c r="A133" s="244" t="str">
        <f t="shared" si="5"/>
        <v>19032026-TK121-3</v>
      </c>
      <c r="B133" s="245">
        <v>46100</v>
      </c>
      <c r="C133" s="244" t="s">
        <v>215</v>
      </c>
      <c r="D133" s="244">
        <v>26003</v>
      </c>
      <c r="E133" s="244" t="s">
        <v>206</v>
      </c>
      <c r="F133" s="244"/>
      <c r="G133" s="247"/>
      <c r="H133" s="244">
        <v>1929</v>
      </c>
      <c r="I133" s="248" t="s">
        <v>268</v>
      </c>
      <c r="J133" s="244">
        <v>2000</v>
      </c>
      <c r="K133" s="248" t="s">
        <v>217</v>
      </c>
      <c r="L133" s="228" t="s">
        <v>222</v>
      </c>
    </row>
    <row r="134" spans="1:12" x14ac:dyDescent="0.25">
      <c r="A134" s="244" t="str">
        <f t="shared" si="5"/>
        <v>22032026-CR001-1</v>
      </c>
      <c r="B134" s="245">
        <v>46103</v>
      </c>
      <c r="C134" s="244" t="s">
        <v>283</v>
      </c>
      <c r="D134" s="244">
        <v>13452</v>
      </c>
      <c r="E134" s="244" t="s">
        <v>205</v>
      </c>
      <c r="F134" s="244"/>
      <c r="G134" s="247"/>
      <c r="H134" s="244"/>
      <c r="I134" s="248" t="s">
        <v>81</v>
      </c>
      <c r="J134" s="244">
        <v>500</v>
      </c>
      <c r="K134" s="248" t="s">
        <v>207</v>
      </c>
      <c r="L134" s="228" t="s">
        <v>222</v>
      </c>
    </row>
    <row r="135" spans="1:12" x14ac:dyDescent="0.25">
      <c r="A135" s="244" t="str">
        <f t="shared" si="5"/>
        <v>22032026-CR001-3</v>
      </c>
      <c r="B135" s="245">
        <v>46103</v>
      </c>
      <c r="C135" s="244" t="s">
        <v>283</v>
      </c>
      <c r="D135" s="244">
        <v>13452</v>
      </c>
      <c r="E135" s="244" t="s">
        <v>206</v>
      </c>
      <c r="F135" s="244"/>
      <c r="G135" s="247"/>
      <c r="H135" s="244"/>
      <c r="I135" s="248" t="s">
        <v>268</v>
      </c>
      <c r="J135" s="244">
        <v>500</v>
      </c>
      <c r="K135" s="248" t="s">
        <v>217</v>
      </c>
      <c r="L135" s="228" t="s">
        <v>222</v>
      </c>
    </row>
    <row r="136" spans="1:12" x14ac:dyDescent="0.25">
      <c r="A136" s="244" t="str">
        <f t="shared" si="5"/>
        <v>24022026-EX015-1</v>
      </c>
      <c r="B136" s="245">
        <v>46077</v>
      </c>
      <c r="C136" s="244" t="s">
        <v>284</v>
      </c>
      <c r="D136" s="244">
        <v>4040</v>
      </c>
      <c r="E136" s="244" t="s">
        <v>205</v>
      </c>
      <c r="F136" s="244"/>
      <c r="G136" s="247"/>
      <c r="H136" s="244">
        <v>500</v>
      </c>
      <c r="I136" s="248" t="s">
        <v>81</v>
      </c>
      <c r="J136" s="244">
        <v>4000</v>
      </c>
      <c r="K136" s="248" t="s">
        <v>207</v>
      </c>
      <c r="L136" s="228" t="s">
        <v>222</v>
      </c>
    </row>
    <row r="137" spans="1:12" x14ac:dyDescent="0.25">
      <c r="A137" s="244" t="str">
        <f t="shared" si="5"/>
        <v>24022026-EX015-3</v>
      </c>
      <c r="B137" s="245">
        <v>46077</v>
      </c>
      <c r="C137" s="244" t="s">
        <v>284</v>
      </c>
      <c r="D137" s="244">
        <v>4040</v>
      </c>
      <c r="E137" s="244" t="s">
        <v>206</v>
      </c>
      <c r="F137" s="244"/>
      <c r="G137" s="247"/>
      <c r="H137" s="244">
        <v>4040</v>
      </c>
      <c r="I137" s="248" t="s">
        <v>268</v>
      </c>
      <c r="J137" s="244">
        <v>4000</v>
      </c>
      <c r="K137" s="248" t="s">
        <v>207</v>
      </c>
      <c r="L137" s="228" t="s">
        <v>222</v>
      </c>
    </row>
    <row r="138" spans="1:12" x14ac:dyDescent="0.25">
      <c r="A138" s="244" t="str">
        <f t="shared" si="5"/>
        <v>24022026-EX015-5</v>
      </c>
      <c r="B138" s="245">
        <v>46077</v>
      </c>
      <c r="C138" s="244" t="s">
        <v>284</v>
      </c>
      <c r="D138" s="244">
        <v>4040</v>
      </c>
      <c r="E138" s="244" t="s">
        <v>285</v>
      </c>
      <c r="F138" s="244"/>
      <c r="G138" s="247"/>
      <c r="H138" s="244">
        <v>4040</v>
      </c>
      <c r="I138" s="248" t="s">
        <v>82</v>
      </c>
      <c r="J138" s="244">
        <v>4000</v>
      </c>
      <c r="K138" s="248" t="s">
        <v>207</v>
      </c>
      <c r="L138" s="228" t="s">
        <v>222</v>
      </c>
    </row>
    <row r="139" spans="1:12" x14ac:dyDescent="0.25">
      <c r="A139" s="244" t="str">
        <f t="shared" si="5"/>
        <v>24022026-EX015-6A</v>
      </c>
      <c r="B139" s="245">
        <v>46077</v>
      </c>
      <c r="C139" s="244" t="s">
        <v>284</v>
      </c>
      <c r="D139" s="244">
        <v>4040</v>
      </c>
      <c r="E139" s="244" t="s">
        <v>286</v>
      </c>
      <c r="F139" s="244"/>
      <c r="G139" s="247"/>
      <c r="H139" s="244">
        <v>4040</v>
      </c>
      <c r="I139" s="248" t="s">
        <v>82</v>
      </c>
      <c r="J139" s="244">
        <v>4000</v>
      </c>
      <c r="K139" s="248" t="s">
        <v>207</v>
      </c>
      <c r="L139" s="228" t="s">
        <v>222</v>
      </c>
    </row>
    <row r="140" spans="1:12" x14ac:dyDescent="0.25">
      <c r="A140" s="244" t="str">
        <f t="shared" si="5"/>
        <v>24022026-EX015-6C</v>
      </c>
      <c r="B140" s="245">
        <v>46077</v>
      </c>
      <c r="C140" s="244" t="s">
        <v>284</v>
      </c>
      <c r="D140" s="244">
        <v>4040</v>
      </c>
      <c r="E140" s="244" t="s">
        <v>287</v>
      </c>
      <c r="F140" s="244"/>
      <c r="G140" s="247"/>
      <c r="H140" s="244">
        <v>4040</v>
      </c>
      <c r="I140" s="248" t="s">
        <v>82</v>
      </c>
      <c r="J140" s="244">
        <v>4000</v>
      </c>
      <c r="K140" s="248" t="s">
        <v>207</v>
      </c>
      <c r="L140" s="228" t="s">
        <v>222</v>
      </c>
    </row>
    <row r="141" spans="1:12" x14ac:dyDescent="0.25">
      <c r="A141" s="244" t="str">
        <f t="shared" si="5"/>
        <v>24022026-EX015-4AL</v>
      </c>
      <c r="B141" s="245">
        <v>46077</v>
      </c>
      <c r="C141" s="244" t="s">
        <v>284</v>
      </c>
      <c r="D141" s="244">
        <v>4040</v>
      </c>
      <c r="E141" s="244" t="s">
        <v>254</v>
      </c>
      <c r="F141" s="244"/>
      <c r="G141" s="247"/>
      <c r="H141" s="244">
        <v>4040</v>
      </c>
      <c r="I141" s="248" t="s">
        <v>82</v>
      </c>
      <c r="J141" s="244">
        <v>4000</v>
      </c>
      <c r="K141" s="248" t="s">
        <v>207</v>
      </c>
      <c r="L141" s="228" t="s">
        <v>222</v>
      </c>
    </row>
    <row r="142" spans="1:12" x14ac:dyDescent="0.25">
      <c r="A142" s="244" t="str">
        <f t="shared" ref="A142:A151" si="6">TEXT(DAY(B142),"00")&amp;TEXT(MONTH(B142),"00")&amp;YEAR(B142)&amp;"-"&amp;C142&amp;"-"&amp;LEFT(E142,SEARCH(" ",E142&amp;" ")-1)</f>
        <v>24022026-EX015-4AR</v>
      </c>
      <c r="B142" s="245">
        <v>46077</v>
      </c>
      <c r="C142" s="244" t="s">
        <v>284</v>
      </c>
      <c r="D142" s="244">
        <v>4040</v>
      </c>
      <c r="E142" s="244" t="s">
        <v>255</v>
      </c>
      <c r="F142" s="244"/>
      <c r="G142" s="247"/>
      <c r="H142" s="244">
        <v>4040</v>
      </c>
      <c r="I142" s="248" t="s">
        <v>82</v>
      </c>
      <c r="J142" s="244">
        <v>4000</v>
      </c>
      <c r="K142" s="248" t="s">
        <v>207</v>
      </c>
      <c r="L142" s="228" t="s">
        <v>222</v>
      </c>
    </row>
    <row r="143" spans="1:12" x14ac:dyDescent="0.25">
      <c r="A143" s="244" t="str">
        <f t="shared" si="6"/>
        <v>24022026-EX015-9</v>
      </c>
      <c r="B143" s="245">
        <v>46077</v>
      </c>
      <c r="C143" s="244" t="s">
        <v>284</v>
      </c>
      <c r="D143" s="244">
        <v>4040</v>
      </c>
      <c r="E143" s="244" t="s">
        <v>288</v>
      </c>
      <c r="F143" s="244"/>
      <c r="G143" s="247"/>
      <c r="H143" s="244">
        <v>4040</v>
      </c>
      <c r="I143" s="248" t="s">
        <v>289</v>
      </c>
      <c r="J143" s="244">
        <v>4000</v>
      </c>
      <c r="K143" s="248" t="s">
        <v>207</v>
      </c>
      <c r="L143" s="228" t="s">
        <v>222</v>
      </c>
    </row>
    <row r="144" spans="1:12" x14ac:dyDescent="0.25">
      <c r="A144" s="244" t="str">
        <f t="shared" si="6"/>
        <v>22032026-CR008-3</v>
      </c>
      <c r="B144" s="245">
        <v>46103</v>
      </c>
      <c r="C144" s="244" t="s">
        <v>290</v>
      </c>
      <c r="D144" s="244">
        <v>3723</v>
      </c>
      <c r="E144" s="244" t="s">
        <v>206</v>
      </c>
      <c r="F144" s="244"/>
      <c r="G144" s="247"/>
      <c r="H144" s="244"/>
      <c r="I144" s="248" t="s">
        <v>268</v>
      </c>
      <c r="J144" s="244">
        <v>500</v>
      </c>
      <c r="K144" s="248" t="s">
        <v>217</v>
      </c>
      <c r="L144" s="228" t="s">
        <v>222</v>
      </c>
    </row>
    <row r="145" spans="1:12" x14ac:dyDescent="0.25">
      <c r="A145" s="244" t="str">
        <f t="shared" si="6"/>
        <v>19032026-CR002-1</v>
      </c>
      <c r="B145" s="245">
        <v>46100</v>
      </c>
      <c r="C145" s="244" t="s">
        <v>271</v>
      </c>
      <c r="D145" s="244">
        <v>6997</v>
      </c>
      <c r="E145" s="244" t="s">
        <v>205</v>
      </c>
      <c r="F145" s="244"/>
      <c r="G145" s="247"/>
      <c r="H145" s="244">
        <v>500</v>
      </c>
      <c r="I145" s="248" t="s">
        <v>81</v>
      </c>
      <c r="J145" s="244">
        <v>1000</v>
      </c>
      <c r="K145" s="248" t="s">
        <v>207</v>
      </c>
      <c r="L145" s="228" t="s">
        <v>222</v>
      </c>
    </row>
    <row r="146" spans="1:12" x14ac:dyDescent="0.25">
      <c r="A146" s="244" t="str">
        <f t="shared" si="6"/>
        <v>19032026-CR002-3</v>
      </c>
      <c r="B146" s="245">
        <v>46100</v>
      </c>
      <c r="C146" s="244" t="s">
        <v>271</v>
      </c>
      <c r="D146" s="244">
        <v>6997</v>
      </c>
      <c r="E146" s="244" t="s">
        <v>206</v>
      </c>
      <c r="F146" s="244"/>
      <c r="G146" s="247"/>
      <c r="H146" s="244"/>
      <c r="I146" s="248" t="s">
        <v>268</v>
      </c>
      <c r="J146" s="244">
        <v>1000</v>
      </c>
      <c r="K146" s="248" t="s">
        <v>217</v>
      </c>
      <c r="L146" s="228" t="s">
        <v>222</v>
      </c>
    </row>
    <row r="147" spans="1:12" x14ac:dyDescent="0.25">
      <c r="A147" s="244" t="str">
        <f t="shared" si="6"/>
        <v>03032026-CR003-1</v>
      </c>
      <c r="B147" s="245">
        <v>46084</v>
      </c>
      <c r="C147" s="244" t="s">
        <v>272</v>
      </c>
      <c r="D147" s="244">
        <v>15468</v>
      </c>
      <c r="E147" s="244" t="s">
        <v>205</v>
      </c>
      <c r="F147" s="244"/>
      <c r="G147" s="247"/>
      <c r="H147" s="244">
        <v>500</v>
      </c>
      <c r="I147" s="248" t="s">
        <v>81</v>
      </c>
      <c r="J147" s="244">
        <v>500</v>
      </c>
      <c r="K147" s="248" t="s">
        <v>207</v>
      </c>
      <c r="L147" s="228" t="s">
        <v>222</v>
      </c>
    </row>
    <row r="148" spans="1:12" x14ac:dyDescent="0.25">
      <c r="A148" s="244" t="str">
        <f t="shared" si="6"/>
        <v>03032026-CR003-3</v>
      </c>
      <c r="B148" s="245">
        <v>46084</v>
      </c>
      <c r="C148" s="244" t="s">
        <v>272</v>
      </c>
      <c r="D148" s="244">
        <v>15468</v>
      </c>
      <c r="E148" s="244" t="s">
        <v>206</v>
      </c>
      <c r="F148" s="244"/>
      <c r="G148" s="247"/>
      <c r="H148" s="244"/>
      <c r="I148" s="248" t="s">
        <v>268</v>
      </c>
      <c r="J148" s="244">
        <v>500</v>
      </c>
      <c r="K148" s="248" t="s">
        <v>217</v>
      </c>
      <c r="L148" s="228" t="s">
        <v>222</v>
      </c>
    </row>
    <row r="149" spans="1:12" x14ac:dyDescent="0.25">
      <c r="A149" s="244" t="str">
        <f t="shared" si="6"/>
        <v>17032026-TK127-1</v>
      </c>
      <c r="B149" s="245">
        <v>46098</v>
      </c>
      <c r="C149" s="244" t="s">
        <v>291</v>
      </c>
      <c r="D149" s="244">
        <v>27977</v>
      </c>
      <c r="E149" s="244" t="s">
        <v>205</v>
      </c>
      <c r="F149" s="244"/>
      <c r="G149" s="247"/>
      <c r="H149" s="244">
        <v>500</v>
      </c>
      <c r="I149" s="248" t="s">
        <v>81</v>
      </c>
      <c r="J149" s="244">
        <v>4000</v>
      </c>
      <c r="K149" s="248" t="s">
        <v>207</v>
      </c>
      <c r="L149" s="228" t="s">
        <v>222</v>
      </c>
    </row>
    <row r="150" spans="1:12" x14ac:dyDescent="0.25">
      <c r="A150" s="244" t="str">
        <f t="shared" si="6"/>
        <v>17032026-TK127-2</v>
      </c>
      <c r="B150" s="245">
        <v>46098</v>
      </c>
      <c r="C150" s="244" t="s">
        <v>291</v>
      </c>
      <c r="D150" s="244">
        <v>27977</v>
      </c>
      <c r="E150" s="244" t="s">
        <v>210</v>
      </c>
      <c r="F150" s="244"/>
      <c r="G150" s="247"/>
      <c r="H150" s="244">
        <v>1000</v>
      </c>
      <c r="I150" s="248" t="s">
        <v>82</v>
      </c>
      <c r="J150" s="244">
        <v>4000</v>
      </c>
      <c r="K150" s="248" t="s">
        <v>207</v>
      </c>
      <c r="L150" s="228" t="s">
        <v>222</v>
      </c>
    </row>
    <row r="151" spans="1:12" x14ac:dyDescent="0.25">
      <c r="A151" s="244" t="str">
        <f t="shared" si="6"/>
        <v>17032026-TK127-3</v>
      </c>
      <c r="B151" s="245">
        <v>46098</v>
      </c>
      <c r="C151" s="244" t="s">
        <v>291</v>
      </c>
      <c r="D151" s="244">
        <v>27977</v>
      </c>
      <c r="E151" s="244" t="s">
        <v>206</v>
      </c>
      <c r="F151" s="244"/>
      <c r="G151" s="247"/>
      <c r="H151" s="244">
        <v>4000</v>
      </c>
      <c r="I151" s="248" t="s">
        <v>268</v>
      </c>
      <c r="J151" s="244">
        <v>4000</v>
      </c>
      <c r="K151" s="248" t="s">
        <v>207</v>
      </c>
      <c r="L151" s="228" t="s">
        <v>222</v>
      </c>
    </row>
    <row r="152" spans="1:12" x14ac:dyDescent="0.25">
      <c r="A152" s="244" t="str">
        <f t="shared" ref="A152:A175" si="7">TEXT(DAY(B152),"00")&amp;TEXT(MONTH(B152),"00")&amp;YEAR(B152)&amp;"-"&amp;C152&amp;"-"&amp;LEFT(E152,SEARCH(" ",E152&amp;" ")-1)</f>
        <v>15032026-TK115-1</v>
      </c>
      <c r="B152" s="245">
        <v>46096</v>
      </c>
      <c r="C152" s="244" t="s">
        <v>212</v>
      </c>
      <c r="D152" s="244">
        <v>37500</v>
      </c>
      <c r="E152" s="244" t="s">
        <v>205</v>
      </c>
      <c r="F152" s="244"/>
      <c r="G152" s="247"/>
      <c r="H152" s="244"/>
      <c r="I152" s="248" t="s">
        <v>81</v>
      </c>
      <c r="J152" s="244">
        <v>500</v>
      </c>
      <c r="K152" s="248" t="s">
        <v>207</v>
      </c>
      <c r="L152" s="228" t="s">
        <v>222</v>
      </c>
    </row>
    <row r="153" spans="1:12" x14ac:dyDescent="0.25">
      <c r="A153" s="244" t="str">
        <f t="shared" si="7"/>
        <v>15032026-TK115-2</v>
      </c>
      <c r="B153" s="245">
        <v>46096</v>
      </c>
      <c r="C153" s="244" t="s">
        <v>212</v>
      </c>
      <c r="D153" s="244">
        <v>37500</v>
      </c>
      <c r="E153" s="244" t="s">
        <v>210</v>
      </c>
      <c r="F153" s="244"/>
      <c r="G153" s="247"/>
      <c r="H153" s="244"/>
      <c r="I153" s="248" t="s">
        <v>82</v>
      </c>
      <c r="J153" s="244">
        <v>500</v>
      </c>
      <c r="K153" s="248" t="s">
        <v>217</v>
      </c>
      <c r="L153" s="228" t="s">
        <v>222</v>
      </c>
    </row>
    <row r="154" spans="1:12" x14ac:dyDescent="0.25">
      <c r="A154" s="244" t="str">
        <f t="shared" si="7"/>
        <v>15032026-TK115-3</v>
      </c>
      <c r="B154" s="245">
        <v>46096</v>
      </c>
      <c r="C154" s="244" t="s">
        <v>212</v>
      </c>
      <c r="D154" s="244">
        <v>37500</v>
      </c>
      <c r="E154" s="244" t="s">
        <v>206</v>
      </c>
      <c r="F154" s="244"/>
      <c r="G154" s="247"/>
      <c r="H154" s="244"/>
      <c r="I154" s="248" t="s">
        <v>268</v>
      </c>
      <c r="J154" s="244">
        <v>500</v>
      </c>
      <c r="K154" s="248" t="s">
        <v>217</v>
      </c>
      <c r="L154" s="228" t="s">
        <v>222</v>
      </c>
    </row>
    <row r="155" spans="1:12" x14ac:dyDescent="0.25">
      <c r="A155" s="244" t="str">
        <f t="shared" si="7"/>
        <v>14032026-TK112-1</v>
      </c>
      <c r="B155" s="245">
        <v>46095</v>
      </c>
      <c r="C155" s="244" t="s">
        <v>292</v>
      </c>
      <c r="D155" s="244">
        <v>33933</v>
      </c>
      <c r="E155" s="244" t="s">
        <v>205</v>
      </c>
      <c r="F155" s="244"/>
      <c r="G155" s="247"/>
      <c r="H155" s="244"/>
      <c r="I155" s="248" t="s">
        <v>81</v>
      </c>
      <c r="J155" s="244">
        <v>2000</v>
      </c>
      <c r="K155" s="248" t="s">
        <v>207</v>
      </c>
      <c r="L155" s="228" t="s">
        <v>222</v>
      </c>
    </row>
    <row r="156" spans="1:12" x14ac:dyDescent="0.25">
      <c r="A156" s="244" t="str">
        <f t="shared" si="7"/>
        <v>14032026-TK112-2</v>
      </c>
      <c r="B156" s="245">
        <v>46095</v>
      </c>
      <c r="C156" s="244" t="s">
        <v>292</v>
      </c>
      <c r="D156" s="244">
        <v>33933</v>
      </c>
      <c r="E156" s="244" t="s">
        <v>210</v>
      </c>
      <c r="F156" s="244"/>
      <c r="G156" s="247"/>
      <c r="H156" s="244"/>
      <c r="I156" s="248" t="s">
        <v>82</v>
      </c>
      <c r="J156" s="244">
        <v>2000</v>
      </c>
      <c r="K156" s="248" t="s">
        <v>207</v>
      </c>
      <c r="L156" s="228" t="s">
        <v>222</v>
      </c>
    </row>
    <row r="157" spans="1:12" x14ac:dyDescent="0.25">
      <c r="A157" s="244" t="str">
        <f t="shared" si="7"/>
        <v>14032026-TK112-3</v>
      </c>
      <c r="B157" s="245">
        <v>46095</v>
      </c>
      <c r="C157" s="244" t="s">
        <v>292</v>
      </c>
      <c r="D157" s="244">
        <v>33933</v>
      </c>
      <c r="E157" s="244" t="s">
        <v>206</v>
      </c>
      <c r="F157" s="244"/>
      <c r="G157" s="247"/>
      <c r="H157" s="244"/>
      <c r="I157" s="248" t="s">
        <v>268</v>
      </c>
      <c r="J157" s="244">
        <v>2000</v>
      </c>
      <c r="K157" s="248" t="s">
        <v>217</v>
      </c>
      <c r="L157" s="228" t="s">
        <v>222</v>
      </c>
    </row>
    <row r="158" spans="1:12" x14ac:dyDescent="0.25">
      <c r="A158" s="244" t="str">
        <f t="shared" si="7"/>
        <v>16032026-TK114-1</v>
      </c>
      <c r="B158" s="245">
        <v>46097</v>
      </c>
      <c r="C158" s="244" t="s">
        <v>209</v>
      </c>
      <c r="D158" s="244">
        <v>31989</v>
      </c>
      <c r="E158" s="244" t="s">
        <v>205</v>
      </c>
      <c r="F158" s="244"/>
      <c r="G158" s="247"/>
      <c r="H158" s="244"/>
      <c r="I158" s="248" t="s">
        <v>81</v>
      </c>
      <c r="J158" s="244">
        <v>8000</v>
      </c>
      <c r="K158" s="248" t="s">
        <v>207</v>
      </c>
      <c r="L158" s="228" t="s">
        <v>222</v>
      </c>
    </row>
    <row r="159" spans="1:12" x14ac:dyDescent="0.25">
      <c r="A159" s="244" t="str">
        <f t="shared" si="7"/>
        <v>16032026-TK114-2</v>
      </c>
      <c r="B159" s="245">
        <v>46097</v>
      </c>
      <c r="C159" s="244" t="s">
        <v>209</v>
      </c>
      <c r="D159" s="244">
        <v>31989</v>
      </c>
      <c r="E159" s="244" t="s">
        <v>210</v>
      </c>
      <c r="F159" s="244"/>
      <c r="G159" s="247"/>
      <c r="H159" s="244"/>
      <c r="I159" s="248" t="s">
        <v>82</v>
      </c>
      <c r="J159" s="244">
        <v>8000</v>
      </c>
      <c r="K159" s="248" t="s">
        <v>207</v>
      </c>
      <c r="L159" s="228" t="s">
        <v>222</v>
      </c>
    </row>
    <row r="160" spans="1:12" x14ac:dyDescent="0.25">
      <c r="A160" s="244" t="str">
        <f t="shared" si="7"/>
        <v>16032026-TK114-3</v>
      </c>
      <c r="B160" s="245">
        <v>46097</v>
      </c>
      <c r="C160" s="244" t="s">
        <v>209</v>
      </c>
      <c r="D160" s="244">
        <v>31989</v>
      </c>
      <c r="E160" s="244" t="s">
        <v>206</v>
      </c>
      <c r="F160" s="244"/>
      <c r="G160" s="247"/>
      <c r="H160" s="244"/>
      <c r="I160" s="248" t="s">
        <v>268</v>
      </c>
      <c r="J160" s="244">
        <v>8000</v>
      </c>
      <c r="K160" s="248" t="s">
        <v>207</v>
      </c>
      <c r="L160" s="228" t="s">
        <v>222</v>
      </c>
    </row>
    <row r="161" spans="1:12" x14ac:dyDescent="0.25">
      <c r="A161" s="244" t="str">
        <f t="shared" si="7"/>
        <v>12032026-TK123-1</v>
      </c>
      <c r="B161" s="245">
        <v>46093</v>
      </c>
      <c r="C161" s="244" t="s">
        <v>293</v>
      </c>
      <c r="D161" s="244">
        <v>27507</v>
      </c>
      <c r="E161" s="244" t="s">
        <v>205</v>
      </c>
      <c r="F161" s="244"/>
      <c r="G161" s="247"/>
      <c r="H161" s="244"/>
      <c r="I161" s="248" t="s">
        <v>81</v>
      </c>
      <c r="J161" s="244">
        <v>500</v>
      </c>
      <c r="K161" s="248" t="s">
        <v>207</v>
      </c>
      <c r="L161" s="228" t="s">
        <v>222</v>
      </c>
    </row>
    <row r="162" spans="1:12" x14ac:dyDescent="0.25">
      <c r="A162" s="244" t="str">
        <f t="shared" si="7"/>
        <v>12032026-TK123-2</v>
      </c>
      <c r="B162" s="245">
        <v>46093</v>
      </c>
      <c r="C162" s="244" t="s">
        <v>293</v>
      </c>
      <c r="D162" s="244">
        <v>27507</v>
      </c>
      <c r="E162" s="244" t="s">
        <v>210</v>
      </c>
      <c r="F162" s="244"/>
      <c r="G162" s="247"/>
      <c r="H162" s="244"/>
      <c r="I162" s="248" t="s">
        <v>82</v>
      </c>
      <c r="J162" s="244">
        <v>500</v>
      </c>
      <c r="K162" s="248" t="s">
        <v>217</v>
      </c>
      <c r="L162" s="228" t="s">
        <v>222</v>
      </c>
    </row>
    <row r="163" spans="1:12" x14ac:dyDescent="0.25">
      <c r="A163" s="244" t="str">
        <f t="shared" si="7"/>
        <v>12032026-TK123-3</v>
      </c>
      <c r="B163" s="245">
        <v>46093</v>
      </c>
      <c r="C163" s="244" t="s">
        <v>293</v>
      </c>
      <c r="D163" s="244">
        <v>27507</v>
      </c>
      <c r="E163" s="244" t="s">
        <v>206</v>
      </c>
      <c r="F163" s="244"/>
      <c r="G163" s="247"/>
      <c r="H163" s="244"/>
      <c r="I163" s="248" t="s">
        <v>268</v>
      </c>
      <c r="J163" s="244">
        <v>500</v>
      </c>
      <c r="K163" s="248" t="s">
        <v>217</v>
      </c>
      <c r="L163" s="228" t="s">
        <v>222</v>
      </c>
    </row>
    <row r="164" spans="1:12" x14ac:dyDescent="0.25">
      <c r="A164" s="244" t="str">
        <f t="shared" si="7"/>
        <v>12032026-TK119-1</v>
      </c>
      <c r="B164" s="245">
        <v>46093</v>
      </c>
      <c r="C164" s="244" t="s">
        <v>294</v>
      </c>
      <c r="D164" s="244">
        <v>24563</v>
      </c>
      <c r="E164" s="244" t="s">
        <v>205</v>
      </c>
      <c r="F164" s="244"/>
      <c r="G164" s="247"/>
      <c r="H164" s="244"/>
      <c r="I164" s="248" t="s">
        <v>81</v>
      </c>
      <c r="J164" s="244">
        <v>500</v>
      </c>
      <c r="K164" s="248" t="s">
        <v>207</v>
      </c>
      <c r="L164" s="228" t="s">
        <v>222</v>
      </c>
    </row>
    <row r="165" spans="1:12" x14ac:dyDescent="0.25">
      <c r="A165" s="244" t="str">
        <f t="shared" si="7"/>
        <v>12032026-TK119-2</v>
      </c>
      <c r="B165" s="245">
        <v>46093</v>
      </c>
      <c r="C165" s="244" t="s">
        <v>294</v>
      </c>
      <c r="D165" s="244">
        <v>24563</v>
      </c>
      <c r="E165" s="244" t="s">
        <v>210</v>
      </c>
      <c r="F165" s="244"/>
      <c r="G165" s="247"/>
      <c r="H165" s="244"/>
      <c r="I165" s="248" t="s">
        <v>82</v>
      </c>
      <c r="J165" s="244">
        <v>500</v>
      </c>
      <c r="K165" s="248" t="s">
        <v>217</v>
      </c>
      <c r="L165" s="228" t="s">
        <v>222</v>
      </c>
    </row>
    <row r="166" spans="1:12" x14ac:dyDescent="0.25">
      <c r="A166" s="244" t="str">
        <f t="shared" si="7"/>
        <v>12032026-TK119-3</v>
      </c>
      <c r="B166" s="245">
        <v>46093</v>
      </c>
      <c r="C166" s="244" t="s">
        <v>294</v>
      </c>
      <c r="D166" s="244">
        <v>24563</v>
      </c>
      <c r="E166" s="244" t="s">
        <v>206</v>
      </c>
      <c r="F166" s="244"/>
      <c r="G166" s="247"/>
      <c r="H166" s="244"/>
      <c r="I166" s="248" t="s">
        <v>268</v>
      </c>
      <c r="J166" s="244">
        <v>500</v>
      </c>
      <c r="K166" s="248" t="s">
        <v>217</v>
      </c>
      <c r="L166" s="228" t="s">
        <v>222</v>
      </c>
    </row>
    <row r="167" spans="1:12" x14ac:dyDescent="0.25">
      <c r="A167" s="244" t="str">
        <f t="shared" si="7"/>
        <v>15032026-TK105-1</v>
      </c>
      <c r="B167" s="245">
        <v>46096</v>
      </c>
      <c r="C167" s="244" t="s">
        <v>295</v>
      </c>
      <c r="D167" s="244">
        <v>30963</v>
      </c>
      <c r="E167" s="244" t="s">
        <v>205</v>
      </c>
      <c r="F167" s="244"/>
      <c r="G167" s="247"/>
      <c r="H167" s="244"/>
      <c r="I167" s="248" t="s">
        <v>81</v>
      </c>
      <c r="J167" s="244">
        <v>1000</v>
      </c>
      <c r="K167" s="248" t="s">
        <v>207</v>
      </c>
      <c r="L167" s="228" t="s">
        <v>222</v>
      </c>
    </row>
    <row r="168" spans="1:12" x14ac:dyDescent="0.25">
      <c r="A168" s="244" t="str">
        <f t="shared" si="7"/>
        <v>15032026-TK105-2</v>
      </c>
      <c r="B168" s="245">
        <v>46096</v>
      </c>
      <c r="C168" s="244" t="s">
        <v>295</v>
      </c>
      <c r="D168" s="244">
        <v>30963</v>
      </c>
      <c r="E168" s="244" t="s">
        <v>210</v>
      </c>
      <c r="F168" s="244"/>
      <c r="G168" s="247"/>
      <c r="H168" s="244"/>
      <c r="I168" s="248" t="s">
        <v>82</v>
      </c>
      <c r="J168" s="244">
        <v>1000</v>
      </c>
      <c r="K168" s="248" t="s">
        <v>207</v>
      </c>
      <c r="L168" s="228" t="s">
        <v>222</v>
      </c>
    </row>
    <row r="169" spans="1:12" x14ac:dyDescent="0.25">
      <c r="A169" s="244" t="str">
        <f t="shared" si="7"/>
        <v>15032026-TK105-3</v>
      </c>
      <c r="B169" s="245">
        <v>46096</v>
      </c>
      <c r="C169" s="244" t="s">
        <v>295</v>
      </c>
      <c r="D169" s="244">
        <v>30963</v>
      </c>
      <c r="E169" s="244" t="s">
        <v>206</v>
      </c>
      <c r="F169" s="244"/>
      <c r="G169" s="247"/>
      <c r="H169" s="244"/>
      <c r="I169" s="248" t="s">
        <v>268</v>
      </c>
      <c r="J169" s="244">
        <v>1000</v>
      </c>
      <c r="K169" s="248" t="s">
        <v>217</v>
      </c>
      <c r="L169" s="228" t="s">
        <v>222</v>
      </c>
    </row>
    <row r="170" spans="1:12" x14ac:dyDescent="0.25">
      <c r="A170" s="244" t="str">
        <f t="shared" si="7"/>
        <v>16032026-GR012-1</v>
      </c>
      <c r="B170" s="245">
        <v>46097</v>
      </c>
      <c r="C170" s="244" t="s">
        <v>235</v>
      </c>
      <c r="D170" s="244">
        <v>23496</v>
      </c>
      <c r="E170" s="244" t="s">
        <v>205</v>
      </c>
      <c r="F170" s="244"/>
      <c r="G170" s="247"/>
      <c r="H170" s="244"/>
      <c r="I170" s="248" t="s">
        <v>81</v>
      </c>
      <c r="J170" s="244">
        <v>500</v>
      </c>
      <c r="K170" s="248" t="s">
        <v>207</v>
      </c>
      <c r="L170" s="228" t="s">
        <v>222</v>
      </c>
    </row>
    <row r="171" spans="1:12" x14ac:dyDescent="0.25">
      <c r="A171" s="244" t="str">
        <f t="shared" si="7"/>
        <v>16032026-GR012-2</v>
      </c>
      <c r="B171" s="245">
        <v>46097</v>
      </c>
      <c r="C171" s="244" t="s">
        <v>235</v>
      </c>
      <c r="D171" s="244">
        <v>23496</v>
      </c>
      <c r="E171" s="244" t="s">
        <v>210</v>
      </c>
      <c r="F171" s="244"/>
      <c r="G171" s="247"/>
      <c r="H171" s="244"/>
      <c r="I171" s="248" t="s">
        <v>82</v>
      </c>
      <c r="J171" s="244">
        <v>500</v>
      </c>
      <c r="K171" s="248" t="s">
        <v>217</v>
      </c>
      <c r="L171" s="228" t="s">
        <v>222</v>
      </c>
    </row>
    <row r="172" spans="1:12" x14ac:dyDescent="0.25">
      <c r="A172" s="244" t="str">
        <f t="shared" si="7"/>
        <v>16032026-GR012-3</v>
      </c>
      <c r="B172" s="245">
        <v>46097</v>
      </c>
      <c r="C172" s="244" t="s">
        <v>235</v>
      </c>
      <c r="D172" s="244">
        <v>23496</v>
      </c>
      <c r="E172" s="244" t="s">
        <v>206</v>
      </c>
      <c r="F172" s="244"/>
      <c r="G172" s="247"/>
      <c r="H172" s="244"/>
      <c r="I172" s="248" t="s">
        <v>268</v>
      </c>
      <c r="J172" s="244">
        <v>500</v>
      </c>
      <c r="K172" s="248" t="s">
        <v>217</v>
      </c>
      <c r="L172" s="228" t="s">
        <v>222</v>
      </c>
    </row>
    <row r="173" spans="1:12" x14ac:dyDescent="0.25">
      <c r="A173" s="244" t="str">
        <f t="shared" si="7"/>
        <v>08032026-TK104-1</v>
      </c>
      <c r="B173" s="245">
        <v>46089</v>
      </c>
      <c r="C173" s="244" t="s">
        <v>282</v>
      </c>
      <c r="D173" s="244">
        <v>30024</v>
      </c>
      <c r="E173" s="244" t="s">
        <v>205</v>
      </c>
      <c r="F173" s="244"/>
      <c r="G173" s="247"/>
      <c r="H173" s="244"/>
      <c r="I173" s="248" t="s">
        <v>81</v>
      </c>
      <c r="J173" s="244">
        <v>2000</v>
      </c>
      <c r="K173" s="248" t="s">
        <v>207</v>
      </c>
      <c r="L173" s="228" t="s">
        <v>222</v>
      </c>
    </row>
    <row r="174" spans="1:12" x14ac:dyDescent="0.25">
      <c r="A174" s="244" t="str">
        <f t="shared" si="7"/>
        <v>08032026-TK104-2</v>
      </c>
      <c r="B174" s="245">
        <v>46089</v>
      </c>
      <c r="C174" s="244" t="s">
        <v>282</v>
      </c>
      <c r="D174" s="244">
        <v>30024</v>
      </c>
      <c r="E174" s="244" t="s">
        <v>210</v>
      </c>
      <c r="F174" s="244"/>
      <c r="G174" s="247"/>
      <c r="H174" s="244"/>
      <c r="I174" s="248" t="s">
        <v>82</v>
      </c>
      <c r="J174" s="244">
        <v>2000</v>
      </c>
      <c r="K174" s="248" t="s">
        <v>207</v>
      </c>
      <c r="L174" s="228" t="s">
        <v>222</v>
      </c>
    </row>
    <row r="175" spans="1:12" x14ac:dyDescent="0.25">
      <c r="A175" s="244" t="str">
        <f t="shared" si="7"/>
        <v>08032026-TK104-3</v>
      </c>
      <c r="B175" s="245">
        <v>46089</v>
      </c>
      <c r="C175" s="244" t="s">
        <v>282</v>
      </c>
      <c r="D175" s="244">
        <v>30024</v>
      </c>
      <c r="E175" s="244" t="s">
        <v>206</v>
      </c>
      <c r="F175" s="244"/>
      <c r="G175" s="247"/>
      <c r="H175" s="244"/>
      <c r="I175" s="248" t="s">
        <v>268</v>
      </c>
      <c r="J175" s="244">
        <v>2000</v>
      </c>
      <c r="K175" s="248" t="s">
        <v>217</v>
      </c>
      <c r="L175" s="228" t="s">
        <v>222</v>
      </c>
    </row>
    <row r="176" spans="1:12" x14ac:dyDescent="0.25">
      <c r="A176" s="244" t="str">
        <f t="shared" ref="A176:A239" si="8">TEXT(DAY(B176),"00")&amp;TEXT(MONTH(B176),"00")&amp;YEAR(B176)&amp;"-"&amp;C176&amp;"-"&amp;LEFT(E176,SEARCH(" ",E176&amp;" ")-1)</f>
        <v>09032026-DZ010-1</v>
      </c>
      <c r="B176" s="245">
        <v>46090</v>
      </c>
      <c r="C176" s="244" t="s">
        <v>296</v>
      </c>
      <c r="D176" s="244">
        <v>22020</v>
      </c>
      <c r="E176" s="244" t="s">
        <v>205</v>
      </c>
      <c r="F176" s="244"/>
      <c r="G176" s="247"/>
      <c r="H176" s="244"/>
      <c r="I176" s="248" t="s">
        <v>81</v>
      </c>
      <c r="J176" s="244">
        <v>2000</v>
      </c>
      <c r="K176" s="248" t="s">
        <v>207</v>
      </c>
      <c r="L176" s="228" t="s">
        <v>222</v>
      </c>
    </row>
    <row r="177" spans="1:12" x14ac:dyDescent="0.25">
      <c r="A177" s="244" t="str">
        <f t="shared" si="8"/>
        <v>09032026-DZ010-2</v>
      </c>
      <c r="B177" s="245">
        <v>46090</v>
      </c>
      <c r="C177" s="244" t="s">
        <v>296</v>
      </c>
      <c r="D177" s="244">
        <v>22020</v>
      </c>
      <c r="E177" s="244" t="s">
        <v>210</v>
      </c>
      <c r="F177" s="244"/>
      <c r="G177" s="247"/>
      <c r="H177" s="244"/>
      <c r="I177" s="248" t="s">
        <v>82</v>
      </c>
      <c r="J177" s="244">
        <v>2000</v>
      </c>
      <c r="K177" s="248" t="s">
        <v>207</v>
      </c>
      <c r="L177" s="228" t="s">
        <v>222</v>
      </c>
    </row>
    <row r="178" spans="1:12" x14ac:dyDescent="0.25">
      <c r="A178" s="244" t="str">
        <f t="shared" si="8"/>
        <v>09032026-DZ010-3</v>
      </c>
      <c r="B178" s="245">
        <v>46090</v>
      </c>
      <c r="C178" s="244" t="s">
        <v>296</v>
      </c>
      <c r="D178" s="244">
        <v>22020</v>
      </c>
      <c r="E178" s="244" t="s">
        <v>206</v>
      </c>
      <c r="F178" s="244"/>
      <c r="G178" s="247"/>
      <c r="H178" s="244"/>
      <c r="I178" s="248" t="s">
        <v>268</v>
      </c>
      <c r="J178" s="244">
        <v>2000</v>
      </c>
      <c r="K178" s="248" t="s">
        <v>217</v>
      </c>
      <c r="L178" s="228" t="s">
        <v>222</v>
      </c>
    </row>
    <row r="179" spans="1:12" x14ac:dyDescent="0.25">
      <c r="A179" s="244" t="str">
        <f t="shared" si="8"/>
        <v>10032026-DZ020-1</v>
      </c>
      <c r="B179" s="245">
        <v>46091</v>
      </c>
      <c r="C179" s="244" t="s">
        <v>236</v>
      </c>
      <c r="D179" s="244">
        <v>5293</v>
      </c>
      <c r="E179" s="244" t="s">
        <v>205</v>
      </c>
      <c r="F179" s="244"/>
      <c r="G179" s="247"/>
      <c r="H179" s="244"/>
      <c r="I179" s="248" t="s">
        <v>81</v>
      </c>
      <c r="J179" s="244">
        <v>1000</v>
      </c>
      <c r="K179" s="248" t="s">
        <v>207</v>
      </c>
      <c r="L179" s="228" t="s">
        <v>222</v>
      </c>
    </row>
    <row r="180" spans="1:12" x14ac:dyDescent="0.25">
      <c r="A180" s="244" t="str">
        <f t="shared" si="8"/>
        <v>10032026-DZ020-2</v>
      </c>
      <c r="B180" s="245">
        <v>46091</v>
      </c>
      <c r="C180" s="244" t="s">
        <v>236</v>
      </c>
      <c r="D180" s="244">
        <v>5293</v>
      </c>
      <c r="E180" s="244" t="s">
        <v>210</v>
      </c>
      <c r="F180" s="244"/>
      <c r="G180" s="247"/>
      <c r="H180" s="244"/>
      <c r="I180" s="248" t="s">
        <v>82</v>
      </c>
      <c r="J180" s="244">
        <v>1000</v>
      </c>
      <c r="K180" s="248" t="s">
        <v>207</v>
      </c>
      <c r="L180" s="228" t="s">
        <v>222</v>
      </c>
    </row>
    <row r="181" spans="1:12" x14ac:dyDescent="0.25">
      <c r="A181" s="244" t="str">
        <f t="shared" si="8"/>
        <v>10032026-DZ020-3</v>
      </c>
      <c r="B181" s="245">
        <v>46091</v>
      </c>
      <c r="C181" s="244" t="s">
        <v>236</v>
      </c>
      <c r="D181" s="244">
        <v>5293</v>
      </c>
      <c r="E181" s="244" t="s">
        <v>206</v>
      </c>
      <c r="F181" s="244"/>
      <c r="G181" s="247"/>
      <c r="H181" s="244"/>
      <c r="I181" s="248" t="s">
        <v>268</v>
      </c>
      <c r="J181" s="244">
        <v>1000</v>
      </c>
      <c r="K181" s="248" t="s">
        <v>217</v>
      </c>
      <c r="L181" s="228" t="s">
        <v>222</v>
      </c>
    </row>
    <row r="182" spans="1:12" x14ac:dyDescent="0.25">
      <c r="A182" s="244" t="str">
        <f t="shared" si="8"/>
        <v>11032026-TK113-1</v>
      </c>
      <c r="B182" s="245">
        <v>46092</v>
      </c>
      <c r="C182" s="244" t="s">
        <v>264</v>
      </c>
      <c r="D182" s="244">
        <v>34996</v>
      </c>
      <c r="E182" s="244" t="s">
        <v>205</v>
      </c>
      <c r="F182" s="244"/>
      <c r="G182" s="247"/>
      <c r="H182" s="244"/>
      <c r="I182" s="248" t="s">
        <v>81</v>
      </c>
      <c r="J182" s="244">
        <v>1000</v>
      </c>
      <c r="K182" s="248" t="s">
        <v>207</v>
      </c>
      <c r="L182" s="228" t="s">
        <v>222</v>
      </c>
    </row>
    <row r="183" spans="1:12" x14ac:dyDescent="0.25">
      <c r="A183" s="244" t="str">
        <f t="shared" si="8"/>
        <v>11032026-TK113-2</v>
      </c>
      <c r="B183" s="245">
        <v>46092</v>
      </c>
      <c r="C183" s="244" t="s">
        <v>264</v>
      </c>
      <c r="D183" s="244">
        <v>34996</v>
      </c>
      <c r="E183" s="244" t="s">
        <v>210</v>
      </c>
      <c r="F183" s="244"/>
      <c r="G183" s="247"/>
      <c r="H183" s="244"/>
      <c r="I183" s="248" t="s">
        <v>82</v>
      </c>
      <c r="J183" s="244">
        <v>1000</v>
      </c>
      <c r="K183" s="248" t="s">
        <v>207</v>
      </c>
      <c r="L183" s="228" t="s">
        <v>222</v>
      </c>
    </row>
    <row r="184" spans="1:12" x14ac:dyDescent="0.25">
      <c r="A184" s="244" t="str">
        <f t="shared" si="8"/>
        <v>11032026-TK113-3</v>
      </c>
      <c r="B184" s="245">
        <v>46092</v>
      </c>
      <c r="C184" s="244" t="s">
        <v>264</v>
      </c>
      <c r="D184" s="244">
        <v>34996</v>
      </c>
      <c r="E184" s="244" t="s">
        <v>206</v>
      </c>
      <c r="F184" s="244"/>
      <c r="G184" s="247"/>
      <c r="H184" s="244"/>
      <c r="I184" s="248" t="s">
        <v>268</v>
      </c>
      <c r="J184" s="244">
        <v>1000</v>
      </c>
      <c r="K184" s="248" t="s">
        <v>217</v>
      </c>
      <c r="L184" s="228" t="s">
        <v>222</v>
      </c>
    </row>
    <row r="185" spans="1:12" x14ac:dyDescent="0.25">
      <c r="A185" s="244" t="str">
        <f t="shared" si="8"/>
        <v>09032026-DR007-1.1</v>
      </c>
      <c r="B185" s="245">
        <v>46090</v>
      </c>
      <c r="C185" s="244" t="s">
        <v>297</v>
      </c>
      <c r="D185" s="244">
        <v>3634</v>
      </c>
      <c r="E185" s="244" t="s">
        <v>298</v>
      </c>
      <c r="F185" s="244"/>
      <c r="G185" s="247"/>
      <c r="H185" s="244"/>
      <c r="I185" s="248" t="s">
        <v>81</v>
      </c>
      <c r="J185" s="244">
        <v>500</v>
      </c>
      <c r="K185" s="248" t="s">
        <v>207</v>
      </c>
      <c r="L185" s="228" t="s">
        <v>222</v>
      </c>
    </row>
    <row r="186" spans="1:12" x14ac:dyDescent="0.25">
      <c r="A186" s="244" t="str">
        <f t="shared" si="8"/>
        <v>09032026-DR007-1.2</v>
      </c>
      <c r="B186" s="245">
        <v>46090</v>
      </c>
      <c r="C186" s="244" t="s">
        <v>297</v>
      </c>
      <c r="D186" s="244">
        <v>3634</v>
      </c>
      <c r="E186" s="244" t="s">
        <v>299</v>
      </c>
      <c r="F186" s="244"/>
      <c r="G186" s="247"/>
      <c r="H186" s="244"/>
      <c r="I186" s="248" t="s">
        <v>81</v>
      </c>
      <c r="J186" s="244">
        <v>500</v>
      </c>
      <c r="K186" s="248" t="s">
        <v>207</v>
      </c>
      <c r="L186" s="228" t="s">
        <v>222</v>
      </c>
    </row>
    <row r="187" spans="1:12" x14ac:dyDescent="0.25">
      <c r="A187" s="244" t="str">
        <f t="shared" si="8"/>
        <v>22032026-DZ004-1</v>
      </c>
      <c r="B187" s="245">
        <v>46103</v>
      </c>
      <c r="C187" s="244" t="s">
        <v>262</v>
      </c>
      <c r="D187" s="244">
        <v>23921</v>
      </c>
      <c r="E187" s="244" t="s">
        <v>205</v>
      </c>
      <c r="F187" s="244"/>
      <c r="G187" s="247"/>
      <c r="H187" s="244"/>
      <c r="I187" s="248" t="s">
        <v>81</v>
      </c>
      <c r="J187" s="244">
        <v>8000</v>
      </c>
      <c r="K187" s="248" t="s">
        <v>207</v>
      </c>
      <c r="L187" s="228" t="s">
        <v>222</v>
      </c>
    </row>
    <row r="188" spans="1:12" x14ac:dyDescent="0.25">
      <c r="A188" s="244" t="str">
        <f t="shared" si="8"/>
        <v>22032026-DZ004-2</v>
      </c>
      <c r="B188" s="245">
        <v>46103</v>
      </c>
      <c r="C188" s="244" t="s">
        <v>262</v>
      </c>
      <c r="D188" s="244">
        <v>23921</v>
      </c>
      <c r="E188" s="244" t="s">
        <v>210</v>
      </c>
      <c r="F188" s="244"/>
      <c r="G188" s="247"/>
      <c r="H188" s="244"/>
      <c r="I188" s="248" t="s">
        <v>82</v>
      </c>
      <c r="J188" s="244">
        <v>8000</v>
      </c>
      <c r="K188" s="248" t="s">
        <v>207</v>
      </c>
      <c r="L188" s="228" t="s">
        <v>222</v>
      </c>
    </row>
    <row r="189" spans="1:12" x14ac:dyDescent="0.25">
      <c r="A189" s="244" t="str">
        <f t="shared" si="8"/>
        <v>22032026-DZ004-3</v>
      </c>
      <c r="B189" s="245">
        <v>46103</v>
      </c>
      <c r="C189" s="244" t="s">
        <v>262</v>
      </c>
      <c r="D189" s="244">
        <v>23921</v>
      </c>
      <c r="E189" s="244" t="s">
        <v>206</v>
      </c>
      <c r="F189" s="244"/>
      <c r="G189" s="247"/>
      <c r="H189" s="244"/>
      <c r="I189" s="248" t="s">
        <v>268</v>
      </c>
      <c r="J189" s="244">
        <v>8000</v>
      </c>
      <c r="K189" s="248" t="s">
        <v>207</v>
      </c>
      <c r="L189" s="228" t="s">
        <v>222</v>
      </c>
    </row>
    <row r="190" spans="1:12" x14ac:dyDescent="0.25">
      <c r="A190" s="244" t="str">
        <f t="shared" si="8"/>
        <v>23032026-GR009-1</v>
      </c>
      <c r="B190" s="245">
        <v>46104</v>
      </c>
      <c r="C190" s="244" t="s">
        <v>300</v>
      </c>
      <c r="D190" s="244">
        <v>21373</v>
      </c>
      <c r="E190" s="244" t="s">
        <v>205</v>
      </c>
      <c r="F190" s="244"/>
      <c r="G190" s="247"/>
      <c r="H190" s="244"/>
      <c r="I190" s="248" t="s">
        <v>81</v>
      </c>
      <c r="J190" s="244">
        <v>250</v>
      </c>
      <c r="K190" s="248" t="s">
        <v>207</v>
      </c>
      <c r="L190" s="228" t="s">
        <v>222</v>
      </c>
    </row>
    <row r="191" spans="1:12" x14ac:dyDescent="0.25">
      <c r="A191" s="244" t="str">
        <f t="shared" si="8"/>
        <v>26032026-GR013-1</v>
      </c>
      <c r="B191" s="245">
        <v>46107</v>
      </c>
      <c r="C191" s="244" t="s">
        <v>301</v>
      </c>
      <c r="D191" s="244">
        <v>3993</v>
      </c>
      <c r="E191" s="244" t="s">
        <v>205</v>
      </c>
      <c r="F191" s="244"/>
      <c r="G191" s="247"/>
      <c r="H191" s="244"/>
      <c r="I191" s="248" t="s">
        <v>81</v>
      </c>
      <c r="J191" s="244">
        <v>4000</v>
      </c>
      <c r="K191" s="248" t="s">
        <v>207</v>
      </c>
      <c r="L191" s="228" t="s">
        <v>222</v>
      </c>
    </row>
    <row r="192" spans="1:12" x14ac:dyDescent="0.25">
      <c r="A192" s="244" t="str">
        <f t="shared" si="8"/>
        <v>26032026-GR013-2</v>
      </c>
      <c r="B192" s="245">
        <v>46107</v>
      </c>
      <c r="C192" s="244" t="s">
        <v>301</v>
      </c>
      <c r="D192" s="244">
        <v>3993</v>
      </c>
      <c r="E192" s="244" t="s">
        <v>210</v>
      </c>
      <c r="F192" s="244"/>
      <c r="G192" s="247"/>
      <c r="H192" s="244"/>
      <c r="I192" s="248" t="s">
        <v>82</v>
      </c>
      <c r="J192" s="244">
        <v>4000</v>
      </c>
      <c r="K192" s="248" t="s">
        <v>207</v>
      </c>
      <c r="L192" s="228" t="s">
        <v>222</v>
      </c>
    </row>
    <row r="193" spans="1:12" x14ac:dyDescent="0.25">
      <c r="A193" s="244" t="str">
        <f t="shared" si="8"/>
        <v>26032026-GR013-3</v>
      </c>
      <c r="B193" s="245">
        <v>46107</v>
      </c>
      <c r="C193" s="244" t="s">
        <v>301</v>
      </c>
      <c r="D193" s="244">
        <v>3993</v>
      </c>
      <c r="E193" s="244" t="s">
        <v>206</v>
      </c>
      <c r="F193" s="244"/>
      <c r="G193" s="247"/>
      <c r="H193" s="244"/>
      <c r="I193" s="248" t="s">
        <v>268</v>
      </c>
      <c r="J193" s="244">
        <v>4000</v>
      </c>
      <c r="K193" s="248" t="s">
        <v>207</v>
      </c>
      <c r="L193" s="228" t="s">
        <v>222</v>
      </c>
    </row>
    <row r="194" spans="1:12" x14ac:dyDescent="0.25">
      <c r="A194" s="244" t="str">
        <f t="shared" si="8"/>
        <v>27032026-GR015-1</v>
      </c>
      <c r="B194" s="245">
        <v>46108</v>
      </c>
      <c r="C194" s="244" t="s">
        <v>302</v>
      </c>
      <c r="D194" s="244">
        <v>3970</v>
      </c>
      <c r="E194" s="244" t="s">
        <v>205</v>
      </c>
      <c r="F194" s="244"/>
      <c r="G194" s="247"/>
      <c r="H194" s="244"/>
      <c r="I194" s="248" t="s">
        <v>81</v>
      </c>
      <c r="J194" s="244">
        <v>4000</v>
      </c>
      <c r="K194" s="248" t="s">
        <v>207</v>
      </c>
      <c r="L194" s="228" t="s">
        <v>222</v>
      </c>
    </row>
    <row r="195" spans="1:12" x14ac:dyDescent="0.25">
      <c r="A195" s="244" t="str">
        <f t="shared" si="8"/>
        <v>27032026-GR015-2</v>
      </c>
      <c r="B195" s="245">
        <v>46108</v>
      </c>
      <c r="C195" s="244" t="s">
        <v>302</v>
      </c>
      <c r="D195" s="244">
        <v>3970</v>
      </c>
      <c r="E195" s="244" t="s">
        <v>210</v>
      </c>
      <c r="F195" s="244"/>
      <c r="G195" s="247"/>
      <c r="H195" s="244"/>
      <c r="I195" s="248" t="s">
        <v>82</v>
      </c>
      <c r="J195" s="244">
        <v>4000</v>
      </c>
      <c r="K195" s="248" t="s">
        <v>207</v>
      </c>
      <c r="L195" s="228" t="s">
        <v>222</v>
      </c>
    </row>
    <row r="196" spans="1:12" x14ac:dyDescent="0.25">
      <c r="A196" s="244" t="str">
        <f t="shared" si="8"/>
        <v>27032026-GR015-3</v>
      </c>
      <c r="B196" s="245">
        <v>46108</v>
      </c>
      <c r="C196" s="244" t="s">
        <v>302</v>
      </c>
      <c r="D196" s="244">
        <v>3970</v>
      </c>
      <c r="E196" s="244" t="s">
        <v>206</v>
      </c>
      <c r="F196" s="244"/>
      <c r="G196" s="247"/>
      <c r="H196" s="244"/>
      <c r="I196" s="248" t="s">
        <v>268</v>
      </c>
      <c r="J196" s="244">
        <v>4000</v>
      </c>
      <c r="K196" s="248" t="s">
        <v>207</v>
      </c>
      <c r="L196" s="228" t="s">
        <v>222</v>
      </c>
    </row>
    <row r="197" spans="1:12" x14ac:dyDescent="0.25">
      <c r="A197" s="244" t="str">
        <f t="shared" si="8"/>
        <v>28032026-DZ003-1</v>
      </c>
      <c r="B197" s="245">
        <v>46109</v>
      </c>
      <c r="C197" s="244" t="s">
        <v>233</v>
      </c>
      <c r="D197" s="244">
        <v>24067</v>
      </c>
      <c r="E197" s="244" t="s">
        <v>205</v>
      </c>
      <c r="F197" s="244"/>
      <c r="G197" s="247"/>
      <c r="H197" s="244"/>
      <c r="I197" s="248" t="s">
        <v>81</v>
      </c>
      <c r="J197" s="244">
        <v>8000</v>
      </c>
      <c r="K197" s="248" t="s">
        <v>207</v>
      </c>
      <c r="L197" s="228" t="s">
        <v>222</v>
      </c>
    </row>
    <row r="198" spans="1:12" x14ac:dyDescent="0.25">
      <c r="A198" s="244" t="str">
        <f t="shared" si="8"/>
        <v>28032026-DZ003-2</v>
      </c>
      <c r="B198" s="245">
        <v>46109</v>
      </c>
      <c r="C198" s="244" t="s">
        <v>233</v>
      </c>
      <c r="D198" s="244">
        <v>24067</v>
      </c>
      <c r="E198" s="244" t="s">
        <v>210</v>
      </c>
      <c r="F198" s="244"/>
      <c r="G198" s="247"/>
      <c r="H198" s="244"/>
      <c r="I198" s="248" t="s">
        <v>82</v>
      </c>
      <c r="J198" s="244">
        <v>8000</v>
      </c>
      <c r="K198" s="248" t="s">
        <v>207</v>
      </c>
      <c r="L198" s="228" t="s">
        <v>222</v>
      </c>
    </row>
    <row r="199" spans="1:12" x14ac:dyDescent="0.25">
      <c r="A199" s="244" t="str">
        <f t="shared" si="8"/>
        <v>28032026-DZ003-3</v>
      </c>
      <c r="B199" s="245">
        <v>46109</v>
      </c>
      <c r="C199" s="244" t="s">
        <v>233</v>
      </c>
      <c r="D199" s="244">
        <v>24067</v>
      </c>
      <c r="E199" s="244" t="s">
        <v>206</v>
      </c>
      <c r="F199" s="244"/>
      <c r="G199" s="247"/>
      <c r="H199" s="244"/>
      <c r="I199" s="248" t="s">
        <v>268</v>
      </c>
      <c r="J199" s="244">
        <v>8000</v>
      </c>
      <c r="K199" s="248" t="s">
        <v>207</v>
      </c>
      <c r="L199" s="228" t="s">
        <v>222</v>
      </c>
    </row>
    <row r="200" spans="1:12" x14ac:dyDescent="0.25">
      <c r="A200" s="244" t="str">
        <f t="shared" si="8"/>
        <v>29032026-LD008-1</v>
      </c>
      <c r="B200" s="245">
        <v>46110</v>
      </c>
      <c r="C200" s="244" t="s">
        <v>303</v>
      </c>
      <c r="D200" s="244">
        <v>18980</v>
      </c>
      <c r="E200" s="244" t="s">
        <v>205</v>
      </c>
      <c r="F200" s="244"/>
      <c r="G200" s="247"/>
      <c r="H200" s="244"/>
      <c r="I200" s="248" t="s">
        <v>81</v>
      </c>
      <c r="J200" s="244">
        <v>1000</v>
      </c>
      <c r="K200" s="248" t="s">
        <v>207</v>
      </c>
      <c r="L200" s="228" t="s">
        <v>222</v>
      </c>
    </row>
    <row r="201" spans="1:12" x14ac:dyDescent="0.25">
      <c r="A201" s="244" t="str">
        <f t="shared" si="8"/>
        <v>29032026-LD008-2</v>
      </c>
      <c r="B201" s="245">
        <v>46110</v>
      </c>
      <c r="C201" s="244" t="s">
        <v>303</v>
      </c>
      <c r="D201" s="244">
        <v>18980</v>
      </c>
      <c r="E201" s="244" t="s">
        <v>210</v>
      </c>
      <c r="F201" s="244"/>
      <c r="G201" s="247"/>
      <c r="H201" s="244"/>
      <c r="I201" s="248" t="s">
        <v>82</v>
      </c>
      <c r="J201" s="244">
        <v>1000</v>
      </c>
      <c r="K201" s="248" t="s">
        <v>207</v>
      </c>
      <c r="L201" s="228" t="s">
        <v>222</v>
      </c>
    </row>
    <row r="202" spans="1:12" x14ac:dyDescent="0.25">
      <c r="A202" s="244" t="str">
        <f t="shared" si="8"/>
        <v>29032026-LD008-3</v>
      </c>
      <c r="B202" s="245">
        <v>46110</v>
      </c>
      <c r="C202" s="244" t="s">
        <v>303</v>
      </c>
      <c r="D202" s="244">
        <v>18980</v>
      </c>
      <c r="E202" s="244" t="s">
        <v>206</v>
      </c>
      <c r="F202" s="244"/>
      <c r="G202" s="247"/>
      <c r="H202" s="244"/>
      <c r="I202" s="248" t="s">
        <v>268</v>
      </c>
      <c r="J202" s="244">
        <v>1000</v>
      </c>
      <c r="K202" s="248" t="s">
        <v>217</v>
      </c>
      <c r="L202" s="228" t="s">
        <v>222</v>
      </c>
    </row>
    <row r="203" spans="1:12" x14ac:dyDescent="0.25">
      <c r="A203" s="244" t="str">
        <f t="shared" si="8"/>
        <v>30032026-TK104-1</v>
      </c>
      <c r="B203" s="245">
        <v>46111</v>
      </c>
      <c r="C203" s="244" t="s">
        <v>282</v>
      </c>
      <c r="D203" s="244">
        <v>30509</v>
      </c>
      <c r="E203" s="244" t="s">
        <v>205</v>
      </c>
      <c r="F203" s="244"/>
      <c r="G203" s="247"/>
      <c r="H203" s="244"/>
      <c r="I203" s="248" t="s">
        <v>154</v>
      </c>
      <c r="J203" s="244">
        <v>500</v>
      </c>
      <c r="K203" s="248" t="s">
        <v>217</v>
      </c>
      <c r="L203" s="228" t="s">
        <v>222</v>
      </c>
    </row>
    <row r="204" spans="1:12" x14ac:dyDescent="0.25">
      <c r="A204" s="244" t="str">
        <f t="shared" si="8"/>
        <v>30032026-TK104-2</v>
      </c>
      <c r="B204" s="245">
        <v>46111</v>
      </c>
      <c r="C204" s="244" t="s">
        <v>282</v>
      </c>
      <c r="D204" s="244">
        <v>30509</v>
      </c>
      <c r="E204" s="244" t="s">
        <v>210</v>
      </c>
      <c r="F204" s="244"/>
      <c r="G204" s="247"/>
      <c r="H204" s="244"/>
      <c r="I204" s="248" t="s">
        <v>82</v>
      </c>
      <c r="J204" s="244">
        <v>500</v>
      </c>
      <c r="K204" s="248" t="s">
        <v>217</v>
      </c>
      <c r="L204" s="228" t="s">
        <v>222</v>
      </c>
    </row>
    <row r="205" spans="1:12" x14ac:dyDescent="0.25">
      <c r="A205" s="244" t="str">
        <f t="shared" si="8"/>
        <v>30032026-TK104-3</v>
      </c>
      <c r="B205" s="245">
        <v>46111</v>
      </c>
      <c r="C205" s="244" t="s">
        <v>282</v>
      </c>
      <c r="D205" s="244">
        <v>30509</v>
      </c>
      <c r="E205" s="244" t="s">
        <v>206</v>
      </c>
      <c r="F205" s="244"/>
      <c r="G205" s="247"/>
      <c r="H205" s="244"/>
      <c r="I205" s="248" t="s">
        <v>268</v>
      </c>
      <c r="J205" s="244">
        <v>500</v>
      </c>
      <c r="K205" s="248" t="s">
        <v>217</v>
      </c>
      <c r="L205" s="228" t="s">
        <v>222</v>
      </c>
    </row>
    <row r="206" spans="1:12" x14ac:dyDescent="0.25">
      <c r="A206" s="244" t="str">
        <f t="shared" si="8"/>
        <v>31032026-TK119-1</v>
      </c>
      <c r="B206" s="245">
        <v>46112</v>
      </c>
      <c r="C206" s="244" t="s">
        <v>294</v>
      </c>
      <c r="D206" s="244">
        <v>25000</v>
      </c>
      <c r="E206" s="244" t="s">
        <v>205</v>
      </c>
      <c r="F206" s="244"/>
      <c r="G206" s="247"/>
      <c r="H206" s="244"/>
      <c r="I206" s="248" t="s">
        <v>154</v>
      </c>
      <c r="J206" s="244">
        <v>1000</v>
      </c>
      <c r="K206" s="248" t="s">
        <v>207</v>
      </c>
      <c r="L206" s="228" t="s">
        <v>222</v>
      </c>
    </row>
    <row r="207" spans="1:12" x14ac:dyDescent="0.25">
      <c r="A207" s="244" t="str">
        <f t="shared" si="8"/>
        <v>31032026-TK119-2</v>
      </c>
      <c r="B207" s="245">
        <v>46112</v>
      </c>
      <c r="C207" s="244" t="s">
        <v>294</v>
      </c>
      <c r="D207" s="244">
        <v>25000</v>
      </c>
      <c r="E207" s="244" t="s">
        <v>210</v>
      </c>
      <c r="F207" s="244"/>
      <c r="G207" s="247"/>
      <c r="H207" s="244"/>
      <c r="I207" s="248" t="s">
        <v>82</v>
      </c>
      <c r="J207" s="244">
        <v>1000</v>
      </c>
      <c r="K207" s="248" t="s">
        <v>207</v>
      </c>
      <c r="L207" s="228" t="s">
        <v>222</v>
      </c>
    </row>
    <row r="208" spans="1:12" x14ac:dyDescent="0.25">
      <c r="A208" s="244" t="str">
        <f t="shared" si="8"/>
        <v>31032026-TK119-3</v>
      </c>
      <c r="B208" s="245">
        <v>46112</v>
      </c>
      <c r="C208" s="244" t="s">
        <v>294</v>
      </c>
      <c r="D208" s="244">
        <v>25000</v>
      </c>
      <c r="E208" s="244" t="s">
        <v>206</v>
      </c>
      <c r="F208" s="244"/>
      <c r="G208" s="247"/>
      <c r="H208" s="244"/>
      <c r="I208" s="248" t="s">
        <v>268</v>
      </c>
      <c r="J208" s="244">
        <v>1000</v>
      </c>
      <c r="K208" s="248" t="s">
        <v>217</v>
      </c>
      <c r="L208" s="228" t="s">
        <v>222</v>
      </c>
    </row>
    <row r="209" spans="1:12" x14ac:dyDescent="0.25">
      <c r="A209" s="244" t="str">
        <f t="shared" si="8"/>
        <v>01042026-DZ010-1</v>
      </c>
      <c r="B209" s="245">
        <v>46113</v>
      </c>
      <c r="C209" s="244" t="s">
        <v>296</v>
      </c>
      <c r="D209" s="244">
        <v>22100</v>
      </c>
      <c r="E209" s="244" t="s">
        <v>205</v>
      </c>
      <c r="F209" s="244"/>
      <c r="G209" s="247"/>
      <c r="H209" s="244"/>
      <c r="I209" s="248" t="s">
        <v>154</v>
      </c>
      <c r="J209" s="244">
        <v>250</v>
      </c>
      <c r="K209" s="248" t="s">
        <v>207</v>
      </c>
      <c r="L209" s="228" t="s">
        <v>222</v>
      </c>
    </row>
    <row r="210" spans="1:12" x14ac:dyDescent="0.25">
      <c r="A210" s="244" t="str">
        <f t="shared" si="8"/>
        <v>01042026-DZ010-2</v>
      </c>
      <c r="B210" s="245">
        <v>46113</v>
      </c>
      <c r="C210" s="244" t="s">
        <v>296</v>
      </c>
      <c r="D210" s="244">
        <v>22100</v>
      </c>
      <c r="E210" s="244" t="s">
        <v>210</v>
      </c>
      <c r="F210" s="244"/>
      <c r="G210" s="247"/>
      <c r="H210" s="244"/>
      <c r="I210" s="248" t="s">
        <v>82</v>
      </c>
      <c r="J210" s="244">
        <v>250</v>
      </c>
      <c r="K210" s="248" t="s">
        <v>217</v>
      </c>
      <c r="L210" s="228" t="s">
        <v>222</v>
      </c>
    </row>
    <row r="211" spans="1:12" x14ac:dyDescent="0.25">
      <c r="A211" s="244" t="str">
        <f t="shared" si="8"/>
        <v>01042026-DZ010-3</v>
      </c>
      <c r="B211" s="245">
        <v>46113</v>
      </c>
      <c r="C211" s="244" t="s">
        <v>296</v>
      </c>
      <c r="D211" s="244">
        <v>22100</v>
      </c>
      <c r="E211" s="244" t="s">
        <v>206</v>
      </c>
      <c r="F211" s="244"/>
      <c r="G211" s="247"/>
      <c r="H211" s="244"/>
      <c r="I211" s="248" t="s">
        <v>268</v>
      </c>
      <c r="J211" s="244">
        <v>250</v>
      </c>
      <c r="K211" s="248" t="s">
        <v>217</v>
      </c>
      <c r="L211" s="228" t="s">
        <v>222</v>
      </c>
    </row>
    <row r="212" spans="1:12" x14ac:dyDescent="0.25">
      <c r="A212" s="244" t="str">
        <f t="shared" si="8"/>
        <v>06032026-DZ001-1</v>
      </c>
      <c r="B212" s="245">
        <v>46087</v>
      </c>
      <c r="C212" s="244" t="s">
        <v>304</v>
      </c>
      <c r="D212" s="244">
        <v>25077</v>
      </c>
      <c r="E212" s="244" t="s">
        <v>205</v>
      </c>
      <c r="F212" s="244"/>
      <c r="G212" s="247"/>
      <c r="H212" s="244"/>
      <c r="I212" s="248" t="s">
        <v>154</v>
      </c>
      <c r="J212" s="244">
        <v>1000</v>
      </c>
      <c r="K212" s="248" t="s">
        <v>207</v>
      </c>
      <c r="L212" s="228" t="s">
        <v>222</v>
      </c>
    </row>
    <row r="213" spans="1:12" x14ac:dyDescent="0.25">
      <c r="A213" s="244" t="str">
        <f t="shared" si="8"/>
        <v>06032026-DZ001-2</v>
      </c>
      <c r="B213" s="245">
        <v>46087</v>
      </c>
      <c r="C213" s="244" t="s">
        <v>304</v>
      </c>
      <c r="D213" s="244">
        <v>25077</v>
      </c>
      <c r="E213" s="244" t="s">
        <v>210</v>
      </c>
      <c r="F213" s="244"/>
      <c r="G213" s="247"/>
      <c r="H213" s="244"/>
      <c r="I213" s="248" t="s">
        <v>82</v>
      </c>
      <c r="J213" s="244">
        <v>1000</v>
      </c>
      <c r="K213" s="248" t="s">
        <v>207</v>
      </c>
      <c r="L213" s="228" t="s">
        <v>222</v>
      </c>
    </row>
    <row r="214" spans="1:12" x14ac:dyDescent="0.25">
      <c r="A214" s="244" t="str">
        <f t="shared" si="8"/>
        <v>06032026-DZ001-3</v>
      </c>
      <c r="B214" s="245">
        <v>46087</v>
      </c>
      <c r="C214" s="244" t="s">
        <v>304</v>
      </c>
      <c r="D214" s="244">
        <v>25077</v>
      </c>
      <c r="E214" s="244" t="s">
        <v>206</v>
      </c>
      <c r="F214" s="244"/>
      <c r="G214" s="247"/>
      <c r="H214" s="244"/>
      <c r="I214" s="248" t="s">
        <v>268</v>
      </c>
      <c r="J214" s="244">
        <v>1000</v>
      </c>
      <c r="K214" s="248" t="s">
        <v>217</v>
      </c>
      <c r="L214" s="228" t="s">
        <v>222</v>
      </c>
    </row>
    <row r="215" spans="1:12" x14ac:dyDescent="0.25">
      <c r="A215" s="244" t="str">
        <f t="shared" si="8"/>
        <v>06042026-DZ001-1</v>
      </c>
      <c r="B215" s="245">
        <v>46118</v>
      </c>
      <c r="C215" s="244" t="s">
        <v>304</v>
      </c>
      <c r="D215" s="244">
        <v>25722</v>
      </c>
      <c r="E215" s="244" t="s">
        <v>205</v>
      </c>
      <c r="F215" s="244"/>
      <c r="G215" s="247"/>
      <c r="H215" s="244">
        <v>400</v>
      </c>
      <c r="I215" s="248" t="s">
        <v>154</v>
      </c>
      <c r="J215" s="244">
        <v>250</v>
      </c>
      <c r="K215" s="248" t="s">
        <v>207</v>
      </c>
      <c r="L215" s="228" t="s">
        <v>222</v>
      </c>
    </row>
    <row r="216" spans="1:12" x14ac:dyDescent="0.25">
      <c r="A216" s="244" t="str">
        <f t="shared" si="8"/>
        <v>29032026-GR016-1</v>
      </c>
      <c r="B216" s="245">
        <v>46110</v>
      </c>
      <c r="C216" s="244" t="s">
        <v>263</v>
      </c>
      <c r="D216" s="244">
        <v>3996</v>
      </c>
      <c r="E216" s="244" t="s">
        <v>205</v>
      </c>
      <c r="F216" s="244"/>
      <c r="G216" s="247"/>
      <c r="H216" s="244"/>
      <c r="I216" s="248" t="s">
        <v>154</v>
      </c>
      <c r="J216" s="244">
        <v>4000</v>
      </c>
      <c r="K216" s="248" t="s">
        <v>207</v>
      </c>
      <c r="L216" s="228" t="s">
        <v>222</v>
      </c>
    </row>
    <row r="217" spans="1:12" x14ac:dyDescent="0.25">
      <c r="A217" s="244" t="str">
        <f t="shared" si="8"/>
        <v>29032026-GR016-2</v>
      </c>
      <c r="B217" s="245">
        <v>46110</v>
      </c>
      <c r="C217" s="244" t="s">
        <v>263</v>
      </c>
      <c r="D217" s="244">
        <v>3996</v>
      </c>
      <c r="E217" s="244" t="s">
        <v>210</v>
      </c>
      <c r="F217" s="244"/>
      <c r="G217" s="247"/>
      <c r="H217" s="244"/>
      <c r="I217" s="248" t="s">
        <v>82</v>
      </c>
      <c r="J217" s="244">
        <v>4000</v>
      </c>
      <c r="K217" s="248" t="s">
        <v>207</v>
      </c>
      <c r="L217" s="228" t="s">
        <v>222</v>
      </c>
    </row>
    <row r="218" spans="1:12" x14ac:dyDescent="0.25">
      <c r="A218" s="244" t="str">
        <f t="shared" si="8"/>
        <v>29032026-GR016-3</v>
      </c>
      <c r="B218" s="245">
        <v>46110</v>
      </c>
      <c r="C218" s="244" t="s">
        <v>263</v>
      </c>
      <c r="D218" s="244">
        <v>3996</v>
      </c>
      <c r="E218" s="244" t="s">
        <v>206</v>
      </c>
      <c r="F218" s="244"/>
      <c r="G218" s="247"/>
      <c r="H218" s="244"/>
      <c r="I218" s="248" t="s">
        <v>268</v>
      </c>
      <c r="J218" s="244">
        <v>4000</v>
      </c>
      <c r="K218" s="248" t="s">
        <v>207</v>
      </c>
      <c r="L218" s="228" t="s">
        <v>222</v>
      </c>
    </row>
    <row r="219" spans="1:12" x14ac:dyDescent="0.25">
      <c r="A219" s="244" t="str">
        <f t="shared" si="8"/>
        <v>24032026-TK118-1</v>
      </c>
      <c r="B219" s="245">
        <v>46105</v>
      </c>
      <c r="C219" s="244" t="s">
        <v>245</v>
      </c>
      <c r="D219" s="244">
        <v>28492</v>
      </c>
      <c r="E219" s="244" t="s">
        <v>205</v>
      </c>
      <c r="F219" s="244"/>
      <c r="G219" s="247"/>
      <c r="H219" s="244"/>
      <c r="I219" s="248" t="s">
        <v>154</v>
      </c>
      <c r="J219" s="244">
        <v>500</v>
      </c>
      <c r="K219" s="248" t="s">
        <v>207</v>
      </c>
      <c r="L219" s="228" t="s">
        <v>222</v>
      </c>
    </row>
    <row r="220" spans="1:12" x14ac:dyDescent="0.25">
      <c r="A220" s="244" t="str">
        <f t="shared" si="8"/>
        <v>24032026-TK118-2</v>
      </c>
      <c r="B220" s="245">
        <v>46105</v>
      </c>
      <c r="C220" s="244" t="s">
        <v>245</v>
      </c>
      <c r="D220" s="244">
        <v>28492</v>
      </c>
      <c r="E220" s="244" t="s">
        <v>210</v>
      </c>
      <c r="F220" s="244"/>
      <c r="G220" s="247"/>
      <c r="H220" s="244"/>
      <c r="I220" s="248" t="s">
        <v>82</v>
      </c>
      <c r="J220" s="244">
        <v>500</v>
      </c>
      <c r="K220" s="248" t="s">
        <v>217</v>
      </c>
      <c r="L220" s="228" t="s">
        <v>222</v>
      </c>
    </row>
    <row r="221" spans="1:12" x14ac:dyDescent="0.25">
      <c r="A221" s="244" t="str">
        <f t="shared" si="8"/>
        <v>24032026-TK118-3</v>
      </c>
      <c r="B221" s="245">
        <v>46105</v>
      </c>
      <c r="C221" s="244" t="s">
        <v>245</v>
      </c>
      <c r="D221" s="244">
        <v>28492</v>
      </c>
      <c r="E221" s="244" t="s">
        <v>206</v>
      </c>
      <c r="F221" s="244"/>
      <c r="G221" s="247"/>
      <c r="H221" s="244"/>
      <c r="I221" s="248" t="s">
        <v>268</v>
      </c>
      <c r="J221" s="244">
        <v>500</v>
      </c>
      <c r="K221" s="248" t="s">
        <v>217</v>
      </c>
      <c r="L221" s="228" t="s">
        <v>222</v>
      </c>
    </row>
    <row r="222" spans="1:12" x14ac:dyDescent="0.25">
      <c r="A222" s="244" t="str">
        <f t="shared" si="8"/>
        <v>21032026-LD004-1</v>
      </c>
      <c r="B222" s="245">
        <v>46102</v>
      </c>
      <c r="C222" s="244" t="s">
        <v>251</v>
      </c>
      <c r="D222" s="244">
        <v>20514</v>
      </c>
      <c r="E222" s="244" t="s">
        <v>205</v>
      </c>
      <c r="F222" s="244"/>
      <c r="G222" s="247"/>
      <c r="H222" s="244"/>
      <c r="I222" s="248" t="s">
        <v>154</v>
      </c>
      <c r="J222" s="244">
        <v>500</v>
      </c>
      <c r="K222" s="248" t="s">
        <v>207</v>
      </c>
      <c r="L222" s="228" t="s">
        <v>222</v>
      </c>
    </row>
    <row r="223" spans="1:12" x14ac:dyDescent="0.25">
      <c r="A223" s="244" t="str">
        <f t="shared" si="8"/>
        <v>21032026-LD004-2</v>
      </c>
      <c r="B223" s="245">
        <v>46102</v>
      </c>
      <c r="C223" s="244" t="s">
        <v>251</v>
      </c>
      <c r="D223" s="244">
        <v>20514</v>
      </c>
      <c r="E223" s="244" t="s">
        <v>210</v>
      </c>
      <c r="F223" s="244"/>
      <c r="G223" s="247"/>
      <c r="H223" s="244"/>
      <c r="I223" s="248" t="s">
        <v>82</v>
      </c>
      <c r="J223" s="244">
        <v>500</v>
      </c>
      <c r="K223" s="248" t="s">
        <v>217</v>
      </c>
      <c r="L223" s="228" t="s">
        <v>222</v>
      </c>
    </row>
    <row r="224" spans="1:12" x14ac:dyDescent="0.25">
      <c r="A224" s="244" t="str">
        <f t="shared" si="8"/>
        <v>21032026-LD004-3</v>
      </c>
      <c r="B224" s="245">
        <v>46102</v>
      </c>
      <c r="C224" s="244" t="s">
        <v>251</v>
      </c>
      <c r="D224" s="244">
        <v>20514</v>
      </c>
      <c r="E224" s="244" t="s">
        <v>206</v>
      </c>
      <c r="F224" s="244"/>
      <c r="G224" s="247"/>
      <c r="H224" s="244"/>
      <c r="I224" s="248" t="s">
        <v>268</v>
      </c>
      <c r="J224" s="244">
        <v>500</v>
      </c>
      <c r="K224" s="248" t="s">
        <v>217</v>
      </c>
      <c r="L224" s="228" t="s">
        <v>222</v>
      </c>
    </row>
    <row r="225" spans="1:12" x14ac:dyDescent="0.25">
      <c r="A225" s="244" t="str">
        <f t="shared" si="8"/>
        <v>25032026-TK103-1</v>
      </c>
      <c r="B225" s="245">
        <v>46106</v>
      </c>
      <c r="C225" s="244" t="s">
        <v>249</v>
      </c>
      <c r="D225" s="244">
        <v>32461</v>
      </c>
      <c r="E225" s="244" t="s">
        <v>205</v>
      </c>
      <c r="F225" s="244"/>
      <c r="G225" s="247"/>
      <c r="H225" s="244"/>
      <c r="I225" s="248" t="s">
        <v>154</v>
      </c>
      <c r="J225" s="244">
        <v>500</v>
      </c>
      <c r="K225" s="248" t="s">
        <v>207</v>
      </c>
      <c r="L225" s="228" t="s">
        <v>222</v>
      </c>
    </row>
    <row r="226" spans="1:12" x14ac:dyDescent="0.25">
      <c r="A226" s="244" t="str">
        <f t="shared" si="8"/>
        <v>25032026-TK103-2</v>
      </c>
      <c r="B226" s="245">
        <v>46106</v>
      </c>
      <c r="C226" s="244" t="s">
        <v>249</v>
      </c>
      <c r="D226" s="244">
        <v>32461</v>
      </c>
      <c r="E226" s="244" t="s">
        <v>210</v>
      </c>
      <c r="F226" s="244"/>
      <c r="G226" s="247"/>
      <c r="H226" s="244"/>
      <c r="I226" s="248" t="s">
        <v>82</v>
      </c>
      <c r="J226" s="244">
        <v>500</v>
      </c>
      <c r="K226" s="248" t="s">
        <v>217</v>
      </c>
      <c r="L226" s="228" t="s">
        <v>222</v>
      </c>
    </row>
    <row r="227" spans="1:12" x14ac:dyDescent="0.25">
      <c r="A227" s="244" t="str">
        <f t="shared" si="8"/>
        <v>25032026-TK103-3</v>
      </c>
      <c r="B227" s="245">
        <v>46106</v>
      </c>
      <c r="C227" s="244" t="s">
        <v>249</v>
      </c>
      <c r="D227" s="244">
        <v>32461</v>
      </c>
      <c r="E227" s="244" t="s">
        <v>206</v>
      </c>
      <c r="F227" s="244"/>
      <c r="G227" s="247"/>
      <c r="H227" s="244"/>
      <c r="I227" s="248" t="s">
        <v>268</v>
      </c>
      <c r="J227" s="244">
        <v>500</v>
      </c>
      <c r="K227" s="248" t="s">
        <v>217</v>
      </c>
      <c r="L227" s="228" t="s">
        <v>222</v>
      </c>
    </row>
    <row r="228" spans="1:12" x14ac:dyDescent="0.25">
      <c r="A228" s="244" t="str">
        <f t="shared" si="8"/>
        <v>22032026-GR003-1</v>
      </c>
      <c r="B228" s="245">
        <v>46103</v>
      </c>
      <c r="C228" s="244" t="s">
        <v>305</v>
      </c>
      <c r="D228" s="244">
        <v>5474</v>
      </c>
      <c r="E228" s="244" t="s">
        <v>205</v>
      </c>
      <c r="F228" s="244"/>
      <c r="G228" s="247"/>
      <c r="H228" s="244"/>
      <c r="I228" s="248" t="s">
        <v>154</v>
      </c>
      <c r="J228" s="244">
        <v>500</v>
      </c>
      <c r="K228" s="248" t="s">
        <v>207</v>
      </c>
      <c r="L228" s="228" t="s">
        <v>222</v>
      </c>
    </row>
    <row r="229" spans="1:12" x14ac:dyDescent="0.25">
      <c r="A229" s="244" t="str">
        <f t="shared" si="8"/>
        <v>22032026-GR003-2</v>
      </c>
      <c r="B229" s="245">
        <v>46103</v>
      </c>
      <c r="C229" s="244" t="s">
        <v>305</v>
      </c>
      <c r="D229" s="244">
        <v>5474</v>
      </c>
      <c r="E229" s="244" t="s">
        <v>210</v>
      </c>
      <c r="F229" s="244"/>
      <c r="G229" s="247"/>
      <c r="H229" s="244"/>
      <c r="I229" s="248" t="s">
        <v>82</v>
      </c>
      <c r="J229" s="244">
        <v>500</v>
      </c>
      <c r="K229" s="248" t="s">
        <v>217</v>
      </c>
      <c r="L229" s="228" t="s">
        <v>222</v>
      </c>
    </row>
    <row r="230" spans="1:12" x14ac:dyDescent="0.25">
      <c r="A230" s="244" t="str">
        <f t="shared" si="8"/>
        <v>22032026-GR003-3</v>
      </c>
      <c r="B230" s="245">
        <v>46103</v>
      </c>
      <c r="C230" s="244" t="s">
        <v>305</v>
      </c>
      <c r="D230" s="244">
        <v>5474</v>
      </c>
      <c r="E230" s="244" t="s">
        <v>206</v>
      </c>
      <c r="F230" s="244"/>
      <c r="G230" s="247"/>
      <c r="H230" s="244"/>
      <c r="I230" s="248" t="s">
        <v>268</v>
      </c>
      <c r="J230" s="244">
        <v>500</v>
      </c>
      <c r="K230" s="248" t="s">
        <v>217</v>
      </c>
      <c r="L230" s="228" t="s">
        <v>222</v>
      </c>
    </row>
    <row r="231" spans="1:12" x14ac:dyDescent="0.25">
      <c r="A231" s="244" t="str">
        <f t="shared" si="8"/>
        <v>30032026-GR003-1</v>
      </c>
      <c r="B231" s="245">
        <v>46111</v>
      </c>
      <c r="C231" s="244" t="s">
        <v>305</v>
      </c>
      <c r="D231" s="244">
        <v>5643</v>
      </c>
      <c r="E231" s="244" t="s">
        <v>205</v>
      </c>
      <c r="F231" s="244"/>
      <c r="G231" s="247"/>
      <c r="H231" s="244">
        <v>169</v>
      </c>
      <c r="I231" s="248" t="s">
        <v>154</v>
      </c>
      <c r="J231" s="244">
        <v>500</v>
      </c>
      <c r="K231" s="248" t="s">
        <v>207</v>
      </c>
      <c r="L231" s="228" t="s">
        <v>222</v>
      </c>
    </row>
    <row r="232" spans="1:12" x14ac:dyDescent="0.25">
      <c r="A232" s="244" t="str">
        <f t="shared" si="8"/>
        <v>30032026-GR003-2</v>
      </c>
      <c r="B232" s="245">
        <v>46111</v>
      </c>
      <c r="C232" s="244" t="s">
        <v>305</v>
      </c>
      <c r="D232" s="244">
        <v>5643</v>
      </c>
      <c r="E232" s="244" t="s">
        <v>210</v>
      </c>
      <c r="F232" s="244"/>
      <c r="G232" s="247"/>
      <c r="H232" s="244">
        <v>169</v>
      </c>
      <c r="I232" s="248" t="s">
        <v>82</v>
      </c>
      <c r="J232" s="244">
        <v>500</v>
      </c>
      <c r="K232" s="248" t="s">
        <v>217</v>
      </c>
      <c r="L232" s="228" t="s">
        <v>222</v>
      </c>
    </row>
    <row r="233" spans="1:12" x14ac:dyDescent="0.25">
      <c r="A233" s="244" t="str">
        <f t="shared" si="8"/>
        <v>30032026-GR003-3</v>
      </c>
      <c r="B233" s="245">
        <v>46111</v>
      </c>
      <c r="C233" s="244" t="s">
        <v>305</v>
      </c>
      <c r="D233" s="244">
        <v>5643</v>
      </c>
      <c r="E233" s="244" t="s">
        <v>206</v>
      </c>
      <c r="F233" s="244"/>
      <c r="G233" s="247"/>
      <c r="H233" s="244">
        <v>169</v>
      </c>
      <c r="I233" s="248" t="s">
        <v>268</v>
      </c>
      <c r="J233" s="244">
        <v>500</v>
      </c>
      <c r="K233" s="248" t="s">
        <v>217</v>
      </c>
      <c r="L233" s="228" t="s">
        <v>222</v>
      </c>
    </row>
    <row r="234" spans="1:12" x14ac:dyDescent="0.25">
      <c r="A234" s="244" t="str">
        <f t="shared" si="8"/>
        <v>31032026-TK150-1</v>
      </c>
      <c r="B234" s="245">
        <v>46112</v>
      </c>
      <c r="C234" s="244" t="s">
        <v>281</v>
      </c>
      <c r="D234" s="244">
        <v>4566</v>
      </c>
      <c r="E234" s="244" t="s">
        <v>205</v>
      </c>
      <c r="F234" s="244"/>
      <c r="G234" s="247"/>
      <c r="H234" s="244"/>
      <c r="I234" s="248" t="s">
        <v>154</v>
      </c>
      <c r="J234" s="244">
        <v>500</v>
      </c>
      <c r="K234" s="248" t="s">
        <v>207</v>
      </c>
      <c r="L234" s="228" t="s">
        <v>222</v>
      </c>
    </row>
    <row r="235" spans="1:12" x14ac:dyDescent="0.25">
      <c r="A235" s="244" t="str">
        <f t="shared" si="8"/>
        <v>31032026-TK150-2</v>
      </c>
      <c r="B235" s="245">
        <v>46112</v>
      </c>
      <c r="C235" s="244" t="s">
        <v>281</v>
      </c>
      <c r="D235" s="244">
        <v>4566</v>
      </c>
      <c r="E235" s="244" t="s">
        <v>210</v>
      </c>
      <c r="F235" s="244"/>
      <c r="G235" s="247"/>
      <c r="H235" s="244"/>
      <c r="I235" s="248" t="s">
        <v>82</v>
      </c>
      <c r="J235" s="244">
        <v>500</v>
      </c>
      <c r="K235" s="248" t="s">
        <v>217</v>
      </c>
      <c r="L235" s="228" t="s">
        <v>222</v>
      </c>
    </row>
    <row r="236" spans="1:12" x14ac:dyDescent="0.25">
      <c r="A236" s="244" t="str">
        <f t="shared" si="8"/>
        <v>31032026-TK150-3</v>
      </c>
      <c r="B236" s="245">
        <v>46112</v>
      </c>
      <c r="C236" s="244" t="s">
        <v>281</v>
      </c>
      <c r="D236" s="244">
        <v>4566</v>
      </c>
      <c r="E236" s="244" t="s">
        <v>206</v>
      </c>
      <c r="F236" s="244"/>
      <c r="G236" s="247"/>
      <c r="H236" s="244"/>
      <c r="I236" s="248" t="s">
        <v>268</v>
      </c>
      <c r="J236" s="244">
        <v>500</v>
      </c>
      <c r="K236" s="248" t="s">
        <v>217</v>
      </c>
      <c r="L236" s="228" t="s">
        <v>222</v>
      </c>
    </row>
    <row r="237" spans="1:12" x14ac:dyDescent="0.25">
      <c r="A237" s="244" t="str">
        <f t="shared" si="8"/>
        <v>22052026-EX012-1</v>
      </c>
      <c r="B237" s="245">
        <v>46164</v>
      </c>
      <c r="C237" s="244" t="s">
        <v>260</v>
      </c>
      <c r="D237" s="244">
        <v>5054</v>
      </c>
      <c r="E237" s="244" t="s">
        <v>205</v>
      </c>
      <c r="F237" s="244"/>
      <c r="G237" s="247"/>
      <c r="H237" s="244"/>
      <c r="I237" s="248" t="s">
        <v>154</v>
      </c>
      <c r="J237" s="244">
        <v>1000</v>
      </c>
      <c r="K237" s="248" t="s">
        <v>207</v>
      </c>
      <c r="L237" s="228" t="s">
        <v>222</v>
      </c>
    </row>
    <row r="238" spans="1:12" x14ac:dyDescent="0.25">
      <c r="A238" s="244" t="str">
        <f t="shared" si="8"/>
        <v>22052026-EX012-3</v>
      </c>
      <c r="B238" s="245">
        <v>46164</v>
      </c>
      <c r="C238" s="244" t="s">
        <v>260</v>
      </c>
      <c r="D238" s="244">
        <v>5054</v>
      </c>
      <c r="E238" s="244" t="s">
        <v>206</v>
      </c>
      <c r="F238" s="244"/>
      <c r="G238" s="247"/>
      <c r="H238" s="244"/>
      <c r="I238" s="248" t="s">
        <v>268</v>
      </c>
      <c r="J238" s="244">
        <v>1000</v>
      </c>
      <c r="K238" s="248" t="s">
        <v>217</v>
      </c>
      <c r="L238" s="228" t="s">
        <v>222</v>
      </c>
    </row>
    <row r="239" spans="1:12" x14ac:dyDescent="0.25">
      <c r="A239" s="244" t="str">
        <f t="shared" si="8"/>
        <v>26032026-EX011-1</v>
      </c>
      <c r="B239" s="245">
        <v>46107</v>
      </c>
      <c r="C239" s="244" t="s">
        <v>306</v>
      </c>
      <c r="D239" s="244">
        <v>27518</v>
      </c>
      <c r="E239" s="244" t="s">
        <v>205</v>
      </c>
      <c r="F239" s="244"/>
      <c r="G239" s="247"/>
      <c r="H239" s="244"/>
      <c r="I239" s="248" t="s">
        <v>154</v>
      </c>
      <c r="J239" s="244">
        <v>500</v>
      </c>
      <c r="K239" s="248" t="s">
        <v>207</v>
      </c>
      <c r="L239" s="228" t="s">
        <v>222</v>
      </c>
    </row>
    <row r="240" spans="1:12" x14ac:dyDescent="0.25">
      <c r="A240" s="244" t="str">
        <f t="shared" ref="A240:A274" si="9">TEXT(DAY(B240),"00")&amp;TEXT(MONTH(B240),"00")&amp;YEAR(B240)&amp;"-"&amp;C240&amp;"-"&amp;LEFT(E240,SEARCH(" ",E240&amp;" ")-1)</f>
        <v>24032026-DZ005-1</v>
      </c>
      <c r="B240" s="245">
        <v>46105</v>
      </c>
      <c r="C240" s="244" t="s">
        <v>307</v>
      </c>
      <c r="D240" s="244">
        <v>22430</v>
      </c>
      <c r="E240" s="244" t="s">
        <v>205</v>
      </c>
      <c r="F240" s="244"/>
      <c r="G240" s="247"/>
      <c r="H240" s="244"/>
      <c r="I240" s="248" t="s">
        <v>154</v>
      </c>
      <c r="J240" s="244">
        <v>500</v>
      </c>
      <c r="K240" s="248" t="s">
        <v>207</v>
      </c>
      <c r="L240" s="228" t="s">
        <v>222</v>
      </c>
    </row>
    <row r="241" spans="1:12" x14ac:dyDescent="0.25">
      <c r="A241" s="244" t="str">
        <f t="shared" si="9"/>
        <v>26032026-EX021-1</v>
      </c>
      <c r="B241" s="245">
        <v>46107</v>
      </c>
      <c r="C241" s="244" t="s">
        <v>308</v>
      </c>
      <c r="D241" s="244">
        <v>5000</v>
      </c>
      <c r="E241" s="244" t="s">
        <v>205</v>
      </c>
      <c r="F241" s="244"/>
      <c r="G241" s="247"/>
      <c r="H241" s="244"/>
      <c r="I241" s="248" t="s">
        <v>154</v>
      </c>
      <c r="J241" s="244">
        <v>1000</v>
      </c>
      <c r="K241" s="248" t="s">
        <v>207</v>
      </c>
      <c r="L241" s="228" t="s">
        <v>222</v>
      </c>
    </row>
    <row r="242" spans="1:12" x14ac:dyDescent="0.25">
      <c r="A242" s="244" t="str">
        <f t="shared" si="9"/>
        <v>30032026-DZ009-1</v>
      </c>
      <c r="B242" s="245">
        <v>46111</v>
      </c>
      <c r="C242" s="244" t="s">
        <v>309</v>
      </c>
      <c r="D242" s="244">
        <v>25451</v>
      </c>
      <c r="E242" s="244" t="s">
        <v>205</v>
      </c>
      <c r="F242" s="244"/>
      <c r="G242" s="247"/>
      <c r="H242" s="244"/>
      <c r="I242" s="248" t="s">
        <v>154</v>
      </c>
      <c r="J242" s="244">
        <v>500</v>
      </c>
      <c r="K242" s="248" t="s">
        <v>207</v>
      </c>
      <c r="L242" s="228" t="s">
        <v>222</v>
      </c>
    </row>
    <row r="243" spans="1:12" x14ac:dyDescent="0.25">
      <c r="A243" s="244" t="str">
        <f t="shared" si="9"/>
        <v>30032026-DZ009-2</v>
      </c>
      <c r="B243" s="245">
        <v>46111</v>
      </c>
      <c r="C243" s="244" t="s">
        <v>309</v>
      </c>
      <c r="D243" s="244">
        <v>25451</v>
      </c>
      <c r="E243" s="244" t="s">
        <v>210</v>
      </c>
      <c r="F243" s="244"/>
      <c r="G243" s="247"/>
      <c r="H243" s="244"/>
      <c r="I243" s="248" t="s">
        <v>82</v>
      </c>
      <c r="J243" s="244">
        <v>500</v>
      </c>
      <c r="K243" s="248" t="s">
        <v>217</v>
      </c>
      <c r="L243" s="228" t="s">
        <v>222</v>
      </c>
    </row>
    <row r="244" spans="1:12" x14ac:dyDescent="0.25">
      <c r="A244" s="244" t="str">
        <f t="shared" si="9"/>
        <v>22032026-EX013-1</v>
      </c>
      <c r="B244" s="245">
        <v>46103</v>
      </c>
      <c r="C244" s="244" t="s">
        <v>257</v>
      </c>
      <c r="D244" s="244">
        <v>12973</v>
      </c>
      <c r="E244" s="244" t="s">
        <v>205</v>
      </c>
      <c r="F244" s="244"/>
      <c r="G244" s="247"/>
      <c r="H244" s="244"/>
      <c r="I244" s="248" t="s">
        <v>154</v>
      </c>
      <c r="J244" s="244">
        <v>1000</v>
      </c>
      <c r="K244" s="248" t="s">
        <v>207</v>
      </c>
      <c r="L244" s="228" t="s">
        <v>222</v>
      </c>
    </row>
    <row r="245" spans="1:12" x14ac:dyDescent="0.25">
      <c r="A245" s="244" t="str">
        <f t="shared" si="9"/>
        <v>22032026-EX013-3</v>
      </c>
      <c r="B245" s="245">
        <v>46103</v>
      </c>
      <c r="C245" s="244" t="s">
        <v>257</v>
      </c>
      <c r="D245" s="244">
        <v>12973</v>
      </c>
      <c r="E245" s="244" t="s">
        <v>206</v>
      </c>
      <c r="F245" s="244"/>
      <c r="G245" s="247"/>
      <c r="H245" s="244"/>
      <c r="I245" s="248" t="s">
        <v>268</v>
      </c>
      <c r="J245" s="244">
        <v>1000</v>
      </c>
      <c r="K245" s="248" t="s">
        <v>217</v>
      </c>
      <c r="L245" s="228" t="s">
        <v>222</v>
      </c>
    </row>
    <row r="246" spans="1:12" x14ac:dyDescent="0.25">
      <c r="A246" s="244" t="str">
        <f t="shared" si="9"/>
        <v>04042026-EX010-1</v>
      </c>
      <c r="B246" s="245">
        <v>46116</v>
      </c>
      <c r="C246" s="244" t="s">
        <v>310</v>
      </c>
      <c r="D246" s="244">
        <v>26505</v>
      </c>
      <c r="E246" s="244" t="s">
        <v>205</v>
      </c>
      <c r="F246" s="244"/>
      <c r="G246" s="247"/>
      <c r="H246" s="244"/>
      <c r="I246" s="248" t="s">
        <v>154</v>
      </c>
      <c r="J246" s="244">
        <v>500</v>
      </c>
      <c r="K246" s="248" t="s">
        <v>207</v>
      </c>
      <c r="L246" s="228" t="s">
        <v>222</v>
      </c>
    </row>
    <row r="247" spans="1:12" x14ac:dyDescent="0.25">
      <c r="A247" s="244" t="str">
        <f t="shared" si="9"/>
        <v>30032026-EX009-1</v>
      </c>
      <c r="B247" s="245">
        <v>46111</v>
      </c>
      <c r="C247" s="244" t="s">
        <v>311</v>
      </c>
      <c r="D247" s="244">
        <v>24990</v>
      </c>
      <c r="E247" s="244" t="s">
        <v>205</v>
      </c>
      <c r="F247" s="244"/>
      <c r="G247" s="247"/>
      <c r="H247" s="244"/>
      <c r="I247" s="248" t="s">
        <v>154</v>
      </c>
      <c r="J247" s="244">
        <v>1000</v>
      </c>
      <c r="K247" s="248" t="s">
        <v>207</v>
      </c>
      <c r="L247" s="228" t="s">
        <v>222</v>
      </c>
    </row>
    <row r="248" spans="1:12" x14ac:dyDescent="0.25">
      <c r="A248" s="244" t="str">
        <f t="shared" si="9"/>
        <v>25032026-TK152-2</v>
      </c>
      <c r="B248" s="245">
        <v>46106</v>
      </c>
      <c r="C248" s="244" t="s">
        <v>247</v>
      </c>
      <c r="D248" s="244">
        <v>4991</v>
      </c>
      <c r="E248" s="244" t="s">
        <v>210</v>
      </c>
      <c r="F248" s="244"/>
      <c r="G248" s="247"/>
      <c r="H248" s="244"/>
      <c r="I248" s="248" t="s">
        <v>82</v>
      </c>
      <c r="J248" s="244">
        <v>1000</v>
      </c>
      <c r="K248" s="248" t="s">
        <v>207</v>
      </c>
      <c r="L248" s="228" t="s">
        <v>222</v>
      </c>
    </row>
    <row r="249" spans="1:12" x14ac:dyDescent="0.25">
      <c r="A249" s="244" t="str">
        <f t="shared" si="9"/>
        <v>25032026-TK152-3</v>
      </c>
      <c r="B249" s="245">
        <v>46106</v>
      </c>
      <c r="C249" s="244" t="s">
        <v>247</v>
      </c>
      <c r="D249" s="244">
        <v>4991</v>
      </c>
      <c r="E249" s="244" t="s">
        <v>206</v>
      </c>
      <c r="F249" s="244"/>
      <c r="G249" s="247"/>
      <c r="H249" s="244"/>
      <c r="I249" s="248" t="s">
        <v>268</v>
      </c>
      <c r="J249" s="244">
        <v>1000</v>
      </c>
      <c r="K249" s="248" t="s">
        <v>207</v>
      </c>
      <c r="L249" s="228" t="s">
        <v>222</v>
      </c>
    </row>
    <row r="250" spans="1:12" x14ac:dyDescent="0.25">
      <c r="A250" s="244" t="str">
        <f t="shared" si="9"/>
        <v>27032026-DZ008-1</v>
      </c>
      <c r="B250" s="245">
        <v>46108</v>
      </c>
      <c r="C250" s="244" t="s">
        <v>312</v>
      </c>
      <c r="D250" s="244">
        <v>24959</v>
      </c>
      <c r="E250" s="244" t="s">
        <v>205</v>
      </c>
      <c r="F250" s="244"/>
      <c r="G250" s="247"/>
      <c r="H250" s="244"/>
      <c r="I250" s="248" t="s">
        <v>154</v>
      </c>
      <c r="J250" s="244">
        <v>1000</v>
      </c>
      <c r="K250" s="248" t="s">
        <v>207</v>
      </c>
      <c r="L250" s="228" t="s">
        <v>222</v>
      </c>
    </row>
    <row r="251" spans="1:12" x14ac:dyDescent="0.25">
      <c r="A251" s="244" t="str">
        <f t="shared" si="9"/>
        <v>27032026-DZ008-2</v>
      </c>
      <c r="B251" s="245">
        <v>46108</v>
      </c>
      <c r="C251" s="244" t="s">
        <v>312</v>
      </c>
      <c r="D251" s="244">
        <v>24959</v>
      </c>
      <c r="E251" s="244" t="s">
        <v>210</v>
      </c>
      <c r="F251" s="244"/>
      <c r="G251" s="247"/>
      <c r="H251" s="244"/>
      <c r="I251" s="248" t="s">
        <v>82</v>
      </c>
      <c r="J251" s="244">
        <v>1000</v>
      </c>
      <c r="K251" s="248" t="s">
        <v>207</v>
      </c>
      <c r="L251" s="228" t="s">
        <v>222</v>
      </c>
    </row>
    <row r="252" spans="1:12" x14ac:dyDescent="0.25">
      <c r="A252" s="244" t="str">
        <f t="shared" si="9"/>
        <v>04042026-TK151-1</v>
      </c>
      <c r="B252" s="245">
        <v>46116</v>
      </c>
      <c r="C252" s="244" t="s">
        <v>313</v>
      </c>
      <c r="D252" s="244">
        <v>3899</v>
      </c>
      <c r="E252" s="244" t="s">
        <v>205</v>
      </c>
      <c r="F252" s="244"/>
      <c r="G252" s="247"/>
      <c r="H252" s="244"/>
      <c r="I252" s="248" t="s">
        <v>154</v>
      </c>
      <c r="J252" s="244">
        <v>4000</v>
      </c>
      <c r="K252" s="248" t="s">
        <v>207</v>
      </c>
      <c r="L252" s="228" t="s">
        <v>222</v>
      </c>
    </row>
    <row r="253" spans="1:12" x14ac:dyDescent="0.25">
      <c r="A253" s="244" t="str">
        <f t="shared" si="9"/>
        <v>04042026-TK151-2</v>
      </c>
      <c r="B253" s="245">
        <v>46116</v>
      </c>
      <c r="C253" s="244" t="s">
        <v>313</v>
      </c>
      <c r="D253" s="244">
        <v>3899</v>
      </c>
      <c r="E253" s="244" t="s">
        <v>210</v>
      </c>
      <c r="F253" s="244"/>
      <c r="G253" s="247"/>
      <c r="H253" s="244"/>
      <c r="I253" s="248" t="s">
        <v>82</v>
      </c>
      <c r="J253" s="244">
        <v>4000</v>
      </c>
      <c r="K253" s="248" t="s">
        <v>207</v>
      </c>
      <c r="L253" s="228" t="s">
        <v>222</v>
      </c>
    </row>
    <row r="254" spans="1:12" x14ac:dyDescent="0.25">
      <c r="A254" s="244" t="str">
        <f t="shared" si="9"/>
        <v>04042026-TK151-3</v>
      </c>
      <c r="B254" s="245">
        <v>46116</v>
      </c>
      <c r="C254" s="244" t="s">
        <v>313</v>
      </c>
      <c r="D254" s="244">
        <v>3899</v>
      </c>
      <c r="E254" s="244" t="s">
        <v>206</v>
      </c>
      <c r="F254" s="244"/>
      <c r="G254" s="247"/>
      <c r="H254" s="244"/>
      <c r="I254" s="248" t="s">
        <v>268</v>
      </c>
      <c r="J254" s="244">
        <v>4000</v>
      </c>
      <c r="K254" s="248" t="s">
        <v>207</v>
      </c>
      <c r="L254" s="228" t="s">
        <v>222</v>
      </c>
    </row>
    <row r="255" spans="1:12" x14ac:dyDescent="0.25">
      <c r="A255" s="244" t="str">
        <f t="shared" si="9"/>
        <v>02042026-TK113-1</v>
      </c>
      <c r="B255" s="245">
        <v>46114</v>
      </c>
      <c r="C255" s="244" t="s">
        <v>264</v>
      </c>
      <c r="D255" s="244">
        <v>35490</v>
      </c>
      <c r="E255" s="244" t="s">
        <v>205</v>
      </c>
      <c r="F255" s="244"/>
      <c r="G255" s="247"/>
      <c r="H255" s="244">
        <v>493</v>
      </c>
      <c r="I255" s="248" t="s">
        <v>154</v>
      </c>
      <c r="J255" s="244">
        <v>500</v>
      </c>
      <c r="K255" s="248" t="s">
        <v>207</v>
      </c>
      <c r="L255" s="228" t="s">
        <v>222</v>
      </c>
    </row>
    <row r="256" spans="1:12" x14ac:dyDescent="0.25">
      <c r="A256" s="244" t="str">
        <f t="shared" si="9"/>
        <v>02042026-TK113-2</v>
      </c>
      <c r="B256" s="245">
        <v>46114</v>
      </c>
      <c r="C256" s="244" t="s">
        <v>264</v>
      </c>
      <c r="D256" s="244">
        <v>35490</v>
      </c>
      <c r="E256" s="244" t="s">
        <v>210</v>
      </c>
      <c r="F256" s="244"/>
      <c r="G256" s="247"/>
      <c r="H256" s="244">
        <v>493</v>
      </c>
      <c r="I256" s="248" t="s">
        <v>82</v>
      </c>
      <c r="J256" s="244">
        <v>500</v>
      </c>
      <c r="K256" s="248" t="s">
        <v>217</v>
      </c>
      <c r="L256" s="228" t="s">
        <v>222</v>
      </c>
    </row>
    <row r="257" spans="1:12" x14ac:dyDescent="0.25">
      <c r="A257" s="244" t="str">
        <f t="shared" si="9"/>
        <v>02042026-TK113-3</v>
      </c>
      <c r="B257" s="245">
        <v>46114</v>
      </c>
      <c r="C257" s="244" t="s">
        <v>264</v>
      </c>
      <c r="D257" s="244">
        <v>35490</v>
      </c>
      <c r="E257" s="244" t="s">
        <v>206</v>
      </c>
      <c r="F257" s="244"/>
      <c r="G257" s="247"/>
      <c r="H257" s="244"/>
      <c r="I257" s="248" t="s">
        <v>268</v>
      </c>
      <c r="J257" s="244">
        <v>500</v>
      </c>
      <c r="K257" s="248" t="s">
        <v>217</v>
      </c>
      <c r="L257" s="228" t="s">
        <v>222</v>
      </c>
    </row>
    <row r="258" spans="1:12" x14ac:dyDescent="0.25">
      <c r="A258" s="244" t="str">
        <f t="shared" si="9"/>
        <v>02042026-GR009-1</v>
      </c>
      <c r="B258" s="245">
        <v>46114</v>
      </c>
      <c r="C258" s="244" t="s">
        <v>300</v>
      </c>
      <c r="D258" s="244">
        <v>21611</v>
      </c>
      <c r="E258" s="244" t="s">
        <v>205</v>
      </c>
      <c r="F258" s="244"/>
      <c r="G258" s="247"/>
      <c r="H258" s="244">
        <v>238</v>
      </c>
      <c r="I258" s="248" t="s">
        <v>154</v>
      </c>
      <c r="J258" s="244">
        <v>500</v>
      </c>
      <c r="K258" s="248" t="s">
        <v>207</v>
      </c>
      <c r="L258" s="228" t="s">
        <v>222</v>
      </c>
    </row>
    <row r="259" spans="1:12" x14ac:dyDescent="0.25">
      <c r="A259" s="244" t="str">
        <f t="shared" si="9"/>
        <v>02042026-GR009-2</v>
      </c>
      <c r="B259" s="245">
        <v>46114</v>
      </c>
      <c r="C259" s="244" t="s">
        <v>300</v>
      </c>
      <c r="D259" s="244">
        <v>21611</v>
      </c>
      <c r="E259" s="244" t="s">
        <v>210</v>
      </c>
      <c r="F259" s="244"/>
      <c r="G259" s="247"/>
      <c r="H259" s="244">
        <v>571</v>
      </c>
      <c r="I259" s="248" t="s">
        <v>82</v>
      </c>
      <c r="J259" s="244">
        <v>500</v>
      </c>
      <c r="K259" s="248" t="s">
        <v>217</v>
      </c>
      <c r="L259" s="228" t="s">
        <v>222</v>
      </c>
    </row>
    <row r="260" spans="1:12" x14ac:dyDescent="0.25">
      <c r="A260" s="244" t="str">
        <f t="shared" si="9"/>
        <v>02042026-GR009-3</v>
      </c>
      <c r="B260" s="245">
        <v>46114</v>
      </c>
      <c r="C260" s="244" t="s">
        <v>300</v>
      </c>
      <c r="D260" s="244">
        <v>21611</v>
      </c>
      <c r="E260" s="244" t="s">
        <v>206</v>
      </c>
      <c r="F260" s="244"/>
      <c r="G260" s="247"/>
      <c r="H260" s="244">
        <v>1543</v>
      </c>
      <c r="I260" s="248" t="s">
        <v>268</v>
      </c>
      <c r="J260" s="244">
        <v>500</v>
      </c>
      <c r="K260" s="248" t="s">
        <v>217</v>
      </c>
      <c r="L260" s="228" t="s">
        <v>222</v>
      </c>
    </row>
    <row r="261" spans="1:12" x14ac:dyDescent="0.25">
      <c r="A261" s="244" t="str">
        <f t="shared" si="9"/>
        <v>02042026-LD001-1</v>
      </c>
      <c r="B261" s="245">
        <v>46114</v>
      </c>
      <c r="C261" s="244" t="s">
        <v>278</v>
      </c>
      <c r="D261" s="244">
        <v>31626</v>
      </c>
      <c r="E261" s="244" t="s">
        <v>205</v>
      </c>
      <c r="F261" s="244"/>
      <c r="G261" s="247"/>
      <c r="H261" s="244">
        <v>644</v>
      </c>
      <c r="I261" s="248" t="s">
        <v>154</v>
      </c>
      <c r="J261" s="244">
        <v>500</v>
      </c>
      <c r="K261" s="248" t="s">
        <v>207</v>
      </c>
      <c r="L261" s="228" t="s">
        <v>222</v>
      </c>
    </row>
    <row r="262" spans="1:12" x14ac:dyDescent="0.25">
      <c r="A262" s="244" t="str">
        <f t="shared" si="9"/>
        <v>02042026-LD001-2</v>
      </c>
      <c r="B262" s="245">
        <v>46114</v>
      </c>
      <c r="C262" s="244" t="s">
        <v>278</v>
      </c>
      <c r="D262" s="244">
        <v>31626</v>
      </c>
      <c r="E262" s="244" t="s">
        <v>210</v>
      </c>
      <c r="F262" s="244"/>
      <c r="G262" s="247"/>
      <c r="H262" s="244">
        <v>1656</v>
      </c>
      <c r="I262" s="248" t="s">
        <v>82</v>
      </c>
      <c r="J262" s="244">
        <v>500</v>
      </c>
      <c r="K262" s="248" t="s">
        <v>217</v>
      </c>
      <c r="L262" s="228" t="s">
        <v>222</v>
      </c>
    </row>
    <row r="263" spans="1:12" x14ac:dyDescent="0.25">
      <c r="A263" s="244" t="str">
        <f t="shared" si="9"/>
        <v>02042026-LD001-3</v>
      </c>
      <c r="B263" s="245">
        <v>46114</v>
      </c>
      <c r="C263" s="244" t="s">
        <v>278</v>
      </c>
      <c r="D263" s="244">
        <v>31626</v>
      </c>
      <c r="E263" s="244" t="s">
        <v>206</v>
      </c>
      <c r="F263" s="244"/>
      <c r="G263" s="247"/>
      <c r="H263" s="244"/>
      <c r="I263" s="248" t="s">
        <v>268</v>
      </c>
      <c r="J263" s="244">
        <v>500</v>
      </c>
      <c r="K263" s="248" t="s">
        <v>217</v>
      </c>
      <c r="L263" s="228" t="s">
        <v>222</v>
      </c>
    </row>
    <row r="264" spans="1:12" x14ac:dyDescent="0.25">
      <c r="A264" s="244" t="str">
        <f t="shared" si="9"/>
        <v>02042026-TK123-1</v>
      </c>
      <c r="B264" s="245">
        <v>46114</v>
      </c>
      <c r="C264" s="244" t="s">
        <v>293</v>
      </c>
      <c r="D264" s="244">
        <v>27940</v>
      </c>
      <c r="E264" s="244" t="s">
        <v>205</v>
      </c>
      <c r="F264" s="244"/>
      <c r="G264" s="247"/>
      <c r="H264" s="244">
        <v>433</v>
      </c>
      <c r="I264" s="248" t="s">
        <v>154</v>
      </c>
      <c r="J264" s="244">
        <v>4000</v>
      </c>
      <c r="K264" s="248" t="s">
        <v>207</v>
      </c>
      <c r="L264" s="228" t="s">
        <v>222</v>
      </c>
    </row>
    <row r="265" spans="1:12" x14ac:dyDescent="0.25">
      <c r="A265" s="244" t="str">
        <f t="shared" si="9"/>
        <v>02042026-TK123-2</v>
      </c>
      <c r="B265" s="245">
        <v>46114</v>
      </c>
      <c r="C265" s="244" t="s">
        <v>293</v>
      </c>
      <c r="D265" s="244">
        <v>27940</v>
      </c>
      <c r="E265" s="244" t="s">
        <v>210</v>
      </c>
      <c r="F265" s="244"/>
      <c r="G265" s="247"/>
      <c r="H265" s="244">
        <v>964</v>
      </c>
      <c r="I265" s="248" t="s">
        <v>82</v>
      </c>
      <c r="J265" s="244">
        <v>4000</v>
      </c>
      <c r="K265" s="248" t="s">
        <v>207</v>
      </c>
      <c r="L265" s="228" t="s">
        <v>222</v>
      </c>
    </row>
    <row r="266" spans="1:12" x14ac:dyDescent="0.25">
      <c r="A266" s="244" t="str">
        <f t="shared" si="9"/>
        <v>02042026-TK123-3</v>
      </c>
      <c r="B266" s="245">
        <v>46114</v>
      </c>
      <c r="C266" s="244" t="s">
        <v>293</v>
      </c>
      <c r="D266" s="244">
        <v>27940</v>
      </c>
      <c r="E266" s="244" t="s">
        <v>206</v>
      </c>
      <c r="F266" s="244"/>
      <c r="G266" s="247"/>
      <c r="H266" s="244">
        <v>3932</v>
      </c>
      <c r="I266" s="248" t="s">
        <v>268</v>
      </c>
      <c r="J266" s="244">
        <v>4000</v>
      </c>
      <c r="K266" s="248" t="s">
        <v>207</v>
      </c>
      <c r="L266" s="228" t="s">
        <v>222</v>
      </c>
    </row>
    <row r="267" spans="1:12" x14ac:dyDescent="0.25">
      <c r="A267" s="244" t="str">
        <f t="shared" si="9"/>
        <v>03042026-DR003-1</v>
      </c>
      <c r="B267" s="245">
        <v>46115</v>
      </c>
      <c r="C267" s="244" t="s">
        <v>279</v>
      </c>
      <c r="D267" s="244">
        <v>7168</v>
      </c>
      <c r="E267" s="244" t="s">
        <v>205</v>
      </c>
      <c r="F267" s="244"/>
      <c r="G267" s="247"/>
      <c r="H267" s="244"/>
      <c r="I267" s="248" t="s">
        <v>154</v>
      </c>
      <c r="J267" s="244">
        <v>250</v>
      </c>
      <c r="K267" s="248" t="s">
        <v>207</v>
      </c>
      <c r="L267" s="228" t="s">
        <v>222</v>
      </c>
    </row>
    <row r="268" spans="1:12" x14ac:dyDescent="0.25">
      <c r="A268" s="244" t="str">
        <f t="shared" si="9"/>
        <v>03042026-DZ020-1</v>
      </c>
      <c r="B268" s="245">
        <v>46115</v>
      </c>
      <c r="C268" s="244" t="s">
        <v>236</v>
      </c>
      <c r="D268" s="244">
        <v>5805</v>
      </c>
      <c r="E268" s="244" t="s">
        <v>205</v>
      </c>
      <c r="F268" s="244"/>
      <c r="G268" s="247"/>
      <c r="H268" s="244"/>
      <c r="I268" s="248" t="s">
        <v>154</v>
      </c>
      <c r="J268" s="244">
        <v>250</v>
      </c>
      <c r="K268" s="248" t="s">
        <v>207</v>
      </c>
      <c r="L268" s="228" t="s">
        <v>222</v>
      </c>
    </row>
    <row r="269" spans="1:12" x14ac:dyDescent="0.25">
      <c r="A269" s="244" t="str">
        <f t="shared" si="9"/>
        <v>03042026-EX024-1</v>
      </c>
      <c r="B269" s="245">
        <v>46115</v>
      </c>
      <c r="C269" s="244" t="s">
        <v>204</v>
      </c>
      <c r="D269" s="244">
        <v>5021</v>
      </c>
      <c r="E269" s="244" t="s">
        <v>205</v>
      </c>
      <c r="F269" s="244"/>
      <c r="G269" s="247"/>
      <c r="H269" s="244"/>
      <c r="I269" s="248" t="s">
        <v>154</v>
      </c>
      <c r="J269" s="244">
        <v>1000</v>
      </c>
      <c r="K269" s="248" t="s">
        <v>207</v>
      </c>
      <c r="L269" s="228" t="s">
        <v>222</v>
      </c>
    </row>
    <row r="270" spans="1:12" x14ac:dyDescent="0.25">
      <c r="A270" s="244" t="str">
        <f t="shared" si="9"/>
        <v>06042026-TK114-1</v>
      </c>
      <c r="B270" s="245">
        <v>46118</v>
      </c>
      <c r="C270" s="244" t="s">
        <v>209</v>
      </c>
      <c r="D270" s="244">
        <v>32428</v>
      </c>
      <c r="E270" s="244" t="s">
        <v>205</v>
      </c>
      <c r="F270" s="244"/>
      <c r="G270" s="247"/>
      <c r="H270" s="244">
        <v>439</v>
      </c>
      <c r="I270" s="248" t="s">
        <v>154</v>
      </c>
      <c r="J270" s="244">
        <v>500</v>
      </c>
      <c r="K270" s="248" t="s">
        <v>207</v>
      </c>
      <c r="L270" s="228" t="s">
        <v>222</v>
      </c>
    </row>
    <row r="271" spans="1:12" x14ac:dyDescent="0.25">
      <c r="A271" s="244" t="str">
        <f t="shared" si="9"/>
        <v>06042026-TK114-2</v>
      </c>
      <c r="B271" s="245">
        <v>46118</v>
      </c>
      <c r="C271" s="244" t="s">
        <v>209</v>
      </c>
      <c r="D271" s="244">
        <v>32428</v>
      </c>
      <c r="E271" s="244" t="s">
        <v>210</v>
      </c>
      <c r="F271" s="244"/>
      <c r="G271" s="247"/>
      <c r="H271" s="244">
        <v>439</v>
      </c>
      <c r="I271" s="248" t="s">
        <v>82</v>
      </c>
      <c r="J271" s="244">
        <v>500</v>
      </c>
      <c r="K271" s="248" t="s">
        <v>217</v>
      </c>
      <c r="L271" s="228" t="s">
        <v>222</v>
      </c>
    </row>
    <row r="272" spans="1:12" x14ac:dyDescent="0.25">
      <c r="A272" s="244" t="str">
        <f t="shared" si="9"/>
        <v>06042026-TK114-3</v>
      </c>
      <c r="B272" s="245">
        <v>46118</v>
      </c>
      <c r="C272" s="244" t="s">
        <v>209</v>
      </c>
      <c r="D272" s="244">
        <v>32428</v>
      </c>
      <c r="E272" s="244" t="s">
        <v>206</v>
      </c>
      <c r="F272" s="244"/>
      <c r="G272" s="247"/>
      <c r="H272" s="244">
        <v>439</v>
      </c>
      <c r="I272" s="248" t="s">
        <v>268</v>
      </c>
      <c r="J272" s="244">
        <v>500</v>
      </c>
      <c r="K272" s="248" t="s">
        <v>217</v>
      </c>
      <c r="L272" s="228" t="s">
        <v>222</v>
      </c>
    </row>
    <row r="273" spans="1:12" x14ac:dyDescent="0.25">
      <c r="A273" s="244" t="str">
        <f t="shared" si="9"/>
        <v>07042026-TK110-1</v>
      </c>
      <c r="B273" s="245">
        <v>46119</v>
      </c>
      <c r="C273" s="244" t="s">
        <v>280</v>
      </c>
      <c r="D273" s="244">
        <v>34008</v>
      </c>
      <c r="E273" s="244" t="s">
        <v>205</v>
      </c>
      <c r="F273" s="244"/>
      <c r="G273" s="247"/>
      <c r="H273" s="244">
        <v>427</v>
      </c>
      <c r="I273" s="248" t="s">
        <v>154</v>
      </c>
      <c r="J273" s="244">
        <v>2000</v>
      </c>
      <c r="K273" s="248" t="s">
        <v>207</v>
      </c>
      <c r="L273" s="228" t="s">
        <v>222</v>
      </c>
    </row>
    <row r="274" spans="1:12" x14ac:dyDescent="0.25">
      <c r="A274" s="244" t="str">
        <f t="shared" si="9"/>
        <v>07042026-TK110-2</v>
      </c>
      <c r="B274" s="245">
        <v>46119</v>
      </c>
      <c r="C274" s="244" t="s">
        <v>280</v>
      </c>
      <c r="D274" s="244">
        <v>34008</v>
      </c>
      <c r="E274" s="244" t="s">
        <v>210</v>
      </c>
      <c r="F274" s="244"/>
      <c r="G274" s="247"/>
      <c r="H274" s="244">
        <v>1055</v>
      </c>
      <c r="I274" s="248" t="s">
        <v>82</v>
      </c>
      <c r="J274" s="244">
        <v>2000</v>
      </c>
      <c r="K274" s="248" t="s">
        <v>207</v>
      </c>
      <c r="L274" s="228" t="s">
        <v>222</v>
      </c>
    </row>
    <row r="275" spans="1:12" x14ac:dyDescent="0.25">
      <c r="A275" s="244" t="str">
        <f t="shared" ref="A275:A284" si="10">TEXT(DAY(B275),"00")&amp;TEXT(MONTH(B275),"00")&amp;YEAR(B275)&amp;"-"&amp;C275&amp;"-"&amp;LEFT(E275,SEARCH(" ",E275&amp;" ")-1)</f>
        <v>07042026-TK110-3</v>
      </c>
      <c r="B275" s="245">
        <v>46119</v>
      </c>
      <c r="C275" s="244" t="s">
        <v>280</v>
      </c>
      <c r="D275" s="244">
        <v>34008</v>
      </c>
      <c r="E275" s="244" t="s">
        <v>206</v>
      </c>
      <c r="F275" s="244"/>
      <c r="G275" s="247"/>
      <c r="H275" s="244">
        <v>1988</v>
      </c>
      <c r="I275" s="248" t="s">
        <v>268</v>
      </c>
      <c r="J275" s="244">
        <v>2000</v>
      </c>
      <c r="K275" s="248" t="s">
        <v>217</v>
      </c>
      <c r="L275" s="228" t="s">
        <v>222</v>
      </c>
    </row>
    <row r="276" spans="1:12" x14ac:dyDescent="0.25">
      <c r="A276" s="244" t="str">
        <f t="shared" si="10"/>
        <v>14032026-TK122-2</v>
      </c>
      <c r="B276" s="245">
        <v>46095</v>
      </c>
      <c r="C276" s="244" t="s">
        <v>314</v>
      </c>
      <c r="D276" s="244">
        <v>27507</v>
      </c>
      <c r="E276" s="244" t="s">
        <v>210</v>
      </c>
      <c r="F276" s="244"/>
      <c r="G276" s="247"/>
      <c r="H276" s="244"/>
      <c r="I276" s="248" t="s">
        <v>82</v>
      </c>
      <c r="J276" s="244">
        <v>500</v>
      </c>
      <c r="K276" s="248" t="s">
        <v>217</v>
      </c>
      <c r="L276" s="228" t="s">
        <v>222</v>
      </c>
    </row>
    <row r="277" spans="1:12" x14ac:dyDescent="0.25">
      <c r="A277" s="244" t="str">
        <f t="shared" si="10"/>
        <v>14032026-TK122-3</v>
      </c>
      <c r="B277" s="245">
        <v>46095</v>
      </c>
      <c r="C277" s="244" t="s">
        <v>314</v>
      </c>
      <c r="D277" s="244">
        <v>27507</v>
      </c>
      <c r="E277" s="244" t="s">
        <v>206</v>
      </c>
      <c r="F277" s="244"/>
      <c r="G277" s="247"/>
      <c r="H277" s="244"/>
      <c r="I277" s="248" t="s">
        <v>268</v>
      </c>
      <c r="J277" s="244">
        <v>500</v>
      </c>
      <c r="K277" s="248" t="s">
        <v>217</v>
      </c>
      <c r="L277" s="228" t="s">
        <v>222</v>
      </c>
    </row>
    <row r="278" spans="1:12" x14ac:dyDescent="0.25">
      <c r="A278" s="244" t="str">
        <f t="shared" si="10"/>
        <v>11032026-TK161-2</v>
      </c>
      <c r="B278" s="245">
        <v>46092</v>
      </c>
      <c r="C278" s="244" t="s">
        <v>315</v>
      </c>
      <c r="D278" s="244">
        <v>5047</v>
      </c>
      <c r="E278" s="244" t="s">
        <v>210</v>
      </c>
      <c r="F278" s="244"/>
      <c r="G278" s="247"/>
      <c r="H278" s="244"/>
      <c r="I278" s="248" t="s">
        <v>82</v>
      </c>
      <c r="J278" s="244">
        <v>5000</v>
      </c>
      <c r="K278" s="248" t="s">
        <v>207</v>
      </c>
      <c r="L278" s="228" t="s">
        <v>222</v>
      </c>
    </row>
    <row r="279" spans="1:12" x14ac:dyDescent="0.25">
      <c r="A279" s="244" t="str">
        <f t="shared" si="10"/>
        <v>18032026-TK150-3</v>
      </c>
      <c r="B279" s="245">
        <v>46099</v>
      </c>
      <c r="C279" s="244" t="s">
        <v>281</v>
      </c>
      <c r="D279" s="244">
        <v>5485</v>
      </c>
      <c r="E279" s="244" t="s">
        <v>206</v>
      </c>
      <c r="F279" s="244"/>
      <c r="G279" s="247"/>
      <c r="H279" s="244"/>
      <c r="I279" s="248" t="s">
        <v>268</v>
      </c>
      <c r="J279" s="244">
        <v>500</v>
      </c>
      <c r="K279" s="248" t="s">
        <v>217</v>
      </c>
      <c r="L279" s="228" t="s">
        <v>222</v>
      </c>
    </row>
    <row r="280" spans="1:12" x14ac:dyDescent="0.25">
      <c r="A280" s="244" t="str">
        <f t="shared" si="10"/>
        <v>14032026-DZ009-3</v>
      </c>
      <c r="B280" s="245">
        <v>46095</v>
      </c>
      <c r="C280" s="244" t="s">
        <v>309</v>
      </c>
      <c r="D280" s="244">
        <v>25111</v>
      </c>
      <c r="E280" s="244" t="s">
        <v>206</v>
      </c>
      <c r="F280" s="244"/>
      <c r="G280" s="247"/>
      <c r="H280" s="244"/>
      <c r="I280" s="248" t="s">
        <v>268</v>
      </c>
      <c r="J280" s="244">
        <v>1000</v>
      </c>
      <c r="K280" s="248" t="s">
        <v>217</v>
      </c>
      <c r="L280" s="228" t="s">
        <v>222</v>
      </c>
    </row>
    <row r="281" spans="1:12" x14ac:dyDescent="0.25">
      <c r="A281" s="244" t="str">
        <f t="shared" si="10"/>
        <v>17032026-TK154-3</v>
      </c>
      <c r="B281" s="245">
        <v>46098</v>
      </c>
      <c r="C281" s="244" t="s">
        <v>248</v>
      </c>
      <c r="D281" s="244">
        <v>3527</v>
      </c>
      <c r="E281" s="244" t="s">
        <v>206</v>
      </c>
      <c r="F281" s="244"/>
      <c r="G281" s="247"/>
      <c r="H281" s="244"/>
      <c r="I281" s="248" t="s">
        <v>268</v>
      </c>
      <c r="J281" s="244">
        <v>500</v>
      </c>
      <c r="K281" s="248" t="s">
        <v>217</v>
      </c>
      <c r="L281" s="228" t="s">
        <v>222</v>
      </c>
    </row>
    <row r="282" spans="1:12" x14ac:dyDescent="0.25">
      <c r="A282" s="244" t="str">
        <f t="shared" si="10"/>
        <v>16032026-TK158-3</v>
      </c>
      <c r="B282" s="245">
        <v>46097</v>
      </c>
      <c r="C282" s="244" t="s">
        <v>316</v>
      </c>
      <c r="D282" s="244">
        <v>5019</v>
      </c>
      <c r="E282" s="244" t="s">
        <v>206</v>
      </c>
      <c r="F282" s="244"/>
      <c r="G282" s="247"/>
      <c r="H282" s="244"/>
      <c r="I282" s="248" t="s">
        <v>268</v>
      </c>
      <c r="J282" s="244">
        <v>5000</v>
      </c>
      <c r="K282" s="248" t="s">
        <v>217</v>
      </c>
      <c r="L282" s="228" t="s">
        <v>222</v>
      </c>
    </row>
    <row r="283" spans="1:12" x14ac:dyDescent="0.25">
      <c r="A283" s="244" t="str">
        <f t="shared" si="10"/>
        <v>17032026-TK154-2</v>
      </c>
      <c r="B283" s="245">
        <v>46098</v>
      </c>
      <c r="C283" s="244" t="s">
        <v>248</v>
      </c>
      <c r="D283" s="244">
        <v>3587</v>
      </c>
      <c r="E283" s="244" t="s">
        <v>210</v>
      </c>
      <c r="F283" s="244"/>
      <c r="G283" s="247"/>
      <c r="H283" s="244"/>
      <c r="I283" s="248" t="s">
        <v>82</v>
      </c>
      <c r="J283" s="244">
        <v>500</v>
      </c>
      <c r="K283" s="248" t="s">
        <v>217</v>
      </c>
      <c r="L283" s="228" t="s">
        <v>222</v>
      </c>
    </row>
    <row r="284" spans="1:12" x14ac:dyDescent="0.25">
      <c r="A284" s="244" t="str">
        <f t="shared" si="10"/>
        <v>15032026-TK159-3</v>
      </c>
      <c r="B284" s="245">
        <v>46096</v>
      </c>
      <c r="C284" s="244" t="s">
        <v>317</v>
      </c>
      <c r="D284" s="244">
        <v>4513</v>
      </c>
      <c r="E284" s="244" t="s">
        <v>206</v>
      </c>
      <c r="F284" s="244"/>
      <c r="G284" s="247"/>
      <c r="H284" s="244"/>
      <c r="I284" s="248" t="s">
        <v>268</v>
      </c>
      <c r="J284" s="244">
        <v>500</v>
      </c>
      <c r="K284" s="248" t="s">
        <v>217</v>
      </c>
      <c r="L284" s="228" t="s">
        <v>222</v>
      </c>
    </row>
    <row r="285" spans="1:12" x14ac:dyDescent="0.25">
      <c r="A285" s="244" t="str">
        <f t="shared" ref="A285:A348" si="11">TEXT(DAY(B285),"00")&amp;TEXT(MONTH(B285),"00")&amp;YEAR(B285)&amp;"-"&amp;C285&amp;"-"&amp;LEFT(E285,SEARCH(" ",E285&amp;" ")-1)</f>
        <v>15032026-DZ006-2</v>
      </c>
      <c r="B285" s="245">
        <v>46096</v>
      </c>
      <c r="C285" s="244" t="s">
        <v>252</v>
      </c>
      <c r="D285" s="244">
        <v>25504</v>
      </c>
      <c r="E285" s="244" t="s">
        <v>210</v>
      </c>
      <c r="F285" s="244"/>
      <c r="G285" s="247"/>
      <c r="H285" s="244"/>
      <c r="I285" s="248" t="s">
        <v>82</v>
      </c>
      <c r="J285" s="244">
        <v>500</v>
      </c>
      <c r="K285" s="248" t="s">
        <v>217</v>
      </c>
      <c r="L285" s="228" t="s">
        <v>222</v>
      </c>
    </row>
    <row r="286" spans="1:12" x14ac:dyDescent="0.25">
      <c r="A286" s="244" t="str">
        <f t="shared" si="11"/>
        <v>12032026-TK147-3</v>
      </c>
      <c r="B286" s="245">
        <v>46093</v>
      </c>
      <c r="C286" s="244" t="s">
        <v>318</v>
      </c>
      <c r="D286" s="244">
        <v>4570</v>
      </c>
      <c r="E286" s="244" t="s">
        <v>206</v>
      </c>
      <c r="F286" s="244"/>
      <c r="G286" s="247"/>
      <c r="H286" s="244"/>
      <c r="I286" s="248" t="s">
        <v>268</v>
      </c>
      <c r="J286" s="244">
        <v>500</v>
      </c>
      <c r="K286" s="248" t="s">
        <v>217</v>
      </c>
      <c r="L286" s="228" t="s">
        <v>222</v>
      </c>
    </row>
    <row r="287" spans="1:12" x14ac:dyDescent="0.25">
      <c r="A287" s="244" t="str">
        <f t="shared" si="11"/>
        <v>15032026-DZ006-3</v>
      </c>
      <c r="B287" s="245">
        <v>46096</v>
      </c>
      <c r="C287" s="244" t="s">
        <v>252</v>
      </c>
      <c r="D287" s="244">
        <v>25504</v>
      </c>
      <c r="E287" s="244" t="s">
        <v>206</v>
      </c>
      <c r="F287" s="244"/>
      <c r="G287" s="247"/>
      <c r="H287" s="244"/>
      <c r="I287" s="248" t="s">
        <v>268</v>
      </c>
      <c r="J287" s="244">
        <v>500</v>
      </c>
      <c r="K287" s="248" t="s">
        <v>217</v>
      </c>
      <c r="L287" s="228" t="s">
        <v>222</v>
      </c>
    </row>
    <row r="288" spans="1:12" x14ac:dyDescent="0.25">
      <c r="A288" s="244" t="str">
        <f t="shared" si="11"/>
        <v>14032026-DZ009-2</v>
      </c>
      <c r="B288" s="245">
        <v>46095</v>
      </c>
      <c r="C288" s="244" t="s">
        <v>309</v>
      </c>
      <c r="D288" s="244">
        <v>25111</v>
      </c>
      <c r="E288" s="244" t="s">
        <v>210</v>
      </c>
      <c r="F288" s="244"/>
      <c r="G288" s="247"/>
      <c r="H288" s="244"/>
      <c r="I288" s="248" t="s">
        <v>82</v>
      </c>
      <c r="J288" s="244">
        <v>1000</v>
      </c>
      <c r="K288" s="248" t="s">
        <v>207</v>
      </c>
      <c r="L288" s="228" t="s">
        <v>222</v>
      </c>
    </row>
    <row r="289" spans="1:12" x14ac:dyDescent="0.25">
      <c r="A289" s="244" t="str">
        <f t="shared" si="11"/>
        <v>15032026-TK159-2</v>
      </c>
      <c r="B289" s="245">
        <v>46096</v>
      </c>
      <c r="C289" s="244" t="s">
        <v>317</v>
      </c>
      <c r="D289" s="244">
        <v>4513</v>
      </c>
      <c r="E289" s="244" t="s">
        <v>210</v>
      </c>
      <c r="F289" s="244"/>
      <c r="G289" s="247"/>
      <c r="H289" s="244"/>
      <c r="I289" s="248" t="s">
        <v>82</v>
      </c>
      <c r="J289" s="244">
        <v>500</v>
      </c>
      <c r="K289" s="248" t="s">
        <v>217</v>
      </c>
      <c r="L289" s="228" t="s">
        <v>222</v>
      </c>
    </row>
    <row r="290" spans="1:12" x14ac:dyDescent="0.25">
      <c r="A290" s="244" t="str">
        <f t="shared" si="11"/>
        <v>12032026-TK147-2</v>
      </c>
      <c r="B290" s="245">
        <v>46093</v>
      </c>
      <c r="C290" s="244" t="s">
        <v>318</v>
      </c>
      <c r="D290" s="244">
        <v>4570</v>
      </c>
      <c r="E290" s="244" t="s">
        <v>210</v>
      </c>
      <c r="F290" s="244"/>
      <c r="G290" s="247"/>
      <c r="H290" s="244"/>
      <c r="I290" s="248" t="s">
        <v>82</v>
      </c>
      <c r="J290" s="244">
        <v>500</v>
      </c>
      <c r="K290" s="248" t="s">
        <v>217</v>
      </c>
      <c r="L290" s="228" t="s">
        <v>222</v>
      </c>
    </row>
    <row r="291" spans="1:12" x14ac:dyDescent="0.25">
      <c r="A291" s="244" t="str">
        <f t="shared" si="11"/>
        <v>11032026-TK155-1</v>
      </c>
      <c r="B291" s="245">
        <v>46092</v>
      </c>
      <c r="C291" s="244" t="s">
        <v>319</v>
      </c>
      <c r="D291" s="244">
        <v>5037</v>
      </c>
      <c r="E291" s="244" t="s">
        <v>205</v>
      </c>
      <c r="F291" s="244"/>
      <c r="G291" s="247"/>
      <c r="H291" s="244"/>
      <c r="I291" s="248" t="s">
        <v>81</v>
      </c>
      <c r="J291" s="244">
        <v>5000</v>
      </c>
      <c r="K291" s="248" t="s">
        <v>207</v>
      </c>
      <c r="L291" s="228" t="s">
        <v>222</v>
      </c>
    </row>
    <row r="292" spans="1:12" x14ac:dyDescent="0.25">
      <c r="A292" s="244" t="str">
        <f t="shared" si="11"/>
        <v>12032026-TK147-1</v>
      </c>
      <c r="B292" s="245">
        <v>46093</v>
      </c>
      <c r="C292" s="244" t="s">
        <v>318</v>
      </c>
      <c r="D292" s="244">
        <v>4570</v>
      </c>
      <c r="E292" s="244" t="s">
        <v>205</v>
      </c>
      <c r="F292" s="244"/>
      <c r="G292" s="247"/>
      <c r="H292" s="244"/>
      <c r="I292" s="248" t="s">
        <v>81</v>
      </c>
      <c r="J292" s="244">
        <v>500</v>
      </c>
      <c r="K292" s="248" t="s">
        <v>207</v>
      </c>
      <c r="L292" s="228" t="s">
        <v>222</v>
      </c>
    </row>
    <row r="293" spans="1:12" x14ac:dyDescent="0.25">
      <c r="A293" s="244" t="str">
        <f t="shared" si="11"/>
        <v>11032026-TK161-1</v>
      </c>
      <c r="B293" s="245">
        <v>46092</v>
      </c>
      <c r="C293" s="244" t="s">
        <v>315</v>
      </c>
      <c r="D293" s="244">
        <v>5047</v>
      </c>
      <c r="E293" s="244" t="s">
        <v>205</v>
      </c>
      <c r="F293" s="244"/>
      <c r="G293" s="247"/>
      <c r="H293" s="244"/>
      <c r="I293" s="248" t="s">
        <v>81</v>
      </c>
      <c r="J293" s="244">
        <v>5000</v>
      </c>
      <c r="K293" s="248" t="s">
        <v>207</v>
      </c>
      <c r="L293" s="228" t="s">
        <v>222</v>
      </c>
    </row>
    <row r="294" spans="1:12" x14ac:dyDescent="0.25">
      <c r="A294" s="244" t="str">
        <f t="shared" si="11"/>
        <v>11032026-TK161-3</v>
      </c>
      <c r="B294" s="245">
        <v>46092</v>
      </c>
      <c r="C294" s="244" t="s">
        <v>315</v>
      </c>
      <c r="D294" s="244">
        <v>5047</v>
      </c>
      <c r="E294" s="244" t="s">
        <v>206</v>
      </c>
      <c r="F294" s="244"/>
      <c r="G294" s="247"/>
      <c r="H294" s="244"/>
      <c r="I294" s="248" t="s">
        <v>268</v>
      </c>
      <c r="J294" s="244">
        <v>5000</v>
      </c>
      <c r="K294" s="248" t="s">
        <v>217</v>
      </c>
      <c r="L294" s="228" t="s">
        <v>222</v>
      </c>
    </row>
    <row r="295" spans="1:12" x14ac:dyDescent="0.25">
      <c r="A295" s="244" t="str">
        <f t="shared" si="11"/>
        <v>10032026-TK151-3</v>
      </c>
      <c r="B295" s="245">
        <v>46091</v>
      </c>
      <c r="C295" s="244" t="s">
        <v>313</v>
      </c>
      <c r="D295" s="244">
        <v>3434</v>
      </c>
      <c r="E295" s="244" t="s">
        <v>206</v>
      </c>
      <c r="F295" s="244"/>
      <c r="G295" s="247"/>
      <c r="H295" s="244"/>
      <c r="I295" s="248" t="s">
        <v>268</v>
      </c>
      <c r="J295" s="244">
        <v>500</v>
      </c>
      <c r="K295" s="248" t="s">
        <v>217</v>
      </c>
      <c r="L295" s="228" t="s">
        <v>222</v>
      </c>
    </row>
    <row r="296" spans="1:12" x14ac:dyDescent="0.25">
      <c r="A296" s="244" t="str">
        <f t="shared" si="11"/>
        <v>15032026-TK159-1</v>
      </c>
      <c r="B296" s="245">
        <v>46096</v>
      </c>
      <c r="C296" s="244" t="s">
        <v>317</v>
      </c>
      <c r="D296" s="244">
        <v>4513</v>
      </c>
      <c r="E296" s="244" t="s">
        <v>205</v>
      </c>
      <c r="F296" s="244"/>
      <c r="G296" s="247"/>
      <c r="H296" s="244"/>
      <c r="I296" s="248" t="s">
        <v>81</v>
      </c>
      <c r="J296" s="244">
        <v>500</v>
      </c>
      <c r="K296" s="248" t="s">
        <v>207</v>
      </c>
      <c r="L296" s="228" t="s">
        <v>222</v>
      </c>
    </row>
    <row r="297" spans="1:12" x14ac:dyDescent="0.25">
      <c r="A297" s="244" t="str">
        <f t="shared" si="11"/>
        <v>16032026-TK158-2</v>
      </c>
      <c r="B297" s="245">
        <v>46097</v>
      </c>
      <c r="C297" s="244" t="s">
        <v>316</v>
      </c>
      <c r="D297" s="244">
        <v>5019</v>
      </c>
      <c r="E297" s="244" t="s">
        <v>210</v>
      </c>
      <c r="F297" s="244"/>
      <c r="G297" s="247"/>
      <c r="H297" s="244"/>
      <c r="I297" s="248" t="s">
        <v>82</v>
      </c>
      <c r="J297" s="244">
        <v>5000</v>
      </c>
      <c r="K297" s="248" t="s">
        <v>217</v>
      </c>
      <c r="L297" s="228" t="s">
        <v>222</v>
      </c>
    </row>
    <row r="298" spans="1:12" x14ac:dyDescent="0.25">
      <c r="A298" s="244" t="str">
        <f t="shared" si="11"/>
        <v>12032026-DZ019-3</v>
      </c>
      <c r="B298" s="245">
        <v>46093</v>
      </c>
      <c r="C298" s="244" t="s">
        <v>320</v>
      </c>
      <c r="D298" s="244">
        <v>5013</v>
      </c>
      <c r="E298" s="244" t="s">
        <v>206</v>
      </c>
      <c r="F298" s="244"/>
      <c r="G298" s="247"/>
      <c r="H298" s="244"/>
      <c r="I298" s="248" t="s">
        <v>268</v>
      </c>
      <c r="J298" s="244">
        <v>1000</v>
      </c>
      <c r="K298" s="248" t="s">
        <v>217</v>
      </c>
      <c r="L298" s="228" t="s">
        <v>222</v>
      </c>
    </row>
    <row r="299" spans="1:12" x14ac:dyDescent="0.25">
      <c r="A299" s="244" t="str">
        <f t="shared" si="11"/>
        <v>12032026-DZ019-1</v>
      </c>
      <c r="B299" s="245">
        <v>46093</v>
      </c>
      <c r="C299" s="244" t="s">
        <v>320</v>
      </c>
      <c r="D299" s="244">
        <v>5013</v>
      </c>
      <c r="E299" s="244" t="s">
        <v>205</v>
      </c>
      <c r="F299" s="244"/>
      <c r="G299" s="247"/>
      <c r="H299" s="244"/>
      <c r="I299" s="248" t="s">
        <v>81</v>
      </c>
      <c r="J299" s="244">
        <v>1000</v>
      </c>
      <c r="K299" s="248" t="s">
        <v>207</v>
      </c>
      <c r="L299" s="228" t="s">
        <v>222</v>
      </c>
    </row>
    <row r="300" spans="1:12" x14ac:dyDescent="0.25">
      <c r="A300" s="244" t="str">
        <f t="shared" si="11"/>
        <v>10032026-TK117-3</v>
      </c>
      <c r="B300" s="245">
        <v>46091</v>
      </c>
      <c r="C300" s="244" t="s">
        <v>321</v>
      </c>
      <c r="D300" s="244">
        <v>27028</v>
      </c>
      <c r="E300" s="244" t="s">
        <v>206</v>
      </c>
      <c r="F300" s="244"/>
      <c r="G300" s="247"/>
      <c r="H300" s="244"/>
      <c r="I300" s="248" t="s">
        <v>268</v>
      </c>
      <c r="J300" s="244">
        <v>1000</v>
      </c>
      <c r="K300" s="248" t="s">
        <v>217</v>
      </c>
      <c r="L300" s="228" t="s">
        <v>222</v>
      </c>
    </row>
    <row r="301" spans="1:12" x14ac:dyDescent="0.25">
      <c r="A301" s="244" t="str">
        <f t="shared" si="11"/>
        <v>13032026-LD006-2</v>
      </c>
      <c r="B301" s="245">
        <v>46094</v>
      </c>
      <c r="C301" s="244" t="s">
        <v>322</v>
      </c>
      <c r="D301" s="244">
        <v>18023</v>
      </c>
      <c r="E301" s="244" t="s">
        <v>210</v>
      </c>
      <c r="F301" s="244"/>
      <c r="G301" s="247"/>
      <c r="H301" s="244"/>
      <c r="I301" s="248" t="s">
        <v>82</v>
      </c>
      <c r="J301" s="244">
        <v>2000</v>
      </c>
      <c r="K301" s="248" t="s">
        <v>207</v>
      </c>
      <c r="L301" s="228" t="s">
        <v>222</v>
      </c>
    </row>
    <row r="302" spans="1:12" x14ac:dyDescent="0.25">
      <c r="A302" s="244" t="str">
        <f t="shared" si="11"/>
        <v>13032026-LD006-3</v>
      </c>
      <c r="B302" s="245">
        <v>46094</v>
      </c>
      <c r="C302" s="244" t="s">
        <v>322</v>
      </c>
      <c r="D302" s="244">
        <v>18023</v>
      </c>
      <c r="E302" s="244" t="s">
        <v>206</v>
      </c>
      <c r="F302" s="244"/>
      <c r="G302" s="247"/>
      <c r="H302" s="244"/>
      <c r="I302" s="248" t="s">
        <v>268</v>
      </c>
      <c r="J302" s="244">
        <v>2000</v>
      </c>
      <c r="K302" s="248" t="s">
        <v>207</v>
      </c>
      <c r="L302" s="228" t="s">
        <v>222</v>
      </c>
    </row>
    <row r="303" spans="1:12" x14ac:dyDescent="0.25">
      <c r="A303" s="244" t="str">
        <f t="shared" si="11"/>
        <v>13032026-LD006-1</v>
      </c>
      <c r="B303" s="245">
        <v>46094</v>
      </c>
      <c r="C303" s="244" t="s">
        <v>322</v>
      </c>
      <c r="D303" s="244">
        <v>18023</v>
      </c>
      <c r="E303" s="244" t="s">
        <v>205</v>
      </c>
      <c r="F303" s="244"/>
      <c r="G303" s="247"/>
      <c r="H303" s="244"/>
      <c r="I303" s="248" t="s">
        <v>81</v>
      </c>
      <c r="J303" s="244">
        <v>2000</v>
      </c>
      <c r="K303" s="248" t="s">
        <v>207</v>
      </c>
      <c r="L303" s="228" t="s">
        <v>222</v>
      </c>
    </row>
    <row r="304" spans="1:12" x14ac:dyDescent="0.25">
      <c r="A304" s="244" t="str">
        <f t="shared" si="11"/>
        <v>10032026-TK109-3</v>
      </c>
      <c r="B304" s="245">
        <v>46091</v>
      </c>
      <c r="C304" s="244" t="s">
        <v>323</v>
      </c>
      <c r="D304" s="244">
        <v>29973</v>
      </c>
      <c r="E304" s="244" t="s">
        <v>206</v>
      </c>
      <c r="F304" s="244"/>
      <c r="G304" s="247"/>
      <c r="H304" s="244"/>
      <c r="I304" s="248" t="s">
        <v>268</v>
      </c>
      <c r="J304" s="244">
        <v>2000</v>
      </c>
      <c r="K304" s="248" t="s">
        <v>217</v>
      </c>
      <c r="L304" s="228" t="s">
        <v>222</v>
      </c>
    </row>
    <row r="305" spans="1:12" x14ac:dyDescent="0.25">
      <c r="A305" s="244" t="str">
        <f t="shared" si="11"/>
        <v>10032026-TK117-1</v>
      </c>
      <c r="B305" s="245">
        <v>46091</v>
      </c>
      <c r="C305" s="244" t="s">
        <v>321</v>
      </c>
      <c r="D305" s="244">
        <v>27028</v>
      </c>
      <c r="E305" s="244" t="s">
        <v>205</v>
      </c>
      <c r="F305" s="244"/>
      <c r="G305" s="247"/>
      <c r="H305" s="244"/>
      <c r="I305" s="248" t="s">
        <v>81</v>
      </c>
      <c r="J305" s="244">
        <v>1000</v>
      </c>
      <c r="K305" s="248" t="s">
        <v>207</v>
      </c>
      <c r="L305" s="228" t="s">
        <v>222</v>
      </c>
    </row>
    <row r="306" spans="1:12" x14ac:dyDescent="0.25">
      <c r="A306" s="244" t="str">
        <f t="shared" si="11"/>
        <v>10032026-TK117-2</v>
      </c>
      <c r="B306" s="245">
        <v>46091</v>
      </c>
      <c r="C306" s="244" t="s">
        <v>321</v>
      </c>
      <c r="D306" s="244">
        <v>27028</v>
      </c>
      <c r="E306" s="244" t="s">
        <v>210</v>
      </c>
      <c r="F306" s="244"/>
      <c r="G306" s="247"/>
      <c r="H306" s="244"/>
      <c r="I306" s="248" t="s">
        <v>82</v>
      </c>
      <c r="J306" s="244">
        <v>1000</v>
      </c>
      <c r="K306" s="248" t="s">
        <v>207</v>
      </c>
      <c r="L306" s="228" t="s">
        <v>222</v>
      </c>
    </row>
    <row r="307" spans="1:12" x14ac:dyDescent="0.25">
      <c r="A307" s="244" t="str">
        <f t="shared" si="11"/>
        <v>10032026-TK151-2</v>
      </c>
      <c r="B307" s="245">
        <v>46091</v>
      </c>
      <c r="C307" s="244" t="s">
        <v>313</v>
      </c>
      <c r="D307" s="244">
        <v>3434</v>
      </c>
      <c r="E307" s="244" t="s">
        <v>210</v>
      </c>
      <c r="F307" s="244"/>
      <c r="G307" s="247"/>
      <c r="H307" s="244"/>
      <c r="I307" s="248" t="s">
        <v>82</v>
      </c>
      <c r="J307" s="244">
        <v>500</v>
      </c>
      <c r="K307" s="248" t="s">
        <v>217</v>
      </c>
      <c r="L307" s="228" t="s">
        <v>222</v>
      </c>
    </row>
    <row r="308" spans="1:12" x14ac:dyDescent="0.25">
      <c r="A308" s="244" t="str">
        <f t="shared" si="11"/>
        <v>16032026-TK158-1</v>
      </c>
      <c r="B308" s="245">
        <v>46097</v>
      </c>
      <c r="C308" s="244" t="s">
        <v>316</v>
      </c>
      <c r="D308" s="244">
        <v>5019</v>
      </c>
      <c r="E308" s="244" t="s">
        <v>205</v>
      </c>
      <c r="F308" s="244"/>
      <c r="G308" s="247"/>
      <c r="H308" s="244"/>
      <c r="I308" s="248" t="s">
        <v>81</v>
      </c>
      <c r="J308" s="244">
        <v>5000</v>
      </c>
      <c r="K308" s="248" t="s">
        <v>207</v>
      </c>
      <c r="L308" s="228" t="s">
        <v>222</v>
      </c>
    </row>
    <row r="309" spans="1:12" x14ac:dyDescent="0.25">
      <c r="A309" s="244" t="str">
        <f t="shared" si="11"/>
        <v>10032026-TK151-1</v>
      </c>
      <c r="B309" s="245">
        <v>46091</v>
      </c>
      <c r="C309" s="244" t="s">
        <v>313</v>
      </c>
      <c r="D309" s="244">
        <v>3434</v>
      </c>
      <c r="E309" s="244" t="s">
        <v>205</v>
      </c>
      <c r="F309" s="244"/>
      <c r="G309" s="247"/>
      <c r="H309" s="244"/>
      <c r="I309" s="248" t="s">
        <v>81</v>
      </c>
      <c r="J309" s="244">
        <v>500</v>
      </c>
      <c r="K309" s="248" t="s">
        <v>207</v>
      </c>
      <c r="L309" s="228" t="s">
        <v>222</v>
      </c>
    </row>
    <row r="310" spans="1:12" x14ac:dyDescent="0.25">
      <c r="A310" s="244" t="str">
        <f t="shared" si="11"/>
        <v>10032026-TK109-2</v>
      </c>
      <c r="B310" s="245">
        <v>46091</v>
      </c>
      <c r="C310" s="244" t="s">
        <v>323</v>
      </c>
      <c r="D310" s="244">
        <v>29973</v>
      </c>
      <c r="E310" s="244" t="s">
        <v>210</v>
      </c>
      <c r="F310" s="244"/>
      <c r="G310" s="247"/>
      <c r="H310" s="244"/>
      <c r="I310" s="248" t="s">
        <v>82</v>
      </c>
      <c r="J310" s="244">
        <v>2000</v>
      </c>
      <c r="K310" s="248" t="s">
        <v>207</v>
      </c>
      <c r="L310" s="228" t="s">
        <v>222</v>
      </c>
    </row>
    <row r="311" spans="1:12" x14ac:dyDescent="0.25">
      <c r="A311" s="244" t="str">
        <f t="shared" si="11"/>
        <v>11032026-TK155-2</v>
      </c>
      <c r="B311" s="245">
        <v>46092</v>
      </c>
      <c r="C311" s="244" t="s">
        <v>319</v>
      </c>
      <c r="D311" s="244">
        <v>5037</v>
      </c>
      <c r="E311" s="244" t="s">
        <v>210</v>
      </c>
      <c r="F311" s="244"/>
      <c r="G311" s="247"/>
      <c r="H311" s="244"/>
      <c r="I311" s="248" t="s">
        <v>82</v>
      </c>
      <c r="J311" s="244">
        <v>5000</v>
      </c>
      <c r="K311" s="248" t="s">
        <v>217</v>
      </c>
      <c r="L311" s="228" t="s">
        <v>222</v>
      </c>
    </row>
    <row r="312" spans="1:12" x14ac:dyDescent="0.25">
      <c r="A312" s="244" t="str">
        <f t="shared" si="11"/>
        <v>06032026-DZ001-1</v>
      </c>
      <c r="B312" s="245">
        <v>46087</v>
      </c>
      <c r="C312" s="244" t="s">
        <v>304</v>
      </c>
      <c r="D312" s="244">
        <v>25061</v>
      </c>
      <c r="E312" s="244" t="s">
        <v>205</v>
      </c>
      <c r="F312" s="244"/>
      <c r="G312" s="247"/>
      <c r="H312" s="244"/>
      <c r="I312" s="248" t="s">
        <v>81</v>
      </c>
      <c r="J312" s="244">
        <v>1000</v>
      </c>
      <c r="K312" s="248" t="s">
        <v>207</v>
      </c>
      <c r="L312" s="228" t="s">
        <v>222</v>
      </c>
    </row>
    <row r="313" spans="1:12" x14ac:dyDescent="0.25">
      <c r="A313" s="244" t="str">
        <f t="shared" si="11"/>
        <v>10032026-TK109-1</v>
      </c>
      <c r="B313" s="245">
        <v>46091</v>
      </c>
      <c r="C313" s="244" t="s">
        <v>323</v>
      </c>
      <c r="D313" s="244">
        <v>29973</v>
      </c>
      <c r="E313" s="244" t="s">
        <v>205</v>
      </c>
      <c r="F313" s="244"/>
      <c r="G313" s="247"/>
      <c r="H313" s="244"/>
      <c r="I313" s="248" t="s">
        <v>81</v>
      </c>
      <c r="J313" s="244">
        <v>2000</v>
      </c>
      <c r="K313" s="248" t="s">
        <v>207</v>
      </c>
      <c r="L313" s="228" t="s">
        <v>222</v>
      </c>
    </row>
    <row r="314" spans="1:12" x14ac:dyDescent="0.25">
      <c r="A314" s="244" t="str">
        <f t="shared" si="11"/>
        <v>09032026-LD007-1</v>
      </c>
      <c r="B314" s="245">
        <v>46090</v>
      </c>
      <c r="C314" s="244" t="s">
        <v>324</v>
      </c>
      <c r="D314" s="244">
        <v>19013</v>
      </c>
      <c r="E314" s="244" t="s">
        <v>205</v>
      </c>
      <c r="F314" s="244"/>
      <c r="G314" s="247"/>
      <c r="H314" s="244"/>
      <c r="I314" s="248" t="s">
        <v>81</v>
      </c>
      <c r="J314" s="244">
        <v>1000</v>
      </c>
      <c r="K314" s="248" t="s">
        <v>207</v>
      </c>
      <c r="L314" s="228" t="s">
        <v>222</v>
      </c>
    </row>
    <row r="315" spans="1:12" x14ac:dyDescent="0.25">
      <c r="A315" s="244" t="str">
        <f t="shared" si="11"/>
        <v>06032026-DZ001-3</v>
      </c>
      <c r="B315" s="245">
        <v>46087</v>
      </c>
      <c r="C315" s="244" t="s">
        <v>304</v>
      </c>
      <c r="D315" s="244">
        <v>25061</v>
      </c>
      <c r="E315" s="244" t="s">
        <v>206</v>
      </c>
      <c r="F315" s="244"/>
      <c r="G315" s="247"/>
      <c r="H315" s="244"/>
      <c r="I315" s="248" t="s">
        <v>268</v>
      </c>
      <c r="J315" s="244">
        <v>1000</v>
      </c>
      <c r="K315" s="248" t="s">
        <v>217</v>
      </c>
      <c r="L315" s="228" t="s">
        <v>222</v>
      </c>
    </row>
    <row r="316" spans="1:12" x14ac:dyDescent="0.25">
      <c r="A316" s="244" t="str">
        <f t="shared" si="11"/>
        <v>06032026-DZ001-2</v>
      </c>
      <c r="B316" s="245">
        <v>46087</v>
      </c>
      <c r="C316" s="244" t="s">
        <v>304</v>
      </c>
      <c r="D316" s="244">
        <v>25061</v>
      </c>
      <c r="E316" s="244" t="s">
        <v>210</v>
      </c>
      <c r="F316" s="244"/>
      <c r="G316" s="247"/>
      <c r="H316" s="244"/>
      <c r="I316" s="248" t="s">
        <v>82</v>
      </c>
      <c r="J316" s="244">
        <v>1000</v>
      </c>
      <c r="K316" s="248" t="s">
        <v>217</v>
      </c>
      <c r="L316" s="228" t="s">
        <v>222</v>
      </c>
    </row>
    <row r="317" spans="1:12" x14ac:dyDescent="0.25">
      <c r="A317" s="244" t="str">
        <f t="shared" si="11"/>
        <v>07032026-LD008-1</v>
      </c>
      <c r="B317" s="245">
        <v>46088</v>
      </c>
      <c r="C317" s="244" t="s">
        <v>303</v>
      </c>
      <c r="D317" s="244">
        <v>18467</v>
      </c>
      <c r="E317" s="244" t="s">
        <v>205</v>
      </c>
      <c r="F317" s="244"/>
      <c r="G317" s="247"/>
      <c r="H317" s="244"/>
      <c r="I317" s="248" t="s">
        <v>81</v>
      </c>
      <c r="J317" s="244">
        <v>500</v>
      </c>
      <c r="K317" s="248" t="s">
        <v>207</v>
      </c>
      <c r="L317" s="228" t="s">
        <v>222</v>
      </c>
    </row>
    <row r="318" spans="1:12" x14ac:dyDescent="0.25">
      <c r="A318" s="244" t="str">
        <f t="shared" si="11"/>
        <v>09032026-TK125-1</v>
      </c>
      <c r="B318" s="245">
        <v>46090</v>
      </c>
      <c r="C318" s="244" t="s">
        <v>325</v>
      </c>
      <c r="D318" s="244">
        <v>28033</v>
      </c>
      <c r="E318" s="244" t="s">
        <v>205</v>
      </c>
      <c r="F318" s="244"/>
      <c r="G318" s="247"/>
      <c r="H318" s="244"/>
      <c r="I318" s="248" t="s">
        <v>81</v>
      </c>
      <c r="J318" s="244">
        <v>4000</v>
      </c>
      <c r="K318" s="248" t="s">
        <v>207</v>
      </c>
      <c r="L318" s="228" t="s">
        <v>222</v>
      </c>
    </row>
    <row r="319" spans="1:12" x14ac:dyDescent="0.25">
      <c r="A319" s="244" t="str">
        <f t="shared" si="11"/>
        <v>09032026-TK125-2</v>
      </c>
      <c r="B319" s="245">
        <v>46090</v>
      </c>
      <c r="C319" s="244" t="s">
        <v>325</v>
      </c>
      <c r="D319" s="244">
        <v>28033</v>
      </c>
      <c r="E319" s="244" t="s">
        <v>210</v>
      </c>
      <c r="F319" s="244"/>
      <c r="G319" s="247"/>
      <c r="H319" s="244"/>
      <c r="I319" s="248" t="s">
        <v>82</v>
      </c>
      <c r="J319" s="244">
        <v>4001</v>
      </c>
      <c r="K319" s="248" t="s">
        <v>207</v>
      </c>
      <c r="L319" s="228" t="s">
        <v>222</v>
      </c>
    </row>
    <row r="320" spans="1:12" x14ac:dyDescent="0.25">
      <c r="A320" s="244" t="str">
        <f t="shared" si="11"/>
        <v>09032026-TK125-3</v>
      </c>
      <c r="B320" s="245">
        <v>46090</v>
      </c>
      <c r="C320" s="244" t="s">
        <v>325</v>
      </c>
      <c r="D320" s="244">
        <v>28033</v>
      </c>
      <c r="E320" s="244" t="s">
        <v>206</v>
      </c>
      <c r="F320" s="244"/>
      <c r="G320" s="247"/>
      <c r="H320" s="244"/>
      <c r="I320" s="248" t="s">
        <v>268</v>
      </c>
      <c r="J320" s="244">
        <v>4000</v>
      </c>
      <c r="K320" s="248" t="s">
        <v>207</v>
      </c>
      <c r="L320" s="228" t="s">
        <v>222</v>
      </c>
    </row>
    <row r="321" spans="1:12" x14ac:dyDescent="0.25">
      <c r="A321" s="244" t="str">
        <f t="shared" si="11"/>
        <v>09032026-LD007-2</v>
      </c>
      <c r="B321" s="245">
        <v>46090</v>
      </c>
      <c r="C321" s="244" t="s">
        <v>324</v>
      </c>
      <c r="D321" s="244">
        <v>19013</v>
      </c>
      <c r="E321" s="244" t="s">
        <v>210</v>
      </c>
      <c r="F321" s="244"/>
      <c r="G321" s="247"/>
      <c r="H321" s="244"/>
      <c r="I321" s="248" t="s">
        <v>82</v>
      </c>
      <c r="J321" s="244">
        <v>1000</v>
      </c>
      <c r="K321" s="248" t="s">
        <v>207</v>
      </c>
      <c r="L321" s="228" t="s">
        <v>222</v>
      </c>
    </row>
    <row r="322" spans="1:12" x14ac:dyDescent="0.25">
      <c r="A322" s="244" t="str">
        <f t="shared" si="11"/>
        <v>09032026-LD007-3</v>
      </c>
      <c r="B322" s="245">
        <v>46090</v>
      </c>
      <c r="C322" s="244" t="s">
        <v>324</v>
      </c>
      <c r="D322" s="244">
        <v>19013</v>
      </c>
      <c r="E322" s="244" t="s">
        <v>206</v>
      </c>
      <c r="F322" s="244"/>
      <c r="G322" s="247"/>
      <c r="H322" s="244"/>
      <c r="I322" s="248" t="s">
        <v>268</v>
      </c>
      <c r="J322" s="244">
        <v>1000</v>
      </c>
      <c r="K322" s="248" t="s">
        <v>217</v>
      </c>
      <c r="L322" s="228" t="s">
        <v>222</v>
      </c>
    </row>
    <row r="323" spans="1:12" x14ac:dyDescent="0.25">
      <c r="A323" s="244" t="str">
        <f t="shared" si="11"/>
        <v>08032026-TK146-1</v>
      </c>
      <c r="B323" s="245">
        <v>46089</v>
      </c>
      <c r="C323" s="244" t="s">
        <v>265</v>
      </c>
      <c r="D323" s="244">
        <v>5033</v>
      </c>
      <c r="E323" s="244" t="s">
        <v>205</v>
      </c>
      <c r="F323" s="244"/>
      <c r="G323" s="247"/>
      <c r="H323" s="244"/>
      <c r="I323" s="248" t="s">
        <v>81</v>
      </c>
      <c r="J323" s="244">
        <v>5000</v>
      </c>
      <c r="K323" s="248" t="s">
        <v>207</v>
      </c>
      <c r="L323" s="228" t="s">
        <v>222</v>
      </c>
    </row>
    <row r="324" spans="1:12" x14ac:dyDescent="0.25">
      <c r="A324" s="244" t="str">
        <f t="shared" si="11"/>
        <v>08032026-TK146-2</v>
      </c>
      <c r="B324" s="245">
        <v>46089</v>
      </c>
      <c r="C324" s="244" t="s">
        <v>265</v>
      </c>
      <c r="D324" s="244">
        <v>5033</v>
      </c>
      <c r="E324" s="244" t="s">
        <v>210</v>
      </c>
      <c r="F324" s="244"/>
      <c r="G324" s="247"/>
      <c r="H324" s="244"/>
      <c r="I324" s="248" t="s">
        <v>82</v>
      </c>
      <c r="J324" s="244">
        <v>5000</v>
      </c>
      <c r="K324" s="248" t="s">
        <v>217</v>
      </c>
      <c r="L324" s="228" t="s">
        <v>222</v>
      </c>
    </row>
    <row r="325" spans="1:12" x14ac:dyDescent="0.25">
      <c r="A325" s="244" t="str">
        <f t="shared" si="11"/>
        <v>08032026-TK146-3</v>
      </c>
      <c r="B325" s="245">
        <v>46089</v>
      </c>
      <c r="C325" s="244" t="s">
        <v>265</v>
      </c>
      <c r="D325" s="244">
        <v>5033</v>
      </c>
      <c r="E325" s="244" t="s">
        <v>206</v>
      </c>
      <c r="F325" s="244"/>
      <c r="G325" s="247"/>
      <c r="H325" s="244"/>
      <c r="I325" s="248" t="s">
        <v>268</v>
      </c>
      <c r="J325" s="244">
        <v>5000</v>
      </c>
      <c r="K325" s="248" t="s">
        <v>217</v>
      </c>
      <c r="L325" s="228" t="s">
        <v>222</v>
      </c>
    </row>
    <row r="326" spans="1:12" x14ac:dyDescent="0.25">
      <c r="A326" s="244" t="str">
        <f t="shared" si="11"/>
        <v>06032026-EX011-1</v>
      </c>
      <c r="B326" s="245">
        <v>46087</v>
      </c>
      <c r="C326" s="244" t="s">
        <v>306</v>
      </c>
      <c r="D326" s="244">
        <v>27065</v>
      </c>
      <c r="E326" s="244" t="s">
        <v>205</v>
      </c>
      <c r="F326" s="244"/>
      <c r="G326" s="247"/>
      <c r="H326" s="244"/>
      <c r="I326" s="248" t="s">
        <v>81</v>
      </c>
      <c r="J326" s="244">
        <v>1000</v>
      </c>
      <c r="K326" s="248" t="s">
        <v>207</v>
      </c>
      <c r="L326" s="228" t="s">
        <v>222</v>
      </c>
    </row>
    <row r="327" spans="1:12" x14ac:dyDescent="0.25">
      <c r="A327" s="244" t="str">
        <f t="shared" si="11"/>
        <v>06032026-EX011-5</v>
      </c>
      <c r="B327" s="245">
        <v>46087</v>
      </c>
      <c r="C327" s="244" t="s">
        <v>306</v>
      </c>
      <c r="D327" s="244">
        <v>27065</v>
      </c>
      <c r="E327" s="244" t="s">
        <v>285</v>
      </c>
      <c r="F327" s="244"/>
      <c r="G327" s="247"/>
      <c r="H327" s="244"/>
      <c r="I327" s="248" t="s">
        <v>82</v>
      </c>
      <c r="J327" s="244">
        <v>1000</v>
      </c>
      <c r="K327" s="248" t="s">
        <v>207</v>
      </c>
      <c r="L327" s="228" t="s">
        <v>222</v>
      </c>
    </row>
    <row r="328" spans="1:12" x14ac:dyDescent="0.25">
      <c r="A328" s="244" t="str">
        <f t="shared" si="11"/>
        <v>06032026-EX011-3</v>
      </c>
      <c r="B328" s="245">
        <v>46087</v>
      </c>
      <c r="C328" s="244" t="s">
        <v>306</v>
      </c>
      <c r="D328" s="244">
        <v>27065</v>
      </c>
      <c r="E328" s="244" t="s">
        <v>206</v>
      </c>
      <c r="F328" s="244"/>
      <c r="G328" s="247"/>
      <c r="H328" s="244"/>
      <c r="I328" s="248" t="s">
        <v>268</v>
      </c>
      <c r="J328" s="244">
        <v>1000</v>
      </c>
      <c r="K328" s="248" t="s">
        <v>217</v>
      </c>
      <c r="L328" s="228" t="s">
        <v>222</v>
      </c>
    </row>
    <row r="329" spans="1:12" x14ac:dyDescent="0.25">
      <c r="A329" s="244" t="str">
        <f t="shared" si="11"/>
        <v>07032026-LD008-2</v>
      </c>
      <c r="B329" s="245">
        <v>46088</v>
      </c>
      <c r="C329" s="244" t="s">
        <v>303</v>
      </c>
      <c r="D329" s="244">
        <v>18467</v>
      </c>
      <c r="E329" s="244" t="s">
        <v>210</v>
      </c>
      <c r="F329" s="244"/>
      <c r="G329" s="247"/>
      <c r="H329" s="244"/>
      <c r="I329" s="248" t="s">
        <v>82</v>
      </c>
      <c r="J329" s="244">
        <v>500</v>
      </c>
      <c r="K329" s="248" t="s">
        <v>217</v>
      </c>
      <c r="L329" s="228" t="s">
        <v>222</v>
      </c>
    </row>
    <row r="330" spans="1:12" x14ac:dyDescent="0.25">
      <c r="A330" s="244" t="str">
        <f t="shared" si="11"/>
        <v>07032026-LD008-3</v>
      </c>
      <c r="B330" s="245">
        <v>46088</v>
      </c>
      <c r="C330" s="244" t="s">
        <v>303</v>
      </c>
      <c r="D330" s="244">
        <v>18467</v>
      </c>
      <c r="E330" s="244" t="s">
        <v>206</v>
      </c>
      <c r="F330" s="244"/>
      <c r="G330" s="247"/>
      <c r="H330" s="244"/>
      <c r="I330" s="248" t="s">
        <v>268</v>
      </c>
      <c r="J330" s="244">
        <v>500</v>
      </c>
      <c r="K330" s="248" t="s">
        <v>217</v>
      </c>
      <c r="L330" s="228" t="s">
        <v>222</v>
      </c>
    </row>
    <row r="331" spans="1:12" x14ac:dyDescent="0.25">
      <c r="A331" s="244" t="str">
        <f t="shared" si="11"/>
        <v>09032026-GR004-1</v>
      </c>
      <c r="B331" s="245">
        <v>46090</v>
      </c>
      <c r="C331" s="244" t="s">
        <v>326</v>
      </c>
      <c r="D331" s="244">
        <v>20512</v>
      </c>
      <c r="E331" s="244" t="s">
        <v>205</v>
      </c>
      <c r="F331" s="244"/>
      <c r="G331" s="247"/>
      <c r="H331" s="244"/>
      <c r="I331" s="248" t="s">
        <v>81</v>
      </c>
      <c r="J331" s="244">
        <v>500</v>
      </c>
      <c r="K331" s="248" t="s">
        <v>207</v>
      </c>
      <c r="L331" s="228" t="s">
        <v>222</v>
      </c>
    </row>
    <row r="332" spans="1:12" x14ac:dyDescent="0.25">
      <c r="A332" s="244" t="str">
        <f t="shared" si="11"/>
        <v>09032026-GR004-2</v>
      </c>
      <c r="B332" s="245">
        <v>46090</v>
      </c>
      <c r="C332" s="244" t="s">
        <v>326</v>
      </c>
      <c r="D332" s="244">
        <v>20512</v>
      </c>
      <c r="E332" s="244" t="s">
        <v>210</v>
      </c>
      <c r="F332" s="244"/>
      <c r="G332" s="247"/>
      <c r="H332" s="244"/>
      <c r="I332" s="248" t="s">
        <v>82</v>
      </c>
      <c r="J332" s="244">
        <v>500</v>
      </c>
      <c r="K332" s="248" t="s">
        <v>217</v>
      </c>
      <c r="L332" s="228" t="s">
        <v>222</v>
      </c>
    </row>
    <row r="333" spans="1:12" x14ac:dyDescent="0.25">
      <c r="A333" s="244" t="str">
        <f t="shared" si="11"/>
        <v>09032026-GR004-3</v>
      </c>
      <c r="B333" s="245">
        <v>46090</v>
      </c>
      <c r="C333" s="244" t="s">
        <v>326</v>
      </c>
      <c r="D333" s="244">
        <v>20512</v>
      </c>
      <c r="E333" s="244" t="s">
        <v>206</v>
      </c>
      <c r="F333" s="244"/>
      <c r="G333" s="247"/>
      <c r="H333" s="244"/>
      <c r="I333" s="248" t="s">
        <v>268</v>
      </c>
      <c r="J333" s="244">
        <v>500</v>
      </c>
      <c r="K333" s="248" t="s">
        <v>217</v>
      </c>
      <c r="L333" s="228" t="s">
        <v>222</v>
      </c>
    </row>
    <row r="334" spans="1:12" x14ac:dyDescent="0.25">
      <c r="A334" s="244" t="str">
        <f t="shared" si="11"/>
        <v>07032026-TK149-1</v>
      </c>
      <c r="B334" s="245">
        <v>46088</v>
      </c>
      <c r="C334" s="244" t="s">
        <v>327</v>
      </c>
      <c r="D334" s="244">
        <v>4444</v>
      </c>
      <c r="E334" s="244" t="s">
        <v>205</v>
      </c>
      <c r="F334" s="244"/>
      <c r="G334" s="247"/>
      <c r="H334" s="244"/>
      <c r="I334" s="248" t="s">
        <v>81</v>
      </c>
      <c r="J334" s="244">
        <v>1500</v>
      </c>
      <c r="K334" s="248" t="s">
        <v>207</v>
      </c>
      <c r="L334" s="228" t="s">
        <v>222</v>
      </c>
    </row>
    <row r="335" spans="1:12" x14ac:dyDescent="0.25">
      <c r="A335" s="244" t="str">
        <f t="shared" si="11"/>
        <v>07032026-TK149-2</v>
      </c>
      <c r="B335" s="245">
        <v>46088</v>
      </c>
      <c r="C335" s="244" t="s">
        <v>327</v>
      </c>
      <c r="D335" s="244">
        <v>4444</v>
      </c>
      <c r="E335" s="244" t="s">
        <v>210</v>
      </c>
      <c r="F335" s="244"/>
      <c r="G335" s="247"/>
      <c r="H335" s="244"/>
      <c r="I335" s="248" t="s">
        <v>82</v>
      </c>
      <c r="J335" s="244">
        <v>1500</v>
      </c>
      <c r="K335" s="248" t="s">
        <v>217</v>
      </c>
      <c r="L335" s="228" t="s">
        <v>222</v>
      </c>
    </row>
    <row r="336" spans="1:12" x14ac:dyDescent="0.25">
      <c r="A336" s="244" t="str">
        <f t="shared" si="11"/>
        <v>07032026-TK149-3</v>
      </c>
      <c r="B336" s="245">
        <v>46088</v>
      </c>
      <c r="C336" s="244" t="s">
        <v>327</v>
      </c>
      <c r="D336" s="244">
        <v>4444</v>
      </c>
      <c r="E336" s="244" t="s">
        <v>206</v>
      </c>
      <c r="F336" s="244"/>
      <c r="G336" s="247"/>
      <c r="H336" s="244"/>
      <c r="I336" s="248" t="s">
        <v>268</v>
      </c>
      <c r="J336" s="244">
        <v>1500</v>
      </c>
      <c r="K336" s="248" t="s">
        <v>217</v>
      </c>
      <c r="L336" s="228" t="s">
        <v>222</v>
      </c>
    </row>
    <row r="337" spans="1:12" x14ac:dyDescent="0.25">
      <c r="A337" s="244" t="str">
        <f t="shared" si="11"/>
        <v>07032026-GR016-1</v>
      </c>
      <c r="B337" s="245">
        <v>46088</v>
      </c>
      <c r="C337" s="244" t="s">
        <v>263</v>
      </c>
      <c r="D337" s="244">
        <v>3553</v>
      </c>
      <c r="E337" s="244" t="s">
        <v>205</v>
      </c>
      <c r="F337" s="244"/>
      <c r="G337" s="247"/>
      <c r="H337" s="244"/>
      <c r="I337" s="248" t="s">
        <v>81</v>
      </c>
      <c r="J337" s="244">
        <v>500</v>
      </c>
      <c r="K337" s="248" t="s">
        <v>207</v>
      </c>
      <c r="L337" s="228" t="s">
        <v>222</v>
      </c>
    </row>
    <row r="338" spans="1:12" x14ac:dyDescent="0.25">
      <c r="A338" s="244" t="str">
        <f t="shared" si="11"/>
        <v>14032026-DZ009-1</v>
      </c>
      <c r="B338" s="245">
        <v>46095</v>
      </c>
      <c r="C338" s="244" t="s">
        <v>309</v>
      </c>
      <c r="D338" s="244">
        <v>25111</v>
      </c>
      <c r="E338" s="244" t="s">
        <v>205</v>
      </c>
      <c r="F338" s="244"/>
      <c r="G338" s="247"/>
      <c r="H338" s="244"/>
      <c r="I338" s="248" t="s">
        <v>81</v>
      </c>
      <c r="J338" s="244">
        <v>1000</v>
      </c>
      <c r="K338" s="248" t="s">
        <v>207</v>
      </c>
      <c r="L338" s="228" t="s">
        <v>222</v>
      </c>
    </row>
    <row r="339" spans="1:12" x14ac:dyDescent="0.25">
      <c r="A339" s="244" t="str">
        <f t="shared" si="11"/>
        <v>14032026-TK122-1</v>
      </c>
      <c r="B339" s="245">
        <v>46095</v>
      </c>
      <c r="C339" s="244" t="s">
        <v>314</v>
      </c>
      <c r="D339" s="244">
        <v>27507</v>
      </c>
      <c r="E339" s="244" t="s">
        <v>205</v>
      </c>
      <c r="F339" s="244"/>
      <c r="G339" s="247"/>
      <c r="H339" s="244"/>
      <c r="I339" s="248" t="s">
        <v>81</v>
      </c>
      <c r="J339" s="244">
        <v>500</v>
      </c>
      <c r="K339" s="248" t="s">
        <v>207</v>
      </c>
      <c r="L339" s="228" t="s">
        <v>222</v>
      </c>
    </row>
    <row r="340" spans="1:12" x14ac:dyDescent="0.25">
      <c r="A340" s="244" t="str">
        <f t="shared" si="11"/>
        <v>22032026-TK124-3</v>
      </c>
      <c r="B340" s="245">
        <v>46103</v>
      </c>
      <c r="C340" s="244" t="s">
        <v>246</v>
      </c>
      <c r="D340" s="244">
        <v>27014</v>
      </c>
      <c r="E340" s="244" t="s">
        <v>206</v>
      </c>
      <c r="F340" s="244"/>
      <c r="G340" s="247"/>
      <c r="H340" s="244"/>
      <c r="I340" s="248" t="s">
        <v>268</v>
      </c>
      <c r="J340" s="244">
        <v>1000</v>
      </c>
      <c r="K340" s="248" t="s">
        <v>207</v>
      </c>
      <c r="L340" s="228" t="s">
        <v>222</v>
      </c>
    </row>
    <row r="341" spans="1:12" x14ac:dyDescent="0.25">
      <c r="A341" s="244" t="str">
        <f t="shared" si="11"/>
        <v>20032026-GR014-1</v>
      </c>
      <c r="B341" s="245">
        <v>46101</v>
      </c>
      <c r="C341" s="244" t="s">
        <v>261</v>
      </c>
      <c r="D341" s="244">
        <v>1037</v>
      </c>
      <c r="E341" s="244" t="s">
        <v>205</v>
      </c>
      <c r="F341" s="244"/>
      <c r="G341" s="247"/>
      <c r="H341" s="244"/>
      <c r="I341" s="248" t="s">
        <v>81</v>
      </c>
      <c r="J341" s="244">
        <v>1000</v>
      </c>
      <c r="K341" s="248" t="s">
        <v>207</v>
      </c>
      <c r="L341" s="228" t="s">
        <v>222</v>
      </c>
    </row>
    <row r="342" spans="1:12" x14ac:dyDescent="0.25">
      <c r="A342" s="244" t="str">
        <f t="shared" si="11"/>
        <v>19032026-TK106-1</v>
      </c>
      <c r="B342" s="245">
        <v>46100</v>
      </c>
      <c r="C342" s="244" t="s">
        <v>242</v>
      </c>
      <c r="D342" s="244">
        <v>29541</v>
      </c>
      <c r="E342" s="244" t="s">
        <v>205</v>
      </c>
      <c r="F342" s="244"/>
      <c r="G342" s="247"/>
      <c r="H342" s="244"/>
      <c r="I342" s="248" t="s">
        <v>81</v>
      </c>
      <c r="J342" s="244">
        <v>500</v>
      </c>
      <c r="K342" s="248" t="s">
        <v>207</v>
      </c>
      <c r="L342" s="228" t="s">
        <v>222</v>
      </c>
    </row>
    <row r="343" spans="1:12" x14ac:dyDescent="0.25">
      <c r="A343" s="244" t="str">
        <f t="shared" si="11"/>
        <v>19032026-TK106-2</v>
      </c>
      <c r="B343" s="245">
        <v>46100</v>
      </c>
      <c r="C343" s="244" t="s">
        <v>242</v>
      </c>
      <c r="D343" s="244">
        <v>29541</v>
      </c>
      <c r="E343" s="244" t="s">
        <v>210</v>
      </c>
      <c r="F343" s="244"/>
      <c r="G343" s="247"/>
      <c r="H343" s="244"/>
      <c r="I343" s="248" t="s">
        <v>82</v>
      </c>
      <c r="J343" s="244">
        <v>500</v>
      </c>
      <c r="K343" s="248" t="s">
        <v>217</v>
      </c>
      <c r="L343" s="228" t="s">
        <v>222</v>
      </c>
    </row>
    <row r="344" spans="1:12" x14ac:dyDescent="0.25">
      <c r="A344" s="244" t="str">
        <f t="shared" si="11"/>
        <v>15032026-DZ006-1</v>
      </c>
      <c r="B344" s="245">
        <v>46096</v>
      </c>
      <c r="C344" s="244" t="s">
        <v>252</v>
      </c>
      <c r="D344" s="244">
        <v>25504</v>
      </c>
      <c r="E344" s="244" t="s">
        <v>205</v>
      </c>
      <c r="F344" s="244"/>
      <c r="G344" s="247"/>
      <c r="H344" s="244"/>
      <c r="I344" s="248" t="s">
        <v>81</v>
      </c>
      <c r="J344" s="244">
        <v>500</v>
      </c>
      <c r="K344" s="248" t="s">
        <v>207</v>
      </c>
      <c r="L344" s="228" t="s">
        <v>222</v>
      </c>
    </row>
    <row r="345" spans="1:12" x14ac:dyDescent="0.25">
      <c r="A345" s="244" t="str">
        <f t="shared" si="11"/>
        <v>19032026-DZ007-3</v>
      </c>
      <c r="B345" s="245">
        <v>46100</v>
      </c>
      <c r="C345" s="244" t="s">
        <v>328</v>
      </c>
      <c r="D345" s="244">
        <v>23012</v>
      </c>
      <c r="E345" s="244" t="s">
        <v>206</v>
      </c>
      <c r="F345" s="244"/>
      <c r="G345" s="247"/>
      <c r="H345" s="244"/>
      <c r="I345" s="248" t="s">
        <v>268</v>
      </c>
      <c r="J345" s="244">
        <v>1000</v>
      </c>
      <c r="K345" s="248" t="s">
        <v>217</v>
      </c>
      <c r="L345" s="228" t="s">
        <v>222</v>
      </c>
    </row>
    <row r="346" spans="1:12" x14ac:dyDescent="0.25">
      <c r="A346" s="244" t="str">
        <f t="shared" si="11"/>
        <v>05042026-TK147-2</v>
      </c>
      <c r="B346" s="245">
        <v>46117</v>
      </c>
      <c r="C346" s="244" t="s">
        <v>318</v>
      </c>
      <c r="D346" s="244">
        <v>4890</v>
      </c>
      <c r="E346" s="244" t="s">
        <v>210</v>
      </c>
      <c r="F346" s="244"/>
      <c r="G346" s="247"/>
      <c r="H346" s="244"/>
      <c r="I346" s="248" t="s">
        <v>82</v>
      </c>
      <c r="J346" s="244">
        <v>1000</v>
      </c>
      <c r="K346" s="248" t="s">
        <v>207</v>
      </c>
      <c r="L346" s="228" t="s">
        <v>222</v>
      </c>
    </row>
    <row r="347" spans="1:12" x14ac:dyDescent="0.25">
      <c r="A347" s="244" t="str">
        <f t="shared" si="11"/>
        <v>14042026-DZ007-2</v>
      </c>
      <c r="B347" s="245">
        <v>46126</v>
      </c>
      <c r="C347" s="244" t="s">
        <v>328</v>
      </c>
      <c r="D347" s="244">
        <v>23552</v>
      </c>
      <c r="E347" s="244" t="s">
        <v>210</v>
      </c>
      <c r="F347" s="244"/>
      <c r="G347" s="247"/>
      <c r="H347" s="244"/>
      <c r="I347" s="248" t="s">
        <v>82</v>
      </c>
      <c r="J347" s="244">
        <v>500</v>
      </c>
      <c r="K347" s="248" t="s">
        <v>217</v>
      </c>
      <c r="L347" s="228" t="s">
        <v>222</v>
      </c>
    </row>
    <row r="348" spans="1:12" x14ac:dyDescent="0.25">
      <c r="A348" s="244" t="str">
        <f t="shared" si="11"/>
        <v>20032026-TK143-2</v>
      </c>
      <c r="B348" s="245">
        <v>46101</v>
      </c>
      <c r="C348" s="244" t="s">
        <v>329</v>
      </c>
      <c r="D348" s="244">
        <v>16034</v>
      </c>
      <c r="E348" s="244" t="s">
        <v>210</v>
      </c>
      <c r="F348" s="244"/>
      <c r="G348" s="247"/>
      <c r="H348" s="244"/>
      <c r="I348" s="248" t="s">
        <v>82</v>
      </c>
      <c r="J348" s="244">
        <v>8000</v>
      </c>
      <c r="K348" s="248" t="s">
        <v>207</v>
      </c>
      <c r="L348" s="228" t="s">
        <v>222</v>
      </c>
    </row>
    <row r="349" spans="1:12" x14ac:dyDescent="0.25">
      <c r="A349" s="244" t="str">
        <f t="shared" ref="A349:A391" si="12">TEXT(DAY(B349),"00")&amp;TEXT(MONTH(B349),"00")&amp;YEAR(B349)&amp;"-"&amp;C349&amp;"-"&amp;LEFT(E349,SEARCH(" ",E349&amp;" ")-1)</f>
        <v>20032026-GR014-3</v>
      </c>
      <c r="B349" s="245">
        <v>46101</v>
      </c>
      <c r="C349" s="244" t="s">
        <v>261</v>
      </c>
      <c r="D349" s="244">
        <v>1037</v>
      </c>
      <c r="E349" s="244" t="s">
        <v>206</v>
      </c>
      <c r="F349" s="244"/>
      <c r="G349" s="247"/>
      <c r="H349" s="244"/>
      <c r="I349" s="248" t="s">
        <v>268</v>
      </c>
      <c r="J349" s="244">
        <v>1000</v>
      </c>
      <c r="K349" s="248" t="s">
        <v>217</v>
      </c>
      <c r="L349" s="228" t="s">
        <v>222</v>
      </c>
    </row>
    <row r="350" spans="1:12" x14ac:dyDescent="0.25">
      <c r="A350" s="244" t="str">
        <f t="shared" si="12"/>
        <v>20032026-TK143-1</v>
      </c>
      <c r="B350" s="245">
        <v>46101</v>
      </c>
      <c r="C350" s="244" t="s">
        <v>329</v>
      </c>
      <c r="D350" s="244">
        <v>16034</v>
      </c>
      <c r="E350" s="244" t="s">
        <v>205</v>
      </c>
      <c r="F350" s="244"/>
      <c r="G350" s="247"/>
      <c r="H350" s="244"/>
      <c r="I350" s="248" t="s">
        <v>81</v>
      </c>
      <c r="J350" s="244">
        <v>8000</v>
      </c>
      <c r="K350" s="248" t="s">
        <v>207</v>
      </c>
      <c r="L350" s="228" t="s">
        <v>222</v>
      </c>
    </row>
    <row r="351" spans="1:12" x14ac:dyDescent="0.25">
      <c r="A351" s="244" t="str">
        <f t="shared" si="12"/>
        <v>19032026-DZ007-1</v>
      </c>
      <c r="B351" s="245">
        <v>46100</v>
      </c>
      <c r="C351" s="244" t="s">
        <v>328</v>
      </c>
      <c r="D351" s="244">
        <v>23012</v>
      </c>
      <c r="E351" s="244" t="s">
        <v>205</v>
      </c>
      <c r="F351" s="244"/>
      <c r="G351" s="247"/>
      <c r="H351" s="244"/>
      <c r="I351" s="248" t="s">
        <v>81</v>
      </c>
      <c r="J351" s="244">
        <v>1000</v>
      </c>
      <c r="K351" s="248" t="s">
        <v>207</v>
      </c>
      <c r="L351" s="228" t="s">
        <v>222</v>
      </c>
    </row>
    <row r="352" spans="1:12" x14ac:dyDescent="0.25">
      <c r="A352" s="244" t="str">
        <f t="shared" si="12"/>
        <v>20032026-TK143-3</v>
      </c>
      <c r="B352" s="245">
        <v>46101</v>
      </c>
      <c r="C352" s="244" t="s">
        <v>329</v>
      </c>
      <c r="D352" s="244">
        <v>16034</v>
      </c>
      <c r="E352" s="244" t="s">
        <v>206</v>
      </c>
      <c r="F352" s="244"/>
      <c r="G352" s="247"/>
      <c r="H352" s="244"/>
      <c r="I352" s="248" t="s">
        <v>268</v>
      </c>
      <c r="J352" s="244">
        <v>8000</v>
      </c>
      <c r="K352" s="248" t="s">
        <v>207</v>
      </c>
      <c r="L352" s="228" t="s">
        <v>222</v>
      </c>
    </row>
    <row r="353" spans="1:12" x14ac:dyDescent="0.25">
      <c r="A353" s="244" t="str">
        <f t="shared" si="12"/>
        <v>21032026-TK108-1</v>
      </c>
      <c r="B353" s="245">
        <v>46102</v>
      </c>
      <c r="C353" s="244" t="s">
        <v>330</v>
      </c>
      <c r="D353" s="244">
        <v>33053</v>
      </c>
      <c r="E353" s="244" t="s">
        <v>205</v>
      </c>
      <c r="F353" s="244"/>
      <c r="G353" s="247"/>
      <c r="H353" s="244"/>
      <c r="I353" s="248" t="s">
        <v>81</v>
      </c>
      <c r="J353" s="244">
        <v>1000</v>
      </c>
      <c r="K353" s="248" t="s">
        <v>207</v>
      </c>
      <c r="L353" s="228" t="s">
        <v>222</v>
      </c>
    </row>
    <row r="354" spans="1:12" x14ac:dyDescent="0.25">
      <c r="A354" s="244" t="str">
        <f t="shared" si="12"/>
        <v>21032026-TK108-2</v>
      </c>
      <c r="B354" s="245">
        <v>46102</v>
      </c>
      <c r="C354" s="244" t="s">
        <v>330</v>
      </c>
      <c r="D354" s="244">
        <v>33053</v>
      </c>
      <c r="E354" s="244" t="s">
        <v>210</v>
      </c>
      <c r="F354" s="244"/>
      <c r="G354" s="247"/>
      <c r="H354" s="244"/>
      <c r="I354" s="248" t="s">
        <v>82</v>
      </c>
      <c r="J354" s="244">
        <v>1000</v>
      </c>
      <c r="K354" s="248" t="s">
        <v>217</v>
      </c>
      <c r="L354" s="228" t="s">
        <v>222</v>
      </c>
    </row>
    <row r="355" spans="1:12" x14ac:dyDescent="0.25">
      <c r="A355" s="244" t="str">
        <f t="shared" si="12"/>
        <v>21032026-TK108-3</v>
      </c>
      <c r="B355" s="245">
        <v>46102</v>
      </c>
      <c r="C355" s="244" t="s">
        <v>330</v>
      </c>
      <c r="D355" s="244">
        <v>33053</v>
      </c>
      <c r="E355" s="244" t="s">
        <v>206</v>
      </c>
      <c r="F355" s="244"/>
      <c r="G355" s="247"/>
      <c r="H355" s="244"/>
      <c r="I355" s="248" t="s">
        <v>268</v>
      </c>
      <c r="J355" s="244">
        <v>1000</v>
      </c>
      <c r="K355" s="248" t="s">
        <v>217</v>
      </c>
      <c r="L355" s="228" t="s">
        <v>222</v>
      </c>
    </row>
    <row r="356" spans="1:12" x14ac:dyDescent="0.25">
      <c r="A356" s="244" t="str">
        <f t="shared" si="12"/>
        <v>17032026-TK154-1</v>
      </c>
      <c r="B356" s="245">
        <v>46098</v>
      </c>
      <c r="C356" s="244" t="s">
        <v>248</v>
      </c>
      <c r="D356" s="244">
        <v>3587</v>
      </c>
      <c r="E356" s="244" t="s">
        <v>205</v>
      </c>
      <c r="F356" s="244"/>
      <c r="G356" s="247"/>
      <c r="H356" s="244"/>
      <c r="I356" s="248" t="s">
        <v>81</v>
      </c>
      <c r="J356" s="244">
        <v>500</v>
      </c>
      <c r="K356" s="248" t="s">
        <v>207</v>
      </c>
      <c r="L356" s="228" t="s">
        <v>222</v>
      </c>
    </row>
    <row r="357" spans="1:12" x14ac:dyDescent="0.25">
      <c r="A357" s="244" t="str">
        <f t="shared" si="12"/>
        <v>19032026-TK106-3</v>
      </c>
      <c r="B357" s="245">
        <v>46100</v>
      </c>
      <c r="C357" s="244" t="s">
        <v>242</v>
      </c>
      <c r="D357" s="244">
        <v>29541</v>
      </c>
      <c r="E357" s="244" t="s">
        <v>206</v>
      </c>
      <c r="F357" s="244"/>
      <c r="G357" s="247"/>
      <c r="H357" s="244"/>
      <c r="I357" s="248" t="s">
        <v>268</v>
      </c>
      <c r="J357" s="244">
        <v>500</v>
      </c>
      <c r="K357" s="248" t="s">
        <v>217</v>
      </c>
      <c r="L357" s="228" t="s">
        <v>222</v>
      </c>
    </row>
    <row r="358" spans="1:12" x14ac:dyDescent="0.25">
      <c r="A358" s="244" t="str">
        <f t="shared" si="12"/>
        <v>11042026-LD005-3</v>
      </c>
      <c r="B358" s="245">
        <v>46123</v>
      </c>
      <c r="C358" s="244" t="s">
        <v>253</v>
      </c>
      <c r="D358" s="244">
        <v>19026</v>
      </c>
      <c r="E358" s="244" t="s">
        <v>206</v>
      </c>
      <c r="F358" s="244"/>
      <c r="G358" s="247"/>
      <c r="H358" s="244"/>
      <c r="I358" s="248" t="s">
        <v>268</v>
      </c>
      <c r="J358" s="244">
        <v>1000</v>
      </c>
      <c r="K358" s="248" t="s">
        <v>217</v>
      </c>
      <c r="L358" s="228" t="s">
        <v>222</v>
      </c>
    </row>
    <row r="359" spans="1:12" x14ac:dyDescent="0.25">
      <c r="A359" s="244" t="str">
        <f t="shared" si="12"/>
        <v>22032026-TK124-2</v>
      </c>
      <c r="B359" s="245">
        <v>46103</v>
      </c>
      <c r="C359" s="244" t="s">
        <v>246</v>
      </c>
      <c r="D359" s="244">
        <v>27014</v>
      </c>
      <c r="E359" s="244" t="s">
        <v>210</v>
      </c>
      <c r="F359" s="244"/>
      <c r="G359" s="247"/>
      <c r="H359" s="244"/>
      <c r="I359" s="248" t="s">
        <v>82</v>
      </c>
      <c r="J359" s="244">
        <v>1000</v>
      </c>
      <c r="K359" s="248" t="s">
        <v>207</v>
      </c>
      <c r="L359" s="228" t="s">
        <v>222</v>
      </c>
    </row>
    <row r="360" spans="1:12" x14ac:dyDescent="0.25">
      <c r="A360" s="244" t="str">
        <f t="shared" si="12"/>
        <v>23032026-DZ006-2</v>
      </c>
      <c r="B360" s="245">
        <v>46104</v>
      </c>
      <c r="C360" s="244" t="s">
        <v>252</v>
      </c>
      <c r="D360" s="244">
        <v>25668</v>
      </c>
      <c r="E360" s="244" t="s">
        <v>210</v>
      </c>
      <c r="F360" s="244"/>
      <c r="G360" s="247"/>
      <c r="H360" s="244"/>
      <c r="I360" s="248" t="s">
        <v>82</v>
      </c>
      <c r="J360" s="244">
        <v>500</v>
      </c>
      <c r="K360" s="248" t="s">
        <v>217</v>
      </c>
      <c r="L360" s="228" t="s">
        <v>222</v>
      </c>
    </row>
    <row r="361" spans="1:12" x14ac:dyDescent="0.25">
      <c r="A361" s="244" t="str">
        <f t="shared" si="12"/>
        <v>19032026-DZ007-2</v>
      </c>
      <c r="B361" s="245">
        <v>46100</v>
      </c>
      <c r="C361" s="244" t="s">
        <v>328</v>
      </c>
      <c r="D361" s="244">
        <v>23012</v>
      </c>
      <c r="E361" s="244" t="s">
        <v>210</v>
      </c>
      <c r="F361" s="244"/>
      <c r="G361" s="247"/>
      <c r="H361" s="244"/>
      <c r="I361" s="248" t="s">
        <v>82</v>
      </c>
      <c r="J361" s="244">
        <v>1000</v>
      </c>
      <c r="K361" s="248" t="s">
        <v>207</v>
      </c>
      <c r="L361" s="228" t="s">
        <v>222</v>
      </c>
    </row>
    <row r="362" spans="1:12" x14ac:dyDescent="0.25">
      <c r="A362" s="244" t="str">
        <f t="shared" si="12"/>
        <v>18032026-TK150-1</v>
      </c>
      <c r="B362" s="245">
        <v>46099</v>
      </c>
      <c r="C362" s="244" t="s">
        <v>281</v>
      </c>
      <c r="D362" s="244">
        <v>5485</v>
      </c>
      <c r="E362" s="244" t="s">
        <v>205</v>
      </c>
      <c r="F362" s="244"/>
      <c r="G362" s="247"/>
      <c r="H362" s="244"/>
      <c r="I362" s="248" t="s">
        <v>81</v>
      </c>
      <c r="J362" s="244">
        <v>500</v>
      </c>
      <c r="K362" s="248" t="s">
        <v>207</v>
      </c>
      <c r="L362" s="228" t="s">
        <v>222</v>
      </c>
    </row>
    <row r="363" spans="1:12" x14ac:dyDescent="0.25">
      <c r="A363" s="244" t="str">
        <f t="shared" si="12"/>
        <v>11042026-LD005-1</v>
      </c>
      <c r="B363" s="245">
        <v>46123</v>
      </c>
      <c r="C363" s="244" t="s">
        <v>253</v>
      </c>
      <c r="D363" s="244">
        <v>19026</v>
      </c>
      <c r="E363" s="244" t="s">
        <v>205</v>
      </c>
      <c r="F363" s="244"/>
      <c r="G363" s="247"/>
      <c r="H363" s="244"/>
      <c r="I363" s="248" t="s">
        <v>81</v>
      </c>
      <c r="J363" s="244">
        <v>1000</v>
      </c>
      <c r="K363" s="248" t="s">
        <v>207</v>
      </c>
      <c r="L363" s="228" t="s">
        <v>222</v>
      </c>
    </row>
    <row r="364" spans="1:12" x14ac:dyDescent="0.25">
      <c r="A364" s="244" t="str">
        <f t="shared" si="12"/>
        <v>23032026-DZ006-1</v>
      </c>
      <c r="B364" s="245">
        <v>46104</v>
      </c>
      <c r="C364" s="244" t="s">
        <v>252</v>
      </c>
      <c r="D364" s="244">
        <v>25668</v>
      </c>
      <c r="E364" s="244" t="s">
        <v>205</v>
      </c>
      <c r="F364" s="244"/>
      <c r="G364" s="247"/>
      <c r="H364" s="244"/>
      <c r="I364" s="248" t="s">
        <v>81</v>
      </c>
      <c r="J364" s="244">
        <v>500</v>
      </c>
      <c r="K364" s="248" t="s">
        <v>207</v>
      </c>
      <c r="L364" s="228" t="s">
        <v>222</v>
      </c>
    </row>
    <row r="365" spans="1:12" x14ac:dyDescent="0.25">
      <c r="A365" s="244" t="str">
        <f t="shared" si="12"/>
        <v>06042026-GR004-3</v>
      </c>
      <c r="B365" s="245">
        <v>46118</v>
      </c>
      <c r="C365" s="244" t="s">
        <v>326</v>
      </c>
      <c r="D365" s="244">
        <v>21052</v>
      </c>
      <c r="E365" s="244" t="s">
        <v>206</v>
      </c>
      <c r="F365" s="244"/>
      <c r="G365" s="247"/>
      <c r="H365" s="244"/>
      <c r="I365" s="248" t="s">
        <v>268</v>
      </c>
      <c r="J365" s="244">
        <v>1000</v>
      </c>
      <c r="K365" s="248" t="s">
        <v>217</v>
      </c>
      <c r="L365" s="228" t="s">
        <v>222</v>
      </c>
    </row>
    <row r="366" spans="1:12" x14ac:dyDescent="0.25">
      <c r="A366" s="244" t="str">
        <f t="shared" si="12"/>
        <v>20032026-GR014-2</v>
      </c>
      <c r="B366" s="245">
        <v>46101</v>
      </c>
      <c r="C366" s="244" t="s">
        <v>261</v>
      </c>
      <c r="D366" s="244">
        <v>1037</v>
      </c>
      <c r="E366" s="244" t="s">
        <v>210</v>
      </c>
      <c r="F366" s="244"/>
      <c r="G366" s="247"/>
      <c r="H366" s="244"/>
      <c r="I366" s="248" t="s">
        <v>82</v>
      </c>
      <c r="J366" s="244">
        <v>1000</v>
      </c>
      <c r="K366" s="248" t="s">
        <v>207</v>
      </c>
      <c r="L366" s="228" t="s">
        <v>222</v>
      </c>
    </row>
    <row r="367" spans="1:12" x14ac:dyDescent="0.25">
      <c r="A367" s="244" t="str">
        <f t="shared" si="12"/>
        <v>23032026-DZ006-3</v>
      </c>
      <c r="B367" s="245">
        <v>46104</v>
      </c>
      <c r="C367" s="244" t="s">
        <v>252</v>
      </c>
      <c r="D367" s="244">
        <v>25668</v>
      </c>
      <c r="E367" s="244" t="s">
        <v>206</v>
      </c>
      <c r="F367" s="244"/>
      <c r="G367" s="247"/>
      <c r="H367" s="244"/>
      <c r="I367" s="248" t="s">
        <v>268</v>
      </c>
      <c r="J367" s="244">
        <v>500</v>
      </c>
      <c r="K367" s="248" t="s">
        <v>217</v>
      </c>
      <c r="L367" s="228" t="s">
        <v>222</v>
      </c>
    </row>
    <row r="368" spans="1:12" x14ac:dyDescent="0.25">
      <c r="A368" s="244" t="str">
        <f t="shared" si="12"/>
        <v>18032026-TK150-2</v>
      </c>
      <c r="B368" s="245">
        <v>46099</v>
      </c>
      <c r="C368" s="244" t="s">
        <v>281</v>
      </c>
      <c r="D368" s="244">
        <v>5485</v>
      </c>
      <c r="E368" s="244" t="s">
        <v>210</v>
      </c>
      <c r="F368" s="244"/>
      <c r="G368" s="247"/>
      <c r="H368" s="244"/>
      <c r="I368" s="248" t="s">
        <v>82</v>
      </c>
      <c r="J368" s="244">
        <v>500</v>
      </c>
      <c r="K368" s="248" t="s">
        <v>217</v>
      </c>
      <c r="L368" s="228" t="s">
        <v>222</v>
      </c>
    </row>
    <row r="369" spans="1:12" x14ac:dyDescent="0.25">
      <c r="A369" s="244" t="str">
        <f t="shared" si="12"/>
        <v>22032026-TK124-1</v>
      </c>
      <c r="B369" s="245">
        <v>46103</v>
      </c>
      <c r="C369" s="244" t="s">
        <v>246</v>
      </c>
      <c r="D369" s="244">
        <v>27014</v>
      </c>
      <c r="E369" s="244" t="s">
        <v>205</v>
      </c>
      <c r="F369" s="244"/>
      <c r="G369" s="247"/>
      <c r="H369" s="244"/>
      <c r="I369" s="248" t="s">
        <v>81</v>
      </c>
      <c r="J369" s="244">
        <v>1000</v>
      </c>
      <c r="K369" s="248" t="s">
        <v>207</v>
      </c>
      <c r="L369" s="228" t="s">
        <v>222</v>
      </c>
    </row>
    <row r="370" spans="1:12" x14ac:dyDescent="0.25">
      <c r="A370" s="244" t="str">
        <f t="shared" si="12"/>
        <v>14042026-DZ007-1</v>
      </c>
      <c r="B370" s="245">
        <v>46126</v>
      </c>
      <c r="C370" s="244" t="s">
        <v>328</v>
      </c>
      <c r="D370" s="244">
        <v>23552</v>
      </c>
      <c r="E370" s="244" t="s">
        <v>205</v>
      </c>
      <c r="F370" s="244"/>
      <c r="G370" s="247"/>
      <c r="H370" s="244"/>
      <c r="I370" s="248" t="s">
        <v>81</v>
      </c>
      <c r="J370" s="244">
        <v>500</v>
      </c>
      <c r="K370" s="248" t="s">
        <v>207</v>
      </c>
      <c r="L370" s="228" t="s">
        <v>222</v>
      </c>
    </row>
    <row r="371" spans="1:12" x14ac:dyDescent="0.25">
      <c r="A371" s="244" t="str">
        <f t="shared" si="12"/>
        <v>06042026-GR004-1</v>
      </c>
      <c r="B371" s="245">
        <v>46118</v>
      </c>
      <c r="C371" s="244" t="s">
        <v>326</v>
      </c>
      <c r="D371" s="244">
        <v>21052</v>
      </c>
      <c r="E371" s="244" t="s">
        <v>205</v>
      </c>
      <c r="F371" s="244"/>
      <c r="G371" s="247"/>
      <c r="H371" s="244"/>
      <c r="I371" s="248" t="s">
        <v>81</v>
      </c>
      <c r="J371" s="244">
        <v>1000</v>
      </c>
      <c r="K371" s="248" t="s">
        <v>207</v>
      </c>
      <c r="L371" s="228" t="s">
        <v>222</v>
      </c>
    </row>
    <row r="372" spans="1:12" x14ac:dyDescent="0.25">
      <c r="A372" s="244" t="str">
        <f t="shared" si="12"/>
        <v>06042026-GR004-2</v>
      </c>
      <c r="B372" s="245">
        <v>46118</v>
      </c>
      <c r="C372" s="244" t="s">
        <v>326</v>
      </c>
      <c r="D372" s="244">
        <v>21052</v>
      </c>
      <c r="E372" s="244" t="s">
        <v>210</v>
      </c>
      <c r="F372" s="244"/>
      <c r="G372" s="247"/>
      <c r="H372" s="244"/>
      <c r="I372" s="248" t="s">
        <v>82</v>
      </c>
      <c r="J372" s="244">
        <v>1000</v>
      </c>
      <c r="K372" s="248" t="s">
        <v>207</v>
      </c>
      <c r="L372" s="228" t="s">
        <v>222</v>
      </c>
    </row>
    <row r="373" spans="1:12" x14ac:dyDescent="0.25">
      <c r="A373" s="244" t="str">
        <f t="shared" si="12"/>
        <v>11042026-LD005-2</v>
      </c>
      <c r="B373" s="245">
        <v>46123</v>
      </c>
      <c r="C373" s="244" t="s">
        <v>253</v>
      </c>
      <c r="D373" s="244">
        <v>19026</v>
      </c>
      <c r="E373" s="244" t="s">
        <v>210</v>
      </c>
      <c r="F373" s="244"/>
      <c r="G373" s="247"/>
      <c r="H373" s="244"/>
      <c r="I373" s="248" t="s">
        <v>82</v>
      </c>
      <c r="J373" s="244">
        <v>1000</v>
      </c>
      <c r="K373" s="248" t="s">
        <v>207</v>
      </c>
      <c r="L373" s="228" t="s">
        <v>222</v>
      </c>
    </row>
    <row r="374" spans="1:12" x14ac:dyDescent="0.25">
      <c r="A374" s="244" t="str">
        <f t="shared" si="12"/>
        <v>05042026-TK147-1</v>
      </c>
      <c r="B374" s="245">
        <v>46117</v>
      </c>
      <c r="C374" s="244" t="s">
        <v>318</v>
      </c>
      <c r="D374" s="244">
        <v>4890</v>
      </c>
      <c r="E374" s="244" t="s">
        <v>205</v>
      </c>
      <c r="F374" s="244"/>
      <c r="G374" s="247"/>
      <c r="H374" s="244"/>
      <c r="I374" s="248" t="s">
        <v>81</v>
      </c>
      <c r="J374" s="244">
        <v>1000</v>
      </c>
      <c r="K374" s="248" t="s">
        <v>207</v>
      </c>
      <c r="L374" s="228" t="s">
        <v>222</v>
      </c>
    </row>
    <row r="375" spans="1:12" x14ac:dyDescent="0.25">
      <c r="A375" s="244" t="str">
        <f t="shared" si="12"/>
        <v>05042026-TK147-3</v>
      </c>
      <c r="B375" s="245">
        <v>46117</v>
      </c>
      <c r="C375" s="244" t="s">
        <v>318</v>
      </c>
      <c r="D375" s="244">
        <v>4890</v>
      </c>
      <c r="E375" s="244" t="s">
        <v>206</v>
      </c>
      <c r="F375" s="244"/>
      <c r="G375" s="247"/>
      <c r="H375" s="244"/>
      <c r="I375" s="248" t="s">
        <v>268</v>
      </c>
      <c r="J375" s="244">
        <v>1000</v>
      </c>
      <c r="K375" s="248" t="s">
        <v>217</v>
      </c>
      <c r="L375" s="228" t="s">
        <v>222</v>
      </c>
    </row>
    <row r="376" spans="1:12" x14ac:dyDescent="0.25">
      <c r="A376" s="244" t="str">
        <f t="shared" si="12"/>
        <v>14042026-EX002-1</v>
      </c>
      <c r="B376" s="245">
        <v>46126</v>
      </c>
      <c r="C376" s="244" t="s">
        <v>331</v>
      </c>
      <c r="D376" s="244">
        <v>28498</v>
      </c>
      <c r="E376" s="244" t="s">
        <v>205</v>
      </c>
      <c r="F376" s="244"/>
      <c r="G376" s="247"/>
      <c r="H376" s="244"/>
      <c r="I376" s="248" t="s">
        <v>81</v>
      </c>
      <c r="J376" s="244">
        <v>500</v>
      </c>
      <c r="K376" s="248" t="s">
        <v>207</v>
      </c>
      <c r="L376" s="228" t="s">
        <v>222</v>
      </c>
    </row>
    <row r="377" spans="1:12" x14ac:dyDescent="0.25">
      <c r="A377" s="244" t="str">
        <f t="shared" si="12"/>
        <v>14042026-EX002-3</v>
      </c>
      <c r="B377" s="245">
        <v>46126</v>
      </c>
      <c r="C377" s="244" t="s">
        <v>331</v>
      </c>
      <c r="D377" s="244">
        <v>28498</v>
      </c>
      <c r="E377" s="244" t="s">
        <v>206</v>
      </c>
      <c r="F377" s="244"/>
      <c r="G377" s="247"/>
      <c r="H377" s="244"/>
      <c r="I377" s="248" t="s">
        <v>268</v>
      </c>
      <c r="J377" s="244">
        <v>500</v>
      </c>
      <c r="K377" s="248" t="s">
        <v>217</v>
      </c>
      <c r="L377" s="228" t="s">
        <v>222</v>
      </c>
    </row>
    <row r="378" spans="1:12" x14ac:dyDescent="0.25">
      <c r="A378" s="244" t="str">
        <f t="shared" si="12"/>
        <v>07042026-SN001-1</v>
      </c>
      <c r="B378" s="245">
        <v>46119</v>
      </c>
      <c r="C378" s="244" t="s">
        <v>270</v>
      </c>
      <c r="D378" s="244">
        <v>32600</v>
      </c>
      <c r="E378" s="244" t="s">
        <v>205</v>
      </c>
      <c r="F378" s="244"/>
      <c r="G378" s="247"/>
      <c r="H378" s="244"/>
      <c r="I378" s="248" t="s">
        <v>81</v>
      </c>
      <c r="J378" s="244">
        <v>500</v>
      </c>
      <c r="K378" s="248" t="s">
        <v>207</v>
      </c>
      <c r="L378" s="228" t="s">
        <v>222</v>
      </c>
    </row>
    <row r="379" spans="1:12" x14ac:dyDescent="0.25">
      <c r="A379" s="244" t="str">
        <f t="shared" si="12"/>
        <v>07042026-SN001-3</v>
      </c>
      <c r="B379" s="245">
        <v>46119</v>
      </c>
      <c r="C379" s="244" t="s">
        <v>270</v>
      </c>
      <c r="D379" s="244">
        <v>32600</v>
      </c>
      <c r="E379" s="244" t="s">
        <v>206</v>
      </c>
      <c r="F379" s="244"/>
      <c r="G379" s="247"/>
      <c r="H379" s="244"/>
      <c r="I379" s="248" t="s">
        <v>268</v>
      </c>
      <c r="J379" s="244">
        <v>500</v>
      </c>
      <c r="K379" s="248" t="s">
        <v>217</v>
      </c>
      <c r="L379" s="228" t="s">
        <v>222</v>
      </c>
    </row>
    <row r="380" spans="1:12" x14ac:dyDescent="0.25">
      <c r="A380" s="244" t="str">
        <f t="shared" si="12"/>
        <v>07042026-CR004-1</v>
      </c>
      <c r="B380" s="245">
        <v>46119</v>
      </c>
      <c r="C380" s="244" t="s">
        <v>332</v>
      </c>
      <c r="D380" s="244">
        <v>23305</v>
      </c>
      <c r="E380" s="244" t="s">
        <v>205</v>
      </c>
      <c r="F380" s="244"/>
      <c r="G380" s="247"/>
      <c r="H380" s="244"/>
      <c r="I380" s="248" t="s">
        <v>81</v>
      </c>
      <c r="J380" s="244">
        <v>500</v>
      </c>
      <c r="K380" s="248" t="s">
        <v>207</v>
      </c>
      <c r="L380" s="228" t="s">
        <v>222</v>
      </c>
    </row>
    <row r="381" spans="1:12" x14ac:dyDescent="0.25">
      <c r="A381" s="244" t="str">
        <f t="shared" si="12"/>
        <v>07042026-CR004-3</v>
      </c>
      <c r="B381" s="245">
        <v>46119</v>
      </c>
      <c r="C381" s="244" t="s">
        <v>332</v>
      </c>
      <c r="D381" s="244">
        <v>23305</v>
      </c>
      <c r="E381" s="244" t="s">
        <v>206</v>
      </c>
      <c r="F381" s="244"/>
      <c r="G381" s="247"/>
      <c r="H381" s="244"/>
      <c r="I381" s="248" t="s">
        <v>268</v>
      </c>
      <c r="J381" s="244">
        <v>500</v>
      </c>
      <c r="K381" s="248" t="s">
        <v>217</v>
      </c>
      <c r="L381" s="228" t="s">
        <v>222</v>
      </c>
    </row>
    <row r="382" spans="1:12" x14ac:dyDescent="0.25">
      <c r="A382" s="244" t="str">
        <f t="shared" si="12"/>
        <v>10042026-CR005-1</v>
      </c>
      <c r="B382" s="245">
        <v>46122</v>
      </c>
      <c r="C382" s="244" t="s">
        <v>333</v>
      </c>
      <c r="D382" s="244">
        <v>9817</v>
      </c>
      <c r="E382" s="244" t="s">
        <v>205</v>
      </c>
      <c r="F382" s="244"/>
      <c r="G382" s="247"/>
      <c r="H382" s="244"/>
      <c r="I382" s="248" t="s">
        <v>81</v>
      </c>
      <c r="J382" s="244">
        <v>1000</v>
      </c>
      <c r="K382" s="248" t="s">
        <v>207</v>
      </c>
      <c r="L382" s="228" t="s">
        <v>222</v>
      </c>
    </row>
    <row r="383" spans="1:12" x14ac:dyDescent="0.25">
      <c r="A383" s="244" t="str">
        <f t="shared" si="12"/>
        <v>10042026-SN003-1</v>
      </c>
      <c r="B383" s="245">
        <v>46122</v>
      </c>
      <c r="C383" s="244" t="s">
        <v>334</v>
      </c>
      <c r="D383" s="244">
        <v>2079</v>
      </c>
      <c r="E383" s="244" t="s">
        <v>205</v>
      </c>
      <c r="F383" s="244"/>
      <c r="G383" s="247"/>
      <c r="H383" s="244"/>
      <c r="I383" s="248" t="s">
        <v>81</v>
      </c>
      <c r="J383" s="244">
        <v>1000</v>
      </c>
      <c r="K383" s="248" t="s">
        <v>207</v>
      </c>
      <c r="L383" s="228" t="s">
        <v>222</v>
      </c>
    </row>
    <row r="384" spans="1:12" x14ac:dyDescent="0.25">
      <c r="A384" s="244" t="str">
        <f t="shared" si="12"/>
        <v>10042026-SN003-3</v>
      </c>
      <c r="B384" s="245">
        <v>46122</v>
      </c>
      <c r="C384" s="244" t="s">
        <v>334</v>
      </c>
      <c r="D384" s="244">
        <v>2079</v>
      </c>
      <c r="E384" s="244" t="s">
        <v>206</v>
      </c>
      <c r="F384" s="244"/>
      <c r="G384" s="247"/>
      <c r="H384" s="244"/>
      <c r="I384" s="248" t="s">
        <v>268</v>
      </c>
      <c r="J384" s="244">
        <v>1000</v>
      </c>
      <c r="K384" s="248" t="s">
        <v>217</v>
      </c>
      <c r="L384" s="228" t="s">
        <v>222</v>
      </c>
    </row>
    <row r="385" spans="1:12" x14ac:dyDescent="0.25">
      <c r="A385" s="244" t="str">
        <f t="shared" si="12"/>
        <v>10042026-CR005-3</v>
      </c>
      <c r="B385" s="245">
        <v>46122</v>
      </c>
      <c r="C385" s="244" t="s">
        <v>333</v>
      </c>
      <c r="D385" s="244">
        <v>9817</v>
      </c>
      <c r="E385" s="244" t="s">
        <v>206</v>
      </c>
      <c r="F385" s="244"/>
      <c r="G385" s="247"/>
      <c r="H385" s="244"/>
      <c r="I385" s="248" t="s">
        <v>268</v>
      </c>
      <c r="J385" s="244">
        <v>2000</v>
      </c>
      <c r="K385" s="248" t="s">
        <v>207</v>
      </c>
      <c r="L385" s="228" t="s">
        <v>222</v>
      </c>
    </row>
    <row r="386" spans="1:12" x14ac:dyDescent="0.25">
      <c r="A386" s="244" t="str">
        <f t="shared" si="12"/>
        <v>07042026-GR001-1</v>
      </c>
      <c r="B386" s="245">
        <v>46119</v>
      </c>
      <c r="C386" s="244" t="s">
        <v>335</v>
      </c>
      <c r="D386" s="244">
        <v>13072</v>
      </c>
      <c r="E386" s="244" t="s">
        <v>205</v>
      </c>
      <c r="F386" s="244"/>
      <c r="G386" s="247"/>
      <c r="H386" s="244">
        <v>541</v>
      </c>
      <c r="I386" s="248" t="s">
        <v>81</v>
      </c>
      <c r="J386" s="244">
        <v>1000</v>
      </c>
      <c r="K386" s="248" t="s">
        <v>207</v>
      </c>
      <c r="L386" s="228" t="s">
        <v>222</v>
      </c>
    </row>
    <row r="387" spans="1:12" x14ac:dyDescent="0.25">
      <c r="A387" s="244" t="str">
        <f t="shared" si="12"/>
        <v>07042026-GR001-2</v>
      </c>
      <c r="B387" s="245">
        <v>46119</v>
      </c>
      <c r="C387" s="244" t="s">
        <v>335</v>
      </c>
      <c r="D387" s="244">
        <v>13072</v>
      </c>
      <c r="E387" s="244" t="s">
        <v>210</v>
      </c>
      <c r="F387" s="244"/>
      <c r="G387" s="247"/>
      <c r="H387" s="244">
        <v>1022</v>
      </c>
      <c r="I387" s="248" t="s">
        <v>82</v>
      </c>
      <c r="J387" s="244">
        <v>1000</v>
      </c>
      <c r="K387" s="248" t="s">
        <v>207</v>
      </c>
      <c r="L387" s="228" t="s">
        <v>222</v>
      </c>
    </row>
    <row r="388" spans="1:12" x14ac:dyDescent="0.25">
      <c r="A388" s="244" t="str">
        <f t="shared" si="12"/>
        <v>07042026-GR001-3</v>
      </c>
      <c r="B388" s="245">
        <v>46119</v>
      </c>
      <c r="C388" s="244" t="s">
        <v>335</v>
      </c>
      <c r="D388" s="244">
        <v>13072</v>
      </c>
      <c r="E388" s="244" t="s">
        <v>206</v>
      </c>
      <c r="F388" s="244"/>
      <c r="G388" s="247"/>
      <c r="H388" s="244">
        <v>1022</v>
      </c>
      <c r="I388" s="248" t="s">
        <v>268</v>
      </c>
      <c r="J388" s="244">
        <v>1000</v>
      </c>
      <c r="K388" s="248" t="s">
        <v>217</v>
      </c>
      <c r="L388" s="228" t="s">
        <v>222</v>
      </c>
    </row>
    <row r="389" spans="1:12" x14ac:dyDescent="0.25">
      <c r="A389" s="244" t="str">
        <f t="shared" si="12"/>
        <v>11042026-DR002-1</v>
      </c>
      <c r="B389" s="245">
        <v>46123</v>
      </c>
      <c r="C389" s="244" t="s">
        <v>258</v>
      </c>
      <c r="D389" s="244">
        <v>5332</v>
      </c>
      <c r="E389" s="244" t="s">
        <v>205</v>
      </c>
      <c r="F389" s="244"/>
      <c r="G389" s="247"/>
      <c r="H389" s="244"/>
      <c r="I389" s="248" t="s">
        <v>81</v>
      </c>
      <c r="J389" s="244">
        <v>500</v>
      </c>
      <c r="K389" s="248" t="s">
        <v>207</v>
      </c>
      <c r="L389" s="228" t="s">
        <v>222</v>
      </c>
    </row>
    <row r="390" spans="1:12" x14ac:dyDescent="0.25">
      <c r="A390" s="244" t="str">
        <f t="shared" si="12"/>
        <v>11042026-GR009-1</v>
      </c>
      <c r="B390" s="245">
        <v>46123</v>
      </c>
      <c r="C390" s="244" t="s">
        <v>300</v>
      </c>
      <c r="D390" s="244">
        <v>21814</v>
      </c>
      <c r="E390" s="244" t="s">
        <v>205</v>
      </c>
      <c r="F390" s="244"/>
      <c r="G390" s="247"/>
      <c r="H390" s="244"/>
      <c r="I390" s="248" t="s">
        <v>81</v>
      </c>
      <c r="J390" s="244">
        <v>250</v>
      </c>
      <c r="K390" s="248" t="s">
        <v>207</v>
      </c>
      <c r="L390" s="228" t="s">
        <v>222</v>
      </c>
    </row>
    <row r="391" spans="1:12" x14ac:dyDescent="0.25">
      <c r="A391" s="244" t="str">
        <f t="shared" si="12"/>
        <v>12042026-TK107-1</v>
      </c>
      <c r="B391" s="245">
        <v>46124</v>
      </c>
      <c r="C391" s="244" t="s">
        <v>211</v>
      </c>
      <c r="D391" s="244">
        <v>31965</v>
      </c>
      <c r="E391" s="244" t="s">
        <v>205</v>
      </c>
      <c r="F391" s="244"/>
      <c r="G391" s="247"/>
      <c r="H391" s="244">
        <v>473</v>
      </c>
      <c r="I391" s="248" t="s">
        <v>81</v>
      </c>
      <c r="J391" s="244">
        <v>8000</v>
      </c>
      <c r="K391" s="248" t="s">
        <v>207</v>
      </c>
      <c r="L391" s="228" t="s">
        <v>222</v>
      </c>
    </row>
    <row r="392" spans="1:12" x14ac:dyDescent="0.25">
      <c r="A392" s="244" t="str">
        <f t="shared" ref="A392:A424" si="13">TEXT(DAY(B392),"00")&amp;TEXT(MONTH(B392),"00")&amp;YEAR(B392)&amp;"-"&amp;C392&amp;"-"&amp;LEFT(E392,SEARCH(" ",E392&amp;" ")-1)</f>
        <v>12042026-TK107-2</v>
      </c>
      <c r="B392" s="245">
        <v>46124</v>
      </c>
      <c r="C392" s="244" t="s">
        <v>211</v>
      </c>
      <c r="D392" s="244">
        <v>31965</v>
      </c>
      <c r="E392" s="244" t="s">
        <v>210</v>
      </c>
      <c r="F392" s="244"/>
      <c r="G392" s="247"/>
      <c r="H392" s="244">
        <v>939</v>
      </c>
      <c r="I392" s="248" t="s">
        <v>82</v>
      </c>
      <c r="J392" s="244">
        <v>8000</v>
      </c>
      <c r="K392" s="248" t="s">
        <v>207</v>
      </c>
      <c r="L392" s="228" t="s">
        <v>222</v>
      </c>
    </row>
    <row r="393" spans="1:12" x14ac:dyDescent="0.25">
      <c r="A393" s="244" t="str">
        <f t="shared" si="13"/>
        <v>12042026-TK107-3</v>
      </c>
      <c r="B393" s="245">
        <v>46124</v>
      </c>
      <c r="C393" s="244" t="s">
        <v>211</v>
      </c>
      <c r="D393" s="244">
        <v>31965</v>
      </c>
      <c r="E393" s="244" t="s">
        <v>206</v>
      </c>
      <c r="F393" s="244"/>
      <c r="G393" s="247"/>
      <c r="H393" s="244"/>
      <c r="I393" s="248" t="s">
        <v>268</v>
      </c>
      <c r="J393" s="244">
        <v>8000</v>
      </c>
      <c r="K393" s="248" t="s">
        <v>207</v>
      </c>
      <c r="L393" s="228" t="s">
        <v>222</v>
      </c>
    </row>
    <row r="394" spans="1:12" x14ac:dyDescent="0.25">
      <c r="A394" s="244" t="str">
        <f t="shared" si="13"/>
        <v>13042026-TK108-1</v>
      </c>
      <c r="B394" s="245">
        <v>46125</v>
      </c>
      <c r="C394" s="244" t="s">
        <v>330</v>
      </c>
      <c r="D394" s="244">
        <v>33563</v>
      </c>
      <c r="E394" s="244" t="s">
        <v>205</v>
      </c>
      <c r="F394" s="244"/>
      <c r="G394" s="247"/>
      <c r="H394" s="244"/>
      <c r="I394" s="248" t="s">
        <v>81</v>
      </c>
      <c r="J394" s="244">
        <v>500</v>
      </c>
      <c r="K394" s="248" t="s">
        <v>207</v>
      </c>
      <c r="L394" s="228" t="s">
        <v>222</v>
      </c>
    </row>
    <row r="395" spans="1:12" x14ac:dyDescent="0.25">
      <c r="A395" s="244" t="str">
        <f t="shared" si="13"/>
        <v>15042026-DZ001-1</v>
      </c>
      <c r="B395" s="245">
        <v>46127</v>
      </c>
      <c r="C395" s="244" t="s">
        <v>304</v>
      </c>
      <c r="D395" s="244">
        <v>25997</v>
      </c>
      <c r="E395" s="244" t="s">
        <v>205</v>
      </c>
      <c r="F395" s="244"/>
      <c r="G395" s="247"/>
      <c r="H395" s="244"/>
      <c r="I395" s="248" t="s">
        <v>81</v>
      </c>
      <c r="J395" s="244">
        <v>2000</v>
      </c>
      <c r="K395" s="248" t="s">
        <v>207</v>
      </c>
      <c r="L395" s="228" t="s">
        <v>222</v>
      </c>
    </row>
    <row r="396" spans="1:12" x14ac:dyDescent="0.25">
      <c r="A396" s="244" t="str">
        <f t="shared" si="13"/>
        <v>15042026-DZ001-2</v>
      </c>
      <c r="B396" s="245">
        <v>46127</v>
      </c>
      <c r="C396" s="244" t="s">
        <v>304</v>
      </c>
      <c r="D396" s="244">
        <v>25997</v>
      </c>
      <c r="E396" s="244" t="s">
        <v>210</v>
      </c>
      <c r="F396" s="244"/>
      <c r="G396" s="247"/>
      <c r="H396" s="244"/>
      <c r="I396" s="248" t="s">
        <v>82</v>
      </c>
      <c r="J396" s="244">
        <v>2000</v>
      </c>
      <c r="K396" s="248" t="s">
        <v>207</v>
      </c>
      <c r="L396" s="228" t="s">
        <v>222</v>
      </c>
    </row>
    <row r="397" spans="1:12" x14ac:dyDescent="0.25">
      <c r="A397" s="244" t="str">
        <f t="shared" si="13"/>
        <v>15042026-DZ001-3</v>
      </c>
      <c r="B397" s="245">
        <v>46127</v>
      </c>
      <c r="C397" s="244" t="s">
        <v>304</v>
      </c>
      <c r="D397" s="244">
        <v>25997</v>
      </c>
      <c r="E397" s="244" t="s">
        <v>206</v>
      </c>
      <c r="F397" s="244"/>
      <c r="G397" s="247"/>
      <c r="H397" s="244"/>
      <c r="I397" s="248" t="s">
        <v>268</v>
      </c>
      <c r="J397" s="244">
        <v>2000</v>
      </c>
      <c r="K397" s="248" t="s">
        <v>207</v>
      </c>
      <c r="L397" s="228" t="s">
        <v>222</v>
      </c>
    </row>
    <row r="398" spans="1:12" x14ac:dyDescent="0.25">
      <c r="A398" s="244" t="str">
        <f t="shared" si="13"/>
        <v>21042026-EX001-1</v>
      </c>
      <c r="B398" s="245">
        <v>46133</v>
      </c>
      <c r="C398" s="244" t="s">
        <v>336</v>
      </c>
      <c r="D398" s="244">
        <v>31001</v>
      </c>
      <c r="E398" s="244" t="s">
        <v>205</v>
      </c>
      <c r="F398" s="244"/>
      <c r="G398" s="247"/>
      <c r="H398" s="244"/>
      <c r="I398" s="248" t="s">
        <v>81</v>
      </c>
      <c r="J398" s="244">
        <v>1000</v>
      </c>
      <c r="K398" s="248" t="s">
        <v>207</v>
      </c>
      <c r="L398" s="228" t="s">
        <v>222</v>
      </c>
    </row>
    <row r="399" spans="1:12" x14ac:dyDescent="0.25">
      <c r="A399" s="244" t="str">
        <f t="shared" si="13"/>
        <v>21042026-EX001-3</v>
      </c>
      <c r="B399" s="245">
        <v>46133</v>
      </c>
      <c r="C399" s="244" t="s">
        <v>336</v>
      </c>
      <c r="D399" s="244">
        <v>31001</v>
      </c>
      <c r="E399" s="244" t="s">
        <v>206</v>
      </c>
      <c r="F399" s="244"/>
      <c r="G399" s="247"/>
      <c r="H399" s="244"/>
      <c r="I399" s="248" t="s">
        <v>268</v>
      </c>
      <c r="J399" s="244">
        <v>1000</v>
      </c>
      <c r="K399" s="248" t="s">
        <v>217</v>
      </c>
      <c r="L399" s="228" t="s">
        <v>222</v>
      </c>
    </row>
    <row r="400" spans="1:12" x14ac:dyDescent="0.25">
      <c r="A400" s="244" t="str">
        <f t="shared" si="13"/>
        <v>19042026-EX003-1</v>
      </c>
      <c r="B400" s="245">
        <v>46131</v>
      </c>
      <c r="C400" s="244" t="s">
        <v>337</v>
      </c>
      <c r="D400" s="244">
        <v>29992</v>
      </c>
      <c r="E400" s="244" t="s">
        <v>205</v>
      </c>
      <c r="F400" s="244"/>
      <c r="G400" s="247"/>
      <c r="H400" s="244"/>
      <c r="I400" s="248" t="s">
        <v>81</v>
      </c>
      <c r="J400" s="244">
        <v>2000</v>
      </c>
      <c r="K400" s="248" t="s">
        <v>207</v>
      </c>
      <c r="L400" s="228" t="s">
        <v>222</v>
      </c>
    </row>
    <row r="401" spans="1:12" x14ac:dyDescent="0.25">
      <c r="A401" s="244" t="str">
        <f t="shared" si="13"/>
        <v>19042026-EX003-3</v>
      </c>
      <c r="B401" s="245">
        <v>46131</v>
      </c>
      <c r="C401" s="244" t="s">
        <v>337</v>
      </c>
      <c r="D401" s="244">
        <v>29992</v>
      </c>
      <c r="E401" s="244" t="s">
        <v>206</v>
      </c>
      <c r="F401" s="244"/>
      <c r="G401" s="247"/>
      <c r="H401" s="244"/>
      <c r="I401" s="248" t="s">
        <v>268</v>
      </c>
      <c r="J401" s="244">
        <v>2000</v>
      </c>
      <c r="K401" s="248" t="s">
        <v>217</v>
      </c>
      <c r="L401" s="228" t="s">
        <v>222</v>
      </c>
    </row>
    <row r="402" spans="1:12" x14ac:dyDescent="0.25">
      <c r="A402" s="244" t="str">
        <f t="shared" si="13"/>
        <v>16042026-DZ005-1</v>
      </c>
      <c r="B402" s="245">
        <v>46128</v>
      </c>
      <c r="C402" s="244" t="s">
        <v>307</v>
      </c>
      <c r="D402" s="244">
        <v>22948</v>
      </c>
      <c r="E402" s="244" t="s">
        <v>205</v>
      </c>
      <c r="F402" s="244"/>
      <c r="G402" s="247"/>
      <c r="H402" s="244"/>
      <c r="I402" s="248" t="s">
        <v>81</v>
      </c>
      <c r="J402" s="244">
        <v>1000</v>
      </c>
      <c r="K402" s="248" t="s">
        <v>207</v>
      </c>
      <c r="L402" s="228" t="s">
        <v>222</v>
      </c>
    </row>
    <row r="403" spans="1:12" x14ac:dyDescent="0.25">
      <c r="A403" s="244" t="str">
        <f t="shared" si="13"/>
        <v>16042026-DZ005-2</v>
      </c>
      <c r="B403" s="245">
        <v>46128</v>
      </c>
      <c r="C403" s="244" t="s">
        <v>307</v>
      </c>
      <c r="D403" s="244">
        <v>22948</v>
      </c>
      <c r="E403" s="244" t="s">
        <v>210</v>
      </c>
      <c r="F403" s="244"/>
      <c r="G403" s="247"/>
      <c r="H403" s="244"/>
      <c r="I403" s="248" t="s">
        <v>82</v>
      </c>
      <c r="J403" s="244">
        <v>1000</v>
      </c>
      <c r="K403" s="248" t="s">
        <v>207</v>
      </c>
      <c r="L403" s="228" t="s">
        <v>222</v>
      </c>
    </row>
    <row r="404" spans="1:12" x14ac:dyDescent="0.25">
      <c r="A404" s="244" t="str">
        <f t="shared" si="13"/>
        <v>18042026-TK157-1</v>
      </c>
      <c r="B404" s="245">
        <v>46130</v>
      </c>
      <c r="C404" s="244" t="s">
        <v>241</v>
      </c>
      <c r="D404" s="244">
        <v>6016</v>
      </c>
      <c r="E404" s="244" t="s">
        <v>205</v>
      </c>
      <c r="F404" s="244"/>
      <c r="G404" s="247"/>
      <c r="H404" s="244"/>
      <c r="I404" s="248" t="s">
        <v>81</v>
      </c>
      <c r="J404" s="244">
        <v>6000</v>
      </c>
      <c r="K404" s="248" t="s">
        <v>207</v>
      </c>
      <c r="L404" s="228" t="s">
        <v>222</v>
      </c>
    </row>
    <row r="405" spans="1:12" x14ac:dyDescent="0.25">
      <c r="A405" s="244" t="str">
        <f t="shared" si="13"/>
        <v>18042026-TK157-2</v>
      </c>
      <c r="B405" s="245">
        <v>46130</v>
      </c>
      <c r="C405" s="244" t="s">
        <v>241</v>
      </c>
      <c r="D405" s="244">
        <v>6016</v>
      </c>
      <c r="E405" s="244" t="s">
        <v>210</v>
      </c>
      <c r="F405" s="244"/>
      <c r="G405" s="247"/>
      <c r="H405" s="244"/>
      <c r="I405" s="248" t="s">
        <v>82</v>
      </c>
      <c r="J405" s="244">
        <v>6000</v>
      </c>
      <c r="K405" s="248" t="s">
        <v>207</v>
      </c>
      <c r="L405" s="228" t="s">
        <v>222</v>
      </c>
    </row>
    <row r="406" spans="1:12" x14ac:dyDescent="0.25">
      <c r="A406" s="244" t="str">
        <f t="shared" si="13"/>
        <v>18042026-TK157-3</v>
      </c>
      <c r="B406" s="245">
        <v>46130</v>
      </c>
      <c r="C406" s="244" t="s">
        <v>241</v>
      </c>
      <c r="D406" s="244">
        <v>6016</v>
      </c>
      <c r="E406" s="244" t="s">
        <v>206</v>
      </c>
      <c r="F406" s="244"/>
      <c r="G406" s="247"/>
      <c r="H406" s="244"/>
      <c r="I406" s="248" t="s">
        <v>268</v>
      </c>
      <c r="J406" s="244">
        <v>6000</v>
      </c>
      <c r="K406" s="248" t="s">
        <v>207</v>
      </c>
      <c r="L406" s="228" t="s">
        <v>222</v>
      </c>
    </row>
    <row r="407" spans="1:12" x14ac:dyDescent="0.25">
      <c r="A407" s="244" t="str">
        <f t="shared" si="13"/>
        <v>19042026-DZ002-1</v>
      </c>
      <c r="B407" s="245">
        <v>46131</v>
      </c>
      <c r="C407" s="244" t="s">
        <v>338</v>
      </c>
      <c r="D407" s="244">
        <v>25538</v>
      </c>
      <c r="E407" s="244" t="s">
        <v>205</v>
      </c>
      <c r="F407" s="244"/>
      <c r="G407" s="247"/>
      <c r="H407" s="244"/>
      <c r="I407" s="248" t="s">
        <v>81</v>
      </c>
      <c r="J407" s="244">
        <v>500</v>
      </c>
      <c r="K407" s="248" t="s">
        <v>207</v>
      </c>
      <c r="L407" s="228" t="s">
        <v>222</v>
      </c>
    </row>
    <row r="408" spans="1:12" x14ac:dyDescent="0.25">
      <c r="A408" s="244" t="str">
        <f t="shared" si="13"/>
        <v>19042026-GR009-1</v>
      </c>
      <c r="B408" s="245">
        <v>46131</v>
      </c>
      <c r="C408" s="244" t="s">
        <v>300</v>
      </c>
      <c r="D408" s="244">
        <v>22015</v>
      </c>
      <c r="E408" s="244" t="s">
        <v>205</v>
      </c>
      <c r="F408" s="244"/>
      <c r="G408" s="247"/>
      <c r="H408" s="244">
        <v>396</v>
      </c>
      <c r="I408" s="248" t="s">
        <v>81</v>
      </c>
      <c r="J408" s="244">
        <v>2000</v>
      </c>
      <c r="K408" s="248" t="s">
        <v>207</v>
      </c>
      <c r="L408" s="228" t="s">
        <v>222</v>
      </c>
    </row>
    <row r="409" spans="1:12" x14ac:dyDescent="0.25">
      <c r="A409" s="244" t="str">
        <f t="shared" si="13"/>
        <v>19042026-GR009-2</v>
      </c>
      <c r="B409" s="245">
        <v>46131</v>
      </c>
      <c r="C409" s="244" t="s">
        <v>300</v>
      </c>
      <c r="D409" s="244">
        <v>22015</v>
      </c>
      <c r="E409" s="244" t="s">
        <v>210</v>
      </c>
      <c r="F409" s="244"/>
      <c r="G409" s="247"/>
      <c r="H409" s="244">
        <v>965</v>
      </c>
      <c r="I409" s="248" t="s">
        <v>82</v>
      </c>
      <c r="J409" s="244">
        <v>2000</v>
      </c>
      <c r="K409" s="248" t="s">
        <v>207</v>
      </c>
      <c r="L409" s="228" t="s">
        <v>222</v>
      </c>
    </row>
    <row r="410" spans="1:12" x14ac:dyDescent="0.25">
      <c r="A410" s="244" t="str">
        <f t="shared" si="13"/>
        <v>19042026-GR009-3</v>
      </c>
      <c r="B410" s="245">
        <v>46131</v>
      </c>
      <c r="C410" s="244" t="s">
        <v>300</v>
      </c>
      <c r="D410" s="244">
        <v>22015</v>
      </c>
      <c r="E410" s="244" t="s">
        <v>206</v>
      </c>
      <c r="F410" s="244"/>
      <c r="G410" s="247"/>
      <c r="H410" s="244">
        <v>1947</v>
      </c>
      <c r="I410" s="248" t="s">
        <v>268</v>
      </c>
      <c r="J410" s="244">
        <v>2000</v>
      </c>
      <c r="K410" s="248" t="s">
        <v>217</v>
      </c>
      <c r="L410" s="228" t="s">
        <v>222</v>
      </c>
    </row>
    <row r="411" spans="1:12" x14ac:dyDescent="0.25">
      <c r="A411" s="244" t="str">
        <f t="shared" si="13"/>
        <v>16042026-TK101-1</v>
      </c>
      <c r="B411" s="245">
        <v>46128</v>
      </c>
      <c r="C411" s="244" t="s">
        <v>214</v>
      </c>
      <c r="D411" s="244">
        <v>32013</v>
      </c>
      <c r="E411" s="244" t="s">
        <v>205</v>
      </c>
      <c r="F411" s="244"/>
      <c r="G411" s="247"/>
      <c r="H411" s="244"/>
      <c r="I411" s="248" t="s">
        <v>81</v>
      </c>
      <c r="J411" s="244">
        <v>2000</v>
      </c>
      <c r="K411" s="248" t="s">
        <v>207</v>
      </c>
      <c r="L411" s="228" t="s">
        <v>222</v>
      </c>
    </row>
    <row r="412" spans="1:12" x14ac:dyDescent="0.25">
      <c r="A412" s="244" t="str">
        <f t="shared" si="13"/>
        <v>16042026-TK101-2</v>
      </c>
      <c r="B412" s="245">
        <v>46128</v>
      </c>
      <c r="C412" s="244" t="s">
        <v>214</v>
      </c>
      <c r="D412" s="244">
        <v>32013</v>
      </c>
      <c r="E412" s="244" t="s">
        <v>210</v>
      </c>
      <c r="F412" s="244"/>
      <c r="G412" s="247"/>
      <c r="H412" s="244"/>
      <c r="I412" s="248" t="s">
        <v>82</v>
      </c>
      <c r="J412" s="244">
        <v>2000</v>
      </c>
      <c r="K412" s="248" t="s">
        <v>207</v>
      </c>
      <c r="L412" s="228" t="s">
        <v>222</v>
      </c>
    </row>
    <row r="413" spans="1:12" x14ac:dyDescent="0.25">
      <c r="A413" s="244" t="str">
        <f t="shared" si="13"/>
        <v>16042026-TK101-3</v>
      </c>
      <c r="B413" s="245">
        <v>46128</v>
      </c>
      <c r="C413" s="244" t="s">
        <v>214</v>
      </c>
      <c r="D413" s="244">
        <v>32013</v>
      </c>
      <c r="E413" s="244" t="s">
        <v>206</v>
      </c>
      <c r="F413" s="244"/>
      <c r="G413" s="247"/>
      <c r="H413" s="244"/>
      <c r="I413" s="248" t="s">
        <v>268</v>
      </c>
      <c r="J413" s="244">
        <v>2000</v>
      </c>
      <c r="K413" s="248" t="s">
        <v>217</v>
      </c>
      <c r="L413" s="228" t="s">
        <v>222</v>
      </c>
    </row>
    <row r="414" spans="1:12" x14ac:dyDescent="0.25">
      <c r="A414" s="244" t="str">
        <f t="shared" si="13"/>
        <v>14042026-TK126-1</v>
      </c>
      <c r="B414" s="245">
        <v>46126</v>
      </c>
      <c r="C414" s="244" t="s">
        <v>218</v>
      </c>
      <c r="D414" s="244">
        <v>28059</v>
      </c>
      <c r="E414" s="244" t="s">
        <v>205</v>
      </c>
      <c r="F414" s="244"/>
      <c r="G414" s="247"/>
      <c r="H414" s="244"/>
      <c r="I414" s="248" t="s">
        <v>81</v>
      </c>
      <c r="J414" s="244">
        <v>4000</v>
      </c>
      <c r="K414" s="248" t="s">
        <v>207</v>
      </c>
      <c r="L414" s="228" t="s">
        <v>222</v>
      </c>
    </row>
    <row r="415" spans="1:12" x14ac:dyDescent="0.25">
      <c r="A415" s="244" t="str">
        <f t="shared" si="13"/>
        <v>14042026-TK126-2</v>
      </c>
      <c r="B415" s="245">
        <v>46126</v>
      </c>
      <c r="C415" s="244" t="s">
        <v>218</v>
      </c>
      <c r="D415" s="244">
        <v>28059</v>
      </c>
      <c r="E415" s="244" t="s">
        <v>210</v>
      </c>
      <c r="F415" s="244"/>
      <c r="G415" s="247"/>
      <c r="H415" s="244"/>
      <c r="I415" s="248" t="s">
        <v>82</v>
      </c>
      <c r="J415" s="244">
        <v>4000</v>
      </c>
      <c r="K415" s="248" t="s">
        <v>207</v>
      </c>
      <c r="L415" s="228" t="s">
        <v>222</v>
      </c>
    </row>
    <row r="416" spans="1:12" x14ac:dyDescent="0.25">
      <c r="A416" s="244" t="str">
        <f t="shared" si="13"/>
        <v>14042026-TK126-3</v>
      </c>
      <c r="B416" s="245">
        <v>46126</v>
      </c>
      <c r="C416" s="244" t="s">
        <v>218</v>
      </c>
      <c r="D416" s="244">
        <v>28059</v>
      </c>
      <c r="E416" s="244" t="s">
        <v>206</v>
      </c>
      <c r="F416" s="244"/>
      <c r="G416" s="247"/>
      <c r="H416" s="244"/>
      <c r="I416" s="248" t="s">
        <v>268</v>
      </c>
      <c r="J416" s="244">
        <v>4000</v>
      </c>
      <c r="K416" s="248" t="s">
        <v>207</v>
      </c>
      <c r="L416" s="228" t="s">
        <v>222</v>
      </c>
    </row>
    <row r="417" spans="1:12" x14ac:dyDescent="0.25">
      <c r="A417" s="244" t="str">
        <f t="shared" si="13"/>
        <v>15042026-TK118-1</v>
      </c>
      <c r="B417" s="245">
        <v>46127</v>
      </c>
      <c r="C417" s="244" t="s">
        <v>245</v>
      </c>
      <c r="D417" s="244">
        <v>28996</v>
      </c>
      <c r="E417" s="244" t="s">
        <v>205</v>
      </c>
      <c r="F417" s="244"/>
      <c r="G417" s="247"/>
      <c r="H417" s="244"/>
      <c r="I417" s="248" t="s">
        <v>81</v>
      </c>
      <c r="J417" s="244">
        <v>1000</v>
      </c>
      <c r="K417" s="248" t="s">
        <v>207</v>
      </c>
      <c r="L417" s="228" t="s">
        <v>222</v>
      </c>
    </row>
    <row r="418" spans="1:12" x14ac:dyDescent="0.25">
      <c r="A418" s="244" t="str">
        <f t="shared" si="13"/>
        <v>15042026-TK118-2</v>
      </c>
      <c r="B418" s="245">
        <v>46127</v>
      </c>
      <c r="C418" s="244" t="s">
        <v>245</v>
      </c>
      <c r="D418" s="244">
        <v>28996</v>
      </c>
      <c r="E418" s="244" t="s">
        <v>210</v>
      </c>
      <c r="F418" s="244"/>
      <c r="G418" s="247"/>
      <c r="H418" s="244">
        <v>1023</v>
      </c>
      <c r="I418" s="248" t="s">
        <v>82</v>
      </c>
      <c r="J418" s="244">
        <v>1000</v>
      </c>
      <c r="K418" s="248" t="s">
        <v>207</v>
      </c>
      <c r="L418" s="228" t="s">
        <v>222</v>
      </c>
    </row>
    <row r="419" spans="1:12" x14ac:dyDescent="0.25">
      <c r="A419" s="244" t="str">
        <f t="shared" si="13"/>
        <v>15042026-TK118-3</v>
      </c>
      <c r="B419" s="245">
        <v>46127</v>
      </c>
      <c r="C419" s="244" t="s">
        <v>245</v>
      </c>
      <c r="D419" s="244">
        <v>28996</v>
      </c>
      <c r="E419" s="244" t="s">
        <v>206</v>
      </c>
      <c r="F419" s="244"/>
      <c r="G419" s="247"/>
      <c r="H419" s="244">
        <v>1023</v>
      </c>
      <c r="I419" s="248" t="s">
        <v>268</v>
      </c>
      <c r="J419" s="244">
        <v>1000</v>
      </c>
      <c r="K419" s="248" t="s">
        <v>217</v>
      </c>
      <c r="L419" s="228" t="s">
        <v>222</v>
      </c>
    </row>
    <row r="420" spans="1:12" x14ac:dyDescent="0.25">
      <c r="A420" s="244" t="str">
        <f t="shared" si="13"/>
        <v>20042026-TK112-1</v>
      </c>
      <c r="B420" s="245">
        <v>46132</v>
      </c>
      <c r="C420" s="244" t="s">
        <v>292</v>
      </c>
      <c r="D420" s="244">
        <v>33763</v>
      </c>
      <c r="E420" s="244" t="s">
        <v>205</v>
      </c>
      <c r="F420" s="244"/>
      <c r="G420" s="247"/>
      <c r="H420" s="244">
        <v>250</v>
      </c>
      <c r="I420" s="248" t="s">
        <v>81</v>
      </c>
      <c r="J420" s="244">
        <v>250</v>
      </c>
      <c r="K420" s="248" t="s">
        <v>217</v>
      </c>
      <c r="L420" s="228" t="s">
        <v>222</v>
      </c>
    </row>
    <row r="421" spans="1:12" x14ac:dyDescent="0.25">
      <c r="A421" s="244" t="str">
        <f t="shared" si="13"/>
        <v>20042026-TK104-1</v>
      </c>
      <c r="B421" s="245">
        <v>46132</v>
      </c>
      <c r="C421" s="244" t="s">
        <v>282</v>
      </c>
      <c r="D421" s="244">
        <v>30998</v>
      </c>
      <c r="E421" s="244" t="s">
        <v>205</v>
      </c>
      <c r="F421" s="244"/>
      <c r="G421" s="247"/>
      <c r="H421" s="244"/>
      <c r="I421" s="248" t="s">
        <v>81</v>
      </c>
      <c r="J421" s="244">
        <v>1000</v>
      </c>
      <c r="K421" s="248" t="s">
        <v>207</v>
      </c>
      <c r="L421" s="228" t="s">
        <v>222</v>
      </c>
    </row>
    <row r="422" spans="1:12" x14ac:dyDescent="0.25">
      <c r="A422" s="244" t="str">
        <f t="shared" si="13"/>
        <v>16042026-EX013-1</v>
      </c>
      <c r="B422" s="245">
        <v>46128</v>
      </c>
      <c r="C422" s="244" t="s">
        <v>257</v>
      </c>
      <c r="D422" s="244">
        <v>13535</v>
      </c>
      <c r="E422" s="244" t="s">
        <v>205</v>
      </c>
      <c r="F422" s="244"/>
      <c r="G422" s="247"/>
      <c r="H422" s="244"/>
      <c r="I422" s="248" t="s">
        <v>81</v>
      </c>
      <c r="J422" s="244">
        <v>500</v>
      </c>
      <c r="K422" s="248" t="s">
        <v>207</v>
      </c>
      <c r="L422" s="228" t="s">
        <v>222</v>
      </c>
    </row>
    <row r="423" spans="1:12" x14ac:dyDescent="0.25">
      <c r="A423" s="244" t="str">
        <f t="shared" si="13"/>
        <v>21042026-TK125-1</v>
      </c>
      <c r="B423" s="245">
        <v>46133</v>
      </c>
      <c r="C423" s="244" t="s">
        <v>325</v>
      </c>
      <c r="D423" s="244">
        <v>28938</v>
      </c>
      <c r="E423" s="244" t="s">
        <v>205</v>
      </c>
      <c r="F423" s="244"/>
      <c r="G423" s="247"/>
      <c r="H423" s="244"/>
      <c r="I423" s="248" t="s">
        <v>81</v>
      </c>
      <c r="J423" s="244">
        <v>1000</v>
      </c>
      <c r="K423" s="248" t="s">
        <v>207</v>
      </c>
      <c r="L423" s="228" t="s">
        <v>222</v>
      </c>
    </row>
    <row r="424" spans="1:12" x14ac:dyDescent="0.25">
      <c r="A424" s="244" t="str">
        <f t="shared" si="13"/>
        <v>21042026-TK125-2</v>
      </c>
      <c r="B424" s="245">
        <v>46133</v>
      </c>
      <c r="C424" s="244" t="s">
        <v>325</v>
      </c>
      <c r="D424" s="244">
        <v>28938</v>
      </c>
      <c r="E424" s="244" t="s">
        <v>210</v>
      </c>
      <c r="F424" s="244"/>
      <c r="G424" s="247"/>
      <c r="H424" s="244"/>
      <c r="I424" s="248" t="s">
        <v>82</v>
      </c>
      <c r="J424" s="244">
        <v>1000</v>
      </c>
      <c r="K424" s="248" t="s">
        <v>207</v>
      </c>
      <c r="L424" s="228" t="s">
        <v>222</v>
      </c>
    </row>
    <row r="425" spans="1:12" x14ac:dyDescent="0.25">
      <c r="A425" s="244" t="str">
        <f t="shared" ref="A425:A454" si="14">TEXT(DAY(B425),"00")&amp;TEXT(MONTH(B425),"00")&amp;YEAR(B425)&amp;"-"&amp;C425&amp;"-"&amp;LEFT(E425,SEARCH(" ",E425&amp;" ")-1)</f>
        <v>21042026-TK125-3</v>
      </c>
      <c r="B425" s="245">
        <v>46133</v>
      </c>
      <c r="C425" s="244" t="s">
        <v>325</v>
      </c>
      <c r="D425" s="244">
        <v>28938</v>
      </c>
      <c r="E425" s="244" t="s">
        <v>206</v>
      </c>
      <c r="F425" s="244"/>
      <c r="G425" s="247"/>
      <c r="H425" s="244"/>
      <c r="I425" s="248" t="s">
        <v>268</v>
      </c>
      <c r="J425" s="244">
        <v>1000</v>
      </c>
      <c r="K425" s="248" t="s">
        <v>217</v>
      </c>
      <c r="L425" s="228" t="s">
        <v>222</v>
      </c>
    </row>
    <row r="426" spans="1:12" x14ac:dyDescent="0.25">
      <c r="A426" s="244" t="str">
        <f t="shared" si="14"/>
        <v>20042026-DZ004-1</v>
      </c>
      <c r="B426" s="245">
        <v>46132</v>
      </c>
      <c r="C426" s="244" t="s">
        <v>262</v>
      </c>
      <c r="D426" s="244">
        <v>24542</v>
      </c>
      <c r="E426" s="244" t="s">
        <v>205</v>
      </c>
      <c r="F426" s="244"/>
      <c r="G426" s="247"/>
      <c r="H426" s="244"/>
      <c r="I426" s="248" t="s">
        <v>81</v>
      </c>
      <c r="J426" s="244">
        <v>500</v>
      </c>
      <c r="K426" s="248" t="s">
        <v>207</v>
      </c>
      <c r="L426" s="228" t="s">
        <v>222</v>
      </c>
    </row>
    <row r="427" spans="1:12" x14ac:dyDescent="0.25">
      <c r="A427" s="244" t="str">
        <f t="shared" si="14"/>
        <v>20042026-GR013-1</v>
      </c>
      <c r="B427" s="245">
        <v>46132</v>
      </c>
      <c r="C427" s="244" t="s">
        <v>301</v>
      </c>
      <c r="D427" s="244"/>
      <c r="E427" s="244" t="s">
        <v>205</v>
      </c>
      <c r="F427" s="244"/>
      <c r="G427" s="247"/>
      <c r="H427" s="244"/>
      <c r="I427" s="248" t="s">
        <v>81</v>
      </c>
      <c r="J427" s="244">
        <v>500</v>
      </c>
      <c r="K427" s="248" t="s">
        <v>207</v>
      </c>
      <c r="L427" s="228" t="s">
        <v>222</v>
      </c>
    </row>
    <row r="428" spans="1:12" x14ac:dyDescent="0.25">
      <c r="A428" s="244" t="str">
        <f t="shared" si="14"/>
        <v>23042026-EX005-1</v>
      </c>
      <c r="B428" s="245">
        <v>46135</v>
      </c>
      <c r="C428" s="244" t="s">
        <v>339</v>
      </c>
      <c r="D428" s="244">
        <v>32555</v>
      </c>
      <c r="E428" s="244" t="s">
        <v>205</v>
      </c>
      <c r="F428" s="244"/>
      <c r="G428" s="247"/>
      <c r="H428" s="244"/>
      <c r="I428" s="248" t="s">
        <v>81</v>
      </c>
      <c r="J428" s="244">
        <v>500</v>
      </c>
      <c r="K428" s="248" t="s">
        <v>207</v>
      </c>
      <c r="L428" s="228" t="s">
        <v>222</v>
      </c>
    </row>
    <row r="429" spans="1:12" x14ac:dyDescent="0.25">
      <c r="A429" s="244" t="str">
        <f t="shared" si="14"/>
        <v>23042026-EX005-3</v>
      </c>
      <c r="B429" s="245">
        <v>46135</v>
      </c>
      <c r="C429" s="244" t="s">
        <v>339</v>
      </c>
      <c r="D429" s="244">
        <v>32555</v>
      </c>
      <c r="E429" s="244" t="s">
        <v>206</v>
      </c>
      <c r="F429" s="244"/>
      <c r="G429" s="247"/>
      <c r="H429" s="244"/>
      <c r="I429" s="248" t="s">
        <v>268</v>
      </c>
      <c r="J429" s="244">
        <v>500</v>
      </c>
      <c r="K429" s="248" t="s">
        <v>217</v>
      </c>
      <c r="L429" s="228" t="s">
        <v>222</v>
      </c>
    </row>
    <row r="430" spans="1:12" x14ac:dyDescent="0.25">
      <c r="A430" s="244" t="str">
        <f t="shared" si="14"/>
        <v>28042026-TK110-1</v>
      </c>
      <c r="B430" s="245">
        <v>46140</v>
      </c>
      <c r="C430" s="244" t="s">
        <v>280</v>
      </c>
      <c r="D430" s="244">
        <v>34481</v>
      </c>
      <c r="E430" s="244" t="s">
        <v>205</v>
      </c>
      <c r="F430" s="244"/>
      <c r="G430" s="247"/>
      <c r="H430" s="244"/>
      <c r="I430" s="248" t="s">
        <v>81</v>
      </c>
      <c r="J430" s="244">
        <v>500</v>
      </c>
      <c r="K430" s="248" t="s">
        <v>207</v>
      </c>
      <c r="L430" s="228" t="s">
        <v>222</v>
      </c>
    </row>
    <row r="431" spans="1:12" x14ac:dyDescent="0.25">
      <c r="A431" s="244" t="str">
        <f t="shared" si="14"/>
        <v>19042026-TK103-1</v>
      </c>
      <c r="B431" s="245">
        <v>46131</v>
      </c>
      <c r="C431" s="244" t="s">
        <v>249</v>
      </c>
      <c r="D431" s="244">
        <v>33043</v>
      </c>
      <c r="E431" s="244" t="s">
        <v>205</v>
      </c>
      <c r="F431" s="244"/>
      <c r="G431" s="247"/>
      <c r="H431" s="244"/>
      <c r="I431" s="248" t="s">
        <v>81</v>
      </c>
      <c r="J431" s="244">
        <v>1000</v>
      </c>
      <c r="K431" s="248" t="s">
        <v>207</v>
      </c>
      <c r="L431" s="228" t="s">
        <v>222</v>
      </c>
    </row>
    <row r="432" spans="1:12" x14ac:dyDescent="0.25">
      <c r="A432" s="244" t="str">
        <f t="shared" si="14"/>
        <v>28042026-TK113-1</v>
      </c>
      <c r="B432" s="245">
        <v>46140</v>
      </c>
      <c r="C432" s="244" t="s">
        <v>264</v>
      </c>
      <c r="D432" s="244">
        <v>36071</v>
      </c>
      <c r="E432" s="244" t="s">
        <v>205</v>
      </c>
      <c r="F432" s="244"/>
      <c r="G432" s="247"/>
      <c r="H432" s="244"/>
      <c r="I432" s="248" t="s">
        <v>81</v>
      </c>
      <c r="J432" s="244">
        <v>4000</v>
      </c>
      <c r="K432" s="248" t="s">
        <v>207</v>
      </c>
      <c r="L432" s="228" t="s">
        <v>222</v>
      </c>
    </row>
    <row r="433" spans="1:12" x14ac:dyDescent="0.25">
      <c r="A433" s="244" t="str">
        <f t="shared" si="14"/>
        <v>28042026-TK113-2</v>
      </c>
      <c r="B433" s="245">
        <v>46140</v>
      </c>
      <c r="C433" s="244" t="s">
        <v>264</v>
      </c>
      <c r="D433" s="244">
        <v>36071</v>
      </c>
      <c r="E433" s="244" t="s">
        <v>210</v>
      </c>
      <c r="F433" s="244"/>
      <c r="G433" s="247"/>
      <c r="H433" s="244"/>
      <c r="I433" s="248" t="s">
        <v>82</v>
      </c>
      <c r="J433" s="244">
        <v>4000</v>
      </c>
      <c r="K433" s="248" t="s">
        <v>207</v>
      </c>
      <c r="L433" s="228" t="s">
        <v>222</v>
      </c>
    </row>
    <row r="434" spans="1:12" x14ac:dyDescent="0.25">
      <c r="A434" s="244" t="str">
        <f t="shared" si="14"/>
        <v>28042026-TK113-3</v>
      </c>
      <c r="B434" s="245">
        <v>46140</v>
      </c>
      <c r="C434" s="244" t="s">
        <v>264</v>
      </c>
      <c r="D434" s="244">
        <v>36071</v>
      </c>
      <c r="E434" s="244" t="s">
        <v>206</v>
      </c>
      <c r="F434" s="244"/>
      <c r="G434" s="247"/>
      <c r="H434" s="244"/>
      <c r="I434" s="248" t="s">
        <v>268</v>
      </c>
      <c r="J434" s="244">
        <v>4000</v>
      </c>
      <c r="K434" s="248" t="s">
        <v>207</v>
      </c>
      <c r="L434" s="228" t="s">
        <v>222</v>
      </c>
    </row>
    <row r="435" spans="1:12" x14ac:dyDescent="0.25">
      <c r="A435" s="244" t="str">
        <f t="shared" si="14"/>
        <v>22042026-LD001-1</v>
      </c>
      <c r="B435" s="245">
        <v>46134</v>
      </c>
      <c r="C435" s="244" t="s">
        <v>278</v>
      </c>
      <c r="D435" s="244">
        <v>32103</v>
      </c>
      <c r="E435" s="244" t="s">
        <v>205</v>
      </c>
      <c r="F435" s="244"/>
      <c r="G435" s="247"/>
      <c r="H435" s="244">
        <v>477</v>
      </c>
      <c r="I435" s="248" t="s">
        <v>81</v>
      </c>
      <c r="J435" s="244">
        <v>4000</v>
      </c>
      <c r="K435" s="248" t="s">
        <v>207</v>
      </c>
      <c r="L435" s="228" t="s">
        <v>222</v>
      </c>
    </row>
    <row r="436" spans="1:12" x14ac:dyDescent="0.25">
      <c r="A436" s="244" t="str">
        <f t="shared" si="14"/>
        <v>22042026-LD001-2</v>
      </c>
      <c r="B436" s="245">
        <v>46134</v>
      </c>
      <c r="C436" s="244" t="s">
        <v>278</v>
      </c>
      <c r="D436" s="244">
        <v>32103</v>
      </c>
      <c r="E436" s="244" t="s">
        <v>210</v>
      </c>
      <c r="F436" s="244"/>
      <c r="G436" s="247"/>
      <c r="H436" s="244">
        <v>1121</v>
      </c>
      <c r="I436" s="248" t="s">
        <v>82</v>
      </c>
      <c r="J436" s="244">
        <v>4000</v>
      </c>
      <c r="K436" s="248" t="s">
        <v>207</v>
      </c>
      <c r="L436" s="228" t="s">
        <v>222</v>
      </c>
    </row>
    <row r="437" spans="1:12" x14ac:dyDescent="0.25">
      <c r="A437" s="244" t="str">
        <f t="shared" si="14"/>
        <v>22042026-LD001-3</v>
      </c>
      <c r="B437" s="245">
        <v>46134</v>
      </c>
      <c r="C437" s="244" t="s">
        <v>278</v>
      </c>
      <c r="D437" s="244">
        <v>32103</v>
      </c>
      <c r="E437" s="244" t="s">
        <v>206</v>
      </c>
      <c r="F437" s="244"/>
      <c r="G437" s="247"/>
      <c r="H437" s="244"/>
      <c r="I437" s="248" t="s">
        <v>268</v>
      </c>
      <c r="J437" s="244">
        <v>4000</v>
      </c>
      <c r="K437" s="248" t="s">
        <v>207</v>
      </c>
      <c r="L437" s="228" t="s">
        <v>222</v>
      </c>
    </row>
    <row r="438" spans="1:12" x14ac:dyDescent="0.25">
      <c r="A438" s="244" t="str">
        <f t="shared" si="14"/>
        <v>29042026-GR001-1</v>
      </c>
      <c r="B438" s="245">
        <v>46141</v>
      </c>
      <c r="C438" s="244" t="s">
        <v>335</v>
      </c>
      <c r="D438" s="244">
        <v>13524</v>
      </c>
      <c r="E438" s="244" t="s">
        <v>205</v>
      </c>
      <c r="F438" s="244"/>
      <c r="G438" s="247"/>
      <c r="H438" s="244"/>
      <c r="I438" s="248" t="s">
        <v>81</v>
      </c>
      <c r="J438" s="244">
        <v>500</v>
      </c>
      <c r="K438" s="248" t="s">
        <v>207</v>
      </c>
      <c r="L438" s="228" t="s">
        <v>222</v>
      </c>
    </row>
    <row r="439" spans="1:12" x14ac:dyDescent="0.25">
      <c r="A439" s="244" t="str">
        <f t="shared" si="14"/>
        <v>27042026-TK123-1</v>
      </c>
      <c r="B439" s="245">
        <v>46139</v>
      </c>
      <c r="C439" s="244" t="s">
        <v>293</v>
      </c>
      <c r="D439" s="244">
        <v>28460</v>
      </c>
      <c r="E439" s="244" t="s">
        <v>205</v>
      </c>
      <c r="F439" s="244"/>
      <c r="G439" s="247"/>
      <c r="H439" s="244">
        <v>480</v>
      </c>
      <c r="I439" s="248" t="s">
        <v>81</v>
      </c>
      <c r="J439" s="244">
        <v>500</v>
      </c>
      <c r="K439" s="248" t="s">
        <v>207</v>
      </c>
      <c r="L439" s="228" t="s">
        <v>222</v>
      </c>
    </row>
    <row r="440" spans="1:12" x14ac:dyDescent="0.25">
      <c r="A440" s="244" t="str">
        <f t="shared" si="14"/>
        <v>27042026-TK123-2</v>
      </c>
      <c r="B440" s="245">
        <v>46139</v>
      </c>
      <c r="C440" s="244" t="s">
        <v>293</v>
      </c>
      <c r="D440" s="244">
        <v>28460</v>
      </c>
      <c r="E440" s="244" t="s">
        <v>210</v>
      </c>
      <c r="F440" s="244"/>
      <c r="G440" s="247"/>
      <c r="H440" s="244">
        <v>480</v>
      </c>
      <c r="I440" s="248" t="s">
        <v>82</v>
      </c>
      <c r="J440" s="244">
        <v>500</v>
      </c>
      <c r="K440" s="248" t="s">
        <v>207</v>
      </c>
      <c r="L440" s="228" t="s">
        <v>222</v>
      </c>
    </row>
    <row r="441" spans="1:12" x14ac:dyDescent="0.25">
      <c r="A441" s="244" t="str">
        <f t="shared" si="14"/>
        <v>27042026-TK123-3</v>
      </c>
      <c r="B441" s="245">
        <v>46139</v>
      </c>
      <c r="C441" s="244" t="s">
        <v>293</v>
      </c>
      <c r="D441" s="244">
        <v>28460</v>
      </c>
      <c r="E441" s="244" t="s">
        <v>206</v>
      </c>
      <c r="F441" s="244"/>
      <c r="G441" s="247"/>
      <c r="H441" s="244">
        <v>480</v>
      </c>
      <c r="I441" s="248" t="s">
        <v>268</v>
      </c>
      <c r="J441" s="244">
        <v>500</v>
      </c>
      <c r="K441" s="248" t="s">
        <v>207</v>
      </c>
      <c r="L441" s="228" t="s">
        <v>222</v>
      </c>
    </row>
    <row r="442" spans="1:12" x14ac:dyDescent="0.25">
      <c r="A442" s="244" t="str">
        <f t="shared" si="14"/>
        <v>23042026-TK116-1</v>
      </c>
      <c r="B442" s="245">
        <v>46135</v>
      </c>
      <c r="C442" s="244" t="s">
        <v>277</v>
      </c>
      <c r="D442" s="244">
        <v>26972</v>
      </c>
      <c r="E442" s="244" t="s">
        <v>205</v>
      </c>
      <c r="F442" s="244"/>
      <c r="G442" s="247"/>
      <c r="H442" s="244">
        <v>447</v>
      </c>
      <c r="I442" s="248" t="s">
        <v>81</v>
      </c>
      <c r="J442" s="244">
        <v>1000</v>
      </c>
      <c r="K442" s="248" t="s">
        <v>207</v>
      </c>
      <c r="L442" s="228" t="s">
        <v>222</v>
      </c>
    </row>
    <row r="443" spans="1:12" x14ac:dyDescent="0.25">
      <c r="A443" s="244" t="str">
        <f t="shared" si="14"/>
        <v>23042026-TK116-2</v>
      </c>
      <c r="B443" s="245">
        <v>46135</v>
      </c>
      <c r="C443" s="244" t="s">
        <v>277</v>
      </c>
      <c r="D443" s="244">
        <v>26972</v>
      </c>
      <c r="E443" s="244" t="s">
        <v>210</v>
      </c>
      <c r="F443" s="244"/>
      <c r="G443" s="247"/>
      <c r="H443" s="244">
        <v>1004</v>
      </c>
      <c r="I443" s="248" t="s">
        <v>82</v>
      </c>
      <c r="J443" s="244">
        <v>1000</v>
      </c>
      <c r="K443" s="248" t="s">
        <v>207</v>
      </c>
      <c r="L443" s="228" t="s">
        <v>222</v>
      </c>
    </row>
    <row r="444" spans="1:12" x14ac:dyDescent="0.25">
      <c r="A444" s="244" t="str">
        <f t="shared" si="14"/>
        <v>23042026-TK116-3</v>
      </c>
      <c r="B444" s="245">
        <v>46135</v>
      </c>
      <c r="C444" s="244" t="s">
        <v>277</v>
      </c>
      <c r="D444" s="244">
        <v>26972</v>
      </c>
      <c r="E444" s="244" t="s">
        <v>206</v>
      </c>
      <c r="F444" s="244"/>
      <c r="G444" s="247"/>
      <c r="H444" s="244">
        <v>2970</v>
      </c>
      <c r="I444" s="248" t="s">
        <v>268</v>
      </c>
      <c r="J444" s="244">
        <v>1000</v>
      </c>
      <c r="K444" s="248" t="s">
        <v>217</v>
      </c>
      <c r="L444" s="228" t="s">
        <v>222</v>
      </c>
    </row>
    <row r="445" spans="1:12" x14ac:dyDescent="0.25">
      <c r="A445" s="244" t="str">
        <f t="shared" si="14"/>
        <v>22042026-TK127-1</v>
      </c>
      <c r="B445" s="245">
        <v>46134</v>
      </c>
      <c r="C445" s="244" t="s">
        <v>291</v>
      </c>
      <c r="D445" s="244">
        <v>28760</v>
      </c>
      <c r="E445" s="244" t="s">
        <v>205</v>
      </c>
      <c r="F445" s="244"/>
      <c r="G445" s="247"/>
      <c r="H445" s="244">
        <v>297</v>
      </c>
      <c r="I445" s="248" t="s">
        <v>81</v>
      </c>
      <c r="J445" s="244">
        <v>250</v>
      </c>
      <c r="K445" s="248" t="s">
        <v>217</v>
      </c>
      <c r="L445" s="228" t="s">
        <v>222</v>
      </c>
    </row>
    <row r="446" spans="1:12" x14ac:dyDescent="0.25">
      <c r="A446" s="244" t="str">
        <f t="shared" si="14"/>
        <v>22042026-DR008-1</v>
      </c>
      <c r="B446" s="245">
        <v>46134</v>
      </c>
      <c r="C446" s="244" t="s">
        <v>238</v>
      </c>
      <c r="D446" s="244">
        <v>3734</v>
      </c>
      <c r="E446" s="244" t="s">
        <v>205</v>
      </c>
      <c r="F446" s="244"/>
      <c r="G446" s="247"/>
      <c r="H446" s="244"/>
      <c r="I446" s="248" t="s">
        <v>81</v>
      </c>
      <c r="J446" s="244">
        <v>250</v>
      </c>
      <c r="K446" s="248" t="s">
        <v>207</v>
      </c>
      <c r="L446" s="228" t="s">
        <v>222</v>
      </c>
    </row>
    <row r="447" spans="1:12" x14ac:dyDescent="0.25">
      <c r="A447" s="244" t="str">
        <f t="shared" si="14"/>
        <v>22042026-DR008-1A</v>
      </c>
      <c r="B447" s="245">
        <v>46134</v>
      </c>
      <c r="C447" s="244" t="s">
        <v>238</v>
      </c>
      <c r="D447" s="244">
        <v>3734</v>
      </c>
      <c r="E447" s="244" t="s">
        <v>259</v>
      </c>
      <c r="F447" s="244"/>
      <c r="G447" s="247"/>
      <c r="H447" s="244"/>
      <c r="I447" s="248" t="s">
        <v>81</v>
      </c>
      <c r="J447" s="244">
        <v>250</v>
      </c>
      <c r="K447" s="248" t="s">
        <v>207</v>
      </c>
      <c r="L447" s="228" t="s">
        <v>222</v>
      </c>
    </row>
    <row r="448" spans="1:12" x14ac:dyDescent="0.25">
      <c r="A448" s="244" t="str">
        <f t="shared" si="14"/>
        <v>26042026-TK105-1</v>
      </c>
      <c r="B448" s="245">
        <v>46138</v>
      </c>
      <c r="C448" s="244" t="s">
        <v>295</v>
      </c>
      <c r="D448" s="244">
        <v>31757</v>
      </c>
      <c r="E448" s="244" t="s">
        <v>205</v>
      </c>
      <c r="F448" s="244"/>
      <c r="G448" s="247"/>
      <c r="H448" s="244">
        <v>297</v>
      </c>
      <c r="I448" s="248" t="s">
        <v>81</v>
      </c>
      <c r="J448" s="244">
        <v>250</v>
      </c>
      <c r="K448" s="248" t="s">
        <v>217</v>
      </c>
      <c r="L448" s="228" t="s">
        <v>222</v>
      </c>
    </row>
    <row r="449" spans="1:12" x14ac:dyDescent="0.25">
      <c r="A449" s="244" t="str">
        <f t="shared" si="14"/>
        <v>21042026-TK108-1</v>
      </c>
      <c r="B449" s="245">
        <v>46133</v>
      </c>
      <c r="C449" s="244" t="s">
        <v>330</v>
      </c>
      <c r="D449" s="244">
        <v>33759</v>
      </c>
      <c r="E449" s="244" t="s">
        <v>205</v>
      </c>
      <c r="F449" s="244"/>
      <c r="G449" s="247"/>
      <c r="H449" s="244">
        <v>204</v>
      </c>
      <c r="I449" s="248" t="s">
        <v>81</v>
      </c>
      <c r="J449" s="244">
        <v>250</v>
      </c>
      <c r="K449" s="248" t="s">
        <v>217</v>
      </c>
      <c r="L449" s="228" t="s">
        <v>222</v>
      </c>
    </row>
    <row r="450" spans="1:12" x14ac:dyDescent="0.25">
      <c r="A450" s="244" t="str">
        <f t="shared" si="14"/>
        <v>21042026-TK114-1</v>
      </c>
      <c r="B450" s="245">
        <v>46133</v>
      </c>
      <c r="C450" s="244" t="s">
        <v>209</v>
      </c>
      <c r="D450" s="244">
        <v>32774</v>
      </c>
      <c r="E450" s="244" t="s">
        <v>205</v>
      </c>
      <c r="F450" s="244"/>
      <c r="G450" s="247"/>
      <c r="H450" s="244">
        <v>346</v>
      </c>
      <c r="I450" s="248" t="s">
        <v>81</v>
      </c>
      <c r="J450" s="244">
        <v>250</v>
      </c>
      <c r="K450" s="248" t="s">
        <v>217</v>
      </c>
      <c r="L450" s="228" t="s">
        <v>222</v>
      </c>
    </row>
    <row r="451" spans="1:12" x14ac:dyDescent="0.25">
      <c r="A451" s="244" t="str">
        <f t="shared" si="14"/>
        <v>30042026-EX015-3</v>
      </c>
      <c r="B451" s="245">
        <v>46142</v>
      </c>
      <c r="C451" s="244" t="s">
        <v>284</v>
      </c>
      <c r="D451" s="244">
        <v>5482</v>
      </c>
      <c r="E451" s="244" t="s">
        <v>206</v>
      </c>
      <c r="F451" s="244"/>
      <c r="G451" s="247"/>
      <c r="H451" s="244">
        <v>1452</v>
      </c>
      <c r="I451" s="248" t="s">
        <v>268</v>
      </c>
      <c r="J451" s="244" t="s">
        <v>340</v>
      </c>
      <c r="K451" s="248" t="s">
        <v>207</v>
      </c>
      <c r="L451" s="228" t="s">
        <v>222</v>
      </c>
    </row>
    <row r="452" spans="1:12" x14ac:dyDescent="0.25">
      <c r="A452" s="244" t="str">
        <f t="shared" si="14"/>
        <v>28042026-EX023-1</v>
      </c>
      <c r="B452" s="245">
        <v>46140</v>
      </c>
      <c r="C452" s="244" t="s">
        <v>341</v>
      </c>
      <c r="D452" s="244">
        <v>6054</v>
      </c>
      <c r="E452" s="244" t="s">
        <v>205</v>
      </c>
      <c r="F452" s="244"/>
      <c r="G452" s="247"/>
      <c r="H452" s="244"/>
      <c r="I452" s="248" t="s">
        <v>81</v>
      </c>
      <c r="J452" s="244">
        <v>6000</v>
      </c>
      <c r="K452" s="248" t="s">
        <v>207</v>
      </c>
      <c r="L452" s="228" t="s">
        <v>222</v>
      </c>
    </row>
    <row r="453" spans="1:12" x14ac:dyDescent="0.25">
      <c r="A453" s="244" t="str">
        <f t="shared" si="14"/>
        <v>28042026-EX023-3</v>
      </c>
      <c r="B453" s="245">
        <v>46140</v>
      </c>
      <c r="C453" s="244" t="s">
        <v>341</v>
      </c>
      <c r="D453" s="244">
        <v>6054</v>
      </c>
      <c r="E453" s="244" t="s">
        <v>206</v>
      </c>
      <c r="F453" s="244"/>
      <c r="G453" s="247"/>
      <c r="H453" s="244"/>
      <c r="I453" s="248" t="s">
        <v>268</v>
      </c>
      <c r="J453" s="244">
        <v>6000</v>
      </c>
      <c r="K453" s="248" t="s">
        <v>207</v>
      </c>
      <c r="L453" s="228" t="s">
        <v>222</v>
      </c>
    </row>
    <row r="454" spans="1:12" x14ac:dyDescent="0.25">
      <c r="A454" s="244" t="str">
        <f t="shared" si="14"/>
        <v>28042026-EX023-9</v>
      </c>
      <c r="B454" s="245">
        <v>46140</v>
      </c>
      <c r="C454" s="244" t="s">
        <v>341</v>
      </c>
      <c r="D454" s="244">
        <v>6054</v>
      </c>
      <c r="E454" s="244" t="s">
        <v>288</v>
      </c>
      <c r="F454" s="244"/>
      <c r="G454" s="247"/>
      <c r="H454" s="244"/>
      <c r="I454" s="248" t="s">
        <v>289</v>
      </c>
      <c r="J454" s="244">
        <v>6000</v>
      </c>
      <c r="K454" s="248" t="s">
        <v>207</v>
      </c>
      <c r="L454" s="228" t="s">
        <v>222</v>
      </c>
    </row>
    <row r="455" spans="1:12" x14ac:dyDescent="0.25">
      <c r="A455" s="244" t="str">
        <f t="shared" ref="A455:A508" si="15">TEXT(DAY(B455),"00")&amp;TEXT(MONTH(B455),"00")&amp;YEAR(B455)&amp;"-"&amp;C455&amp;"-"&amp;LEFT(E455,SEARCH(" ",E455&amp;" ")-1)</f>
        <v>28042026-EX023-4F</v>
      </c>
      <c r="B455" s="245">
        <v>46140</v>
      </c>
      <c r="C455" s="244" t="s">
        <v>341</v>
      </c>
      <c r="D455" s="244">
        <v>6054</v>
      </c>
      <c r="E455" s="244" t="s">
        <v>275</v>
      </c>
      <c r="F455" s="244"/>
      <c r="G455" s="247"/>
      <c r="H455" s="244"/>
      <c r="I455" s="248" t="s">
        <v>82</v>
      </c>
      <c r="J455" s="244">
        <v>6000</v>
      </c>
      <c r="K455" s="248" t="s">
        <v>217</v>
      </c>
      <c r="L455" s="228" t="s">
        <v>222</v>
      </c>
    </row>
    <row r="456" spans="1:12" x14ac:dyDescent="0.25">
      <c r="A456" s="244" t="str">
        <f t="shared" si="15"/>
        <v>28042026-EX023-6A</v>
      </c>
      <c r="B456" s="245">
        <v>46140</v>
      </c>
      <c r="C456" s="244" t="s">
        <v>341</v>
      </c>
      <c r="D456" s="244">
        <v>6054</v>
      </c>
      <c r="E456" s="244" t="s">
        <v>286</v>
      </c>
      <c r="F456" s="244"/>
      <c r="G456" s="247"/>
      <c r="H456" s="244"/>
      <c r="I456" s="248" t="s">
        <v>82</v>
      </c>
      <c r="J456" s="244">
        <v>6000</v>
      </c>
      <c r="K456" s="248" t="s">
        <v>217</v>
      </c>
      <c r="L456" s="228" t="s">
        <v>222</v>
      </c>
    </row>
    <row r="457" spans="1:12" x14ac:dyDescent="0.25">
      <c r="A457" s="244" t="str">
        <f t="shared" si="15"/>
        <v>27042026-TK158-1</v>
      </c>
      <c r="B457" s="245">
        <v>46139</v>
      </c>
      <c r="C457" s="244" t="s">
        <v>316</v>
      </c>
      <c r="D457" s="244">
        <v>6089</v>
      </c>
      <c r="E457" s="244" t="s">
        <v>205</v>
      </c>
      <c r="F457" s="244"/>
      <c r="G457" s="247"/>
      <c r="H457" s="244"/>
      <c r="I457" s="248" t="s">
        <v>81</v>
      </c>
      <c r="J457" s="244">
        <v>6000</v>
      </c>
      <c r="K457" s="248" t="s">
        <v>207</v>
      </c>
      <c r="L457" s="228" t="s">
        <v>222</v>
      </c>
    </row>
    <row r="458" spans="1:12" x14ac:dyDescent="0.25">
      <c r="A458" s="244" t="str">
        <f t="shared" si="15"/>
        <v>27042026-TK158-2</v>
      </c>
      <c r="B458" s="245">
        <v>46139</v>
      </c>
      <c r="C458" s="244" t="s">
        <v>316</v>
      </c>
      <c r="D458" s="244">
        <v>6089</v>
      </c>
      <c r="E458" s="244" t="s">
        <v>210</v>
      </c>
      <c r="F458" s="244"/>
      <c r="G458" s="247"/>
      <c r="H458" s="244"/>
      <c r="I458" s="248" t="s">
        <v>82</v>
      </c>
      <c r="J458" s="244">
        <v>6000</v>
      </c>
      <c r="K458" s="248" t="s">
        <v>207</v>
      </c>
      <c r="L458" s="228" t="s">
        <v>222</v>
      </c>
    </row>
    <row r="459" spans="1:12" x14ac:dyDescent="0.25">
      <c r="A459" s="244" t="str">
        <f t="shared" si="15"/>
        <v>27042026-TK158-3</v>
      </c>
      <c r="B459" s="245">
        <v>46139</v>
      </c>
      <c r="C459" s="244" t="s">
        <v>316</v>
      </c>
      <c r="D459" s="244">
        <v>6089</v>
      </c>
      <c r="E459" s="244" t="s">
        <v>206</v>
      </c>
      <c r="F459" s="244"/>
      <c r="G459" s="247"/>
      <c r="H459" s="244"/>
      <c r="I459" s="248" t="s">
        <v>268</v>
      </c>
      <c r="J459" s="244">
        <v>6000</v>
      </c>
      <c r="K459" s="248" t="s">
        <v>207</v>
      </c>
      <c r="L459" s="228" t="s">
        <v>222</v>
      </c>
    </row>
    <row r="460" spans="1:12" x14ac:dyDescent="0.25">
      <c r="A460" s="244" t="str">
        <f t="shared" si="15"/>
        <v>27042026-TK158-3A</v>
      </c>
      <c r="B460" s="245">
        <v>46139</v>
      </c>
      <c r="C460" s="244" t="s">
        <v>316</v>
      </c>
      <c r="D460" s="244">
        <v>6089</v>
      </c>
      <c r="E460" s="244" t="s">
        <v>342</v>
      </c>
      <c r="F460" s="244"/>
      <c r="G460" s="247"/>
      <c r="H460" s="244"/>
      <c r="I460" s="248" t="s">
        <v>268</v>
      </c>
      <c r="J460" s="244">
        <v>6000</v>
      </c>
      <c r="K460" s="248" t="s">
        <v>207</v>
      </c>
      <c r="L460" s="228" t="s">
        <v>222</v>
      </c>
    </row>
    <row r="461" spans="1:12" x14ac:dyDescent="0.25">
      <c r="A461" s="244" t="str">
        <f t="shared" si="15"/>
        <v>27042026-TK158-Converter</v>
      </c>
      <c r="B461" s="245">
        <v>46139</v>
      </c>
      <c r="C461" s="244" t="s">
        <v>316</v>
      </c>
      <c r="D461" s="244">
        <v>6089</v>
      </c>
      <c r="E461" s="244" t="s">
        <v>343</v>
      </c>
      <c r="F461" s="244"/>
      <c r="G461" s="247"/>
      <c r="H461" s="244"/>
      <c r="I461" s="248" t="s">
        <v>82</v>
      </c>
      <c r="J461" s="244">
        <v>6000</v>
      </c>
      <c r="K461" s="248" t="s">
        <v>207</v>
      </c>
      <c r="L461" s="228" t="s">
        <v>222</v>
      </c>
    </row>
    <row r="462" spans="1:12" x14ac:dyDescent="0.25">
      <c r="A462" s="244" t="str">
        <f t="shared" si="15"/>
        <v>27042026-TK158-4B</v>
      </c>
      <c r="B462" s="245">
        <v>46139</v>
      </c>
      <c r="C462" s="244" t="s">
        <v>316</v>
      </c>
      <c r="D462" s="244">
        <v>6089</v>
      </c>
      <c r="E462" s="244" t="s">
        <v>344</v>
      </c>
      <c r="F462" s="244"/>
      <c r="G462" s="247"/>
      <c r="H462" s="244"/>
      <c r="I462" s="248" t="s">
        <v>345</v>
      </c>
      <c r="J462" s="244">
        <v>6000</v>
      </c>
      <c r="K462" s="248" t="s">
        <v>207</v>
      </c>
      <c r="L462" s="228" t="s">
        <v>222</v>
      </c>
    </row>
    <row r="463" spans="1:12" x14ac:dyDescent="0.25">
      <c r="A463" s="244" t="str">
        <f t="shared" si="15"/>
        <v>25042026-LD007-1</v>
      </c>
      <c r="B463" s="245">
        <v>46137</v>
      </c>
      <c r="C463" s="244" t="s">
        <v>324</v>
      </c>
      <c r="D463" s="244">
        <v>19922</v>
      </c>
      <c r="E463" s="244" t="s">
        <v>205</v>
      </c>
      <c r="F463" s="244"/>
      <c r="G463" s="247"/>
      <c r="H463" s="244"/>
      <c r="I463" s="248" t="s">
        <v>81</v>
      </c>
      <c r="J463" s="244">
        <v>4000</v>
      </c>
      <c r="K463" s="248" t="s">
        <v>207</v>
      </c>
      <c r="L463" s="228" t="s">
        <v>222</v>
      </c>
    </row>
    <row r="464" spans="1:12" x14ac:dyDescent="0.25">
      <c r="A464" s="244" t="str">
        <f t="shared" si="15"/>
        <v>25042026-LD007-2</v>
      </c>
      <c r="B464" s="245">
        <v>46137</v>
      </c>
      <c r="C464" s="244" t="s">
        <v>324</v>
      </c>
      <c r="D464" s="244">
        <v>19922</v>
      </c>
      <c r="E464" s="244" t="s">
        <v>210</v>
      </c>
      <c r="F464" s="244"/>
      <c r="G464" s="247"/>
      <c r="H464" s="244"/>
      <c r="I464" s="248" t="s">
        <v>82</v>
      </c>
      <c r="J464" s="244">
        <v>4000</v>
      </c>
      <c r="K464" s="248" t="s">
        <v>207</v>
      </c>
      <c r="L464" s="228" t="s">
        <v>222</v>
      </c>
    </row>
    <row r="465" spans="1:12" x14ac:dyDescent="0.25">
      <c r="A465" s="244" t="str">
        <f t="shared" si="15"/>
        <v>25042026-LD007-3</v>
      </c>
      <c r="B465" s="245">
        <v>46137</v>
      </c>
      <c r="C465" s="244" t="s">
        <v>324</v>
      </c>
      <c r="D465" s="244">
        <v>19922</v>
      </c>
      <c r="E465" s="244" t="s">
        <v>206</v>
      </c>
      <c r="F465" s="244"/>
      <c r="G465" s="247"/>
      <c r="H465" s="244"/>
      <c r="I465" s="248" t="s">
        <v>268</v>
      </c>
      <c r="J465" s="244">
        <v>4000</v>
      </c>
      <c r="K465" s="248" t="s">
        <v>207</v>
      </c>
      <c r="L465" s="228" t="s">
        <v>222</v>
      </c>
    </row>
    <row r="466" spans="1:12" x14ac:dyDescent="0.25">
      <c r="A466" s="244" t="str">
        <f t="shared" si="15"/>
        <v>25042026-LD007-4A</v>
      </c>
      <c r="B466" s="245">
        <v>46137</v>
      </c>
      <c r="C466" s="244" t="s">
        <v>324</v>
      </c>
      <c r="D466" s="244">
        <v>19922</v>
      </c>
      <c r="E466" s="244" t="s">
        <v>346</v>
      </c>
      <c r="F466" s="244"/>
      <c r="G466" s="247"/>
      <c r="H466" s="244"/>
      <c r="I466" s="248" t="s">
        <v>345</v>
      </c>
      <c r="J466" s="244">
        <v>4000</v>
      </c>
      <c r="K466" s="248" t="s">
        <v>207</v>
      </c>
      <c r="L466" s="228" t="s">
        <v>222</v>
      </c>
    </row>
    <row r="467" spans="1:12" x14ac:dyDescent="0.25">
      <c r="A467" s="244" t="str">
        <f t="shared" si="15"/>
        <v>25042026-LD007-4B</v>
      </c>
      <c r="B467" s="245">
        <v>46137</v>
      </c>
      <c r="C467" s="244" t="s">
        <v>324</v>
      </c>
      <c r="D467" s="244">
        <v>19922</v>
      </c>
      <c r="E467" s="244" t="s">
        <v>344</v>
      </c>
      <c r="F467" s="244"/>
      <c r="G467" s="247"/>
      <c r="H467" s="244"/>
      <c r="I467" s="248" t="s">
        <v>345</v>
      </c>
      <c r="J467" s="244">
        <v>4000</v>
      </c>
      <c r="K467" s="248" t="s">
        <v>207</v>
      </c>
      <c r="L467" s="228" t="s">
        <v>222</v>
      </c>
    </row>
    <row r="468" spans="1:12" x14ac:dyDescent="0.25">
      <c r="A468" s="244" t="str">
        <f t="shared" si="15"/>
        <v>26042026-TK155-1</v>
      </c>
      <c r="B468" s="245">
        <v>46138</v>
      </c>
      <c r="C468" s="244" t="s">
        <v>319</v>
      </c>
      <c r="D468" s="244">
        <v>5956</v>
      </c>
      <c r="E468" s="244" t="s">
        <v>205</v>
      </c>
      <c r="F468" s="244"/>
      <c r="G468" s="247"/>
      <c r="H468" s="244"/>
      <c r="I468" s="248" t="s">
        <v>81</v>
      </c>
      <c r="J468" s="244">
        <v>6000</v>
      </c>
      <c r="K468" s="248" t="s">
        <v>207</v>
      </c>
      <c r="L468" s="228" t="s">
        <v>222</v>
      </c>
    </row>
    <row r="469" spans="1:12" x14ac:dyDescent="0.25">
      <c r="A469" s="244" t="str">
        <f t="shared" si="15"/>
        <v>26042026-TK155-2</v>
      </c>
      <c r="B469" s="245">
        <v>46138</v>
      </c>
      <c r="C469" s="244" t="s">
        <v>319</v>
      </c>
      <c r="D469" s="244">
        <v>5956</v>
      </c>
      <c r="E469" s="244" t="s">
        <v>210</v>
      </c>
      <c r="F469" s="244"/>
      <c r="G469" s="247"/>
      <c r="H469" s="244"/>
      <c r="I469" s="248" t="s">
        <v>82</v>
      </c>
      <c r="J469" s="244">
        <v>6000</v>
      </c>
      <c r="K469" s="248" t="s">
        <v>207</v>
      </c>
      <c r="L469" s="228" t="s">
        <v>222</v>
      </c>
    </row>
    <row r="470" spans="1:12" x14ac:dyDescent="0.25">
      <c r="A470" s="244" t="str">
        <f t="shared" si="15"/>
        <v>26042026-TK155-3</v>
      </c>
      <c r="B470" s="245">
        <v>46138</v>
      </c>
      <c r="C470" s="244" t="s">
        <v>319</v>
      </c>
      <c r="D470" s="244">
        <v>5956</v>
      </c>
      <c r="E470" s="244" t="s">
        <v>206</v>
      </c>
      <c r="F470" s="244"/>
      <c r="G470" s="247"/>
      <c r="H470" s="244"/>
      <c r="I470" s="248" t="s">
        <v>268</v>
      </c>
      <c r="J470" s="244">
        <v>6000</v>
      </c>
      <c r="K470" s="248" t="s">
        <v>207</v>
      </c>
      <c r="L470" s="228" t="s">
        <v>222</v>
      </c>
    </row>
    <row r="471" spans="1:12" x14ac:dyDescent="0.25">
      <c r="A471" s="244" t="str">
        <f t="shared" si="15"/>
        <v>26042026-TK155-5</v>
      </c>
      <c r="B471" s="245">
        <v>46138</v>
      </c>
      <c r="C471" s="244" t="s">
        <v>319</v>
      </c>
      <c r="D471" s="244">
        <v>5956</v>
      </c>
      <c r="E471" s="244" t="s">
        <v>285</v>
      </c>
      <c r="F471" s="244"/>
      <c r="G471" s="247"/>
      <c r="H471" s="244"/>
      <c r="I471" s="248" t="s">
        <v>82</v>
      </c>
      <c r="J471" s="244">
        <v>6000</v>
      </c>
      <c r="K471" s="248" t="s">
        <v>207</v>
      </c>
      <c r="L471" s="228" t="s">
        <v>222</v>
      </c>
    </row>
    <row r="472" spans="1:12" x14ac:dyDescent="0.25">
      <c r="A472" s="244" t="str">
        <f t="shared" si="15"/>
        <v>26042026-TK155-4B</v>
      </c>
      <c r="B472" s="245">
        <v>46138</v>
      </c>
      <c r="C472" s="244" t="s">
        <v>319</v>
      </c>
      <c r="D472" s="244">
        <v>5956</v>
      </c>
      <c r="E472" s="244" t="s">
        <v>344</v>
      </c>
      <c r="F472" s="244"/>
      <c r="G472" s="247"/>
      <c r="H472" s="244"/>
      <c r="I472" s="248" t="s">
        <v>345</v>
      </c>
      <c r="J472" s="244">
        <v>6000</v>
      </c>
      <c r="K472" s="248" t="s">
        <v>207</v>
      </c>
      <c r="L472" s="228" t="s">
        <v>222</v>
      </c>
    </row>
    <row r="473" spans="1:12" x14ac:dyDescent="0.25">
      <c r="A473" s="244" t="str">
        <f t="shared" si="15"/>
        <v>28042026-DZ019-2</v>
      </c>
      <c r="B473" s="245">
        <v>46140</v>
      </c>
      <c r="C473" s="244" t="s">
        <v>320</v>
      </c>
      <c r="D473" s="244">
        <v>5984</v>
      </c>
      <c r="E473" s="244" t="s">
        <v>210</v>
      </c>
      <c r="F473" s="244"/>
      <c r="G473" s="247"/>
      <c r="H473" s="244"/>
      <c r="I473" s="248" t="s">
        <v>82</v>
      </c>
      <c r="J473" s="244">
        <v>6000</v>
      </c>
      <c r="K473" s="248" t="s">
        <v>207</v>
      </c>
      <c r="L473" s="228" t="s">
        <v>222</v>
      </c>
    </row>
    <row r="474" spans="1:12" x14ac:dyDescent="0.25">
      <c r="A474" s="244" t="str">
        <f t="shared" si="15"/>
        <v>27042026-TK117-1</v>
      </c>
      <c r="B474" s="245">
        <v>46139</v>
      </c>
      <c r="C474" s="244" t="s">
        <v>321</v>
      </c>
      <c r="D474" s="244">
        <v>28025</v>
      </c>
      <c r="E474" s="244" t="s">
        <v>205</v>
      </c>
      <c r="F474" s="244"/>
      <c r="G474" s="247"/>
      <c r="H474" s="244"/>
      <c r="I474" s="248" t="s">
        <v>81</v>
      </c>
      <c r="J474" s="244">
        <v>4000</v>
      </c>
      <c r="K474" s="248" t="s">
        <v>207</v>
      </c>
      <c r="L474" s="228" t="s">
        <v>222</v>
      </c>
    </row>
    <row r="475" spans="1:12" x14ac:dyDescent="0.25">
      <c r="A475" s="244" t="str">
        <f t="shared" si="15"/>
        <v>27042026-TK117-2</v>
      </c>
      <c r="B475" s="245">
        <v>46139</v>
      </c>
      <c r="C475" s="244" t="s">
        <v>321</v>
      </c>
      <c r="D475" s="244">
        <v>28025</v>
      </c>
      <c r="E475" s="244" t="s">
        <v>210</v>
      </c>
      <c r="F475" s="244"/>
      <c r="G475" s="247"/>
      <c r="H475" s="244"/>
      <c r="I475" s="248" t="s">
        <v>82</v>
      </c>
      <c r="J475" s="244">
        <v>4000</v>
      </c>
      <c r="K475" s="248" t="s">
        <v>207</v>
      </c>
      <c r="L475" s="228" t="s">
        <v>222</v>
      </c>
    </row>
    <row r="476" spans="1:12" x14ac:dyDescent="0.25">
      <c r="A476" s="244" t="str">
        <f t="shared" si="15"/>
        <v>27042026-TK117-3</v>
      </c>
      <c r="B476" s="245">
        <v>46139</v>
      </c>
      <c r="C476" s="244" t="s">
        <v>321</v>
      </c>
      <c r="D476" s="244">
        <v>28025</v>
      </c>
      <c r="E476" s="244" t="s">
        <v>206</v>
      </c>
      <c r="F476" s="244"/>
      <c r="G476" s="247"/>
      <c r="H476" s="244"/>
      <c r="I476" s="248" t="s">
        <v>268</v>
      </c>
      <c r="J476" s="244">
        <v>4000</v>
      </c>
      <c r="K476" s="248" t="s">
        <v>207</v>
      </c>
      <c r="L476" s="228" t="s">
        <v>222</v>
      </c>
    </row>
    <row r="477" spans="1:12" x14ac:dyDescent="0.25">
      <c r="A477" s="244" t="str">
        <f t="shared" si="15"/>
        <v>01052026-SN004-1</v>
      </c>
      <c r="B477" s="245">
        <v>46143</v>
      </c>
      <c r="C477" s="244" t="s">
        <v>347</v>
      </c>
      <c r="D477" s="244"/>
      <c r="E477" s="244" t="s">
        <v>205</v>
      </c>
      <c r="F477" s="244"/>
      <c r="G477" s="247"/>
      <c r="H477" s="244">
        <v>521</v>
      </c>
      <c r="I477" s="248" t="s">
        <v>81</v>
      </c>
      <c r="J477" s="244"/>
      <c r="K477" s="248" t="s">
        <v>207</v>
      </c>
      <c r="L477" s="228" t="s">
        <v>222</v>
      </c>
    </row>
    <row r="478" spans="1:12" x14ac:dyDescent="0.25">
      <c r="A478" s="244" t="str">
        <f t="shared" si="15"/>
        <v>01052026-SN004-3</v>
      </c>
      <c r="B478" s="245">
        <v>46143</v>
      </c>
      <c r="C478" s="244" t="s">
        <v>347</v>
      </c>
      <c r="D478" s="244"/>
      <c r="E478" s="244" t="s">
        <v>206</v>
      </c>
      <c r="F478" s="244"/>
      <c r="G478" s="247"/>
      <c r="H478" s="244">
        <v>521</v>
      </c>
      <c r="I478" s="248" t="s">
        <v>268</v>
      </c>
      <c r="J478" s="244"/>
      <c r="K478" s="248" t="s">
        <v>217</v>
      </c>
      <c r="L478" s="228" t="s">
        <v>222</v>
      </c>
    </row>
    <row r="479" spans="1:12" x14ac:dyDescent="0.25">
      <c r="A479" s="244" t="str">
        <f t="shared" si="15"/>
        <v>01052026-CR006-1</v>
      </c>
      <c r="B479" s="245">
        <v>46143</v>
      </c>
      <c r="C479" s="244" t="s">
        <v>273</v>
      </c>
      <c r="D479" s="244">
        <v>4557</v>
      </c>
      <c r="E479" s="244" t="s">
        <v>205</v>
      </c>
      <c r="F479" s="244"/>
      <c r="G479" s="247"/>
      <c r="H479" s="244"/>
      <c r="I479" s="248" t="s">
        <v>81</v>
      </c>
      <c r="J479" s="244">
        <v>500</v>
      </c>
      <c r="K479" s="248" t="s">
        <v>207</v>
      </c>
      <c r="L479" s="228" t="s">
        <v>222</v>
      </c>
    </row>
    <row r="480" spans="1:12" x14ac:dyDescent="0.25">
      <c r="A480" s="244" t="str">
        <f t="shared" si="15"/>
        <v>01052026-CR006-3</v>
      </c>
      <c r="B480" s="245">
        <v>46143</v>
      </c>
      <c r="C480" s="244" t="s">
        <v>273</v>
      </c>
      <c r="D480" s="244">
        <v>4557</v>
      </c>
      <c r="E480" s="244" t="s">
        <v>206</v>
      </c>
      <c r="F480" s="244"/>
      <c r="G480" s="247"/>
      <c r="H480" s="244"/>
      <c r="I480" s="248" t="s">
        <v>268</v>
      </c>
      <c r="J480" s="244">
        <v>500</v>
      </c>
      <c r="K480" s="248" t="s">
        <v>217</v>
      </c>
      <c r="L480" s="228" t="s">
        <v>222</v>
      </c>
    </row>
    <row r="481" spans="1:12" x14ac:dyDescent="0.25">
      <c r="A481" s="244" t="str">
        <f t="shared" si="15"/>
        <v>01052026-CR007-1</v>
      </c>
      <c r="B481" s="245">
        <v>46143</v>
      </c>
      <c r="C481" s="244" t="s">
        <v>348</v>
      </c>
      <c r="D481" s="244"/>
      <c r="E481" s="244" t="s">
        <v>205</v>
      </c>
      <c r="F481" s="244"/>
      <c r="G481" s="247"/>
      <c r="H481" s="244">
        <v>441</v>
      </c>
      <c r="I481" s="248" t="s">
        <v>81</v>
      </c>
      <c r="J481" s="244"/>
      <c r="K481" s="248" t="s">
        <v>207</v>
      </c>
      <c r="L481" s="228" t="s">
        <v>222</v>
      </c>
    </row>
    <row r="482" spans="1:12" x14ac:dyDescent="0.25">
      <c r="A482" s="244" t="str">
        <f t="shared" si="15"/>
        <v>01052026-CR007-3</v>
      </c>
      <c r="B482" s="245">
        <v>46143</v>
      </c>
      <c r="C482" s="244" t="s">
        <v>348</v>
      </c>
      <c r="D482" s="244"/>
      <c r="E482" s="244" t="s">
        <v>206</v>
      </c>
      <c r="F482" s="244"/>
      <c r="G482" s="247"/>
      <c r="H482" s="244">
        <v>441</v>
      </c>
      <c r="I482" s="248" t="s">
        <v>268</v>
      </c>
      <c r="J482" s="244"/>
      <c r="K482" s="248" t="s">
        <v>217</v>
      </c>
      <c r="L482" s="228" t="s">
        <v>222</v>
      </c>
    </row>
    <row r="483" spans="1:12" x14ac:dyDescent="0.25">
      <c r="A483" s="244" t="str">
        <f t="shared" si="15"/>
        <v>06052026-TK154-2</v>
      </c>
      <c r="B483" s="245">
        <v>46148</v>
      </c>
      <c r="C483" s="244" t="s">
        <v>248</v>
      </c>
      <c r="D483" s="244">
        <v>4747</v>
      </c>
      <c r="E483" s="244" t="s">
        <v>210</v>
      </c>
      <c r="F483" s="244"/>
      <c r="G483" s="247"/>
      <c r="H483" s="244"/>
      <c r="I483" s="248" t="s">
        <v>82</v>
      </c>
      <c r="J483" s="244">
        <v>9000</v>
      </c>
      <c r="K483" s="248" t="s">
        <v>207</v>
      </c>
      <c r="L483" s="228" t="s">
        <v>222</v>
      </c>
    </row>
    <row r="484" spans="1:12" x14ac:dyDescent="0.25">
      <c r="A484" s="244" t="str">
        <f t="shared" si="15"/>
        <v>12052026-TK148-1</v>
      </c>
      <c r="B484" s="245">
        <v>46154</v>
      </c>
      <c r="C484" s="244" t="s">
        <v>239</v>
      </c>
      <c r="D484" s="244">
        <v>6052</v>
      </c>
      <c r="E484" s="244" t="s">
        <v>205</v>
      </c>
      <c r="F484" s="244"/>
      <c r="G484" s="247"/>
      <c r="H484" s="244"/>
      <c r="I484" s="248" t="s">
        <v>81</v>
      </c>
      <c r="J484" s="244">
        <v>12000</v>
      </c>
      <c r="K484" s="248" t="s">
        <v>207</v>
      </c>
      <c r="L484" s="228" t="s">
        <v>222</v>
      </c>
    </row>
    <row r="485" spans="1:12" x14ac:dyDescent="0.25">
      <c r="A485" s="244" t="str">
        <f t="shared" si="15"/>
        <v>12052026-TK148-3</v>
      </c>
      <c r="B485" s="245">
        <v>46154</v>
      </c>
      <c r="C485" s="244" t="s">
        <v>239</v>
      </c>
      <c r="D485" s="244">
        <v>6052</v>
      </c>
      <c r="E485" s="244" t="s">
        <v>206</v>
      </c>
      <c r="F485" s="244"/>
      <c r="G485" s="247"/>
      <c r="H485" s="244"/>
      <c r="I485" s="248" t="s">
        <v>268</v>
      </c>
      <c r="J485" s="244">
        <v>12000</v>
      </c>
      <c r="K485" s="248" t="s">
        <v>217</v>
      </c>
      <c r="L485" s="228" t="s">
        <v>222</v>
      </c>
    </row>
    <row r="486" spans="1:12" x14ac:dyDescent="0.25">
      <c r="A486" s="244" t="str">
        <f t="shared" si="15"/>
        <v>12052026-TK148-2</v>
      </c>
      <c r="B486" s="245">
        <v>46154</v>
      </c>
      <c r="C486" s="244" t="s">
        <v>239</v>
      </c>
      <c r="D486" s="244">
        <v>6052</v>
      </c>
      <c r="E486" s="244" t="s">
        <v>210</v>
      </c>
      <c r="F486" s="244"/>
      <c r="G486" s="247"/>
      <c r="H486" s="244"/>
      <c r="I486" s="248" t="s">
        <v>82</v>
      </c>
      <c r="J486" s="244">
        <v>9000</v>
      </c>
      <c r="K486" s="248" t="s">
        <v>207</v>
      </c>
      <c r="L486" s="228" t="s">
        <v>222</v>
      </c>
    </row>
    <row r="487" spans="1:12" x14ac:dyDescent="0.25">
      <c r="A487" s="244" t="str">
        <f t="shared" si="15"/>
        <v>10052026-TK151-1</v>
      </c>
      <c r="B487" s="245">
        <v>46152</v>
      </c>
      <c r="C487" s="244" t="s">
        <v>313</v>
      </c>
      <c r="D487" s="244">
        <v>4621</v>
      </c>
      <c r="E487" s="244" t="s">
        <v>205</v>
      </c>
      <c r="F487" s="244"/>
      <c r="G487" s="247"/>
      <c r="H487" s="244"/>
      <c r="I487" s="248" t="s">
        <v>81</v>
      </c>
      <c r="J487" s="244">
        <v>9000</v>
      </c>
      <c r="K487" s="248" t="s">
        <v>207</v>
      </c>
      <c r="L487" s="228" t="s">
        <v>222</v>
      </c>
    </row>
    <row r="488" spans="1:12" x14ac:dyDescent="0.25">
      <c r="A488" s="244" t="str">
        <f t="shared" si="15"/>
        <v>10052026-TK151-3</v>
      </c>
      <c r="B488" s="245">
        <v>46152</v>
      </c>
      <c r="C488" s="244" t="s">
        <v>313</v>
      </c>
      <c r="D488" s="244">
        <v>4621</v>
      </c>
      <c r="E488" s="244" t="s">
        <v>206</v>
      </c>
      <c r="F488" s="244"/>
      <c r="G488" s="247"/>
      <c r="H488" s="244"/>
      <c r="I488" s="248" t="s">
        <v>268</v>
      </c>
      <c r="J488" s="244">
        <v>9000</v>
      </c>
      <c r="K488" s="248" t="s">
        <v>217</v>
      </c>
      <c r="L488" s="228" t="s">
        <v>222</v>
      </c>
    </row>
    <row r="489" spans="1:12" x14ac:dyDescent="0.25">
      <c r="A489" s="244" t="str">
        <f t="shared" si="15"/>
        <v>10052026-TK151-2</v>
      </c>
      <c r="B489" s="245">
        <v>46152</v>
      </c>
      <c r="C489" s="244" t="s">
        <v>313</v>
      </c>
      <c r="D489" s="244">
        <v>4621</v>
      </c>
      <c r="E489" s="244" t="s">
        <v>210</v>
      </c>
      <c r="F489" s="244"/>
      <c r="G489" s="247"/>
      <c r="H489" s="244"/>
      <c r="I489" s="248" t="s">
        <v>82</v>
      </c>
      <c r="J489" s="244">
        <v>9000</v>
      </c>
      <c r="K489" s="248" t="s">
        <v>207</v>
      </c>
      <c r="L489" s="228" t="s">
        <v>222</v>
      </c>
    </row>
    <row r="490" spans="1:12" x14ac:dyDescent="0.25">
      <c r="A490" s="244" t="str">
        <f t="shared" si="15"/>
        <v>15052026-EX11-1</v>
      </c>
      <c r="B490" s="245">
        <v>46157</v>
      </c>
      <c r="C490" s="244" t="s">
        <v>349</v>
      </c>
      <c r="D490" s="244">
        <v>28420</v>
      </c>
      <c r="E490" s="244" t="s">
        <v>205</v>
      </c>
      <c r="F490" s="244"/>
      <c r="G490" s="247"/>
      <c r="H490" s="244"/>
      <c r="I490" s="248" t="s">
        <v>81</v>
      </c>
      <c r="J490" s="244">
        <v>9000</v>
      </c>
      <c r="K490" s="248" t="s">
        <v>207</v>
      </c>
      <c r="L490" s="228" t="s">
        <v>222</v>
      </c>
    </row>
    <row r="491" spans="1:12" x14ac:dyDescent="0.25">
      <c r="A491" s="244" t="str">
        <f t="shared" si="15"/>
        <v>15052026-EX11-3</v>
      </c>
      <c r="B491" s="245">
        <v>46157</v>
      </c>
      <c r="C491" s="244" t="s">
        <v>349</v>
      </c>
      <c r="D491" s="244">
        <v>28420</v>
      </c>
      <c r="E491" s="244" t="s">
        <v>206</v>
      </c>
      <c r="F491" s="244"/>
      <c r="G491" s="247"/>
      <c r="H491" s="244"/>
      <c r="I491" s="248" t="s">
        <v>268</v>
      </c>
      <c r="J491" s="244">
        <v>9000</v>
      </c>
      <c r="K491" s="248" t="s">
        <v>217</v>
      </c>
      <c r="L491" s="228" t="s">
        <v>222</v>
      </c>
    </row>
    <row r="492" spans="1:12" x14ac:dyDescent="0.25">
      <c r="A492" s="244" t="str">
        <f t="shared" si="15"/>
        <v>15052026-EX11-4F</v>
      </c>
      <c r="B492" s="245">
        <v>46157</v>
      </c>
      <c r="C492" s="244" t="s">
        <v>349</v>
      </c>
      <c r="D492" s="244">
        <v>28420</v>
      </c>
      <c r="E492" s="244" t="s">
        <v>275</v>
      </c>
      <c r="F492" s="244"/>
      <c r="G492" s="247"/>
      <c r="H492" s="244"/>
      <c r="I492" s="248" t="s">
        <v>82</v>
      </c>
      <c r="J492" s="244">
        <v>9000</v>
      </c>
      <c r="K492" s="248" t="s">
        <v>217</v>
      </c>
      <c r="L492" s="228" t="s">
        <v>222</v>
      </c>
    </row>
    <row r="493" spans="1:12" x14ac:dyDescent="0.25">
      <c r="A493" s="244" t="str">
        <f t="shared" si="15"/>
        <v>15052026-TK161-1</v>
      </c>
      <c r="B493" s="245">
        <v>46157</v>
      </c>
      <c r="C493" s="244" t="s">
        <v>315</v>
      </c>
      <c r="D493" s="244">
        <v>5956</v>
      </c>
      <c r="E493" s="244" t="s">
        <v>205</v>
      </c>
      <c r="F493" s="244"/>
      <c r="G493" s="247"/>
      <c r="H493" s="244"/>
      <c r="I493" s="248" t="s">
        <v>81</v>
      </c>
      <c r="J493" s="244">
        <v>9000</v>
      </c>
      <c r="K493" s="248" t="s">
        <v>207</v>
      </c>
      <c r="L493" s="228" t="s">
        <v>222</v>
      </c>
    </row>
    <row r="494" spans="1:12" x14ac:dyDescent="0.25">
      <c r="A494" s="244" t="str">
        <f t="shared" si="15"/>
        <v>15052026-TK161-2</v>
      </c>
      <c r="B494" s="245">
        <v>46157</v>
      </c>
      <c r="C494" s="244" t="s">
        <v>315</v>
      </c>
      <c r="D494" s="244">
        <v>5956</v>
      </c>
      <c r="E494" s="244" t="s">
        <v>210</v>
      </c>
      <c r="F494" s="244"/>
      <c r="G494" s="247"/>
      <c r="H494" s="244"/>
      <c r="I494" s="248" t="s">
        <v>82</v>
      </c>
      <c r="J494" s="244">
        <v>9000</v>
      </c>
      <c r="K494" s="248" t="s">
        <v>207</v>
      </c>
      <c r="L494" s="228" t="s">
        <v>222</v>
      </c>
    </row>
    <row r="495" spans="1:12" x14ac:dyDescent="0.25">
      <c r="A495" s="244" t="str">
        <f t="shared" si="15"/>
        <v>15052026-TK161-3</v>
      </c>
      <c r="B495" s="245">
        <v>46157</v>
      </c>
      <c r="C495" s="244" t="s">
        <v>315</v>
      </c>
      <c r="D495" s="244">
        <v>5956</v>
      </c>
      <c r="E495" s="244" t="s">
        <v>206</v>
      </c>
      <c r="F495" s="244"/>
      <c r="G495" s="247"/>
      <c r="H495" s="244"/>
      <c r="I495" s="248" t="s">
        <v>268</v>
      </c>
      <c r="J495" s="244">
        <v>9000</v>
      </c>
      <c r="K495" s="248" t="s">
        <v>217</v>
      </c>
      <c r="L495" s="228" t="s">
        <v>222</v>
      </c>
    </row>
    <row r="496" spans="1:12" x14ac:dyDescent="0.25">
      <c r="A496" s="244" t="str">
        <f t="shared" si="15"/>
        <v>18052026-TK154-1</v>
      </c>
      <c r="B496" s="245">
        <v>46160</v>
      </c>
      <c r="C496" s="244" t="s">
        <v>248</v>
      </c>
      <c r="D496" s="244">
        <v>4995</v>
      </c>
      <c r="E496" s="244" t="s">
        <v>205</v>
      </c>
      <c r="F496" s="244"/>
      <c r="G496" s="247"/>
      <c r="H496" s="244"/>
      <c r="I496" s="248" t="s">
        <v>81</v>
      </c>
      <c r="J496" s="244">
        <v>9000</v>
      </c>
      <c r="K496" s="248" t="s">
        <v>207</v>
      </c>
      <c r="L496" s="228" t="s">
        <v>222</v>
      </c>
    </row>
    <row r="497" spans="1:12" x14ac:dyDescent="0.25">
      <c r="A497" s="244" t="str">
        <f t="shared" si="15"/>
        <v>18052026-TK154-2</v>
      </c>
      <c r="B497" s="245">
        <v>46160</v>
      </c>
      <c r="C497" s="244" t="s">
        <v>248</v>
      </c>
      <c r="D497" s="244">
        <v>4995</v>
      </c>
      <c r="E497" s="244" t="s">
        <v>210</v>
      </c>
      <c r="F497" s="244"/>
      <c r="G497" s="247"/>
      <c r="H497" s="244"/>
      <c r="I497" s="248" t="s">
        <v>82</v>
      </c>
      <c r="J497" s="244">
        <v>9000</v>
      </c>
      <c r="K497" s="248" t="s">
        <v>207</v>
      </c>
      <c r="L497" s="228" t="s">
        <v>222</v>
      </c>
    </row>
    <row r="498" spans="1:12" x14ac:dyDescent="0.25">
      <c r="A498" s="244" t="str">
        <f t="shared" si="15"/>
        <v>18052026-TK154-3</v>
      </c>
      <c r="B498" s="245">
        <v>46160</v>
      </c>
      <c r="C498" s="244" t="s">
        <v>248</v>
      </c>
      <c r="D498" s="244">
        <v>4995</v>
      </c>
      <c r="E498" s="244" t="s">
        <v>206</v>
      </c>
      <c r="F498" s="244"/>
      <c r="G498" s="247"/>
      <c r="H498" s="244"/>
      <c r="I498" s="248" t="s">
        <v>268</v>
      </c>
      <c r="J498" s="244">
        <v>9000</v>
      </c>
      <c r="K498" s="248" t="s">
        <v>217</v>
      </c>
      <c r="L498" s="228" t="s">
        <v>222</v>
      </c>
    </row>
    <row r="499" spans="1:12" x14ac:dyDescent="0.25">
      <c r="A499" s="244" t="str">
        <f t="shared" si="15"/>
        <v>11052026-TK152-1</v>
      </c>
      <c r="B499" s="245">
        <v>46153</v>
      </c>
      <c r="C499" s="244" t="s">
        <v>247</v>
      </c>
      <c r="D499" s="244">
        <v>5983</v>
      </c>
      <c r="E499" s="244" t="s">
        <v>205</v>
      </c>
      <c r="F499" s="244"/>
      <c r="G499" s="247"/>
      <c r="H499" s="244"/>
      <c r="I499" s="248" t="s">
        <v>81</v>
      </c>
      <c r="J499" s="244">
        <v>9000</v>
      </c>
      <c r="K499" s="248" t="s">
        <v>207</v>
      </c>
      <c r="L499" s="228" t="s">
        <v>222</v>
      </c>
    </row>
    <row r="500" spans="1:12" x14ac:dyDescent="0.25">
      <c r="A500" s="244" t="str">
        <f t="shared" si="15"/>
        <v>11052026-TK152-2</v>
      </c>
      <c r="B500" s="245">
        <v>46153</v>
      </c>
      <c r="C500" s="244" t="s">
        <v>247</v>
      </c>
      <c r="D500" s="244">
        <v>5983</v>
      </c>
      <c r="E500" s="244" t="s">
        <v>210</v>
      </c>
      <c r="F500" s="244"/>
      <c r="G500" s="247"/>
      <c r="H500" s="244"/>
      <c r="I500" s="248" t="s">
        <v>82</v>
      </c>
      <c r="J500" s="244">
        <v>9000</v>
      </c>
      <c r="K500" s="248" t="s">
        <v>207</v>
      </c>
      <c r="L500" s="228" t="s">
        <v>222</v>
      </c>
    </row>
    <row r="501" spans="1:12" x14ac:dyDescent="0.25">
      <c r="A501" s="244" t="str">
        <f t="shared" si="15"/>
        <v>11052026-TK152-3</v>
      </c>
      <c r="B501" s="245">
        <v>46153</v>
      </c>
      <c r="C501" s="244" t="s">
        <v>247</v>
      </c>
      <c r="D501" s="244">
        <v>5983</v>
      </c>
      <c r="E501" s="244" t="s">
        <v>206</v>
      </c>
      <c r="F501" s="244"/>
      <c r="G501" s="247"/>
      <c r="H501" s="244"/>
      <c r="I501" s="248" t="s">
        <v>268</v>
      </c>
      <c r="J501" s="244">
        <v>9000</v>
      </c>
      <c r="K501" s="248" t="s">
        <v>217</v>
      </c>
      <c r="L501" s="228" t="s">
        <v>222</v>
      </c>
    </row>
    <row r="502" spans="1:12" x14ac:dyDescent="0.25">
      <c r="A502" s="244" t="str">
        <f t="shared" si="15"/>
        <v>11062026-TK09-1</v>
      </c>
      <c r="B502" s="245">
        <v>46184</v>
      </c>
      <c r="C502" s="244" t="s">
        <v>350</v>
      </c>
      <c r="D502" s="244">
        <v>31950</v>
      </c>
      <c r="E502" s="244" t="s">
        <v>205</v>
      </c>
      <c r="F502" s="244"/>
      <c r="G502" s="247"/>
      <c r="H502" s="244">
        <v>481</v>
      </c>
      <c r="I502" s="248" t="s">
        <v>81</v>
      </c>
      <c r="J502" s="244">
        <v>8000</v>
      </c>
      <c r="K502" s="248" t="s">
        <v>207</v>
      </c>
      <c r="L502" s="228" t="s">
        <v>222</v>
      </c>
    </row>
    <row r="503" spans="1:12" x14ac:dyDescent="0.25">
      <c r="A503" s="244" t="str">
        <f t="shared" si="15"/>
        <v>11062026-TK09-2</v>
      </c>
      <c r="B503" s="245">
        <v>46184</v>
      </c>
      <c r="C503" s="244" t="s">
        <v>350</v>
      </c>
      <c r="D503" s="244">
        <v>31950</v>
      </c>
      <c r="E503" s="244" t="s">
        <v>210</v>
      </c>
      <c r="F503" s="244"/>
      <c r="G503" s="247"/>
      <c r="H503" s="244">
        <v>923</v>
      </c>
      <c r="I503" s="248" t="s">
        <v>82</v>
      </c>
      <c r="J503" s="244">
        <v>8000</v>
      </c>
      <c r="K503" s="248" t="s">
        <v>207</v>
      </c>
      <c r="L503" s="228" t="s">
        <v>222</v>
      </c>
    </row>
    <row r="504" spans="1:12" x14ac:dyDescent="0.25">
      <c r="A504" s="244" t="str">
        <f t="shared" si="15"/>
        <v>11062026-TK09-3</v>
      </c>
      <c r="B504" s="245">
        <v>46184</v>
      </c>
      <c r="C504" s="244" t="s">
        <v>350</v>
      </c>
      <c r="D504" s="244">
        <v>31950</v>
      </c>
      <c r="E504" s="244" t="s">
        <v>206</v>
      </c>
      <c r="F504" s="244"/>
      <c r="G504" s="247"/>
      <c r="H504" s="244">
        <v>3891</v>
      </c>
      <c r="I504" s="248" t="s">
        <v>268</v>
      </c>
      <c r="J504" s="244">
        <v>8000</v>
      </c>
      <c r="K504" s="248" t="s">
        <v>207</v>
      </c>
      <c r="L504" s="228" t="s">
        <v>222</v>
      </c>
    </row>
    <row r="505" spans="1:12" x14ac:dyDescent="0.25">
      <c r="A505" s="244" t="str">
        <f t="shared" si="15"/>
        <v>14062026-TK113-1</v>
      </c>
      <c r="B505" s="245">
        <v>46187</v>
      </c>
      <c r="C505" s="244" t="s">
        <v>264</v>
      </c>
      <c r="D505" s="244">
        <v>37000</v>
      </c>
      <c r="E505" s="244" t="s">
        <v>205</v>
      </c>
      <c r="F505" s="244"/>
      <c r="G505" s="247"/>
      <c r="H505" s="244">
        <v>518</v>
      </c>
      <c r="I505" s="248" t="s">
        <v>81</v>
      </c>
      <c r="J505" s="244">
        <v>1000</v>
      </c>
      <c r="K505" s="248" t="s">
        <v>207</v>
      </c>
      <c r="L505" s="228" t="s">
        <v>222</v>
      </c>
    </row>
    <row r="506" spans="1:12" x14ac:dyDescent="0.25">
      <c r="A506" s="244" t="str">
        <f t="shared" si="15"/>
        <v>14062026-TK113-2</v>
      </c>
      <c r="B506" s="245">
        <v>46187</v>
      </c>
      <c r="C506" s="244" t="s">
        <v>264</v>
      </c>
      <c r="D506" s="244">
        <v>37000</v>
      </c>
      <c r="E506" s="244" t="s">
        <v>210</v>
      </c>
      <c r="F506" s="244"/>
      <c r="G506" s="247"/>
      <c r="H506" s="244">
        <v>929</v>
      </c>
      <c r="I506" s="248" t="s">
        <v>82</v>
      </c>
      <c r="J506" s="244">
        <v>1000</v>
      </c>
      <c r="K506" s="248" t="s">
        <v>207</v>
      </c>
      <c r="L506" s="228" t="s">
        <v>222</v>
      </c>
    </row>
    <row r="507" spans="1:12" x14ac:dyDescent="0.25">
      <c r="A507" s="244" t="str">
        <f t="shared" si="15"/>
        <v>14062026-TK113-3</v>
      </c>
      <c r="B507" s="245">
        <v>46187</v>
      </c>
      <c r="C507" s="244" t="s">
        <v>264</v>
      </c>
      <c r="D507" s="244">
        <v>37000</v>
      </c>
      <c r="E507" s="244" t="s">
        <v>206</v>
      </c>
      <c r="F507" s="244"/>
      <c r="G507" s="247"/>
      <c r="H507" s="244">
        <v>929</v>
      </c>
      <c r="I507" s="248" t="s">
        <v>268</v>
      </c>
      <c r="J507" s="244">
        <v>1000</v>
      </c>
      <c r="K507" s="248" t="s">
        <v>217</v>
      </c>
      <c r="L507" s="228" t="s">
        <v>222</v>
      </c>
    </row>
    <row r="508" spans="1:12" x14ac:dyDescent="0.25">
      <c r="A508" s="244" t="str">
        <f t="shared" si="15"/>
        <v>09062026-TK125-1</v>
      </c>
      <c r="B508" s="245">
        <v>46182</v>
      </c>
      <c r="C508" s="244" t="s">
        <v>325</v>
      </c>
      <c r="D508" s="244">
        <v>29975</v>
      </c>
      <c r="E508" s="244" t="s">
        <v>205</v>
      </c>
      <c r="F508" s="244"/>
      <c r="G508" s="247"/>
      <c r="H508" s="244">
        <v>511</v>
      </c>
      <c r="I508" s="248" t="s">
        <v>81</v>
      </c>
      <c r="J508" s="244">
        <v>2000</v>
      </c>
      <c r="K508" s="248" t="s">
        <v>207</v>
      </c>
      <c r="L508" s="228" t="s">
        <v>222</v>
      </c>
    </row>
    <row r="509" spans="1:12" x14ac:dyDescent="0.25">
      <c r="A509" s="244" t="str">
        <f t="shared" ref="A509:A572" si="16">TEXT(DAY(B509),"00")&amp;TEXT(MONTH(B509),"00")&amp;YEAR(B509)&amp;"-"&amp;C509&amp;"-"&amp;LEFT(E509,SEARCH(" ",E509&amp;" ")-1)</f>
        <v>09062026-TK125-2</v>
      </c>
      <c r="B509" s="245">
        <v>46182</v>
      </c>
      <c r="C509" s="244" t="s">
        <v>325</v>
      </c>
      <c r="D509" s="244">
        <v>29975</v>
      </c>
      <c r="E509" s="244" t="s">
        <v>210</v>
      </c>
      <c r="F509" s="244"/>
      <c r="G509" s="247"/>
      <c r="H509" s="244">
        <v>1039</v>
      </c>
      <c r="I509" s="248" t="s">
        <v>82</v>
      </c>
      <c r="J509" s="244">
        <v>2000</v>
      </c>
      <c r="K509" s="248" t="s">
        <v>207</v>
      </c>
      <c r="L509" s="228" t="s">
        <v>222</v>
      </c>
    </row>
    <row r="510" spans="1:12" x14ac:dyDescent="0.25">
      <c r="A510" s="244" t="str">
        <f t="shared" si="16"/>
        <v>09062026-TK125-3</v>
      </c>
      <c r="B510" s="245">
        <v>46182</v>
      </c>
      <c r="C510" s="244" t="s">
        <v>325</v>
      </c>
      <c r="D510" s="244">
        <v>29975</v>
      </c>
      <c r="E510" s="244" t="s">
        <v>206</v>
      </c>
      <c r="F510" s="244"/>
      <c r="G510" s="247"/>
      <c r="H510" s="244">
        <v>1942</v>
      </c>
      <c r="I510" s="248" t="s">
        <v>268</v>
      </c>
      <c r="J510" s="244">
        <v>2000</v>
      </c>
      <c r="K510" s="248" t="s">
        <v>217</v>
      </c>
      <c r="L510" s="228" t="s">
        <v>222</v>
      </c>
    </row>
    <row r="511" spans="1:12" x14ac:dyDescent="0.25">
      <c r="A511" s="244" t="str">
        <f t="shared" si="16"/>
        <v>09052026-DZ008-1</v>
      </c>
      <c r="B511" s="245">
        <v>46151</v>
      </c>
      <c r="C511" s="244" t="s">
        <v>312</v>
      </c>
      <c r="D511" s="244">
        <v>25988</v>
      </c>
      <c r="E511" s="244" t="s">
        <v>205</v>
      </c>
      <c r="F511" s="244"/>
      <c r="G511" s="247"/>
      <c r="H511" s="244"/>
      <c r="I511" s="248" t="s">
        <v>81</v>
      </c>
      <c r="J511" s="244"/>
      <c r="K511" s="248" t="s">
        <v>207</v>
      </c>
      <c r="L511" s="228" t="s">
        <v>222</v>
      </c>
    </row>
    <row r="512" spans="1:12" x14ac:dyDescent="0.25">
      <c r="A512" s="244" t="str">
        <f t="shared" si="16"/>
        <v>03052026-EX025-1</v>
      </c>
      <c r="B512" s="245">
        <v>46145</v>
      </c>
      <c r="C512" s="244" t="s">
        <v>351</v>
      </c>
      <c r="D512" s="244">
        <v>6000</v>
      </c>
      <c r="E512" s="244" t="s">
        <v>205</v>
      </c>
      <c r="F512" s="244"/>
      <c r="G512" s="247"/>
      <c r="H512" s="244"/>
      <c r="I512" s="248" t="s">
        <v>81</v>
      </c>
      <c r="J512" s="244">
        <v>6000</v>
      </c>
      <c r="K512" s="248" t="s">
        <v>207</v>
      </c>
      <c r="L512" s="228" t="s">
        <v>222</v>
      </c>
    </row>
    <row r="513" spans="1:12" x14ac:dyDescent="0.25">
      <c r="A513" s="244" t="str">
        <f t="shared" si="16"/>
        <v>09052026-SN001-1</v>
      </c>
      <c r="B513" s="245">
        <v>46151</v>
      </c>
      <c r="C513" s="244" t="s">
        <v>270</v>
      </c>
      <c r="D513" s="244">
        <v>22363</v>
      </c>
      <c r="E513" s="244" t="s">
        <v>205</v>
      </c>
      <c r="F513" s="244"/>
      <c r="G513" s="247"/>
      <c r="H513" s="244"/>
      <c r="I513" s="248" t="s">
        <v>81</v>
      </c>
      <c r="J513" s="244"/>
      <c r="K513" s="248" t="s">
        <v>207</v>
      </c>
      <c r="L513" s="228" t="s">
        <v>222</v>
      </c>
    </row>
    <row r="514" spans="1:12" x14ac:dyDescent="0.25">
      <c r="A514" s="244" t="str">
        <f t="shared" si="16"/>
        <v>09052026-DZ008-2</v>
      </c>
      <c r="B514" s="245">
        <v>46151</v>
      </c>
      <c r="C514" s="244" t="s">
        <v>312</v>
      </c>
      <c r="D514" s="244">
        <v>25988</v>
      </c>
      <c r="E514" s="244" t="s">
        <v>210</v>
      </c>
      <c r="F514" s="244"/>
      <c r="G514" s="247"/>
      <c r="H514" s="244"/>
      <c r="I514" s="248" t="s">
        <v>82</v>
      </c>
      <c r="J514" s="244"/>
      <c r="K514" s="248" t="s">
        <v>217</v>
      </c>
      <c r="L514" s="228" t="s">
        <v>222</v>
      </c>
    </row>
    <row r="515" spans="1:12" x14ac:dyDescent="0.25">
      <c r="A515" s="244" t="str">
        <f t="shared" si="16"/>
        <v>03052026-EX025-4AL</v>
      </c>
      <c r="B515" s="245">
        <v>46145</v>
      </c>
      <c r="C515" s="244" t="s">
        <v>351</v>
      </c>
      <c r="D515" s="244">
        <v>6000</v>
      </c>
      <c r="E515" s="244" t="s">
        <v>254</v>
      </c>
      <c r="F515" s="244"/>
      <c r="G515" s="247"/>
      <c r="H515" s="244"/>
      <c r="I515" s="248" t="s">
        <v>82</v>
      </c>
      <c r="J515" s="244">
        <v>6000</v>
      </c>
      <c r="K515" s="248" t="s">
        <v>207</v>
      </c>
      <c r="L515" s="228" t="s">
        <v>222</v>
      </c>
    </row>
    <row r="516" spans="1:12" x14ac:dyDescent="0.25">
      <c r="A516" s="244" t="str">
        <f t="shared" si="16"/>
        <v>03052026-DZ007-4AL</v>
      </c>
      <c r="B516" s="245">
        <v>46145</v>
      </c>
      <c r="C516" s="244" t="s">
        <v>328</v>
      </c>
      <c r="D516" s="244">
        <v>8000</v>
      </c>
      <c r="E516" s="244" t="s">
        <v>254</v>
      </c>
      <c r="F516" s="244"/>
      <c r="G516" s="247"/>
      <c r="H516" s="244"/>
      <c r="I516" s="248" t="s">
        <v>82</v>
      </c>
      <c r="J516" s="244">
        <v>8000</v>
      </c>
      <c r="K516" s="248" t="s">
        <v>207</v>
      </c>
      <c r="L516" s="228" t="s">
        <v>222</v>
      </c>
    </row>
    <row r="517" spans="1:12" x14ac:dyDescent="0.25">
      <c r="A517" s="244" t="str">
        <f t="shared" si="16"/>
        <v>09052026-CR003-1</v>
      </c>
      <c r="B517" s="245">
        <v>46151</v>
      </c>
      <c r="C517" s="244" t="s">
        <v>272</v>
      </c>
      <c r="D517" s="244">
        <v>16066</v>
      </c>
      <c r="E517" s="244" t="s">
        <v>205</v>
      </c>
      <c r="F517" s="244"/>
      <c r="G517" s="247"/>
      <c r="H517" s="244"/>
      <c r="I517" s="248" t="s">
        <v>81</v>
      </c>
      <c r="J517" s="244"/>
      <c r="K517" s="248" t="s">
        <v>207</v>
      </c>
      <c r="L517" s="228" t="s">
        <v>222</v>
      </c>
    </row>
    <row r="518" spans="1:12" x14ac:dyDescent="0.25">
      <c r="A518" s="244" t="str">
        <f t="shared" si="16"/>
        <v>09052026-CR003-3</v>
      </c>
      <c r="B518" s="245">
        <v>46151</v>
      </c>
      <c r="C518" s="244" t="s">
        <v>272</v>
      </c>
      <c r="D518" s="244">
        <v>16066</v>
      </c>
      <c r="E518" s="244" t="s">
        <v>206</v>
      </c>
      <c r="F518" s="244"/>
      <c r="G518" s="247"/>
      <c r="H518" s="244"/>
      <c r="I518" s="248" t="s">
        <v>268</v>
      </c>
      <c r="J518" s="244"/>
      <c r="K518" s="248" t="s">
        <v>217</v>
      </c>
      <c r="L518" s="228" t="s">
        <v>222</v>
      </c>
    </row>
    <row r="519" spans="1:12" x14ac:dyDescent="0.25">
      <c r="A519" s="244" t="str">
        <f t="shared" si="16"/>
        <v>09052026-CR001-3</v>
      </c>
      <c r="B519" s="245">
        <v>46151</v>
      </c>
      <c r="C519" s="244" t="s">
        <v>283</v>
      </c>
      <c r="D519" s="244">
        <v>22363</v>
      </c>
      <c r="E519" s="244" t="s">
        <v>206</v>
      </c>
      <c r="F519" s="244"/>
      <c r="G519" s="247"/>
      <c r="H519" s="244"/>
      <c r="I519" s="248" t="s">
        <v>268</v>
      </c>
      <c r="J519" s="244"/>
      <c r="K519" s="248" t="s">
        <v>217</v>
      </c>
      <c r="L519" s="228" t="s">
        <v>222</v>
      </c>
    </row>
    <row r="520" spans="1:12" x14ac:dyDescent="0.25">
      <c r="A520" s="244" t="str">
        <f t="shared" si="16"/>
        <v>09052026-DZ008-3</v>
      </c>
      <c r="B520" s="245">
        <v>46151</v>
      </c>
      <c r="C520" s="244" t="s">
        <v>312</v>
      </c>
      <c r="D520" s="244">
        <v>25988</v>
      </c>
      <c r="E520" s="244" t="s">
        <v>206</v>
      </c>
      <c r="F520" s="244"/>
      <c r="G520" s="247"/>
      <c r="H520" s="244"/>
      <c r="I520" s="248" t="s">
        <v>268</v>
      </c>
      <c r="J520" s="244"/>
      <c r="K520" s="248" t="s">
        <v>207</v>
      </c>
      <c r="L520" s="228" t="s">
        <v>222</v>
      </c>
    </row>
    <row r="521" spans="1:12" x14ac:dyDescent="0.25">
      <c r="A521" s="244" t="str">
        <f t="shared" si="16"/>
        <v>03052026-EX025-3</v>
      </c>
      <c r="B521" s="245">
        <v>46145</v>
      </c>
      <c r="C521" s="244" t="s">
        <v>351</v>
      </c>
      <c r="D521" s="244"/>
      <c r="E521" s="244" t="s">
        <v>206</v>
      </c>
      <c r="F521" s="244"/>
      <c r="G521" s="247"/>
      <c r="H521" s="244"/>
      <c r="I521" s="248" t="s">
        <v>268</v>
      </c>
      <c r="J521" s="244">
        <v>6000</v>
      </c>
      <c r="K521" s="248" t="s">
        <v>207</v>
      </c>
      <c r="L521" s="228" t="s">
        <v>222</v>
      </c>
    </row>
    <row r="522" spans="1:12" x14ac:dyDescent="0.25">
      <c r="A522" s="244" t="str">
        <f t="shared" si="16"/>
        <v>08052026-TK153-1</v>
      </c>
      <c r="B522" s="245">
        <v>46150</v>
      </c>
      <c r="C522" s="244" t="s">
        <v>240</v>
      </c>
      <c r="D522" s="244">
        <v>5996</v>
      </c>
      <c r="E522" s="244" t="s">
        <v>205</v>
      </c>
      <c r="F522" s="244"/>
      <c r="G522" s="247"/>
      <c r="H522" s="244"/>
      <c r="I522" s="248" t="s">
        <v>81</v>
      </c>
      <c r="J522" s="244">
        <v>9000</v>
      </c>
      <c r="K522" s="248" t="s">
        <v>207</v>
      </c>
      <c r="L522" s="228" t="s">
        <v>222</v>
      </c>
    </row>
    <row r="523" spans="1:12" x14ac:dyDescent="0.25">
      <c r="A523" s="244" t="str">
        <f t="shared" si="16"/>
        <v>03052026-DZ007-3</v>
      </c>
      <c r="B523" s="245">
        <v>46145</v>
      </c>
      <c r="C523" s="244" t="s">
        <v>328</v>
      </c>
      <c r="D523" s="244"/>
      <c r="E523" s="244" t="s">
        <v>206</v>
      </c>
      <c r="F523" s="244"/>
      <c r="G523" s="247"/>
      <c r="H523" s="244"/>
      <c r="I523" s="248" t="s">
        <v>268</v>
      </c>
      <c r="J523" s="244">
        <v>8000</v>
      </c>
      <c r="K523" s="248" t="s">
        <v>217</v>
      </c>
      <c r="L523" s="228" t="s">
        <v>222</v>
      </c>
    </row>
    <row r="524" spans="1:12" x14ac:dyDescent="0.25">
      <c r="A524" s="244" t="str">
        <f t="shared" si="16"/>
        <v>08052026-TK153-3</v>
      </c>
      <c r="B524" s="245">
        <v>46150</v>
      </c>
      <c r="C524" s="244" t="s">
        <v>240</v>
      </c>
      <c r="D524" s="244">
        <v>5996</v>
      </c>
      <c r="E524" s="244" t="s">
        <v>206</v>
      </c>
      <c r="F524" s="244"/>
      <c r="G524" s="247"/>
      <c r="H524" s="244"/>
      <c r="I524" s="248" t="s">
        <v>268</v>
      </c>
      <c r="J524" s="244">
        <v>9000</v>
      </c>
      <c r="K524" s="248" t="s">
        <v>217</v>
      </c>
      <c r="L524" s="228" t="s">
        <v>222</v>
      </c>
    </row>
    <row r="525" spans="1:12" x14ac:dyDescent="0.25">
      <c r="A525" s="244" t="str">
        <f t="shared" si="16"/>
        <v>04052026-EX012-1</v>
      </c>
      <c r="B525" s="245">
        <v>46146</v>
      </c>
      <c r="C525" s="244" t="s">
        <v>260</v>
      </c>
      <c r="D525" s="244">
        <v>6000</v>
      </c>
      <c r="E525" s="244" t="s">
        <v>205</v>
      </c>
      <c r="F525" s="244"/>
      <c r="G525" s="247"/>
      <c r="H525" s="244"/>
      <c r="I525" s="248" t="s">
        <v>81</v>
      </c>
      <c r="J525" s="244">
        <v>6000</v>
      </c>
      <c r="K525" s="248" t="s">
        <v>207</v>
      </c>
      <c r="L525" s="228" t="s">
        <v>222</v>
      </c>
    </row>
    <row r="526" spans="1:12" x14ac:dyDescent="0.25">
      <c r="A526" s="244" t="str">
        <f t="shared" si="16"/>
        <v>04052026-EX012-5</v>
      </c>
      <c r="B526" s="245">
        <v>46146</v>
      </c>
      <c r="C526" s="244" t="s">
        <v>260</v>
      </c>
      <c r="D526" s="244">
        <v>6000</v>
      </c>
      <c r="E526" s="244" t="s">
        <v>285</v>
      </c>
      <c r="F526" s="244"/>
      <c r="G526" s="247"/>
      <c r="H526" s="244"/>
      <c r="I526" s="248" t="s">
        <v>82</v>
      </c>
      <c r="J526" s="244">
        <v>6000</v>
      </c>
      <c r="K526" s="248" t="s">
        <v>207</v>
      </c>
      <c r="L526" s="228" t="s">
        <v>222</v>
      </c>
    </row>
    <row r="527" spans="1:12" x14ac:dyDescent="0.25">
      <c r="A527" s="244" t="str">
        <f t="shared" si="16"/>
        <v>03052026-DZ007-1</v>
      </c>
      <c r="B527" s="245">
        <v>46145</v>
      </c>
      <c r="C527" s="244" t="s">
        <v>328</v>
      </c>
      <c r="D527" s="244">
        <v>8000</v>
      </c>
      <c r="E527" s="244" t="s">
        <v>205</v>
      </c>
      <c r="F527" s="244"/>
      <c r="G527" s="247"/>
      <c r="H527" s="244"/>
      <c r="I527" s="248" t="s">
        <v>81</v>
      </c>
      <c r="J527" s="244">
        <v>8000</v>
      </c>
      <c r="K527" s="248" t="s">
        <v>207</v>
      </c>
      <c r="L527" s="228" t="s">
        <v>222</v>
      </c>
    </row>
    <row r="528" spans="1:12" x14ac:dyDescent="0.25">
      <c r="A528" s="244" t="str">
        <f t="shared" si="16"/>
        <v>08052026-TK153-2</v>
      </c>
      <c r="B528" s="245">
        <v>46150</v>
      </c>
      <c r="C528" s="244" t="s">
        <v>240</v>
      </c>
      <c r="D528" s="244">
        <v>5996</v>
      </c>
      <c r="E528" s="244" t="s">
        <v>210</v>
      </c>
      <c r="F528" s="244"/>
      <c r="G528" s="247"/>
      <c r="H528" s="244"/>
      <c r="I528" s="248" t="s">
        <v>82</v>
      </c>
      <c r="J528" s="244">
        <v>9000</v>
      </c>
      <c r="K528" s="248" t="s">
        <v>207</v>
      </c>
      <c r="L528" s="228" t="s">
        <v>222</v>
      </c>
    </row>
    <row r="529" spans="1:12" x14ac:dyDescent="0.25">
      <c r="A529" s="244" t="str">
        <f t="shared" si="16"/>
        <v>04052026-EX012-4AL</v>
      </c>
      <c r="B529" s="245">
        <v>46146</v>
      </c>
      <c r="C529" s="244" t="s">
        <v>260</v>
      </c>
      <c r="D529" s="244">
        <v>6000</v>
      </c>
      <c r="E529" s="244" t="s">
        <v>254</v>
      </c>
      <c r="F529" s="244"/>
      <c r="G529" s="247"/>
      <c r="H529" s="244"/>
      <c r="I529" s="248" t="s">
        <v>268</v>
      </c>
      <c r="J529" s="244">
        <v>6000</v>
      </c>
      <c r="K529" s="248" t="s">
        <v>207</v>
      </c>
      <c r="L529" s="228" t="s">
        <v>222</v>
      </c>
    </row>
    <row r="530" spans="1:12" x14ac:dyDescent="0.25">
      <c r="A530" s="244" t="str">
        <f t="shared" si="16"/>
        <v>04052026-EX012-4AR</v>
      </c>
      <c r="B530" s="245">
        <v>46146</v>
      </c>
      <c r="C530" s="244" t="s">
        <v>260</v>
      </c>
      <c r="D530" s="244">
        <v>6000</v>
      </c>
      <c r="E530" s="244" t="s">
        <v>255</v>
      </c>
      <c r="F530" s="244"/>
      <c r="G530" s="247"/>
      <c r="H530" s="244"/>
      <c r="I530" s="248" t="s">
        <v>268</v>
      </c>
      <c r="J530" s="244">
        <v>6000</v>
      </c>
      <c r="K530" s="248" t="s">
        <v>207</v>
      </c>
      <c r="L530" s="228" t="s">
        <v>222</v>
      </c>
    </row>
    <row r="531" spans="1:12" x14ac:dyDescent="0.25">
      <c r="A531" s="244" t="str">
        <f t="shared" si="16"/>
        <v>03052026-DZ007-2</v>
      </c>
      <c r="B531" s="245">
        <v>46145</v>
      </c>
      <c r="C531" s="244" t="s">
        <v>328</v>
      </c>
      <c r="D531" s="244">
        <v>8000</v>
      </c>
      <c r="E531" s="244" t="s">
        <v>210</v>
      </c>
      <c r="F531" s="244"/>
      <c r="G531" s="247"/>
      <c r="H531" s="244"/>
      <c r="I531" s="248" t="s">
        <v>82</v>
      </c>
      <c r="J531" s="244">
        <v>8000</v>
      </c>
      <c r="K531" s="248" t="s">
        <v>207</v>
      </c>
      <c r="L531" s="228" t="s">
        <v>222</v>
      </c>
    </row>
    <row r="532" spans="1:12" x14ac:dyDescent="0.25">
      <c r="A532" s="244" t="str">
        <f t="shared" si="16"/>
        <v>03052026-EX025-4AR</v>
      </c>
      <c r="B532" s="245">
        <v>46145</v>
      </c>
      <c r="C532" s="244" t="s">
        <v>351</v>
      </c>
      <c r="D532" s="244">
        <v>6000</v>
      </c>
      <c r="E532" s="244" t="s">
        <v>255</v>
      </c>
      <c r="F532" s="244"/>
      <c r="G532" s="247"/>
      <c r="H532" s="244"/>
      <c r="I532" s="248" t="s">
        <v>268</v>
      </c>
      <c r="J532" s="244">
        <v>6000</v>
      </c>
      <c r="K532" s="248" t="s">
        <v>217</v>
      </c>
      <c r="L532" s="228" t="s">
        <v>222</v>
      </c>
    </row>
    <row r="533" spans="1:12" x14ac:dyDescent="0.25">
      <c r="A533" s="244" t="str">
        <f t="shared" si="16"/>
        <v>05052026-TK115-4AR</v>
      </c>
      <c r="B533" s="245">
        <v>46147</v>
      </c>
      <c r="C533" s="244" t="s">
        <v>212</v>
      </c>
      <c r="D533" s="244">
        <v>2000</v>
      </c>
      <c r="E533" s="244" t="s">
        <v>255</v>
      </c>
      <c r="F533" s="244"/>
      <c r="G533" s="247"/>
      <c r="H533" s="244"/>
      <c r="I533" s="248" t="s">
        <v>268</v>
      </c>
      <c r="J533" s="244">
        <v>2000</v>
      </c>
      <c r="K533" s="248" t="s">
        <v>217</v>
      </c>
      <c r="L533" s="228" t="s">
        <v>222</v>
      </c>
    </row>
    <row r="534" spans="1:12" x14ac:dyDescent="0.25">
      <c r="A534" s="244" t="str">
        <f t="shared" si="16"/>
        <v>05052026-TK115-2</v>
      </c>
      <c r="B534" s="245">
        <v>46147</v>
      </c>
      <c r="C534" s="244" t="s">
        <v>212</v>
      </c>
      <c r="D534" s="244">
        <v>2000</v>
      </c>
      <c r="E534" s="244" t="s">
        <v>210</v>
      </c>
      <c r="F534" s="244"/>
      <c r="G534" s="247"/>
      <c r="H534" s="244"/>
      <c r="I534" s="248" t="s">
        <v>82</v>
      </c>
      <c r="J534" s="244">
        <v>2000</v>
      </c>
      <c r="K534" s="248" t="s">
        <v>217</v>
      </c>
      <c r="L534" s="228" t="s">
        <v>222</v>
      </c>
    </row>
    <row r="535" spans="1:12" x14ac:dyDescent="0.25">
      <c r="A535" s="244" t="str">
        <f t="shared" si="16"/>
        <v>05052026-TK115-4A</v>
      </c>
      <c r="B535" s="245">
        <v>46147</v>
      </c>
      <c r="C535" s="244" t="s">
        <v>212</v>
      </c>
      <c r="D535" s="244">
        <v>37915</v>
      </c>
      <c r="E535" s="244" t="s">
        <v>346</v>
      </c>
      <c r="F535" s="244"/>
      <c r="G535" s="247"/>
      <c r="H535" s="244"/>
      <c r="I535" s="248" t="s">
        <v>268</v>
      </c>
      <c r="J535" s="244">
        <v>2000</v>
      </c>
      <c r="K535" s="248" t="s">
        <v>217</v>
      </c>
      <c r="L535" s="228" t="s">
        <v>222</v>
      </c>
    </row>
    <row r="536" spans="1:12" x14ac:dyDescent="0.25">
      <c r="A536" s="244" t="str">
        <f t="shared" si="16"/>
        <v>05052026-TK115-1</v>
      </c>
      <c r="B536" s="245">
        <v>46147</v>
      </c>
      <c r="C536" s="244" t="s">
        <v>212</v>
      </c>
      <c r="D536" s="244">
        <v>37915</v>
      </c>
      <c r="E536" s="244" t="s">
        <v>205</v>
      </c>
      <c r="F536" s="244"/>
      <c r="G536" s="247"/>
      <c r="H536" s="244"/>
      <c r="I536" s="248" t="s">
        <v>81</v>
      </c>
      <c r="J536" s="244">
        <v>2000</v>
      </c>
      <c r="K536" s="248" t="s">
        <v>207</v>
      </c>
      <c r="L536" s="228" t="s">
        <v>222</v>
      </c>
    </row>
    <row r="537" spans="1:12" x14ac:dyDescent="0.25">
      <c r="A537" s="244" t="str">
        <f t="shared" si="16"/>
        <v>04052026-EX15-8</v>
      </c>
      <c r="B537" s="245">
        <v>46146</v>
      </c>
      <c r="C537" s="244" t="s">
        <v>352</v>
      </c>
      <c r="D537" s="244"/>
      <c r="E537" s="244" t="s">
        <v>353</v>
      </c>
      <c r="F537" s="244"/>
      <c r="G537" s="247"/>
      <c r="H537" s="244"/>
      <c r="I537" s="248">
        <v>46</v>
      </c>
      <c r="J537" s="244"/>
      <c r="K537" s="248" t="s">
        <v>207</v>
      </c>
      <c r="L537" s="228" t="s">
        <v>222</v>
      </c>
    </row>
    <row r="538" spans="1:12" x14ac:dyDescent="0.25">
      <c r="A538" s="244" t="str">
        <f t="shared" si="16"/>
        <v>04052026-EX15-4AL</v>
      </c>
      <c r="B538" s="245">
        <v>46146</v>
      </c>
      <c r="C538" s="244" t="s">
        <v>352</v>
      </c>
      <c r="D538" s="244"/>
      <c r="E538" s="244" t="s">
        <v>254</v>
      </c>
      <c r="F538" s="244"/>
      <c r="G538" s="247"/>
      <c r="H538" s="244"/>
      <c r="I538" s="248" t="s">
        <v>268</v>
      </c>
      <c r="J538" s="244"/>
      <c r="K538" s="248" t="s">
        <v>217</v>
      </c>
      <c r="L538" s="228" t="s">
        <v>222</v>
      </c>
    </row>
    <row r="539" spans="1:12" x14ac:dyDescent="0.25">
      <c r="A539" s="244" t="str">
        <f t="shared" si="16"/>
        <v>05052026-TK121-2</v>
      </c>
      <c r="B539" s="245">
        <v>46147</v>
      </c>
      <c r="C539" s="244" t="s">
        <v>215</v>
      </c>
      <c r="D539" s="244">
        <v>27010</v>
      </c>
      <c r="E539" s="244" t="s">
        <v>210</v>
      </c>
      <c r="F539" s="244"/>
      <c r="G539" s="247"/>
      <c r="H539" s="244"/>
      <c r="I539" s="248" t="s">
        <v>82</v>
      </c>
      <c r="J539" s="244">
        <v>9000</v>
      </c>
      <c r="K539" s="248" t="s">
        <v>207</v>
      </c>
      <c r="L539" s="228" t="s">
        <v>222</v>
      </c>
    </row>
    <row r="540" spans="1:12" x14ac:dyDescent="0.25">
      <c r="A540" s="244" t="str">
        <f t="shared" si="16"/>
        <v>07052026-TK156-1</v>
      </c>
      <c r="B540" s="245">
        <v>46149</v>
      </c>
      <c r="C540" s="244" t="s">
        <v>216</v>
      </c>
      <c r="D540" s="244">
        <v>6008</v>
      </c>
      <c r="E540" s="244" t="s">
        <v>205</v>
      </c>
      <c r="F540" s="244"/>
      <c r="G540" s="247"/>
      <c r="H540" s="244"/>
      <c r="I540" s="248" t="s">
        <v>81</v>
      </c>
      <c r="J540" s="244">
        <v>9000</v>
      </c>
      <c r="K540" s="248" t="s">
        <v>207</v>
      </c>
      <c r="L540" s="228" t="s">
        <v>222</v>
      </c>
    </row>
    <row r="541" spans="1:12" x14ac:dyDescent="0.25">
      <c r="A541" s="244" t="str">
        <f t="shared" si="16"/>
        <v>04052026-EX15-4AR</v>
      </c>
      <c r="B541" s="245">
        <v>46146</v>
      </c>
      <c r="C541" s="244" t="s">
        <v>352</v>
      </c>
      <c r="D541" s="244"/>
      <c r="E541" s="244" t="s">
        <v>255</v>
      </c>
      <c r="F541" s="244"/>
      <c r="G541" s="247"/>
      <c r="H541" s="244"/>
      <c r="I541" s="248" t="s">
        <v>268</v>
      </c>
      <c r="J541" s="244"/>
      <c r="K541" s="248" t="s">
        <v>217</v>
      </c>
      <c r="L541" s="228" t="s">
        <v>222</v>
      </c>
    </row>
    <row r="542" spans="1:12" x14ac:dyDescent="0.25">
      <c r="A542" s="244" t="str">
        <f t="shared" si="16"/>
        <v>05052026-TK121-1</v>
      </c>
      <c r="B542" s="245">
        <v>46147</v>
      </c>
      <c r="C542" s="244" t="s">
        <v>215</v>
      </c>
      <c r="D542" s="244">
        <v>27010</v>
      </c>
      <c r="E542" s="244" t="s">
        <v>205</v>
      </c>
      <c r="F542" s="244"/>
      <c r="G542" s="247"/>
      <c r="H542" s="244"/>
      <c r="I542" s="248" t="s">
        <v>81</v>
      </c>
      <c r="J542" s="244">
        <v>9000</v>
      </c>
      <c r="K542" s="248" t="s">
        <v>207</v>
      </c>
      <c r="L542" s="228" t="s">
        <v>222</v>
      </c>
    </row>
    <row r="543" spans="1:12" x14ac:dyDescent="0.25">
      <c r="A543" s="244" t="str">
        <f t="shared" si="16"/>
        <v>05052026-TK121-3</v>
      </c>
      <c r="B543" s="245">
        <v>46147</v>
      </c>
      <c r="C543" s="244" t="s">
        <v>215</v>
      </c>
      <c r="D543" s="244">
        <v>27010</v>
      </c>
      <c r="E543" s="244" t="s">
        <v>206</v>
      </c>
      <c r="F543" s="244"/>
      <c r="G543" s="247"/>
      <c r="H543" s="244"/>
      <c r="I543" s="248" t="s">
        <v>268</v>
      </c>
      <c r="J543" s="244">
        <v>9000</v>
      </c>
      <c r="K543" s="248" t="s">
        <v>217</v>
      </c>
      <c r="L543" s="228" t="s">
        <v>222</v>
      </c>
    </row>
    <row r="544" spans="1:12" x14ac:dyDescent="0.25">
      <c r="A544" s="244" t="str">
        <f t="shared" si="16"/>
        <v>04052026-EX15-1</v>
      </c>
      <c r="B544" s="245">
        <v>46146</v>
      </c>
      <c r="C544" s="244" t="s">
        <v>352</v>
      </c>
      <c r="D544" s="244"/>
      <c r="E544" s="244" t="s">
        <v>205</v>
      </c>
      <c r="F544" s="244"/>
      <c r="G544" s="247"/>
      <c r="H544" s="244"/>
      <c r="I544" s="248" t="s">
        <v>81</v>
      </c>
      <c r="J544" s="244"/>
      <c r="K544" s="248" t="s">
        <v>207</v>
      </c>
      <c r="L544" s="228" t="s">
        <v>222</v>
      </c>
    </row>
    <row r="545" spans="1:12" x14ac:dyDescent="0.25">
      <c r="A545" s="244" t="str">
        <f t="shared" si="16"/>
        <v>07052026-TK156-3</v>
      </c>
      <c r="B545" s="245">
        <v>46149</v>
      </c>
      <c r="C545" s="244" t="s">
        <v>216</v>
      </c>
      <c r="D545" s="244">
        <v>6008</v>
      </c>
      <c r="E545" s="244" t="s">
        <v>206</v>
      </c>
      <c r="F545" s="244"/>
      <c r="G545" s="247"/>
      <c r="H545" s="244"/>
      <c r="I545" s="248" t="s">
        <v>268</v>
      </c>
      <c r="J545" s="244">
        <v>9000</v>
      </c>
      <c r="K545" s="248" t="s">
        <v>217</v>
      </c>
      <c r="L545" s="228" t="s">
        <v>222</v>
      </c>
    </row>
    <row r="546" spans="1:12" x14ac:dyDescent="0.25">
      <c r="A546" s="244" t="str">
        <f t="shared" si="16"/>
        <v>04052026-EX15-3</v>
      </c>
      <c r="B546" s="245">
        <v>46146</v>
      </c>
      <c r="C546" s="244" t="s">
        <v>352</v>
      </c>
      <c r="D546" s="244"/>
      <c r="E546" s="244" t="s">
        <v>206</v>
      </c>
      <c r="F546" s="244"/>
      <c r="G546" s="247"/>
      <c r="H546" s="244"/>
      <c r="I546" s="248" t="s">
        <v>268</v>
      </c>
      <c r="J546" s="244"/>
      <c r="K546" s="248" t="s">
        <v>207</v>
      </c>
      <c r="L546" s="228" t="s">
        <v>222</v>
      </c>
    </row>
    <row r="547" spans="1:12" x14ac:dyDescent="0.25">
      <c r="A547" s="244" t="str">
        <f t="shared" si="16"/>
        <v>04052026-EX012-3</v>
      </c>
      <c r="B547" s="245">
        <v>46146</v>
      </c>
      <c r="C547" s="244" t="s">
        <v>260</v>
      </c>
      <c r="D547" s="244"/>
      <c r="E547" s="244" t="s">
        <v>206</v>
      </c>
      <c r="F547" s="244"/>
      <c r="G547" s="247"/>
      <c r="H547" s="244"/>
      <c r="I547" s="248" t="s">
        <v>268</v>
      </c>
      <c r="J547" s="244">
        <v>6000</v>
      </c>
      <c r="K547" s="248" t="s">
        <v>207</v>
      </c>
      <c r="L547" s="228" t="s">
        <v>222</v>
      </c>
    </row>
    <row r="548" spans="1:12" x14ac:dyDescent="0.25">
      <c r="A548" s="244" t="str">
        <f t="shared" si="16"/>
        <v>07052026-TK156-2</v>
      </c>
      <c r="B548" s="245">
        <v>46149</v>
      </c>
      <c r="C548" s="244" t="s">
        <v>216</v>
      </c>
      <c r="D548" s="244">
        <v>6008</v>
      </c>
      <c r="E548" s="244" t="s">
        <v>210</v>
      </c>
      <c r="F548" s="244"/>
      <c r="G548" s="247"/>
      <c r="H548" s="244"/>
      <c r="I548" s="248" t="s">
        <v>82</v>
      </c>
      <c r="J548" s="244">
        <v>9000</v>
      </c>
      <c r="K548" s="248" t="s">
        <v>207</v>
      </c>
      <c r="L548" s="228" t="s">
        <v>222</v>
      </c>
    </row>
    <row r="549" spans="1:12" x14ac:dyDescent="0.25">
      <c r="A549" s="244" t="str">
        <f t="shared" si="16"/>
        <v>06052026-TK154-1</v>
      </c>
      <c r="B549" s="245">
        <v>46148</v>
      </c>
      <c r="C549" s="244" t="s">
        <v>248</v>
      </c>
      <c r="D549" s="244">
        <v>4747</v>
      </c>
      <c r="E549" s="244" t="s">
        <v>205</v>
      </c>
      <c r="F549" s="244"/>
      <c r="G549" s="247"/>
      <c r="H549" s="244"/>
      <c r="I549" s="248" t="s">
        <v>81</v>
      </c>
      <c r="J549" s="244">
        <v>9000</v>
      </c>
      <c r="K549" s="248" t="s">
        <v>207</v>
      </c>
      <c r="L549" s="228" t="s">
        <v>222</v>
      </c>
    </row>
    <row r="550" spans="1:12" x14ac:dyDescent="0.25">
      <c r="A550" s="244" t="str">
        <f t="shared" si="16"/>
        <v>06052026-TK154-3</v>
      </c>
      <c r="B550" s="245">
        <v>46148</v>
      </c>
      <c r="C550" s="244" t="s">
        <v>248</v>
      </c>
      <c r="D550" s="244">
        <v>4747</v>
      </c>
      <c r="E550" s="244" t="s">
        <v>206</v>
      </c>
      <c r="F550" s="244"/>
      <c r="G550" s="247"/>
      <c r="H550" s="244"/>
      <c r="I550" s="248" t="s">
        <v>268</v>
      </c>
      <c r="J550" s="244">
        <v>9000</v>
      </c>
      <c r="K550" s="248" t="s">
        <v>207</v>
      </c>
      <c r="L550" s="228" t="s">
        <v>222</v>
      </c>
    </row>
    <row r="551" spans="1:12" x14ac:dyDescent="0.25">
      <c r="A551" s="244" t="str">
        <f t="shared" si="16"/>
        <v>00011900--</v>
      </c>
      <c r="B551" s="245"/>
      <c r="C551" s="244"/>
      <c r="D551" s="244"/>
      <c r="E551" s="244"/>
      <c r="F551" s="244"/>
      <c r="G551" s="247"/>
      <c r="H551" s="244"/>
      <c r="I551" s="248"/>
      <c r="J551" s="244"/>
      <c r="K551" s="248"/>
      <c r="L551" s="228"/>
    </row>
    <row r="552" spans="1:12" x14ac:dyDescent="0.25">
      <c r="A552" s="244" t="str">
        <f t="shared" si="16"/>
        <v>00011900--</v>
      </c>
      <c r="B552" s="245"/>
      <c r="C552" s="244"/>
      <c r="D552" s="244"/>
      <c r="E552" s="244"/>
      <c r="F552" s="244"/>
      <c r="G552" s="247"/>
      <c r="H552" s="244"/>
      <c r="I552" s="248"/>
      <c r="J552" s="244"/>
      <c r="K552" s="248"/>
      <c r="L552" s="228"/>
    </row>
    <row r="553" spans="1:12" x14ac:dyDescent="0.25">
      <c r="A553" s="244" t="str">
        <f t="shared" si="16"/>
        <v>00011900--</v>
      </c>
      <c r="B553" s="245"/>
      <c r="C553" s="244"/>
      <c r="D553" s="244"/>
      <c r="E553" s="244"/>
      <c r="F553" s="244"/>
      <c r="G553" s="247"/>
      <c r="H553" s="244"/>
      <c r="I553" s="248"/>
      <c r="J553" s="244"/>
      <c r="K553" s="248"/>
      <c r="L553" s="228"/>
    </row>
    <row r="554" spans="1:12" x14ac:dyDescent="0.25">
      <c r="A554" s="244" t="str">
        <f t="shared" si="16"/>
        <v>00011900--</v>
      </c>
      <c r="B554" s="245"/>
      <c r="C554" s="244"/>
      <c r="D554" s="244"/>
      <c r="E554" s="244"/>
      <c r="F554" s="244"/>
      <c r="G554" s="247"/>
      <c r="H554" s="244"/>
      <c r="I554" s="248"/>
      <c r="J554" s="244"/>
      <c r="K554" s="248"/>
      <c r="L554" s="228"/>
    </row>
    <row r="555" spans="1:12" x14ac:dyDescent="0.25">
      <c r="A555" s="244" t="str">
        <f t="shared" si="16"/>
        <v>00011900--</v>
      </c>
      <c r="B555" s="245"/>
      <c r="C555" s="244"/>
      <c r="D555" s="244"/>
      <c r="E555" s="244"/>
      <c r="F555" s="244"/>
      <c r="G555" s="247"/>
      <c r="H555" s="244"/>
      <c r="I555" s="248"/>
      <c r="J555" s="244"/>
      <c r="K555" s="248"/>
      <c r="L555" s="228"/>
    </row>
    <row r="556" spans="1:12" x14ac:dyDescent="0.25">
      <c r="A556" s="244" t="str">
        <f t="shared" si="16"/>
        <v>00011900--</v>
      </c>
      <c r="B556" s="245"/>
      <c r="C556" s="244"/>
      <c r="D556" s="244"/>
      <c r="E556" s="244"/>
      <c r="F556" s="244"/>
      <c r="G556" s="247"/>
      <c r="H556" s="244"/>
      <c r="I556" s="248"/>
      <c r="J556" s="244"/>
      <c r="K556" s="248"/>
      <c r="L556" s="228"/>
    </row>
    <row r="557" spans="1:12" x14ac:dyDescent="0.25">
      <c r="A557" s="244" t="str">
        <f t="shared" si="16"/>
        <v>00011900--</v>
      </c>
      <c r="B557" s="245"/>
      <c r="C557" s="244"/>
      <c r="D557" s="244"/>
      <c r="E557" s="244"/>
      <c r="F557" s="244"/>
      <c r="G557" s="247"/>
      <c r="H557" s="244"/>
      <c r="I557" s="248"/>
      <c r="J557" s="244"/>
      <c r="K557" s="248"/>
      <c r="L557" s="228"/>
    </row>
    <row r="558" spans="1:12" x14ac:dyDescent="0.25">
      <c r="A558" s="244" t="str">
        <f t="shared" si="16"/>
        <v>00011900--</v>
      </c>
      <c r="B558" s="245"/>
      <c r="C558" s="244"/>
      <c r="D558" s="244"/>
      <c r="E558" s="244"/>
      <c r="F558" s="244"/>
      <c r="G558" s="247"/>
      <c r="H558" s="244"/>
      <c r="I558" s="248"/>
      <c r="J558" s="244"/>
      <c r="K558" s="248"/>
      <c r="L558" s="228"/>
    </row>
    <row r="559" spans="1:12" x14ac:dyDescent="0.25">
      <c r="A559" s="244" t="str">
        <f t="shared" si="16"/>
        <v>00011900--</v>
      </c>
      <c r="B559" s="245"/>
      <c r="C559" s="244"/>
      <c r="D559" s="244"/>
      <c r="E559" s="244"/>
      <c r="F559" s="244"/>
      <c r="G559" s="247"/>
      <c r="H559" s="244"/>
      <c r="I559" s="248"/>
      <c r="J559" s="244"/>
      <c r="K559" s="248"/>
      <c r="L559" s="228"/>
    </row>
    <row r="560" spans="1:12" x14ac:dyDescent="0.25">
      <c r="A560" s="244" t="str">
        <f t="shared" si="16"/>
        <v>00011900--</v>
      </c>
      <c r="B560" s="245"/>
      <c r="C560" s="244"/>
      <c r="D560" s="244"/>
      <c r="E560" s="244"/>
      <c r="F560" s="244"/>
      <c r="G560" s="247"/>
      <c r="H560" s="244"/>
      <c r="I560" s="248"/>
      <c r="J560" s="244"/>
      <c r="K560" s="248"/>
      <c r="L560" s="228"/>
    </row>
    <row r="561" spans="1:12" x14ac:dyDescent="0.25">
      <c r="A561" s="244" t="str">
        <f t="shared" si="16"/>
        <v>00011900--</v>
      </c>
      <c r="B561" s="245"/>
      <c r="C561" s="244"/>
      <c r="D561" s="244"/>
      <c r="E561" s="244"/>
      <c r="F561" s="244"/>
      <c r="G561" s="247"/>
      <c r="H561" s="244"/>
      <c r="I561" s="248"/>
      <c r="J561" s="244"/>
      <c r="K561" s="248"/>
      <c r="L561" s="228"/>
    </row>
    <row r="562" spans="1:12" x14ac:dyDescent="0.25">
      <c r="A562" s="244" t="str">
        <f t="shared" si="16"/>
        <v>00011900--</v>
      </c>
      <c r="B562" s="245"/>
      <c r="C562" s="244"/>
      <c r="D562" s="244"/>
      <c r="E562" s="244"/>
      <c r="F562" s="244"/>
      <c r="G562" s="247"/>
      <c r="H562" s="244"/>
      <c r="I562" s="248"/>
      <c r="J562" s="244"/>
      <c r="K562" s="248"/>
      <c r="L562" s="228"/>
    </row>
    <row r="563" spans="1:12" x14ac:dyDescent="0.25">
      <c r="A563" s="244" t="str">
        <f t="shared" si="16"/>
        <v>00011900--</v>
      </c>
      <c r="B563" s="245"/>
      <c r="C563" s="244"/>
      <c r="D563" s="244"/>
      <c r="E563" s="244"/>
      <c r="F563" s="244"/>
      <c r="G563" s="247"/>
      <c r="H563" s="244"/>
      <c r="I563" s="248"/>
      <c r="J563" s="244"/>
      <c r="K563" s="248"/>
      <c r="L563" s="228"/>
    </row>
    <row r="564" spans="1:12" x14ac:dyDescent="0.25">
      <c r="A564" s="244" t="str">
        <f t="shared" si="16"/>
        <v>00011900--</v>
      </c>
      <c r="B564" s="245"/>
      <c r="C564" s="244"/>
      <c r="D564" s="244"/>
      <c r="E564" s="244"/>
      <c r="F564" s="244"/>
      <c r="G564" s="247"/>
      <c r="H564" s="244"/>
      <c r="I564" s="248"/>
      <c r="J564" s="244"/>
      <c r="K564" s="248"/>
      <c r="L564" s="228"/>
    </row>
    <row r="565" spans="1:12" x14ac:dyDescent="0.25">
      <c r="A565" s="244" t="str">
        <f t="shared" si="16"/>
        <v>00011900--</v>
      </c>
      <c r="B565" s="245"/>
      <c r="C565" s="244"/>
      <c r="D565" s="244"/>
      <c r="E565" s="244"/>
      <c r="F565" s="244"/>
      <c r="G565" s="247"/>
      <c r="H565" s="244"/>
      <c r="I565" s="248"/>
      <c r="J565" s="244"/>
      <c r="K565" s="248"/>
      <c r="L565" s="228"/>
    </row>
    <row r="566" spans="1:12" x14ac:dyDescent="0.25">
      <c r="A566" s="244" t="str">
        <f t="shared" si="16"/>
        <v>00011900--</v>
      </c>
      <c r="B566" s="245"/>
      <c r="C566" s="244"/>
      <c r="D566" s="244"/>
      <c r="E566" s="244"/>
      <c r="F566" s="244"/>
      <c r="G566" s="247"/>
      <c r="H566" s="244"/>
      <c r="I566" s="248"/>
      <c r="J566" s="244"/>
      <c r="K566" s="248"/>
      <c r="L566" s="228"/>
    </row>
    <row r="567" spans="1:12" x14ac:dyDescent="0.25">
      <c r="A567" s="244" t="str">
        <f t="shared" si="16"/>
        <v>00011900--</v>
      </c>
      <c r="B567" s="245"/>
      <c r="C567" s="244"/>
      <c r="D567" s="244"/>
      <c r="E567" s="244"/>
      <c r="F567" s="244"/>
      <c r="G567" s="247"/>
      <c r="H567" s="244"/>
      <c r="I567" s="248"/>
      <c r="J567" s="244"/>
      <c r="K567" s="248"/>
      <c r="L567" s="228"/>
    </row>
    <row r="568" spans="1:12" x14ac:dyDescent="0.25">
      <c r="A568" s="244" t="str">
        <f t="shared" si="16"/>
        <v>00011900--</v>
      </c>
      <c r="B568" s="245"/>
      <c r="C568" s="244"/>
      <c r="D568" s="244"/>
      <c r="E568" s="244"/>
      <c r="F568" s="244"/>
      <c r="G568" s="247"/>
      <c r="H568" s="244"/>
      <c r="I568" s="248"/>
      <c r="J568" s="244"/>
      <c r="K568" s="248"/>
      <c r="L568" s="228"/>
    </row>
    <row r="569" spans="1:12" x14ac:dyDescent="0.25">
      <c r="A569" s="244" t="str">
        <f t="shared" si="16"/>
        <v>00011900--</v>
      </c>
      <c r="B569" s="245"/>
      <c r="C569" s="244"/>
      <c r="D569" s="244"/>
      <c r="E569" s="244"/>
      <c r="F569" s="244"/>
      <c r="G569" s="247"/>
      <c r="H569" s="244"/>
      <c r="I569" s="248"/>
      <c r="J569" s="244"/>
      <c r="K569" s="248"/>
      <c r="L569" s="228"/>
    </row>
    <row r="570" spans="1:12" x14ac:dyDescent="0.25">
      <c r="A570" s="244" t="str">
        <f t="shared" si="16"/>
        <v>00011900--</v>
      </c>
      <c r="B570" s="245"/>
      <c r="C570" s="244"/>
      <c r="D570" s="244"/>
      <c r="E570" s="244"/>
      <c r="F570" s="244"/>
      <c r="G570" s="247"/>
      <c r="H570" s="244"/>
      <c r="I570" s="248"/>
      <c r="J570" s="244"/>
      <c r="K570" s="248"/>
      <c r="L570" s="228"/>
    </row>
    <row r="571" spans="1:12" x14ac:dyDescent="0.25">
      <c r="A571" s="244" t="str">
        <f t="shared" si="16"/>
        <v>00011900--</v>
      </c>
      <c r="B571" s="245"/>
      <c r="C571" s="244"/>
      <c r="D571" s="244"/>
      <c r="E571" s="244"/>
      <c r="F571" s="244"/>
      <c r="G571" s="247"/>
      <c r="H571" s="244"/>
      <c r="I571" s="248"/>
      <c r="J571" s="244"/>
      <c r="K571" s="248"/>
      <c r="L571" s="228"/>
    </row>
    <row r="572" spans="1:12" x14ac:dyDescent="0.25">
      <c r="A572" s="244" t="str">
        <f t="shared" si="16"/>
        <v>00011900--</v>
      </c>
      <c r="B572" s="245"/>
      <c r="C572" s="244"/>
      <c r="D572" s="244"/>
      <c r="E572" s="244"/>
      <c r="F572" s="244"/>
      <c r="G572" s="247"/>
      <c r="H572" s="244"/>
      <c r="I572" s="248"/>
      <c r="J572" s="244"/>
      <c r="K572" s="248"/>
      <c r="L572" s="228"/>
    </row>
    <row r="573" spans="1:12" x14ac:dyDescent="0.25">
      <c r="A573" s="244" t="str">
        <f t="shared" ref="A573:A636" si="17">TEXT(DAY(B573),"00")&amp;TEXT(MONTH(B573),"00")&amp;YEAR(B573)&amp;"-"&amp;C573&amp;"-"&amp;LEFT(E573,SEARCH(" ",E573&amp;" ")-1)</f>
        <v>00011900--</v>
      </c>
      <c r="B573" s="245"/>
      <c r="C573" s="244"/>
      <c r="D573" s="244"/>
      <c r="E573" s="244"/>
      <c r="F573" s="244"/>
      <c r="G573" s="247"/>
      <c r="H573" s="244"/>
      <c r="I573" s="248"/>
      <c r="J573" s="244"/>
      <c r="K573" s="248"/>
      <c r="L573" s="228"/>
    </row>
    <row r="574" spans="1:12" x14ac:dyDescent="0.25">
      <c r="A574" s="244" t="str">
        <f t="shared" si="17"/>
        <v>00011900--</v>
      </c>
      <c r="B574" s="245"/>
      <c r="C574" s="244"/>
      <c r="D574" s="244"/>
      <c r="E574" s="244"/>
      <c r="F574" s="244"/>
      <c r="G574" s="247"/>
      <c r="H574" s="244"/>
      <c r="I574" s="248"/>
      <c r="J574" s="244"/>
      <c r="K574" s="248"/>
      <c r="L574" s="228"/>
    </row>
    <row r="575" spans="1:12" x14ac:dyDescent="0.25">
      <c r="A575" s="244" t="str">
        <f t="shared" si="17"/>
        <v>00011900--</v>
      </c>
      <c r="B575" s="245"/>
      <c r="C575" s="244"/>
      <c r="D575" s="244"/>
      <c r="E575" s="244"/>
      <c r="F575" s="244"/>
      <c r="G575" s="247"/>
      <c r="H575" s="244"/>
      <c r="I575" s="248"/>
      <c r="J575" s="244"/>
      <c r="K575" s="248"/>
      <c r="L575" s="228"/>
    </row>
    <row r="576" spans="1:12" x14ac:dyDescent="0.25">
      <c r="A576" s="244" t="str">
        <f t="shared" si="17"/>
        <v>00011900--</v>
      </c>
      <c r="B576" s="245"/>
      <c r="C576" s="244"/>
      <c r="D576" s="244"/>
      <c r="E576" s="244"/>
      <c r="F576" s="244"/>
      <c r="G576" s="247"/>
      <c r="H576" s="244"/>
      <c r="I576" s="248"/>
      <c r="J576" s="244"/>
      <c r="K576" s="248"/>
      <c r="L576" s="228"/>
    </row>
    <row r="577" spans="1:12" x14ac:dyDescent="0.25">
      <c r="A577" s="244" t="str">
        <f t="shared" si="17"/>
        <v>00011900--</v>
      </c>
      <c r="B577" s="245"/>
      <c r="C577" s="244"/>
      <c r="D577" s="244"/>
      <c r="E577" s="244"/>
      <c r="F577" s="244"/>
      <c r="G577" s="247"/>
      <c r="H577" s="244"/>
      <c r="I577" s="248"/>
      <c r="J577" s="244"/>
      <c r="K577" s="248"/>
      <c r="L577" s="228"/>
    </row>
    <row r="578" spans="1:12" x14ac:dyDescent="0.25">
      <c r="A578" s="244" t="str">
        <f t="shared" si="17"/>
        <v>00011900--</v>
      </c>
      <c r="B578" s="245"/>
      <c r="C578" s="244"/>
      <c r="D578" s="244"/>
      <c r="E578" s="244"/>
      <c r="F578" s="244"/>
      <c r="G578" s="247"/>
      <c r="H578" s="244"/>
      <c r="I578" s="248"/>
      <c r="J578" s="244"/>
      <c r="K578" s="248"/>
      <c r="L578" s="228"/>
    </row>
    <row r="579" spans="1:12" x14ac:dyDescent="0.25">
      <c r="A579" s="244" t="str">
        <f t="shared" si="17"/>
        <v>00011900--</v>
      </c>
      <c r="B579" s="245"/>
      <c r="C579" s="244"/>
      <c r="D579" s="244"/>
      <c r="E579" s="244"/>
      <c r="F579" s="244"/>
      <c r="G579" s="247"/>
      <c r="H579" s="244"/>
      <c r="I579" s="248"/>
      <c r="J579" s="244"/>
      <c r="K579" s="248"/>
      <c r="L579" s="228"/>
    </row>
    <row r="580" spans="1:12" x14ac:dyDescent="0.25">
      <c r="A580" s="244" t="str">
        <f t="shared" si="17"/>
        <v>00011900--</v>
      </c>
      <c r="B580" s="245"/>
      <c r="C580" s="244"/>
      <c r="D580" s="244"/>
      <c r="E580" s="244"/>
      <c r="F580" s="244"/>
      <c r="G580" s="247"/>
      <c r="H580" s="244"/>
      <c r="I580" s="248"/>
      <c r="J580" s="244"/>
      <c r="K580" s="248"/>
      <c r="L580" s="228"/>
    </row>
    <row r="581" spans="1:12" x14ac:dyDescent="0.25">
      <c r="A581" s="244" t="str">
        <f t="shared" si="17"/>
        <v>00011900--</v>
      </c>
      <c r="B581" s="245"/>
      <c r="C581" s="244"/>
      <c r="D581" s="244"/>
      <c r="E581" s="244"/>
      <c r="F581" s="244"/>
      <c r="G581" s="247"/>
      <c r="H581" s="244"/>
      <c r="I581" s="248"/>
      <c r="J581" s="244"/>
      <c r="K581" s="248"/>
      <c r="L581" s="228"/>
    </row>
    <row r="582" spans="1:12" x14ac:dyDescent="0.25">
      <c r="A582" s="244" t="str">
        <f t="shared" si="17"/>
        <v>00011900--</v>
      </c>
      <c r="B582" s="245"/>
      <c r="C582" s="244"/>
      <c r="D582" s="244"/>
      <c r="E582" s="244"/>
      <c r="F582" s="244"/>
      <c r="G582" s="247"/>
      <c r="H582" s="244"/>
      <c r="I582" s="248"/>
      <c r="J582" s="244"/>
      <c r="K582" s="248"/>
      <c r="L582" s="228"/>
    </row>
    <row r="583" spans="1:12" x14ac:dyDescent="0.25">
      <c r="A583" s="244" t="str">
        <f t="shared" si="17"/>
        <v>00011900--</v>
      </c>
      <c r="B583" s="245"/>
      <c r="C583" s="244"/>
      <c r="D583" s="244"/>
      <c r="E583" s="244"/>
      <c r="F583" s="244"/>
      <c r="G583" s="247"/>
      <c r="H583" s="244"/>
      <c r="I583" s="248"/>
      <c r="J583" s="244"/>
      <c r="K583" s="248"/>
      <c r="L583" s="228"/>
    </row>
    <row r="584" spans="1:12" x14ac:dyDescent="0.25">
      <c r="A584" s="244" t="str">
        <f t="shared" si="17"/>
        <v>00011900--</v>
      </c>
      <c r="B584" s="245"/>
      <c r="C584" s="244"/>
      <c r="D584" s="244"/>
      <c r="E584" s="244"/>
      <c r="F584" s="244"/>
      <c r="G584" s="247"/>
      <c r="H584" s="244"/>
      <c r="I584" s="248"/>
      <c r="J584" s="244"/>
      <c r="K584" s="248"/>
      <c r="L584" s="228"/>
    </row>
    <row r="585" spans="1:12" x14ac:dyDescent="0.25">
      <c r="A585" s="244" t="str">
        <f t="shared" si="17"/>
        <v>00011900--</v>
      </c>
      <c r="B585" s="245"/>
      <c r="C585" s="244"/>
      <c r="D585" s="244"/>
      <c r="E585" s="244"/>
      <c r="F585" s="244"/>
      <c r="G585" s="247"/>
      <c r="H585" s="244"/>
      <c r="I585" s="248"/>
      <c r="J585" s="244"/>
      <c r="K585" s="248"/>
      <c r="L585" s="228"/>
    </row>
    <row r="586" spans="1:12" x14ac:dyDescent="0.25">
      <c r="A586" s="244" t="str">
        <f t="shared" si="17"/>
        <v>00011900--</v>
      </c>
      <c r="B586" s="245"/>
      <c r="C586" s="244"/>
      <c r="D586" s="244"/>
      <c r="E586" s="244"/>
      <c r="F586" s="244"/>
      <c r="G586" s="247"/>
      <c r="H586" s="244"/>
      <c r="I586" s="248"/>
      <c r="J586" s="244"/>
      <c r="K586" s="248"/>
      <c r="L586" s="228"/>
    </row>
    <row r="587" spans="1:12" x14ac:dyDescent="0.25">
      <c r="A587" s="244" t="str">
        <f t="shared" si="17"/>
        <v>00011900--</v>
      </c>
      <c r="B587" s="245"/>
      <c r="C587" s="244"/>
      <c r="D587" s="244"/>
      <c r="E587" s="244"/>
      <c r="F587" s="244"/>
      <c r="G587" s="247"/>
      <c r="H587" s="244"/>
      <c r="I587" s="248"/>
      <c r="J587" s="244"/>
      <c r="K587" s="248"/>
      <c r="L587" s="228"/>
    </row>
    <row r="588" spans="1:12" x14ac:dyDescent="0.25">
      <c r="A588" s="244" t="str">
        <f t="shared" si="17"/>
        <v>00011900--</v>
      </c>
      <c r="B588" s="245"/>
      <c r="C588" s="244"/>
      <c r="D588" s="244"/>
      <c r="E588" s="244"/>
      <c r="F588" s="244"/>
      <c r="G588" s="247"/>
      <c r="H588" s="244"/>
      <c r="I588" s="248"/>
      <c r="J588" s="244"/>
      <c r="K588" s="248"/>
      <c r="L588" s="228"/>
    </row>
    <row r="589" spans="1:12" x14ac:dyDescent="0.25">
      <c r="A589" s="244" t="str">
        <f t="shared" si="17"/>
        <v>00011900--</v>
      </c>
      <c r="B589" s="245"/>
      <c r="C589" s="244"/>
      <c r="D589" s="244"/>
      <c r="E589" s="244"/>
      <c r="F589" s="244"/>
      <c r="G589" s="247"/>
      <c r="H589" s="244"/>
      <c r="I589" s="248"/>
      <c r="J589" s="244"/>
      <c r="K589" s="248"/>
      <c r="L589" s="228"/>
    </row>
    <row r="590" spans="1:12" x14ac:dyDescent="0.25">
      <c r="A590" s="244" t="str">
        <f t="shared" si="17"/>
        <v>00011900--</v>
      </c>
      <c r="B590" s="245"/>
      <c r="C590" s="244"/>
      <c r="D590" s="244"/>
      <c r="E590" s="244"/>
      <c r="F590" s="244"/>
      <c r="G590" s="247"/>
      <c r="H590" s="244"/>
      <c r="I590" s="248"/>
      <c r="J590" s="244"/>
      <c r="K590" s="248"/>
      <c r="L590" s="228"/>
    </row>
    <row r="591" spans="1:12" x14ac:dyDescent="0.25">
      <c r="A591" s="244" t="str">
        <f t="shared" si="17"/>
        <v>00011900--</v>
      </c>
      <c r="B591" s="245"/>
      <c r="C591" s="244"/>
      <c r="D591" s="244"/>
      <c r="E591" s="244"/>
      <c r="F591" s="244"/>
      <c r="G591" s="247"/>
      <c r="H591" s="244"/>
      <c r="I591" s="248"/>
      <c r="J591" s="244"/>
      <c r="K591" s="248"/>
      <c r="L591" s="228"/>
    </row>
    <row r="592" spans="1:12" x14ac:dyDescent="0.25">
      <c r="A592" s="244" t="str">
        <f t="shared" si="17"/>
        <v>00011900--</v>
      </c>
      <c r="B592" s="245"/>
      <c r="C592" s="244"/>
      <c r="D592" s="244"/>
      <c r="E592" s="244"/>
      <c r="F592" s="244"/>
      <c r="G592" s="247"/>
      <c r="H592" s="244"/>
      <c r="I592" s="248"/>
      <c r="J592" s="244"/>
      <c r="K592" s="248"/>
      <c r="L592" s="228"/>
    </row>
    <row r="593" spans="1:12" x14ac:dyDescent="0.25">
      <c r="A593" s="244" t="str">
        <f t="shared" si="17"/>
        <v>00011900--</v>
      </c>
      <c r="B593" s="245"/>
      <c r="C593" s="244"/>
      <c r="D593" s="244"/>
      <c r="E593" s="244"/>
      <c r="F593" s="244"/>
      <c r="G593" s="247"/>
      <c r="H593" s="244"/>
      <c r="I593" s="248"/>
      <c r="J593" s="244"/>
      <c r="K593" s="248"/>
      <c r="L593" s="228"/>
    </row>
    <row r="594" spans="1:12" x14ac:dyDescent="0.25">
      <c r="A594" s="244" t="str">
        <f t="shared" si="17"/>
        <v>00011900--</v>
      </c>
      <c r="B594" s="245"/>
      <c r="C594" s="244"/>
      <c r="D594" s="244"/>
      <c r="E594" s="244"/>
      <c r="F594" s="244"/>
      <c r="G594" s="247"/>
      <c r="H594" s="244"/>
      <c r="I594" s="248"/>
      <c r="J594" s="244"/>
      <c r="K594" s="248"/>
      <c r="L594" s="228"/>
    </row>
    <row r="595" spans="1:12" x14ac:dyDescent="0.25">
      <c r="A595" s="244" t="str">
        <f t="shared" si="17"/>
        <v>00011900--</v>
      </c>
      <c r="B595" s="245"/>
      <c r="C595" s="244"/>
      <c r="D595" s="244"/>
      <c r="E595" s="244"/>
      <c r="F595" s="244"/>
      <c r="G595" s="247"/>
      <c r="H595" s="244"/>
      <c r="I595" s="248"/>
      <c r="J595" s="244"/>
      <c r="K595" s="248"/>
      <c r="L595" s="228"/>
    </row>
    <row r="596" spans="1:12" x14ac:dyDescent="0.25">
      <c r="A596" s="244" t="str">
        <f t="shared" si="17"/>
        <v>00011900--</v>
      </c>
      <c r="B596" s="245"/>
      <c r="C596" s="244"/>
      <c r="D596" s="244"/>
      <c r="E596" s="244"/>
      <c r="F596" s="244"/>
      <c r="G596" s="247"/>
      <c r="H596" s="244"/>
      <c r="I596" s="248"/>
      <c r="J596" s="244"/>
      <c r="K596" s="248"/>
      <c r="L596" s="228"/>
    </row>
    <row r="597" spans="1:12" x14ac:dyDescent="0.25">
      <c r="A597" s="244" t="str">
        <f t="shared" si="17"/>
        <v>00011900--</v>
      </c>
      <c r="B597" s="245"/>
      <c r="C597" s="244"/>
      <c r="D597" s="244"/>
      <c r="E597" s="244"/>
      <c r="F597" s="244"/>
      <c r="G597" s="247"/>
      <c r="H597" s="244"/>
      <c r="I597" s="248"/>
      <c r="J597" s="244"/>
      <c r="K597" s="248"/>
      <c r="L597" s="228"/>
    </row>
    <row r="598" spans="1:12" x14ac:dyDescent="0.25">
      <c r="A598" s="244" t="str">
        <f t="shared" si="17"/>
        <v>00011900--</v>
      </c>
      <c r="B598" s="245"/>
      <c r="C598" s="244"/>
      <c r="D598" s="244"/>
      <c r="E598" s="244"/>
      <c r="F598" s="244"/>
      <c r="G598" s="247"/>
      <c r="H598" s="244"/>
      <c r="I598" s="248"/>
      <c r="J598" s="244"/>
      <c r="K598" s="248"/>
      <c r="L598" s="228"/>
    </row>
    <row r="599" spans="1:12" x14ac:dyDescent="0.25">
      <c r="A599" s="244" t="str">
        <f t="shared" si="17"/>
        <v>00011900--</v>
      </c>
      <c r="B599" s="245"/>
      <c r="C599" s="244"/>
      <c r="D599" s="244"/>
      <c r="E599" s="244"/>
      <c r="F599" s="244"/>
      <c r="G599" s="247"/>
      <c r="H599" s="244"/>
      <c r="I599" s="248"/>
      <c r="J599" s="244"/>
      <c r="K599" s="248"/>
      <c r="L599" s="228"/>
    </row>
    <row r="600" spans="1:12" x14ac:dyDescent="0.25">
      <c r="A600" s="244" t="str">
        <f t="shared" si="17"/>
        <v>00011900--</v>
      </c>
      <c r="B600" s="245"/>
      <c r="C600" s="244"/>
      <c r="D600" s="244"/>
      <c r="E600" s="244"/>
      <c r="F600" s="244"/>
      <c r="G600" s="247"/>
      <c r="H600" s="244"/>
      <c r="I600" s="248"/>
      <c r="J600" s="244"/>
      <c r="K600" s="248"/>
      <c r="L600" s="228"/>
    </row>
    <row r="601" spans="1:12" x14ac:dyDescent="0.25">
      <c r="A601" s="244" t="str">
        <f t="shared" si="17"/>
        <v>00011900--</v>
      </c>
      <c r="B601" s="245"/>
      <c r="C601" s="244"/>
      <c r="D601" s="244"/>
      <c r="E601" s="244"/>
      <c r="F601" s="244"/>
      <c r="G601" s="247"/>
      <c r="H601" s="244"/>
      <c r="I601" s="248"/>
      <c r="J601" s="244"/>
      <c r="K601" s="248"/>
      <c r="L601" s="228"/>
    </row>
    <row r="602" spans="1:12" x14ac:dyDescent="0.25">
      <c r="A602" s="244" t="str">
        <f t="shared" si="17"/>
        <v>00011900--</v>
      </c>
      <c r="B602" s="245"/>
      <c r="C602" s="244"/>
      <c r="D602" s="244"/>
      <c r="E602" s="244"/>
      <c r="F602" s="244"/>
      <c r="G602" s="247"/>
      <c r="H602" s="244"/>
      <c r="I602" s="248"/>
      <c r="J602" s="244"/>
      <c r="K602" s="248"/>
      <c r="L602" s="228"/>
    </row>
    <row r="603" spans="1:12" x14ac:dyDescent="0.25">
      <c r="A603" s="244" t="str">
        <f t="shared" si="17"/>
        <v>00011900--</v>
      </c>
      <c r="B603" s="245"/>
      <c r="C603" s="244"/>
      <c r="D603" s="244"/>
      <c r="E603" s="244"/>
      <c r="F603" s="244"/>
      <c r="G603" s="247"/>
      <c r="H603" s="244"/>
      <c r="I603" s="248"/>
      <c r="J603" s="244"/>
      <c r="K603" s="248"/>
      <c r="L603" s="228"/>
    </row>
    <row r="604" spans="1:12" x14ac:dyDescent="0.25">
      <c r="A604" s="244" t="str">
        <f t="shared" si="17"/>
        <v>00011900--</v>
      </c>
      <c r="B604" s="245"/>
      <c r="C604" s="244"/>
      <c r="D604" s="244"/>
      <c r="E604" s="244"/>
      <c r="F604" s="244"/>
      <c r="G604" s="247"/>
      <c r="H604" s="244"/>
      <c r="I604" s="248"/>
      <c r="J604" s="244"/>
      <c r="K604" s="248"/>
      <c r="L604" s="228"/>
    </row>
    <row r="605" spans="1:12" x14ac:dyDescent="0.25">
      <c r="A605" s="244" t="str">
        <f t="shared" si="17"/>
        <v>00011900--</v>
      </c>
      <c r="B605" s="245"/>
      <c r="C605" s="244"/>
      <c r="D605" s="244"/>
      <c r="E605" s="244"/>
      <c r="F605" s="244"/>
      <c r="G605" s="247"/>
      <c r="H605" s="244"/>
      <c r="I605" s="248"/>
      <c r="J605" s="244"/>
      <c r="K605" s="248"/>
      <c r="L605" s="228"/>
    </row>
    <row r="606" spans="1:12" x14ac:dyDescent="0.25">
      <c r="A606" s="244" t="str">
        <f t="shared" si="17"/>
        <v>00011900--</v>
      </c>
      <c r="B606" s="245"/>
      <c r="C606" s="244"/>
      <c r="D606" s="244"/>
      <c r="E606" s="244"/>
      <c r="F606" s="244"/>
      <c r="G606" s="247"/>
      <c r="H606" s="244"/>
      <c r="I606" s="248"/>
      <c r="J606" s="244"/>
      <c r="K606" s="248"/>
      <c r="L606" s="228"/>
    </row>
    <row r="607" spans="1:12" x14ac:dyDescent="0.25">
      <c r="A607" s="244" t="str">
        <f t="shared" si="17"/>
        <v>00011900--</v>
      </c>
      <c r="B607" s="245"/>
      <c r="C607" s="244"/>
      <c r="D607" s="244"/>
      <c r="E607" s="244"/>
      <c r="F607" s="244"/>
      <c r="G607" s="247"/>
      <c r="H607" s="244"/>
      <c r="I607" s="248"/>
      <c r="J607" s="244"/>
      <c r="K607" s="248"/>
      <c r="L607" s="228"/>
    </row>
    <row r="608" spans="1:12" x14ac:dyDescent="0.25">
      <c r="A608" s="244" t="str">
        <f t="shared" si="17"/>
        <v>00011900--</v>
      </c>
      <c r="B608" s="245"/>
      <c r="C608" s="244"/>
      <c r="D608" s="244"/>
      <c r="E608" s="244"/>
      <c r="F608" s="244"/>
      <c r="G608" s="247"/>
      <c r="H608" s="244"/>
      <c r="I608" s="248"/>
      <c r="J608" s="244"/>
      <c r="K608" s="248"/>
      <c r="L608" s="228"/>
    </row>
    <row r="609" spans="1:12" x14ac:dyDescent="0.25">
      <c r="A609" s="244" t="str">
        <f t="shared" si="17"/>
        <v>00011900--</v>
      </c>
      <c r="B609" s="245"/>
      <c r="C609" s="244"/>
      <c r="D609" s="244"/>
      <c r="E609" s="244"/>
      <c r="F609" s="244"/>
      <c r="G609" s="247"/>
      <c r="H609" s="244"/>
      <c r="I609" s="248"/>
      <c r="J609" s="244"/>
      <c r="K609" s="248"/>
      <c r="L609" s="228"/>
    </row>
    <row r="610" spans="1:12" x14ac:dyDescent="0.25">
      <c r="A610" s="244" t="str">
        <f t="shared" si="17"/>
        <v>00011900--</v>
      </c>
      <c r="B610" s="245"/>
      <c r="C610" s="244"/>
      <c r="D610" s="244"/>
      <c r="E610" s="244"/>
      <c r="F610" s="244"/>
      <c r="G610" s="247"/>
      <c r="H610" s="244"/>
      <c r="I610" s="248"/>
      <c r="J610" s="244"/>
      <c r="K610" s="248"/>
      <c r="L610" s="228"/>
    </row>
    <row r="611" spans="1:12" x14ac:dyDescent="0.25">
      <c r="A611" s="244" t="str">
        <f t="shared" si="17"/>
        <v>00011900--</v>
      </c>
      <c r="B611" s="245"/>
      <c r="C611" s="244"/>
      <c r="D611" s="244"/>
      <c r="E611" s="244"/>
      <c r="F611" s="244"/>
      <c r="G611" s="247"/>
      <c r="H611" s="244"/>
      <c r="I611" s="248"/>
      <c r="J611" s="244"/>
      <c r="K611" s="248"/>
      <c r="L611" s="228"/>
    </row>
    <row r="612" spans="1:12" x14ac:dyDescent="0.25">
      <c r="A612" s="244" t="str">
        <f t="shared" si="17"/>
        <v>00011900--</v>
      </c>
      <c r="B612" s="245"/>
      <c r="C612" s="244"/>
      <c r="D612" s="244"/>
      <c r="E612" s="244"/>
      <c r="F612" s="244"/>
      <c r="G612" s="247"/>
      <c r="H612" s="244"/>
      <c r="I612" s="248"/>
      <c r="J612" s="244"/>
      <c r="K612" s="248"/>
      <c r="L612" s="228"/>
    </row>
    <row r="613" spans="1:12" x14ac:dyDescent="0.25">
      <c r="A613" s="244" t="str">
        <f t="shared" si="17"/>
        <v>00011900--</v>
      </c>
      <c r="B613" s="245"/>
      <c r="C613" s="244"/>
      <c r="D613" s="244"/>
      <c r="E613" s="244"/>
      <c r="F613" s="244"/>
      <c r="G613" s="247"/>
      <c r="H613" s="244"/>
      <c r="I613" s="248"/>
      <c r="J613" s="244"/>
      <c r="K613" s="248"/>
      <c r="L613" s="228"/>
    </row>
    <row r="614" spans="1:12" x14ac:dyDescent="0.25">
      <c r="A614" s="244" t="str">
        <f t="shared" si="17"/>
        <v>00011900--</v>
      </c>
      <c r="B614" s="245"/>
      <c r="C614" s="244"/>
      <c r="D614" s="244"/>
      <c r="E614" s="244"/>
      <c r="F614" s="244"/>
      <c r="G614" s="247"/>
      <c r="H614" s="244"/>
      <c r="I614" s="248"/>
      <c r="J614" s="244"/>
      <c r="K614" s="248"/>
      <c r="L614" s="228"/>
    </row>
    <row r="615" spans="1:12" x14ac:dyDescent="0.25">
      <c r="A615" s="244" t="str">
        <f t="shared" si="17"/>
        <v>00011900--</v>
      </c>
      <c r="B615" s="245"/>
      <c r="C615" s="244"/>
      <c r="D615" s="244"/>
      <c r="E615" s="244"/>
      <c r="F615" s="244"/>
      <c r="G615" s="247"/>
      <c r="H615" s="244"/>
      <c r="I615" s="248"/>
      <c r="J615" s="244"/>
      <c r="K615" s="248"/>
      <c r="L615" s="228"/>
    </row>
    <row r="616" spans="1:12" x14ac:dyDescent="0.25">
      <c r="A616" s="244" t="str">
        <f t="shared" si="17"/>
        <v>00011900--</v>
      </c>
      <c r="B616" s="245"/>
      <c r="C616" s="244"/>
      <c r="D616" s="244"/>
      <c r="E616" s="244"/>
      <c r="F616" s="244"/>
      <c r="G616" s="247"/>
      <c r="H616" s="244"/>
      <c r="I616" s="248"/>
      <c r="J616" s="244"/>
      <c r="K616" s="248"/>
      <c r="L616" s="228"/>
    </row>
    <row r="617" spans="1:12" x14ac:dyDescent="0.25">
      <c r="A617" s="244" t="str">
        <f t="shared" si="17"/>
        <v>00011900--</v>
      </c>
      <c r="B617" s="245"/>
      <c r="C617" s="244"/>
      <c r="D617" s="244"/>
      <c r="E617" s="244"/>
      <c r="F617" s="244"/>
      <c r="G617" s="247"/>
      <c r="H617" s="244"/>
      <c r="I617" s="248"/>
      <c r="J617" s="244"/>
      <c r="K617" s="248"/>
      <c r="L617" s="228"/>
    </row>
    <row r="618" spans="1:12" x14ac:dyDescent="0.25">
      <c r="A618" s="244" t="str">
        <f t="shared" si="17"/>
        <v>00011900--</v>
      </c>
      <c r="B618" s="245"/>
      <c r="C618" s="244"/>
      <c r="D618" s="244"/>
      <c r="E618" s="244"/>
      <c r="F618" s="244"/>
      <c r="G618" s="247"/>
      <c r="H618" s="244"/>
      <c r="I618" s="248"/>
      <c r="J618" s="244"/>
      <c r="K618" s="248"/>
      <c r="L618" s="228"/>
    </row>
    <row r="619" spans="1:12" x14ac:dyDescent="0.25">
      <c r="A619" s="244" t="str">
        <f t="shared" si="17"/>
        <v>00011900--</v>
      </c>
      <c r="B619" s="245"/>
      <c r="C619" s="244"/>
      <c r="D619" s="244"/>
      <c r="E619" s="244"/>
      <c r="F619" s="244"/>
      <c r="G619" s="247"/>
      <c r="H619" s="244"/>
      <c r="I619" s="248"/>
      <c r="J619" s="244"/>
      <c r="K619" s="248"/>
      <c r="L619" s="228"/>
    </row>
    <row r="620" spans="1:12" x14ac:dyDescent="0.25">
      <c r="A620" s="244" t="str">
        <f t="shared" si="17"/>
        <v>00011900--</v>
      </c>
      <c r="B620" s="245"/>
      <c r="C620" s="244"/>
      <c r="D620" s="244"/>
      <c r="E620" s="244"/>
      <c r="F620" s="244"/>
      <c r="G620" s="247"/>
      <c r="H620" s="244"/>
      <c r="I620" s="248"/>
      <c r="J620" s="244"/>
      <c r="K620" s="248"/>
      <c r="L620" s="228"/>
    </row>
    <row r="621" spans="1:12" x14ac:dyDescent="0.25">
      <c r="A621" s="244" t="str">
        <f t="shared" si="17"/>
        <v>00011900--</v>
      </c>
      <c r="B621" s="245"/>
      <c r="C621" s="244"/>
      <c r="D621" s="244"/>
      <c r="E621" s="244"/>
      <c r="F621" s="244"/>
      <c r="G621" s="247"/>
      <c r="H621" s="244"/>
      <c r="I621" s="248"/>
      <c r="J621" s="244"/>
      <c r="K621" s="248"/>
      <c r="L621" s="228"/>
    </row>
    <row r="622" spans="1:12" x14ac:dyDescent="0.25">
      <c r="A622" s="244" t="str">
        <f t="shared" si="17"/>
        <v>00011900--</v>
      </c>
      <c r="B622" s="245"/>
      <c r="C622" s="244"/>
      <c r="D622" s="244"/>
      <c r="E622" s="244"/>
      <c r="F622" s="244"/>
      <c r="G622" s="247"/>
      <c r="H622" s="244"/>
      <c r="I622" s="248"/>
      <c r="J622" s="244"/>
      <c r="K622" s="248"/>
      <c r="L622" s="228"/>
    </row>
    <row r="623" spans="1:12" x14ac:dyDescent="0.25">
      <c r="A623" s="244" t="str">
        <f t="shared" si="17"/>
        <v>00011900--</v>
      </c>
      <c r="B623" s="245"/>
      <c r="C623" s="244"/>
      <c r="D623" s="244"/>
      <c r="E623" s="244"/>
      <c r="F623" s="244"/>
      <c r="G623" s="247"/>
      <c r="H623" s="244"/>
      <c r="I623" s="248"/>
      <c r="J623" s="244"/>
      <c r="K623" s="248"/>
      <c r="L623" s="228"/>
    </row>
    <row r="624" spans="1:12" x14ac:dyDescent="0.25">
      <c r="A624" s="244" t="str">
        <f t="shared" si="17"/>
        <v>00011900--</v>
      </c>
      <c r="B624" s="245"/>
      <c r="C624" s="244"/>
      <c r="D624" s="244"/>
      <c r="E624" s="244"/>
      <c r="F624" s="244"/>
      <c r="G624" s="247"/>
      <c r="H624" s="244"/>
      <c r="I624" s="248"/>
      <c r="J624" s="244"/>
      <c r="K624" s="248"/>
      <c r="L624" s="228"/>
    </row>
    <row r="625" spans="1:12" x14ac:dyDescent="0.25">
      <c r="A625" s="244" t="str">
        <f t="shared" si="17"/>
        <v>00011900--</v>
      </c>
      <c r="B625" s="245"/>
      <c r="C625" s="244"/>
      <c r="D625" s="244"/>
      <c r="E625" s="244"/>
      <c r="F625" s="244"/>
      <c r="G625" s="247"/>
      <c r="H625" s="244"/>
      <c r="I625" s="248"/>
      <c r="J625" s="244"/>
      <c r="K625" s="248"/>
      <c r="L625" s="228"/>
    </row>
    <row r="626" spans="1:12" x14ac:dyDescent="0.25">
      <c r="A626" s="244" t="str">
        <f t="shared" si="17"/>
        <v>00011900--</v>
      </c>
      <c r="B626" s="245"/>
      <c r="C626" s="244"/>
      <c r="D626" s="244"/>
      <c r="E626" s="244"/>
      <c r="F626" s="244"/>
      <c r="G626" s="247"/>
      <c r="H626" s="244"/>
      <c r="I626" s="248"/>
      <c r="J626" s="244"/>
      <c r="K626" s="248"/>
      <c r="L626" s="228"/>
    </row>
    <row r="627" spans="1:12" x14ac:dyDescent="0.25">
      <c r="A627" s="244" t="str">
        <f t="shared" si="17"/>
        <v>00011900--</v>
      </c>
      <c r="B627" s="245"/>
      <c r="C627" s="244"/>
      <c r="D627" s="244"/>
      <c r="E627" s="244"/>
      <c r="F627" s="244"/>
      <c r="G627" s="247"/>
      <c r="H627" s="244"/>
      <c r="I627" s="248"/>
      <c r="J627" s="244"/>
      <c r="K627" s="248"/>
      <c r="L627" s="228"/>
    </row>
    <row r="628" spans="1:12" x14ac:dyDescent="0.25">
      <c r="A628" s="244" t="str">
        <f t="shared" si="17"/>
        <v>00011900--</v>
      </c>
      <c r="B628" s="245"/>
      <c r="C628" s="244"/>
      <c r="D628" s="244"/>
      <c r="E628" s="244"/>
      <c r="F628" s="244"/>
      <c r="G628" s="247"/>
      <c r="H628" s="244"/>
      <c r="I628" s="248"/>
      <c r="J628" s="244"/>
      <c r="K628" s="248"/>
      <c r="L628" s="228"/>
    </row>
    <row r="629" spans="1:12" x14ac:dyDescent="0.25">
      <c r="A629" s="244" t="str">
        <f t="shared" si="17"/>
        <v>00011900--</v>
      </c>
      <c r="B629" s="245"/>
      <c r="C629" s="244"/>
      <c r="D629" s="244"/>
      <c r="E629" s="244"/>
      <c r="F629" s="244"/>
      <c r="G629" s="247"/>
      <c r="H629" s="244"/>
      <c r="I629" s="248"/>
      <c r="J629" s="244"/>
      <c r="K629" s="248"/>
      <c r="L629" s="228"/>
    </row>
    <row r="630" spans="1:12" x14ac:dyDescent="0.25">
      <c r="A630" s="244" t="str">
        <f t="shared" si="17"/>
        <v>00011900--</v>
      </c>
      <c r="B630" s="245"/>
      <c r="C630" s="244"/>
      <c r="D630" s="244"/>
      <c r="E630" s="244"/>
      <c r="F630" s="244"/>
      <c r="G630" s="247"/>
      <c r="H630" s="244"/>
      <c r="I630" s="248"/>
      <c r="J630" s="244"/>
      <c r="K630" s="248"/>
      <c r="L630" s="228"/>
    </row>
    <row r="631" spans="1:12" x14ac:dyDescent="0.25">
      <c r="A631" s="244" t="str">
        <f t="shared" si="17"/>
        <v>00011900--</v>
      </c>
      <c r="B631" s="245"/>
      <c r="C631" s="244"/>
      <c r="D631" s="244"/>
      <c r="E631" s="244"/>
      <c r="F631" s="244"/>
      <c r="G631" s="247"/>
      <c r="H631" s="244"/>
      <c r="I631" s="248"/>
      <c r="J631" s="244"/>
      <c r="K631" s="248"/>
      <c r="L631" s="228"/>
    </row>
    <row r="632" spans="1:12" x14ac:dyDescent="0.25">
      <c r="A632" s="244" t="str">
        <f t="shared" si="17"/>
        <v>00011900--</v>
      </c>
      <c r="B632" s="245"/>
      <c r="C632" s="244"/>
      <c r="D632" s="244"/>
      <c r="E632" s="244"/>
      <c r="F632" s="244"/>
      <c r="G632" s="247"/>
      <c r="H632" s="244"/>
      <c r="I632" s="248"/>
      <c r="J632" s="244"/>
      <c r="K632" s="248"/>
      <c r="L632" s="228"/>
    </row>
    <row r="633" spans="1:12" x14ac:dyDescent="0.25">
      <c r="A633" s="244" t="str">
        <f t="shared" si="17"/>
        <v>00011900--</v>
      </c>
      <c r="B633" s="245"/>
      <c r="C633" s="244"/>
      <c r="D633" s="244"/>
      <c r="E633" s="244"/>
      <c r="F633" s="244"/>
      <c r="G633" s="247"/>
      <c r="H633" s="244"/>
      <c r="I633" s="248"/>
      <c r="J633" s="244"/>
      <c r="K633" s="248"/>
      <c r="L633" s="228"/>
    </row>
    <row r="634" spans="1:12" x14ac:dyDescent="0.25">
      <c r="A634" s="244" t="str">
        <f t="shared" si="17"/>
        <v>00011900--</v>
      </c>
      <c r="B634" s="245"/>
      <c r="C634" s="244"/>
      <c r="D634" s="244"/>
      <c r="E634" s="244"/>
      <c r="F634" s="244"/>
      <c r="G634" s="247"/>
      <c r="H634" s="244"/>
      <c r="I634" s="248"/>
      <c r="J634" s="244"/>
      <c r="K634" s="248"/>
      <c r="L634" s="228"/>
    </row>
    <row r="635" spans="1:12" x14ac:dyDescent="0.25">
      <c r="A635" s="244" t="str">
        <f t="shared" si="17"/>
        <v>00011900--</v>
      </c>
      <c r="B635" s="245"/>
      <c r="C635" s="244"/>
      <c r="D635" s="244"/>
      <c r="E635" s="244"/>
      <c r="F635" s="244"/>
      <c r="G635" s="247"/>
      <c r="H635" s="244"/>
      <c r="I635" s="248"/>
      <c r="J635" s="244"/>
      <c r="K635" s="248"/>
      <c r="L635" s="228"/>
    </row>
    <row r="636" spans="1:12" x14ac:dyDescent="0.25">
      <c r="A636" s="244" t="str">
        <f t="shared" si="17"/>
        <v>00011900--</v>
      </c>
      <c r="B636" s="245"/>
      <c r="C636" s="244"/>
      <c r="D636" s="244"/>
      <c r="E636" s="244"/>
      <c r="F636" s="244"/>
      <c r="G636" s="247"/>
      <c r="H636" s="244"/>
      <c r="I636" s="248"/>
      <c r="J636" s="244"/>
      <c r="K636" s="248"/>
      <c r="L636" s="228"/>
    </row>
    <row r="637" spans="1:12" x14ac:dyDescent="0.25">
      <c r="A637" s="244" t="str">
        <f t="shared" ref="A637:A700" si="18">TEXT(DAY(B637),"00")&amp;TEXT(MONTH(B637),"00")&amp;YEAR(B637)&amp;"-"&amp;C637&amp;"-"&amp;LEFT(E637,SEARCH(" ",E637&amp;" ")-1)</f>
        <v>00011900--</v>
      </c>
      <c r="B637" s="245"/>
      <c r="C637" s="244"/>
      <c r="D637" s="244"/>
      <c r="E637" s="244"/>
      <c r="F637" s="244"/>
      <c r="G637" s="247"/>
      <c r="H637" s="244"/>
      <c r="I637" s="248"/>
      <c r="J637" s="244"/>
      <c r="K637" s="248"/>
      <c r="L637" s="228"/>
    </row>
    <row r="638" spans="1:12" x14ac:dyDescent="0.25">
      <c r="A638" s="244" t="str">
        <f t="shared" si="18"/>
        <v>00011900--</v>
      </c>
      <c r="B638" s="245"/>
      <c r="C638" s="244"/>
      <c r="D638" s="244"/>
      <c r="E638" s="244"/>
      <c r="F638" s="244"/>
      <c r="G638" s="247"/>
      <c r="H638" s="244"/>
      <c r="I638" s="248"/>
      <c r="J638" s="244"/>
      <c r="K638" s="248"/>
      <c r="L638" s="228"/>
    </row>
    <row r="639" spans="1:12" x14ac:dyDescent="0.25">
      <c r="A639" s="244" t="str">
        <f t="shared" si="18"/>
        <v>00011900--</v>
      </c>
      <c r="B639" s="245"/>
      <c r="C639" s="244"/>
      <c r="D639" s="244"/>
      <c r="E639" s="244"/>
      <c r="F639" s="244"/>
      <c r="G639" s="247"/>
      <c r="H639" s="244"/>
      <c r="I639" s="248"/>
      <c r="J639" s="244"/>
      <c r="K639" s="248"/>
      <c r="L639" s="228"/>
    </row>
    <row r="640" spans="1:12" x14ac:dyDescent="0.25">
      <c r="A640" s="244" t="str">
        <f t="shared" si="18"/>
        <v>00011900--</v>
      </c>
      <c r="B640" s="245"/>
      <c r="C640" s="244"/>
      <c r="D640" s="244"/>
      <c r="E640" s="244"/>
      <c r="F640" s="244"/>
      <c r="G640" s="247"/>
      <c r="H640" s="244"/>
      <c r="I640" s="248"/>
      <c r="J640" s="244"/>
      <c r="K640" s="248"/>
      <c r="L640" s="228"/>
    </row>
    <row r="641" spans="1:12" x14ac:dyDescent="0.25">
      <c r="A641" s="244" t="str">
        <f t="shared" si="18"/>
        <v>00011900--</v>
      </c>
      <c r="B641" s="245"/>
      <c r="C641" s="244"/>
      <c r="D641" s="244"/>
      <c r="E641" s="244"/>
      <c r="F641" s="244"/>
      <c r="G641" s="247"/>
      <c r="H641" s="244"/>
      <c r="I641" s="248"/>
      <c r="J641" s="244"/>
      <c r="K641" s="248"/>
      <c r="L641" s="228"/>
    </row>
    <row r="642" spans="1:12" x14ac:dyDescent="0.25">
      <c r="A642" s="244" t="str">
        <f t="shared" si="18"/>
        <v>00011900--</v>
      </c>
      <c r="B642" s="245"/>
      <c r="C642" s="244"/>
      <c r="D642" s="244"/>
      <c r="E642" s="244"/>
      <c r="F642" s="244"/>
      <c r="G642" s="247"/>
      <c r="H642" s="244"/>
      <c r="I642" s="248"/>
      <c r="J642" s="244"/>
      <c r="K642" s="248"/>
      <c r="L642" s="228"/>
    </row>
    <row r="643" spans="1:12" x14ac:dyDescent="0.25">
      <c r="A643" s="244" t="str">
        <f t="shared" si="18"/>
        <v>00011900--</v>
      </c>
      <c r="B643" s="245"/>
      <c r="C643" s="244"/>
      <c r="D643" s="244"/>
      <c r="E643" s="244"/>
      <c r="F643" s="244"/>
      <c r="G643" s="247"/>
      <c r="H643" s="244"/>
      <c r="I643" s="248"/>
      <c r="J643" s="244"/>
      <c r="K643" s="248"/>
      <c r="L643" s="228"/>
    </row>
    <row r="644" spans="1:12" x14ac:dyDescent="0.25">
      <c r="A644" s="244" t="str">
        <f t="shared" si="18"/>
        <v>00011900--</v>
      </c>
      <c r="B644" s="245"/>
      <c r="C644" s="244"/>
      <c r="D644" s="244"/>
      <c r="E644" s="244"/>
      <c r="F644" s="244"/>
      <c r="G644" s="247"/>
      <c r="H644" s="244"/>
      <c r="I644" s="248"/>
      <c r="J644" s="244"/>
      <c r="K644" s="248"/>
      <c r="L644" s="228"/>
    </row>
    <row r="645" spans="1:12" x14ac:dyDescent="0.25">
      <c r="A645" s="244" t="str">
        <f t="shared" si="18"/>
        <v>00011900--</v>
      </c>
      <c r="B645" s="245"/>
      <c r="C645" s="244"/>
      <c r="D645" s="244"/>
      <c r="E645" s="244"/>
      <c r="F645" s="244"/>
      <c r="G645" s="247"/>
      <c r="H645" s="244"/>
      <c r="I645" s="248"/>
      <c r="J645" s="244"/>
      <c r="K645" s="248"/>
      <c r="L645" s="228"/>
    </row>
    <row r="646" spans="1:12" x14ac:dyDescent="0.25">
      <c r="A646" s="244" t="str">
        <f t="shared" si="18"/>
        <v>00011900--</v>
      </c>
      <c r="B646" s="245"/>
      <c r="C646" s="244"/>
      <c r="D646" s="244"/>
      <c r="E646" s="244"/>
      <c r="F646" s="244"/>
      <c r="G646" s="247"/>
      <c r="H646" s="244"/>
      <c r="I646" s="248"/>
      <c r="J646" s="244"/>
      <c r="K646" s="248"/>
      <c r="L646" s="228"/>
    </row>
    <row r="647" spans="1:12" x14ac:dyDescent="0.25">
      <c r="A647" s="244" t="str">
        <f t="shared" si="18"/>
        <v>00011900--</v>
      </c>
      <c r="B647" s="245"/>
      <c r="C647" s="244"/>
      <c r="D647" s="244"/>
      <c r="E647" s="244"/>
      <c r="F647" s="244"/>
      <c r="G647" s="247"/>
      <c r="H647" s="244"/>
      <c r="I647" s="248"/>
      <c r="J647" s="244"/>
      <c r="K647" s="248"/>
      <c r="L647" s="228"/>
    </row>
    <row r="648" spans="1:12" x14ac:dyDescent="0.25">
      <c r="A648" s="244" t="str">
        <f t="shared" si="18"/>
        <v>00011900--</v>
      </c>
      <c r="B648" s="245"/>
      <c r="C648" s="244"/>
      <c r="D648" s="244"/>
      <c r="E648" s="244"/>
      <c r="F648" s="244"/>
      <c r="G648" s="247"/>
      <c r="H648" s="244"/>
      <c r="I648" s="248"/>
      <c r="J648" s="244"/>
      <c r="K648" s="248"/>
      <c r="L648" s="228"/>
    </row>
    <row r="649" spans="1:12" x14ac:dyDescent="0.25">
      <c r="A649" s="244" t="str">
        <f t="shared" si="18"/>
        <v>00011900--</v>
      </c>
      <c r="B649" s="245"/>
      <c r="C649" s="244"/>
      <c r="D649" s="244"/>
      <c r="E649" s="244"/>
      <c r="F649" s="244"/>
      <c r="G649" s="247"/>
      <c r="H649" s="244"/>
      <c r="I649" s="248"/>
      <c r="J649" s="244"/>
      <c r="K649" s="248"/>
      <c r="L649" s="228"/>
    </row>
    <row r="650" spans="1:12" x14ac:dyDescent="0.25">
      <c r="A650" s="244" t="str">
        <f t="shared" si="18"/>
        <v>00011900--</v>
      </c>
      <c r="B650" s="245"/>
      <c r="C650" s="244"/>
      <c r="D650" s="244"/>
      <c r="E650" s="244"/>
      <c r="F650" s="244"/>
      <c r="G650" s="247"/>
      <c r="H650" s="244"/>
      <c r="I650" s="248"/>
      <c r="J650" s="244"/>
      <c r="K650" s="248"/>
      <c r="L650" s="228"/>
    </row>
    <row r="651" spans="1:12" x14ac:dyDescent="0.25">
      <c r="A651" s="244" t="str">
        <f t="shared" si="18"/>
        <v>00011900--</v>
      </c>
      <c r="B651" s="245"/>
      <c r="C651" s="244"/>
      <c r="D651" s="244"/>
      <c r="E651" s="244"/>
      <c r="F651" s="244"/>
      <c r="G651" s="247"/>
      <c r="H651" s="244"/>
      <c r="I651" s="248"/>
      <c r="J651" s="244"/>
      <c r="K651" s="248"/>
      <c r="L651" s="228"/>
    </row>
    <row r="652" spans="1:12" x14ac:dyDescent="0.25">
      <c r="A652" s="244" t="str">
        <f t="shared" si="18"/>
        <v>00011900--</v>
      </c>
      <c r="B652" s="245"/>
      <c r="C652" s="244"/>
      <c r="D652" s="244"/>
      <c r="E652" s="244"/>
      <c r="F652" s="244"/>
      <c r="G652" s="247"/>
      <c r="H652" s="244"/>
      <c r="I652" s="248"/>
      <c r="J652" s="244"/>
      <c r="K652" s="248"/>
      <c r="L652" s="228"/>
    </row>
    <row r="653" spans="1:12" x14ac:dyDescent="0.25">
      <c r="A653" s="244" t="str">
        <f t="shared" si="18"/>
        <v>00011900--</v>
      </c>
      <c r="B653" s="245"/>
      <c r="C653" s="244"/>
      <c r="D653" s="244"/>
      <c r="E653" s="244"/>
      <c r="F653" s="244"/>
      <c r="G653" s="247"/>
      <c r="H653" s="244"/>
      <c r="I653" s="248"/>
      <c r="J653" s="244"/>
      <c r="K653" s="248"/>
      <c r="L653" s="228"/>
    </row>
    <row r="654" spans="1:12" x14ac:dyDescent="0.25">
      <c r="A654" s="244" t="str">
        <f t="shared" si="18"/>
        <v>00011900--</v>
      </c>
      <c r="B654" s="245"/>
      <c r="C654" s="244"/>
      <c r="D654" s="244"/>
      <c r="E654" s="244"/>
      <c r="F654" s="244"/>
      <c r="G654" s="247"/>
      <c r="H654" s="244"/>
      <c r="I654" s="248"/>
      <c r="J654" s="244"/>
      <c r="K654" s="248"/>
      <c r="L654" s="228"/>
    </row>
    <row r="655" spans="1:12" x14ac:dyDescent="0.25">
      <c r="A655" s="244" t="str">
        <f t="shared" si="18"/>
        <v>00011900--</v>
      </c>
      <c r="B655" s="245"/>
      <c r="C655" s="244"/>
      <c r="D655" s="244"/>
      <c r="E655" s="244"/>
      <c r="F655" s="244"/>
      <c r="G655" s="247"/>
      <c r="H655" s="244"/>
      <c r="I655" s="248"/>
      <c r="J655" s="244"/>
      <c r="K655" s="248"/>
      <c r="L655" s="228"/>
    </row>
    <row r="656" spans="1:12" x14ac:dyDescent="0.25">
      <c r="A656" s="244" t="str">
        <f t="shared" si="18"/>
        <v>00011900--</v>
      </c>
      <c r="B656" s="245"/>
      <c r="C656" s="244"/>
      <c r="D656" s="244"/>
      <c r="E656" s="244"/>
      <c r="F656" s="244"/>
      <c r="G656" s="247"/>
      <c r="H656" s="244"/>
      <c r="I656" s="248"/>
      <c r="J656" s="244"/>
      <c r="K656" s="248"/>
      <c r="L656" s="228"/>
    </row>
    <row r="657" spans="1:12" x14ac:dyDescent="0.25">
      <c r="A657" s="244" t="str">
        <f t="shared" si="18"/>
        <v>00011900--</v>
      </c>
      <c r="B657" s="245"/>
      <c r="C657" s="244"/>
      <c r="D657" s="244"/>
      <c r="E657" s="244"/>
      <c r="F657" s="244"/>
      <c r="G657" s="247"/>
      <c r="H657" s="244"/>
      <c r="I657" s="248"/>
      <c r="J657" s="244"/>
      <c r="K657" s="248"/>
      <c r="L657" s="228"/>
    </row>
    <row r="658" spans="1:12" x14ac:dyDescent="0.25">
      <c r="A658" s="244" t="str">
        <f t="shared" si="18"/>
        <v>00011900--</v>
      </c>
      <c r="B658" s="245"/>
      <c r="C658" s="244"/>
      <c r="D658" s="244"/>
      <c r="E658" s="244"/>
      <c r="F658" s="244"/>
      <c r="G658" s="247"/>
      <c r="H658" s="244"/>
      <c r="I658" s="248"/>
      <c r="J658" s="244"/>
      <c r="K658" s="248"/>
      <c r="L658" s="228"/>
    </row>
    <row r="659" spans="1:12" x14ac:dyDescent="0.25">
      <c r="A659" s="244" t="str">
        <f t="shared" si="18"/>
        <v>00011900--</v>
      </c>
      <c r="B659" s="245"/>
      <c r="C659" s="244"/>
      <c r="D659" s="244"/>
      <c r="E659" s="244"/>
      <c r="F659" s="244"/>
      <c r="G659" s="247"/>
      <c r="H659" s="244"/>
      <c r="I659" s="248"/>
      <c r="J659" s="244"/>
      <c r="K659" s="248"/>
      <c r="L659" s="228"/>
    </row>
    <row r="660" spans="1:12" x14ac:dyDescent="0.25">
      <c r="A660" s="244" t="str">
        <f t="shared" si="18"/>
        <v>00011900--</v>
      </c>
      <c r="B660" s="245"/>
      <c r="C660" s="244"/>
      <c r="D660" s="244"/>
      <c r="E660" s="244"/>
      <c r="F660" s="244"/>
      <c r="G660" s="247"/>
      <c r="H660" s="244"/>
      <c r="I660" s="248"/>
      <c r="J660" s="244"/>
      <c r="K660" s="248"/>
      <c r="L660" s="228"/>
    </row>
    <row r="661" spans="1:12" x14ac:dyDescent="0.25">
      <c r="A661" s="244" t="str">
        <f t="shared" si="18"/>
        <v>00011900--</v>
      </c>
      <c r="B661" s="245"/>
      <c r="C661" s="244"/>
      <c r="D661" s="244"/>
      <c r="E661" s="244"/>
      <c r="F661" s="244"/>
      <c r="G661" s="247"/>
      <c r="H661" s="244"/>
      <c r="I661" s="248"/>
      <c r="J661" s="244"/>
      <c r="K661" s="248"/>
      <c r="L661" s="228"/>
    </row>
    <row r="662" spans="1:12" x14ac:dyDescent="0.25">
      <c r="A662" s="244" t="str">
        <f t="shared" si="18"/>
        <v>00011900--</v>
      </c>
      <c r="B662" s="245"/>
      <c r="C662" s="244"/>
      <c r="D662" s="244"/>
      <c r="E662" s="244"/>
      <c r="F662" s="244"/>
      <c r="G662" s="247"/>
      <c r="H662" s="244"/>
      <c r="I662" s="248"/>
      <c r="J662" s="244"/>
      <c r="K662" s="248"/>
      <c r="L662" s="228"/>
    </row>
    <row r="663" spans="1:12" x14ac:dyDescent="0.25">
      <c r="A663" s="244" t="str">
        <f t="shared" si="18"/>
        <v>00011900--</v>
      </c>
      <c r="B663" s="245"/>
      <c r="C663" s="244"/>
      <c r="D663" s="244"/>
      <c r="E663" s="244"/>
      <c r="F663" s="244"/>
      <c r="G663" s="247"/>
      <c r="H663" s="244"/>
      <c r="I663" s="248"/>
      <c r="J663" s="244"/>
      <c r="K663" s="248"/>
      <c r="L663" s="228"/>
    </row>
    <row r="664" spans="1:12" x14ac:dyDescent="0.25">
      <c r="A664" s="244" t="str">
        <f t="shared" si="18"/>
        <v>00011900--</v>
      </c>
      <c r="B664" s="245"/>
      <c r="C664" s="244"/>
      <c r="D664" s="244"/>
      <c r="E664" s="244"/>
      <c r="F664" s="244"/>
      <c r="G664" s="247"/>
      <c r="H664" s="244"/>
      <c r="I664" s="248"/>
      <c r="J664" s="244"/>
      <c r="K664" s="248"/>
      <c r="L664" s="228"/>
    </row>
    <row r="665" spans="1:12" x14ac:dyDescent="0.25">
      <c r="A665" s="244" t="str">
        <f t="shared" si="18"/>
        <v>00011900--</v>
      </c>
      <c r="B665" s="245"/>
      <c r="C665" s="244"/>
      <c r="D665" s="244"/>
      <c r="E665" s="244"/>
      <c r="F665" s="244"/>
      <c r="G665" s="247"/>
      <c r="H665" s="244"/>
      <c r="I665" s="248"/>
      <c r="J665" s="244"/>
      <c r="K665" s="248"/>
      <c r="L665" s="228"/>
    </row>
    <row r="666" spans="1:12" x14ac:dyDescent="0.25">
      <c r="A666" s="244" t="str">
        <f t="shared" si="18"/>
        <v>00011900--</v>
      </c>
      <c r="B666" s="245"/>
      <c r="C666" s="244"/>
      <c r="D666" s="244"/>
      <c r="E666" s="244"/>
      <c r="F666" s="244"/>
      <c r="G666" s="247"/>
      <c r="H666" s="244"/>
      <c r="I666" s="248"/>
      <c r="J666" s="244"/>
      <c r="K666" s="248"/>
      <c r="L666" s="228"/>
    </row>
    <row r="667" spans="1:12" x14ac:dyDescent="0.25">
      <c r="A667" s="244" t="str">
        <f t="shared" si="18"/>
        <v>00011900--</v>
      </c>
      <c r="B667" s="245"/>
      <c r="C667" s="244"/>
      <c r="D667" s="244"/>
      <c r="E667" s="244"/>
      <c r="F667" s="244"/>
      <c r="G667" s="247"/>
      <c r="H667" s="244"/>
      <c r="I667" s="248"/>
      <c r="J667" s="244"/>
      <c r="K667" s="248"/>
      <c r="L667" s="228"/>
    </row>
    <row r="668" spans="1:12" x14ac:dyDescent="0.25">
      <c r="A668" s="244" t="str">
        <f t="shared" si="18"/>
        <v>00011900--</v>
      </c>
      <c r="B668" s="245"/>
      <c r="C668" s="244"/>
      <c r="D668" s="244"/>
      <c r="E668" s="244"/>
      <c r="F668" s="244"/>
      <c r="G668" s="247"/>
      <c r="H668" s="244"/>
      <c r="I668" s="248"/>
      <c r="J668" s="244"/>
      <c r="K668" s="248"/>
      <c r="L668" s="228"/>
    </row>
    <row r="669" spans="1:12" x14ac:dyDescent="0.25">
      <c r="A669" s="244" t="str">
        <f t="shared" si="18"/>
        <v>00011900--</v>
      </c>
      <c r="B669" s="245"/>
      <c r="C669" s="244"/>
      <c r="D669" s="244"/>
      <c r="E669" s="244"/>
      <c r="F669" s="244"/>
      <c r="G669" s="247"/>
      <c r="H669" s="244"/>
      <c r="I669" s="248"/>
      <c r="J669" s="244"/>
      <c r="K669" s="248"/>
      <c r="L669" s="228"/>
    </row>
    <row r="670" spans="1:12" x14ac:dyDescent="0.25">
      <c r="A670" s="244" t="str">
        <f t="shared" si="18"/>
        <v>00011900--</v>
      </c>
      <c r="B670" s="245"/>
      <c r="C670" s="244"/>
      <c r="D670" s="244"/>
      <c r="E670" s="244"/>
      <c r="F670" s="244"/>
      <c r="G670" s="247"/>
      <c r="H670" s="244"/>
      <c r="I670" s="248"/>
      <c r="J670" s="244"/>
      <c r="K670" s="248"/>
      <c r="L670" s="228"/>
    </row>
    <row r="671" spans="1:12" x14ac:dyDescent="0.25">
      <c r="A671" s="244" t="str">
        <f t="shared" si="18"/>
        <v>00011900--</v>
      </c>
      <c r="B671" s="245"/>
      <c r="C671" s="244"/>
      <c r="D671" s="244"/>
      <c r="E671" s="244"/>
      <c r="F671" s="244"/>
      <c r="G671" s="247"/>
      <c r="H671" s="244"/>
      <c r="I671" s="248"/>
      <c r="J671" s="244"/>
      <c r="K671" s="248"/>
      <c r="L671" s="228"/>
    </row>
    <row r="672" spans="1:12" x14ac:dyDescent="0.25">
      <c r="A672" s="244" t="str">
        <f t="shared" si="18"/>
        <v>00011900--</v>
      </c>
      <c r="B672" s="245"/>
      <c r="C672" s="244"/>
      <c r="D672" s="244"/>
      <c r="E672" s="244"/>
      <c r="F672" s="244"/>
      <c r="G672" s="247"/>
      <c r="H672" s="244"/>
      <c r="I672" s="248"/>
      <c r="J672" s="244"/>
      <c r="K672" s="248"/>
      <c r="L672" s="228"/>
    </row>
    <row r="673" spans="1:12" x14ac:dyDescent="0.25">
      <c r="A673" s="244" t="str">
        <f t="shared" si="18"/>
        <v>00011900--</v>
      </c>
      <c r="B673" s="245"/>
      <c r="C673" s="244"/>
      <c r="D673" s="244"/>
      <c r="E673" s="244"/>
      <c r="F673" s="244"/>
      <c r="G673" s="247"/>
      <c r="H673" s="244"/>
      <c r="I673" s="248"/>
      <c r="J673" s="244"/>
      <c r="K673" s="248"/>
      <c r="L673" s="228"/>
    </row>
    <row r="674" spans="1:12" x14ac:dyDescent="0.25">
      <c r="A674" s="244" t="str">
        <f t="shared" si="18"/>
        <v>00011900--</v>
      </c>
      <c r="B674" s="245"/>
      <c r="C674" s="244"/>
      <c r="D674" s="244"/>
      <c r="E674" s="244"/>
      <c r="F674" s="244"/>
      <c r="G674" s="247"/>
      <c r="H674" s="244"/>
      <c r="I674" s="248"/>
      <c r="J674" s="244"/>
      <c r="K674" s="248"/>
      <c r="L674" s="228"/>
    </row>
    <row r="675" spans="1:12" x14ac:dyDescent="0.25">
      <c r="A675" s="244" t="str">
        <f t="shared" si="18"/>
        <v>00011900--</v>
      </c>
      <c r="B675" s="245"/>
      <c r="C675" s="244"/>
      <c r="D675" s="244"/>
      <c r="E675" s="244"/>
      <c r="F675" s="244"/>
      <c r="G675" s="247"/>
      <c r="H675" s="244"/>
      <c r="I675" s="248"/>
      <c r="J675" s="244"/>
      <c r="K675" s="248"/>
      <c r="L675" s="228"/>
    </row>
    <row r="676" spans="1:12" x14ac:dyDescent="0.25">
      <c r="A676" s="244" t="str">
        <f t="shared" si="18"/>
        <v>00011900--</v>
      </c>
      <c r="B676" s="245"/>
      <c r="C676" s="244"/>
      <c r="D676" s="244"/>
      <c r="E676" s="244"/>
      <c r="F676" s="244"/>
      <c r="G676" s="247"/>
      <c r="H676" s="244"/>
      <c r="I676" s="248"/>
      <c r="J676" s="244"/>
      <c r="K676" s="248"/>
      <c r="L676" s="228"/>
    </row>
    <row r="677" spans="1:12" x14ac:dyDescent="0.25">
      <c r="A677" s="244" t="str">
        <f t="shared" si="18"/>
        <v>00011900--</v>
      </c>
      <c r="B677" s="245"/>
      <c r="C677" s="244"/>
      <c r="D677" s="244"/>
      <c r="E677" s="244"/>
      <c r="F677" s="244"/>
      <c r="G677" s="247"/>
      <c r="H677" s="244"/>
      <c r="I677" s="248"/>
      <c r="J677" s="244"/>
      <c r="K677" s="248"/>
      <c r="L677" s="228"/>
    </row>
    <row r="678" spans="1:12" x14ac:dyDescent="0.25">
      <c r="A678" s="244" t="str">
        <f t="shared" si="18"/>
        <v>00011900--</v>
      </c>
      <c r="B678" s="245"/>
      <c r="C678" s="244"/>
      <c r="D678" s="244"/>
      <c r="E678" s="244"/>
      <c r="F678" s="244"/>
      <c r="G678" s="247"/>
      <c r="H678" s="244"/>
      <c r="I678" s="248"/>
      <c r="J678" s="244"/>
      <c r="K678" s="248"/>
      <c r="L678" s="228"/>
    </row>
    <row r="679" spans="1:12" x14ac:dyDescent="0.25">
      <c r="A679" s="244" t="str">
        <f t="shared" si="18"/>
        <v>00011900--</v>
      </c>
      <c r="B679" s="245"/>
      <c r="C679" s="244"/>
      <c r="D679" s="244"/>
      <c r="E679" s="244"/>
      <c r="F679" s="244"/>
      <c r="G679" s="247"/>
      <c r="H679" s="244"/>
      <c r="I679" s="248"/>
      <c r="J679" s="244"/>
      <c r="K679" s="248"/>
      <c r="L679" s="228"/>
    </row>
    <row r="680" spans="1:12" x14ac:dyDescent="0.25">
      <c r="A680" s="244" t="str">
        <f t="shared" si="18"/>
        <v>00011900--</v>
      </c>
      <c r="B680" s="245"/>
      <c r="C680" s="244"/>
      <c r="D680" s="244"/>
      <c r="E680" s="244"/>
      <c r="F680" s="244"/>
      <c r="G680" s="247"/>
      <c r="H680" s="244"/>
      <c r="I680" s="248"/>
      <c r="J680" s="244"/>
      <c r="K680" s="248"/>
      <c r="L680" s="228"/>
    </row>
    <row r="681" spans="1:12" x14ac:dyDescent="0.25">
      <c r="A681" s="244" t="str">
        <f t="shared" si="18"/>
        <v>00011900--</v>
      </c>
      <c r="B681" s="245"/>
      <c r="C681" s="244"/>
      <c r="D681" s="244"/>
      <c r="E681" s="244"/>
      <c r="F681" s="244"/>
      <c r="G681" s="247"/>
      <c r="H681" s="244"/>
      <c r="I681" s="248"/>
      <c r="J681" s="244"/>
      <c r="K681" s="248"/>
      <c r="L681" s="228"/>
    </row>
    <row r="682" spans="1:12" x14ac:dyDescent="0.25">
      <c r="A682" s="244" t="str">
        <f t="shared" si="18"/>
        <v>00011900--</v>
      </c>
      <c r="B682" s="245"/>
      <c r="C682" s="244"/>
      <c r="D682" s="244"/>
      <c r="E682" s="244"/>
      <c r="F682" s="244"/>
      <c r="G682" s="247"/>
      <c r="H682" s="244"/>
      <c r="I682" s="248"/>
      <c r="J682" s="244"/>
      <c r="K682" s="248"/>
      <c r="L682" s="228"/>
    </row>
    <row r="683" spans="1:12" x14ac:dyDescent="0.25">
      <c r="A683" s="244" t="str">
        <f t="shared" si="18"/>
        <v>00011900--</v>
      </c>
      <c r="B683" s="245"/>
      <c r="C683" s="244"/>
      <c r="D683" s="244"/>
      <c r="E683" s="244"/>
      <c r="F683" s="244"/>
      <c r="G683" s="247"/>
      <c r="H683" s="244"/>
      <c r="I683" s="248"/>
      <c r="J683" s="244"/>
      <c r="K683" s="248"/>
      <c r="L683" s="228"/>
    </row>
    <row r="684" spans="1:12" x14ac:dyDescent="0.25">
      <c r="A684" s="244" t="str">
        <f t="shared" si="18"/>
        <v>00011900--</v>
      </c>
      <c r="B684" s="245"/>
      <c r="C684" s="244"/>
      <c r="D684" s="244"/>
      <c r="E684" s="244"/>
      <c r="F684" s="244"/>
      <c r="G684" s="247"/>
      <c r="H684" s="244"/>
      <c r="I684" s="248"/>
      <c r="J684" s="244"/>
      <c r="K684" s="248"/>
      <c r="L684" s="228"/>
    </row>
    <row r="685" spans="1:12" x14ac:dyDescent="0.25">
      <c r="A685" s="244" t="str">
        <f t="shared" si="18"/>
        <v>00011900--</v>
      </c>
      <c r="B685" s="245"/>
      <c r="C685" s="244"/>
      <c r="D685" s="244"/>
      <c r="E685" s="244"/>
      <c r="F685" s="244"/>
      <c r="G685" s="247"/>
      <c r="H685" s="244"/>
      <c r="I685" s="248"/>
      <c r="J685" s="244"/>
      <c r="K685" s="248"/>
      <c r="L685" s="228"/>
    </row>
    <row r="686" spans="1:12" x14ac:dyDescent="0.25">
      <c r="A686" s="244" t="str">
        <f t="shared" si="18"/>
        <v>00011900--</v>
      </c>
      <c r="B686" s="245"/>
      <c r="C686" s="244"/>
      <c r="D686" s="244"/>
      <c r="E686" s="244"/>
      <c r="F686" s="244"/>
      <c r="G686" s="247"/>
      <c r="H686" s="244"/>
      <c r="I686" s="248"/>
      <c r="J686" s="244"/>
      <c r="K686" s="248"/>
      <c r="L686" s="228"/>
    </row>
    <row r="687" spans="1:12" x14ac:dyDescent="0.25">
      <c r="A687" s="244" t="str">
        <f t="shared" si="18"/>
        <v>00011900--</v>
      </c>
      <c r="B687" s="245"/>
      <c r="C687" s="244"/>
      <c r="D687" s="244"/>
      <c r="E687" s="244"/>
      <c r="F687" s="244"/>
      <c r="G687" s="247"/>
      <c r="H687" s="244"/>
      <c r="I687" s="248"/>
      <c r="J687" s="244"/>
      <c r="K687" s="248"/>
      <c r="L687" s="228"/>
    </row>
    <row r="688" spans="1:12" x14ac:dyDescent="0.25">
      <c r="A688" s="244" t="str">
        <f t="shared" si="18"/>
        <v>00011900--</v>
      </c>
      <c r="B688" s="245"/>
      <c r="C688" s="244"/>
      <c r="D688" s="244"/>
      <c r="E688" s="244"/>
      <c r="F688" s="244"/>
      <c r="G688" s="247"/>
      <c r="H688" s="244"/>
      <c r="I688" s="248"/>
      <c r="J688" s="244"/>
      <c r="K688" s="248"/>
      <c r="L688" s="228"/>
    </row>
    <row r="689" spans="1:12" x14ac:dyDescent="0.25">
      <c r="A689" s="244" t="str">
        <f t="shared" si="18"/>
        <v>00011900--</v>
      </c>
      <c r="B689" s="245"/>
      <c r="C689" s="244"/>
      <c r="D689" s="244"/>
      <c r="E689" s="244"/>
      <c r="F689" s="244"/>
      <c r="G689" s="247"/>
      <c r="H689" s="244"/>
      <c r="I689" s="248"/>
      <c r="J689" s="244"/>
      <c r="K689" s="248"/>
      <c r="L689" s="228"/>
    </row>
    <row r="690" spans="1:12" x14ac:dyDescent="0.25">
      <c r="A690" s="244" t="str">
        <f t="shared" si="18"/>
        <v>00011900--</v>
      </c>
      <c r="B690" s="245"/>
      <c r="C690" s="244"/>
      <c r="D690" s="244"/>
      <c r="E690" s="244"/>
      <c r="F690" s="244"/>
      <c r="G690" s="247"/>
      <c r="H690" s="244"/>
      <c r="I690" s="248"/>
      <c r="J690" s="244"/>
      <c r="K690" s="248"/>
      <c r="L690" s="228"/>
    </row>
    <row r="691" spans="1:12" x14ac:dyDescent="0.25">
      <c r="A691" s="244" t="str">
        <f t="shared" si="18"/>
        <v>00011900--</v>
      </c>
      <c r="B691" s="245"/>
      <c r="C691" s="244"/>
      <c r="D691" s="244"/>
      <c r="E691" s="244"/>
      <c r="F691" s="244"/>
      <c r="G691" s="247"/>
      <c r="H691" s="244"/>
      <c r="I691" s="248"/>
      <c r="J691" s="244"/>
      <c r="K691" s="248"/>
      <c r="L691" s="228"/>
    </row>
    <row r="692" spans="1:12" x14ac:dyDescent="0.25">
      <c r="A692" s="244" t="str">
        <f t="shared" si="18"/>
        <v>00011900--</v>
      </c>
      <c r="B692" s="245"/>
      <c r="C692" s="244"/>
      <c r="D692" s="244"/>
      <c r="E692" s="244"/>
      <c r="F692" s="244"/>
      <c r="G692" s="247"/>
      <c r="H692" s="244"/>
      <c r="I692" s="248"/>
      <c r="J692" s="244"/>
      <c r="K692" s="248"/>
      <c r="L692" s="228"/>
    </row>
    <row r="693" spans="1:12" x14ac:dyDescent="0.25">
      <c r="A693" s="244" t="str">
        <f t="shared" si="18"/>
        <v>00011900--</v>
      </c>
      <c r="B693" s="245"/>
      <c r="C693" s="244"/>
      <c r="D693" s="244"/>
      <c r="E693" s="244"/>
      <c r="F693" s="244"/>
      <c r="G693" s="247"/>
      <c r="H693" s="244"/>
      <c r="I693" s="248"/>
      <c r="J693" s="244"/>
      <c r="K693" s="248"/>
      <c r="L693" s="228"/>
    </row>
    <row r="694" spans="1:12" x14ac:dyDescent="0.25">
      <c r="A694" s="244" t="str">
        <f t="shared" si="18"/>
        <v>00011900--</v>
      </c>
      <c r="B694" s="245"/>
      <c r="C694" s="244"/>
      <c r="D694" s="244"/>
      <c r="E694" s="244"/>
      <c r="F694" s="244"/>
      <c r="G694" s="247"/>
      <c r="H694" s="244"/>
      <c r="I694" s="248"/>
      <c r="J694" s="244"/>
      <c r="K694" s="248"/>
      <c r="L694" s="228"/>
    </row>
    <row r="695" spans="1:12" x14ac:dyDescent="0.25">
      <c r="A695" s="244" t="str">
        <f t="shared" si="18"/>
        <v>00011900--</v>
      </c>
      <c r="B695" s="245"/>
      <c r="C695" s="244"/>
      <c r="D695" s="244"/>
      <c r="E695" s="244"/>
      <c r="F695" s="244"/>
      <c r="G695" s="247"/>
      <c r="H695" s="244"/>
      <c r="I695" s="248"/>
      <c r="J695" s="244"/>
      <c r="K695" s="248"/>
      <c r="L695" s="228"/>
    </row>
    <row r="696" spans="1:12" x14ac:dyDescent="0.25">
      <c r="A696" s="244" t="str">
        <f t="shared" si="18"/>
        <v>00011900--</v>
      </c>
      <c r="B696" s="245"/>
      <c r="C696" s="244"/>
      <c r="D696" s="244"/>
      <c r="E696" s="244"/>
      <c r="F696" s="244"/>
      <c r="G696" s="247"/>
      <c r="H696" s="244"/>
      <c r="I696" s="248"/>
      <c r="J696" s="244"/>
      <c r="K696" s="248"/>
      <c r="L696" s="228"/>
    </row>
    <row r="697" spans="1:12" x14ac:dyDescent="0.25">
      <c r="A697" s="244" t="str">
        <f t="shared" si="18"/>
        <v>00011900--</v>
      </c>
      <c r="B697" s="245"/>
      <c r="C697" s="244"/>
      <c r="D697" s="244"/>
      <c r="E697" s="244"/>
      <c r="F697" s="244"/>
      <c r="G697" s="247"/>
      <c r="H697" s="244"/>
      <c r="I697" s="248"/>
      <c r="J697" s="244"/>
      <c r="K697" s="248"/>
      <c r="L697" s="228"/>
    </row>
    <row r="698" spans="1:12" x14ac:dyDescent="0.25">
      <c r="A698" s="244" t="str">
        <f t="shared" si="18"/>
        <v>00011900--</v>
      </c>
      <c r="B698" s="245"/>
      <c r="C698" s="244"/>
      <c r="D698" s="244"/>
      <c r="E698" s="244"/>
      <c r="F698" s="244"/>
      <c r="G698" s="247"/>
      <c r="H698" s="244"/>
      <c r="I698" s="248"/>
      <c r="J698" s="244"/>
      <c r="K698" s="248"/>
      <c r="L698" s="228"/>
    </row>
    <row r="699" spans="1:12" x14ac:dyDescent="0.25">
      <c r="A699" s="244" t="str">
        <f t="shared" si="18"/>
        <v>00011900--</v>
      </c>
      <c r="B699" s="245"/>
      <c r="C699" s="244"/>
      <c r="D699" s="244"/>
      <c r="E699" s="244"/>
      <c r="F699" s="244"/>
      <c r="G699" s="247"/>
      <c r="H699" s="244"/>
      <c r="I699" s="248"/>
      <c r="J699" s="244"/>
      <c r="K699" s="248"/>
      <c r="L699" s="228"/>
    </row>
    <row r="700" spans="1:12" x14ac:dyDescent="0.25">
      <c r="A700" s="244" t="str">
        <f t="shared" si="18"/>
        <v>00011900--</v>
      </c>
      <c r="B700" s="245"/>
      <c r="C700" s="244"/>
      <c r="D700" s="244"/>
      <c r="E700" s="244"/>
      <c r="F700" s="244"/>
      <c r="G700" s="247"/>
      <c r="H700" s="244"/>
      <c r="I700" s="248"/>
      <c r="J700" s="244"/>
      <c r="K700" s="248"/>
      <c r="L700" s="228"/>
    </row>
    <row r="701" spans="1:12" x14ac:dyDescent="0.25">
      <c r="A701" s="244" t="str">
        <f t="shared" ref="A701:A764" si="19">TEXT(DAY(B701),"00")&amp;TEXT(MONTH(B701),"00")&amp;YEAR(B701)&amp;"-"&amp;C701&amp;"-"&amp;LEFT(E701,SEARCH(" ",E701&amp;" ")-1)</f>
        <v>00011900--</v>
      </c>
      <c r="B701" s="245"/>
      <c r="C701" s="244"/>
      <c r="D701" s="244"/>
      <c r="E701" s="244"/>
      <c r="F701" s="244"/>
      <c r="G701" s="247"/>
      <c r="H701" s="244"/>
      <c r="I701" s="248"/>
      <c r="J701" s="244"/>
      <c r="K701" s="248"/>
      <c r="L701" s="228"/>
    </row>
    <row r="702" spans="1:12" x14ac:dyDescent="0.25">
      <c r="A702" s="244" t="str">
        <f t="shared" si="19"/>
        <v>00011900--</v>
      </c>
      <c r="B702" s="245"/>
      <c r="C702" s="244"/>
      <c r="D702" s="244"/>
      <c r="E702" s="244"/>
      <c r="F702" s="244"/>
      <c r="G702" s="247"/>
      <c r="H702" s="244"/>
      <c r="I702" s="248"/>
      <c r="J702" s="244"/>
      <c r="K702" s="248"/>
      <c r="L702" s="228"/>
    </row>
    <row r="703" spans="1:12" x14ac:dyDescent="0.25">
      <c r="A703" s="244" t="str">
        <f t="shared" si="19"/>
        <v>00011900--</v>
      </c>
      <c r="B703" s="245"/>
      <c r="C703" s="244"/>
      <c r="D703" s="244"/>
      <c r="E703" s="244"/>
      <c r="F703" s="244"/>
      <c r="G703" s="247"/>
      <c r="H703" s="244"/>
      <c r="I703" s="248"/>
      <c r="J703" s="244"/>
      <c r="K703" s="248"/>
      <c r="L703" s="228"/>
    </row>
    <row r="704" spans="1:12" x14ac:dyDescent="0.25">
      <c r="A704" s="244" t="str">
        <f t="shared" si="19"/>
        <v>00011900--</v>
      </c>
      <c r="B704" s="245"/>
      <c r="C704" s="244"/>
      <c r="D704" s="244"/>
      <c r="E704" s="244"/>
      <c r="F704" s="244"/>
      <c r="G704" s="247"/>
      <c r="H704" s="244"/>
      <c r="I704" s="248"/>
      <c r="J704" s="244"/>
      <c r="K704" s="248"/>
      <c r="L704" s="228"/>
    </row>
    <row r="705" spans="1:12" x14ac:dyDescent="0.25">
      <c r="A705" s="244" t="str">
        <f t="shared" si="19"/>
        <v>00011900--</v>
      </c>
      <c r="B705" s="245"/>
      <c r="C705" s="244"/>
      <c r="D705" s="244"/>
      <c r="E705" s="244"/>
      <c r="F705" s="244"/>
      <c r="G705" s="247"/>
      <c r="H705" s="244"/>
      <c r="I705" s="248"/>
      <c r="J705" s="244"/>
      <c r="K705" s="248"/>
      <c r="L705" s="228"/>
    </row>
    <row r="706" spans="1:12" x14ac:dyDescent="0.25">
      <c r="A706" s="244" t="str">
        <f t="shared" si="19"/>
        <v>00011900--</v>
      </c>
      <c r="B706" s="245"/>
      <c r="C706" s="244"/>
      <c r="D706" s="244"/>
      <c r="E706" s="244"/>
      <c r="F706" s="244"/>
      <c r="G706" s="247"/>
      <c r="H706" s="244"/>
      <c r="I706" s="248"/>
      <c r="J706" s="244"/>
      <c r="K706" s="248"/>
      <c r="L706" s="228"/>
    </row>
    <row r="707" spans="1:12" x14ac:dyDescent="0.25">
      <c r="A707" s="244" t="str">
        <f t="shared" si="19"/>
        <v>00011900--</v>
      </c>
      <c r="B707" s="245"/>
      <c r="C707" s="244"/>
      <c r="D707" s="244"/>
      <c r="E707" s="244"/>
      <c r="F707" s="244"/>
      <c r="G707" s="247"/>
      <c r="H707" s="244"/>
      <c r="I707" s="248"/>
      <c r="J707" s="244"/>
      <c r="K707" s="248"/>
      <c r="L707" s="228"/>
    </row>
    <row r="708" spans="1:12" x14ac:dyDescent="0.25">
      <c r="A708" s="244" t="str">
        <f t="shared" si="19"/>
        <v>00011900--</v>
      </c>
      <c r="B708" s="245"/>
      <c r="C708" s="244"/>
      <c r="D708" s="244"/>
      <c r="E708" s="244"/>
      <c r="F708" s="244"/>
      <c r="G708" s="247"/>
      <c r="H708" s="244"/>
      <c r="I708" s="248"/>
      <c r="J708" s="244"/>
      <c r="K708" s="248"/>
      <c r="L708" s="228"/>
    </row>
    <row r="709" spans="1:12" x14ac:dyDescent="0.25">
      <c r="A709" s="244" t="str">
        <f t="shared" si="19"/>
        <v>00011900--</v>
      </c>
      <c r="B709" s="245"/>
      <c r="C709" s="244"/>
      <c r="D709" s="244"/>
      <c r="E709" s="244"/>
      <c r="F709" s="244"/>
      <c r="G709" s="247"/>
      <c r="H709" s="244"/>
      <c r="I709" s="248"/>
      <c r="J709" s="244"/>
      <c r="K709" s="248"/>
      <c r="L709" s="228"/>
    </row>
    <row r="710" spans="1:12" x14ac:dyDescent="0.25">
      <c r="A710" s="244" t="str">
        <f t="shared" si="19"/>
        <v>00011900--</v>
      </c>
      <c r="B710" s="245"/>
      <c r="C710" s="244"/>
      <c r="D710" s="244"/>
      <c r="E710" s="244"/>
      <c r="F710" s="244"/>
      <c r="G710" s="247"/>
      <c r="H710" s="244"/>
      <c r="I710" s="248"/>
      <c r="J710" s="244"/>
      <c r="K710" s="248"/>
      <c r="L710" s="228"/>
    </row>
    <row r="711" spans="1:12" x14ac:dyDescent="0.25">
      <c r="A711" s="244" t="str">
        <f t="shared" si="19"/>
        <v>00011900--</v>
      </c>
      <c r="B711" s="245"/>
      <c r="C711" s="244"/>
      <c r="D711" s="244"/>
      <c r="E711" s="244"/>
      <c r="F711" s="244"/>
      <c r="G711" s="247"/>
      <c r="H711" s="244"/>
      <c r="I711" s="248"/>
      <c r="J711" s="244"/>
      <c r="K711" s="248"/>
      <c r="L711" s="228"/>
    </row>
    <row r="712" spans="1:12" x14ac:dyDescent="0.25">
      <c r="A712" s="244" t="str">
        <f t="shared" si="19"/>
        <v>00011900--</v>
      </c>
      <c r="B712" s="245"/>
      <c r="C712" s="244"/>
      <c r="D712" s="244"/>
      <c r="E712" s="244"/>
      <c r="F712" s="244"/>
      <c r="G712" s="247"/>
      <c r="H712" s="244"/>
      <c r="I712" s="248"/>
      <c r="J712" s="244"/>
      <c r="K712" s="248"/>
      <c r="L712" s="228"/>
    </row>
    <row r="713" spans="1:12" x14ac:dyDescent="0.25">
      <c r="A713" s="244" t="str">
        <f t="shared" si="19"/>
        <v>00011900--</v>
      </c>
      <c r="B713" s="245"/>
      <c r="C713" s="244"/>
      <c r="D713" s="244"/>
      <c r="E713" s="244"/>
      <c r="F713" s="244"/>
      <c r="G713" s="247"/>
      <c r="H713" s="244"/>
      <c r="I713" s="248"/>
      <c r="J713" s="244"/>
      <c r="K713" s="248"/>
      <c r="L713" s="228"/>
    </row>
    <row r="714" spans="1:12" x14ac:dyDescent="0.25">
      <c r="A714" s="244" t="str">
        <f t="shared" si="19"/>
        <v>00011900--</v>
      </c>
      <c r="B714" s="245"/>
      <c r="C714" s="244"/>
      <c r="D714" s="244"/>
      <c r="E714" s="244"/>
      <c r="F714" s="244"/>
      <c r="G714" s="247"/>
      <c r="H714" s="244"/>
      <c r="I714" s="248"/>
      <c r="J714" s="244"/>
      <c r="K714" s="248"/>
      <c r="L714" s="228"/>
    </row>
    <row r="715" spans="1:12" x14ac:dyDescent="0.25">
      <c r="A715" s="244" t="str">
        <f t="shared" si="19"/>
        <v>00011900--</v>
      </c>
      <c r="B715" s="245"/>
      <c r="C715" s="244"/>
      <c r="D715" s="244"/>
      <c r="E715" s="244"/>
      <c r="F715" s="244"/>
      <c r="G715" s="247"/>
      <c r="H715" s="244"/>
      <c r="I715" s="248"/>
      <c r="J715" s="244"/>
      <c r="K715" s="248"/>
      <c r="L715" s="228"/>
    </row>
    <row r="716" spans="1:12" x14ac:dyDescent="0.25">
      <c r="A716" s="244" t="str">
        <f t="shared" si="19"/>
        <v>00011900--</v>
      </c>
      <c r="B716" s="245"/>
      <c r="C716" s="244"/>
      <c r="D716" s="244"/>
      <c r="E716" s="244"/>
      <c r="F716" s="244"/>
      <c r="G716" s="247"/>
      <c r="H716" s="244"/>
      <c r="I716" s="248"/>
      <c r="J716" s="244"/>
      <c r="K716" s="248"/>
      <c r="L716" s="228"/>
    </row>
    <row r="717" spans="1:12" x14ac:dyDescent="0.25">
      <c r="A717" s="244" t="str">
        <f t="shared" si="19"/>
        <v>00011900--</v>
      </c>
      <c r="B717" s="245"/>
      <c r="C717" s="244"/>
      <c r="D717" s="244"/>
      <c r="E717" s="244"/>
      <c r="F717" s="244"/>
      <c r="G717" s="247"/>
      <c r="H717" s="244"/>
      <c r="I717" s="248"/>
      <c r="J717" s="244"/>
      <c r="K717" s="248"/>
      <c r="L717" s="228"/>
    </row>
    <row r="718" spans="1:12" x14ac:dyDescent="0.25">
      <c r="A718" s="244" t="str">
        <f t="shared" si="19"/>
        <v>00011900--</v>
      </c>
      <c r="B718" s="245"/>
      <c r="C718" s="244"/>
      <c r="D718" s="244"/>
      <c r="E718" s="244"/>
      <c r="F718" s="244"/>
      <c r="G718" s="247"/>
      <c r="H718" s="244"/>
      <c r="I718" s="248"/>
      <c r="J718" s="244"/>
      <c r="K718" s="248"/>
      <c r="L718" s="228"/>
    </row>
    <row r="719" spans="1:12" x14ac:dyDescent="0.25">
      <c r="A719" s="244" t="str">
        <f t="shared" si="19"/>
        <v>00011900--</v>
      </c>
      <c r="B719" s="245"/>
      <c r="C719" s="244"/>
      <c r="D719" s="244"/>
      <c r="E719" s="244"/>
      <c r="F719" s="244"/>
      <c r="G719" s="247"/>
      <c r="H719" s="244"/>
      <c r="I719" s="248"/>
      <c r="J719" s="244"/>
      <c r="K719" s="248"/>
      <c r="L719" s="228"/>
    </row>
    <row r="720" spans="1:12" x14ac:dyDescent="0.25">
      <c r="A720" s="244" t="str">
        <f t="shared" si="19"/>
        <v>00011900--</v>
      </c>
      <c r="B720" s="245"/>
      <c r="C720" s="244"/>
      <c r="D720" s="244"/>
      <c r="E720" s="244"/>
      <c r="F720" s="244"/>
      <c r="G720" s="247"/>
      <c r="H720" s="244"/>
      <c r="I720" s="248"/>
      <c r="J720" s="244"/>
      <c r="K720" s="248"/>
      <c r="L720" s="228"/>
    </row>
    <row r="721" spans="1:12" x14ac:dyDescent="0.25">
      <c r="A721" s="244" t="str">
        <f t="shared" si="19"/>
        <v>00011900--</v>
      </c>
      <c r="B721" s="245"/>
      <c r="C721" s="244"/>
      <c r="D721" s="244"/>
      <c r="E721" s="244"/>
      <c r="F721" s="244"/>
      <c r="G721" s="247"/>
      <c r="H721" s="244"/>
      <c r="I721" s="248"/>
      <c r="J721" s="244"/>
      <c r="K721" s="248"/>
      <c r="L721" s="228"/>
    </row>
    <row r="722" spans="1:12" x14ac:dyDescent="0.25">
      <c r="A722" s="244" t="str">
        <f t="shared" si="19"/>
        <v>00011900--</v>
      </c>
      <c r="B722" s="245"/>
      <c r="C722" s="244"/>
      <c r="D722" s="244"/>
      <c r="E722" s="244"/>
      <c r="F722" s="244"/>
      <c r="G722" s="247"/>
      <c r="H722" s="244"/>
      <c r="I722" s="248"/>
      <c r="J722" s="244"/>
      <c r="K722" s="248"/>
      <c r="L722" s="228"/>
    </row>
    <row r="723" spans="1:12" x14ac:dyDescent="0.25">
      <c r="A723" s="244" t="str">
        <f t="shared" si="19"/>
        <v>00011900--</v>
      </c>
      <c r="B723" s="245"/>
      <c r="C723" s="244"/>
      <c r="D723" s="244"/>
      <c r="E723" s="244"/>
      <c r="F723" s="244"/>
      <c r="G723" s="247"/>
      <c r="H723" s="244"/>
      <c r="I723" s="248"/>
      <c r="J723" s="244"/>
      <c r="K723" s="248"/>
      <c r="L723" s="228"/>
    </row>
    <row r="724" spans="1:12" x14ac:dyDescent="0.25">
      <c r="A724" s="244" t="str">
        <f t="shared" si="19"/>
        <v>00011900--</v>
      </c>
      <c r="B724" s="245"/>
      <c r="C724" s="244"/>
      <c r="D724" s="244"/>
      <c r="E724" s="244"/>
      <c r="F724" s="244"/>
      <c r="G724" s="247"/>
      <c r="H724" s="244"/>
      <c r="I724" s="248"/>
      <c r="J724" s="244"/>
      <c r="K724" s="248"/>
      <c r="L724" s="228"/>
    </row>
    <row r="725" spans="1:12" x14ac:dyDescent="0.25">
      <c r="A725" s="244" t="str">
        <f t="shared" si="19"/>
        <v>00011900--</v>
      </c>
      <c r="B725" s="245"/>
      <c r="C725" s="244"/>
      <c r="D725" s="244"/>
      <c r="E725" s="244"/>
      <c r="F725" s="244"/>
      <c r="G725" s="247"/>
      <c r="H725" s="244"/>
      <c r="I725" s="248"/>
      <c r="J725" s="244"/>
      <c r="K725" s="248"/>
      <c r="L725" s="228"/>
    </row>
    <row r="726" spans="1:12" x14ac:dyDescent="0.25">
      <c r="A726" s="244" t="str">
        <f t="shared" si="19"/>
        <v>00011900--</v>
      </c>
      <c r="B726" s="245"/>
      <c r="C726" s="244"/>
      <c r="D726" s="244"/>
      <c r="E726" s="244"/>
      <c r="F726" s="244"/>
      <c r="G726" s="247"/>
      <c r="H726" s="244"/>
      <c r="I726" s="248"/>
      <c r="J726" s="244"/>
      <c r="K726" s="248"/>
      <c r="L726" s="228"/>
    </row>
    <row r="727" spans="1:12" x14ac:dyDescent="0.25">
      <c r="A727" s="244" t="str">
        <f t="shared" si="19"/>
        <v>00011900--</v>
      </c>
      <c r="B727" s="245"/>
      <c r="C727" s="244"/>
      <c r="D727" s="244"/>
      <c r="E727" s="244"/>
      <c r="F727" s="244"/>
      <c r="G727" s="247"/>
      <c r="H727" s="244"/>
      <c r="I727" s="248"/>
      <c r="J727" s="244"/>
      <c r="K727" s="248"/>
      <c r="L727" s="228"/>
    </row>
    <row r="728" spans="1:12" x14ac:dyDescent="0.25">
      <c r="A728" s="244" t="str">
        <f t="shared" si="19"/>
        <v>00011900--</v>
      </c>
      <c r="B728" s="245"/>
      <c r="C728" s="244"/>
      <c r="D728" s="244"/>
      <c r="E728" s="244"/>
      <c r="F728" s="244"/>
      <c r="G728" s="247"/>
      <c r="H728" s="244"/>
      <c r="I728" s="248"/>
      <c r="J728" s="244"/>
      <c r="K728" s="248"/>
      <c r="L728" s="228"/>
    </row>
    <row r="729" spans="1:12" x14ac:dyDescent="0.25">
      <c r="A729" s="244" t="str">
        <f t="shared" si="19"/>
        <v>00011900--</v>
      </c>
      <c r="B729" s="245"/>
      <c r="C729" s="244"/>
      <c r="D729" s="244"/>
      <c r="E729" s="244"/>
      <c r="F729" s="244"/>
      <c r="G729" s="247"/>
      <c r="H729" s="244"/>
      <c r="I729" s="248"/>
      <c r="J729" s="244"/>
      <c r="K729" s="248"/>
      <c r="L729" s="228"/>
    </row>
    <row r="730" spans="1:12" x14ac:dyDescent="0.25">
      <c r="A730" s="244" t="str">
        <f t="shared" si="19"/>
        <v>00011900--</v>
      </c>
      <c r="B730" s="245"/>
      <c r="C730" s="244"/>
      <c r="D730" s="244"/>
      <c r="E730" s="244"/>
      <c r="F730" s="244"/>
      <c r="G730" s="247"/>
      <c r="H730" s="244"/>
      <c r="I730" s="248"/>
      <c r="J730" s="244"/>
      <c r="K730" s="248"/>
      <c r="L730" s="228"/>
    </row>
    <row r="731" spans="1:12" x14ac:dyDescent="0.25">
      <c r="A731" s="244" t="str">
        <f t="shared" si="19"/>
        <v>00011900--</v>
      </c>
      <c r="B731" s="245"/>
      <c r="C731" s="244"/>
      <c r="D731" s="244"/>
      <c r="E731" s="244"/>
      <c r="F731" s="244"/>
      <c r="G731" s="247"/>
      <c r="H731" s="244"/>
      <c r="I731" s="248"/>
      <c r="J731" s="244"/>
      <c r="K731" s="248"/>
      <c r="L731" s="228"/>
    </row>
    <row r="732" spans="1:12" x14ac:dyDescent="0.25">
      <c r="A732" s="244" t="str">
        <f t="shared" si="19"/>
        <v>00011900--</v>
      </c>
      <c r="B732" s="245"/>
      <c r="C732" s="244"/>
      <c r="D732" s="244"/>
      <c r="E732" s="244"/>
      <c r="F732" s="244"/>
      <c r="G732" s="247"/>
      <c r="H732" s="244"/>
      <c r="I732" s="248"/>
      <c r="J732" s="244"/>
      <c r="K732" s="248"/>
      <c r="L732" s="228"/>
    </row>
    <row r="733" spans="1:12" x14ac:dyDescent="0.25">
      <c r="A733" s="244" t="str">
        <f t="shared" si="19"/>
        <v>00011900--</v>
      </c>
      <c r="B733" s="245"/>
      <c r="C733" s="244"/>
      <c r="D733" s="244"/>
      <c r="E733" s="244"/>
      <c r="F733" s="244"/>
      <c r="G733" s="247"/>
      <c r="H733" s="244"/>
      <c r="I733" s="248"/>
      <c r="J733" s="244"/>
      <c r="K733" s="248"/>
      <c r="L733" s="228"/>
    </row>
    <row r="734" spans="1:12" x14ac:dyDescent="0.25">
      <c r="A734" s="244" t="str">
        <f t="shared" si="19"/>
        <v>00011900--</v>
      </c>
      <c r="B734" s="245"/>
      <c r="C734" s="244"/>
      <c r="D734" s="244"/>
      <c r="E734" s="244"/>
      <c r="F734" s="244"/>
      <c r="G734" s="247"/>
      <c r="H734" s="244"/>
      <c r="I734" s="248"/>
      <c r="J734" s="244"/>
      <c r="K734" s="248"/>
      <c r="L734" s="228"/>
    </row>
    <row r="735" spans="1:12" x14ac:dyDescent="0.25">
      <c r="A735" s="244" t="str">
        <f t="shared" si="19"/>
        <v>00011900--</v>
      </c>
      <c r="B735" s="245"/>
      <c r="C735" s="244"/>
      <c r="D735" s="244"/>
      <c r="E735" s="244"/>
      <c r="F735" s="244"/>
      <c r="G735" s="247"/>
      <c r="H735" s="244"/>
      <c r="I735" s="248"/>
      <c r="J735" s="244"/>
      <c r="K735" s="248"/>
      <c r="L735" s="228"/>
    </row>
    <row r="736" spans="1:12" x14ac:dyDescent="0.25">
      <c r="A736" s="244" t="str">
        <f t="shared" si="19"/>
        <v>00011900--</v>
      </c>
      <c r="B736" s="245"/>
      <c r="C736" s="244"/>
      <c r="D736" s="244"/>
      <c r="E736" s="244"/>
      <c r="F736" s="244"/>
      <c r="G736" s="247"/>
      <c r="H736" s="244"/>
      <c r="I736" s="248"/>
      <c r="J736" s="244"/>
      <c r="K736" s="248"/>
      <c r="L736" s="228"/>
    </row>
    <row r="737" spans="1:12" x14ac:dyDescent="0.25">
      <c r="A737" s="244" t="str">
        <f t="shared" si="19"/>
        <v>00011900--</v>
      </c>
      <c r="B737" s="245"/>
      <c r="C737" s="244"/>
      <c r="D737" s="244"/>
      <c r="E737" s="244"/>
      <c r="F737" s="244"/>
      <c r="G737" s="247"/>
      <c r="H737" s="244"/>
      <c r="I737" s="248"/>
      <c r="J737" s="244"/>
      <c r="K737" s="248"/>
      <c r="L737" s="228"/>
    </row>
    <row r="738" spans="1:12" x14ac:dyDescent="0.25">
      <c r="A738" s="244" t="str">
        <f t="shared" si="19"/>
        <v>00011900--</v>
      </c>
      <c r="B738" s="245"/>
      <c r="C738" s="244"/>
      <c r="D738" s="244"/>
      <c r="E738" s="244"/>
      <c r="F738" s="244"/>
      <c r="G738" s="247"/>
      <c r="H738" s="244"/>
      <c r="I738" s="248"/>
      <c r="J738" s="244"/>
      <c r="K738" s="248"/>
      <c r="L738" s="228"/>
    </row>
    <row r="739" spans="1:12" x14ac:dyDescent="0.25">
      <c r="A739" s="244" t="str">
        <f t="shared" si="19"/>
        <v>00011900--</v>
      </c>
      <c r="B739" s="245"/>
      <c r="C739" s="244"/>
      <c r="D739" s="244"/>
      <c r="E739" s="244"/>
      <c r="F739" s="244"/>
      <c r="G739" s="247"/>
      <c r="H739" s="244"/>
      <c r="I739" s="248"/>
      <c r="J739" s="244"/>
      <c r="K739" s="248"/>
      <c r="L739" s="228"/>
    </row>
    <row r="740" spans="1:12" x14ac:dyDescent="0.25">
      <c r="A740" s="244" t="str">
        <f t="shared" si="19"/>
        <v>00011900--</v>
      </c>
      <c r="B740" s="245"/>
      <c r="C740" s="244"/>
      <c r="D740" s="244"/>
      <c r="E740" s="244"/>
      <c r="F740" s="244"/>
      <c r="G740" s="247"/>
      <c r="H740" s="244"/>
      <c r="I740" s="248"/>
      <c r="J740" s="244"/>
      <c r="K740" s="248"/>
      <c r="L740" s="228"/>
    </row>
    <row r="741" spans="1:12" x14ac:dyDescent="0.25">
      <c r="A741" s="244" t="str">
        <f t="shared" si="19"/>
        <v>00011900--</v>
      </c>
      <c r="B741" s="245"/>
      <c r="C741" s="244"/>
      <c r="D741" s="244"/>
      <c r="E741" s="244"/>
      <c r="F741" s="244"/>
      <c r="G741" s="247"/>
      <c r="H741" s="244"/>
      <c r="I741" s="248"/>
      <c r="J741" s="244"/>
      <c r="K741" s="248"/>
      <c r="L741" s="228"/>
    </row>
    <row r="742" spans="1:12" x14ac:dyDescent="0.25">
      <c r="A742" s="244" t="str">
        <f t="shared" si="19"/>
        <v>00011900--</v>
      </c>
      <c r="B742" s="245"/>
      <c r="C742" s="244"/>
      <c r="D742" s="244"/>
      <c r="E742" s="244"/>
      <c r="F742" s="244"/>
      <c r="G742" s="247"/>
      <c r="H742" s="244"/>
      <c r="I742" s="248"/>
      <c r="J742" s="244"/>
      <c r="K742" s="248"/>
      <c r="L742" s="228"/>
    </row>
    <row r="743" spans="1:12" x14ac:dyDescent="0.25">
      <c r="A743" s="244" t="str">
        <f t="shared" si="19"/>
        <v>00011900--</v>
      </c>
      <c r="B743" s="245"/>
      <c r="C743" s="244"/>
      <c r="D743" s="244"/>
      <c r="E743" s="244"/>
      <c r="F743" s="244"/>
      <c r="G743" s="247"/>
      <c r="H743" s="244"/>
      <c r="I743" s="248"/>
      <c r="J743" s="244"/>
      <c r="K743" s="248"/>
      <c r="L743" s="228"/>
    </row>
    <row r="744" spans="1:12" x14ac:dyDescent="0.25">
      <c r="A744" s="244" t="str">
        <f t="shared" si="19"/>
        <v>00011900--</v>
      </c>
      <c r="B744" s="245"/>
      <c r="C744" s="244"/>
      <c r="D744" s="244"/>
      <c r="E744" s="244"/>
      <c r="F744" s="244"/>
      <c r="G744" s="247"/>
      <c r="H744" s="244"/>
      <c r="I744" s="248"/>
      <c r="J744" s="244"/>
      <c r="K744" s="248"/>
      <c r="L744" s="228"/>
    </row>
    <row r="745" spans="1:12" x14ac:dyDescent="0.25">
      <c r="A745" s="244" t="str">
        <f t="shared" si="19"/>
        <v>00011900--</v>
      </c>
      <c r="B745" s="245"/>
      <c r="C745" s="244"/>
      <c r="D745" s="244"/>
      <c r="E745" s="244"/>
      <c r="F745" s="244"/>
      <c r="G745" s="247"/>
      <c r="H745" s="244"/>
      <c r="I745" s="248"/>
      <c r="J745" s="244"/>
      <c r="K745" s="248"/>
      <c r="L745" s="228"/>
    </row>
    <row r="746" spans="1:12" x14ac:dyDescent="0.25">
      <c r="A746" s="244" t="str">
        <f t="shared" si="19"/>
        <v>00011900--</v>
      </c>
      <c r="B746" s="245"/>
      <c r="C746" s="244"/>
      <c r="D746" s="244"/>
      <c r="E746" s="244"/>
      <c r="F746" s="244"/>
      <c r="G746" s="247"/>
      <c r="H746" s="244"/>
      <c r="I746" s="248"/>
      <c r="J746" s="244"/>
      <c r="K746" s="248"/>
      <c r="L746" s="228"/>
    </row>
    <row r="747" spans="1:12" x14ac:dyDescent="0.25">
      <c r="A747" s="244" t="str">
        <f t="shared" si="19"/>
        <v>00011900--</v>
      </c>
      <c r="B747" s="245"/>
      <c r="C747" s="244"/>
      <c r="D747" s="244"/>
      <c r="E747" s="244"/>
      <c r="F747" s="244"/>
      <c r="G747" s="247"/>
      <c r="H747" s="244"/>
      <c r="I747" s="248"/>
      <c r="J747" s="244"/>
      <c r="K747" s="248"/>
      <c r="L747" s="228"/>
    </row>
    <row r="748" spans="1:12" x14ac:dyDescent="0.25">
      <c r="A748" s="244" t="str">
        <f t="shared" si="19"/>
        <v>00011900--</v>
      </c>
      <c r="B748" s="245"/>
      <c r="C748" s="244"/>
      <c r="D748" s="244"/>
      <c r="E748" s="244"/>
      <c r="F748" s="244"/>
      <c r="G748" s="247"/>
      <c r="H748" s="244"/>
      <c r="I748" s="248"/>
      <c r="J748" s="244"/>
      <c r="K748" s="248"/>
      <c r="L748" s="228"/>
    </row>
    <row r="749" spans="1:12" x14ac:dyDescent="0.25">
      <c r="A749" s="244" t="str">
        <f t="shared" si="19"/>
        <v>00011900--</v>
      </c>
      <c r="B749" s="245"/>
      <c r="C749" s="244"/>
      <c r="D749" s="244"/>
      <c r="E749" s="244"/>
      <c r="F749" s="244"/>
      <c r="G749" s="247"/>
      <c r="H749" s="244"/>
      <c r="I749" s="248"/>
      <c r="J749" s="244"/>
      <c r="K749" s="248"/>
      <c r="L749" s="228"/>
    </row>
    <row r="750" spans="1:12" x14ac:dyDescent="0.25">
      <c r="A750" s="244" t="str">
        <f t="shared" si="19"/>
        <v>00011900--</v>
      </c>
      <c r="B750" s="245"/>
      <c r="C750" s="244"/>
      <c r="D750" s="244"/>
      <c r="E750" s="244"/>
      <c r="F750" s="244"/>
      <c r="G750" s="247"/>
      <c r="H750" s="244"/>
      <c r="I750" s="248"/>
      <c r="J750" s="244"/>
      <c r="K750" s="248"/>
      <c r="L750" s="228"/>
    </row>
    <row r="751" spans="1:12" x14ac:dyDescent="0.25">
      <c r="A751" s="244" t="str">
        <f t="shared" si="19"/>
        <v>00011900--</v>
      </c>
      <c r="B751" s="245"/>
      <c r="C751" s="244"/>
      <c r="D751" s="244"/>
      <c r="E751" s="244"/>
      <c r="F751" s="244"/>
      <c r="G751" s="247"/>
      <c r="H751" s="244"/>
      <c r="I751" s="248"/>
      <c r="J751" s="244"/>
      <c r="K751" s="248"/>
      <c r="L751" s="228"/>
    </row>
    <row r="752" spans="1:12" x14ac:dyDescent="0.25">
      <c r="A752" s="244" t="str">
        <f t="shared" si="19"/>
        <v>00011900--</v>
      </c>
      <c r="B752" s="245"/>
      <c r="C752" s="244"/>
      <c r="D752" s="244"/>
      <c r="E752" s="244"/>
      <c r="F752" s="244"/>
      <c r="G752" s="247"/>
      <c r="H752" s="244"/>
      <c r="I752" s="248"/>
      <c r="J752" s="244"/>
      <c r="K752" s="248"/>
      <c r="L752" s="228"/>
    </row>
    <row r="753" spans="1:12" x14ac:dyDescent="0.25">
      <c r="A753" s="244" t="str">
        <f t="shared" si="19"/>
        <v>00011900--</v>
      </c>
      <c r="B753" s="245"/>
      <c r="C753" s="244"/>
      <c r="D753" s="244"/>
      <c r="E753" s="244"/>
      <c r="F753" s="244"/>
      <c r="G753" s="247"/>
      <c r="H753" s="244"/>
      <c r="I753" s="248"/>
      <c r="J753" s="244"/>
      <c r="K753" s="248"/>
      <c r="L753" s="228"/>
    </row>
    <row r="754" spans="1:12" x14ac:dyDescent="0.25">
      <c r="A754" s="244" t="str">
        <f t="shared" si="19"/>
        <v>00011900--</v>
      </c>
      <c r="B754" s="245"/>
      <c r="C754" s="244"/>
      <c r="D754" s="244"/>
      <c r="E754" s="244"/>
      <c r="F754" s="244"/>
      <c r="G754" s="247"/>
      <c r="H754" s="244"/>
      <c r="I754" s="248"/>
      <c r="J754" s="244"/>
      <c r="K754" s="248"/>
      <c r="L754" s="228"/>
    </row>
    <row r="755" spans="1:12" x14ac:dyDescent="0.25">
      <c r="A755" s="244" t="str">
        <f t="shared" si="19"/>
        <v>00011900--</v>
      </c>
      <c r="B755" s="245"/>
      <c r="C755" s="244"/>
      <c r="D755" s="244"/>
      <c r="E755" s="244"/>
      <c r="F755" s="244"/>
      <c r="G755" s="247"/>
      <c r="H755" s="244"/>
      <c r="I755" s="248"/>
      <c r="J755" s="244"/>
      <c r="K755" s="248"/>
      <c r="L755" s="228"/>
    </row>
    <row r="756" spans="1:12" x14ac:dyDescent="0.25">
      <c r="A756" s="244" t="str">
        <f t="shared" si="19"/>
        <v>00011900--</v>
      </c>
      <c r="B756" s="245"/>
      <c r="C756" s="244"/>
      <c r="D756" s="244"/>
      <c r="E756" s="244"/>
      <c r="F756" s="244"/>
      <c r="G756" s="247"/>
      <c r="H756" s="244"/>
      <c r="I756" s="248"/>
      <c r="J756" s="244"/>
      <c r="K756" s="248"/>
      <c r="L756" s="228"/>
    </row>
    <row r="757" spans="1:12" x14ac:dyDescent="0.25">
      <c r="A757" s="244" t="str">
        <f t="shared" si="19"/>
        <v>00011900--</v>
      </c>
      <c r="B757" s="245"/>
      <c r="C757" s="244"/>
      <c r="D757" s="244"/>
      <c r="E757" s="244"/>
      <c r="F757" s="244"/>
      <c r="G757" s="247"/>
      <c r="H757" s="244"/>
      <c r="I757" s="248"/>
      <c r="J757" s="244"/>
      <c r="K757" s="248"/>
      <c r="L757" s="228"/>
    </row>
    <row r="758" spans="1:12" x14ac:dyDescent="0.25">
      <c r="A758" s="244" t="str">
        <f t="shared" si="19"/>
        <v>00011900--</v>
      </c>
      <c r="B758" s="245"/>
      <c r="C758" s="244"/>
      <c r="D758" s="244"/>
      <c r="E758" s="244"/>
      <c r="F758" s="244"/>
      <c r="G758" s="247"/>
      <c r="H758" s="244"/>
      <c r="I758" s="248"/>
      <c r="J758" s="244"/>
      <c r="K758" s="248"/>
      <c r="L758" s="228"/>
    </row>
    <row r="759" spans="1:12" x14ac:dyDescent="0.25">
      <c r="A759" s="244" t="str">
        <f t="shared" si="19"/>
        <v>00011900--</v>
      </c>
      <c r="B759" s="245"/>
      <c r="C759" s="244"/>
      <c r="D759" s="244"/>
      <c r="E759" s="244"/>
      <c r="F759" s="244"/>
      <c r="G759" s="247"/>
      <c r="H759" s="244"/>
      <c r="I759" s="248"/>
      <c r="J759" s="244"/>
      <c r="K759" s="248"/>
      <c r="L759" s="228"/>
    </row>
    <row r="760" spans="1:12" x14ac:dyDescent="0.25">
      <c r="A760" s="244" t="str">
        <f t="shared" si="19"/>
        <v>00011900--</v>
      </c>
      <c r="B760" s="245"/>
      <c r="C760" s="244"/>
      <c r="D760" s="244"/>
      <c r="E760" s="244"/>
      <c r="F760" s="244"/>
      <c r="G760" s="247"/>
      <c r="H760" s="244"/>
      <c r="I760" s="248"/>
      <c r="J760" s="244"/>
      <c r="K760" s="248"/>
      <c r="L760" s="228"/>
    </row>
    <row r="761" spans="1:12" x14ac:dyDescent="0.25">
      <c r="A761" s="244" t="str">
        <f t="shared" si="19"/>
        <v>00011900--</v>
      </c>
      <c r="B761" s="245"/>
      <c r="C761" s="244"/>
      <c r="D761" s="244"/>
      <c r="E761" s="244"/>
      <c r="F761" s="244"/>
      <c r="G761" s="247"/>
      <c r="H761" s="244"/>
      <c r="I761" s="248"/>
      <c r="J761" s="244"/>
      <c r="K761" s="248"/>
      <c r="L761" s="228"/>
    </row>
    <row r="762" spans="1:12" x14ac:dyDescent="0.25">
      <c r="A762" s="244" t="str">
        <f t="shared" si="19"/>
        <v>00011900--</v>
      </c>
      <c r="B762" s="245"/>
      <c r="C762" s="244"/>
      <c r="D762" s="244"/>
      <c r="E762" s="244"/>
      <c r="F762" s="244"/>
      <c r="G762" s="247"/>
      <c r="H762" s="244"/>
      <c r="I762" s="248"/>
      <c r="J762" s="244"/>
      <c r="K762" s="248"/>
      <c r="L762" s="228"/>
    </row>
    <row r="763" spans="1:12" x14ac:dyDescent="0.25">
      <c r="A763" s="244" t="str">
        <f t="shared" si="19"/>
        <v>00011900--</v>
      </c>
      <c r="B763" s="245"/>
      <c r="C763" s="244"/>
      <c r="D763" s="244"/>
      <c r="E763" s="244"/>
      <c r="F763" s="244"/>
      <c r="G763" s="247"/>
      <c r="H763" s="244"/>
      <c r="I763" s="248"/>
      <c r="J763" s="244"/>
      <c r="K763" s="248"/>
      <c r="L763" s="228"/>
    </row>
    <row r="764" spans="1:12" x14ac:dyDescent="0.25">
      <c r="A764" s="244" t="str">
        <f t="shared" si="19"/>
        <v>00011900--</v>
      </c>
      <c r="B764" s="245"/>
      <c r="C764" s="244"/>
      <c r="D764" s="244"/>
      <c r="E764" s="244"/>
      <c r="F764" s="244"/>
      <c r="G764" s="247"/>
      <c r="H764" s="244"/>
      <c r="I764" s="248"/>
      <c r="J764" s="244"/>
      <c r="K764" s="248"/>
      <c r="L764" s="228"/>
    </row>
    <row r="765" spans="1:12" x14ac:dyDescent="0.25">
      <c r="A765" s="244" t="str">
        <f t="shared" ref="A765:A781" si="20">TEXT(DAY(B765),"00")&amp;TEXT(MONTH(B765),"00")&amp;YEAR(B765)&amp;"-"&amp;C765&amp;"-"&amp;LEFT(E765,SEARCH(" ",E765&amp;" ")-1)</f>
        <v>00011900--</v>
      </c>
      <c r="B765" s="245"/>
      <c r="C765" s="244"/>
      <c r="D765" s="244"/>
      <c r="E765" s="244"/>
      <c r="F765" s="244"/>
      <c r="G765" s="247"/>
      <c r="H765" s="244"/>
      <c r="I765" s="248"/>
      <c r="J765" s="244"/>
      <c r="K765" s="248"/>
      <c r="L765" s="228"/>
    </row>
    <row r="766" spans="1:12" x14ac:dyDescent="0.25">
      <c r="A766" s="244" t="str">
        <f t="shared" si="20"/>
        <v>00011900--</v>
      </c>
      <c r="B766" s="245"/>
      <c r="C766" s="244"/>
      <c r="D766" s="244"/>
      <c r="E766" s="244"/>
      <c r="F766" s="244"/>
      <c r="G766" s="247"/>
      <c r="H766" s="244"/>
      <c r="I766" s="248"/>
      <c r="J766" s="244"/>
      <c r="K766" s="248"/>
      <c r="L766" s="228"/>
    </row>
    <row r="767" spans="1:12" x14ac:dyDescent="0.25">
      <c r="A767" s="244" t="str">
        <f t="shared" si="20"/>
        <v>00011900--</v>
      </c>
      <c r="B767" s="245"/>
      <c r="C767" s="244"/>
      <c r="D767" s="244"/>
      <c r="E767" s="244"/>
      <c r="F767" s="244"/>
      <c r="G767" s="247"/>
      <c r="H767" s="244"/>
      <c r="I767" s="248"/>
      <c r="J767" s="244"/>
      <c r="K767" s="248"/>
      <c r="L767" s="228"/>
    </row>
    <row r="768" spans="1:12" x14ac:dyDescent="0.25">
      <c r="A768" s="244" t="str">
        <f t="shared" si="20"/>
        <v>00011900--</v>
      </c>
      <c r="B768" s="245"/>
      <c r="C768" s="244"/>
      <c r="D768" s="244"/>
      <c r="E768" s="244"/>
      <c r="F768" s="244"/>
      <c r="G768" s="247"/>
      <c r="H768" s="244"/>
      <c r="I768" s="248"/>
      <c r="J768" s="244"/>
      <c r="K768" s="248"/>
      <c r="L768" s="228"/>
    </row>
    <row r="769" spans="1:12" x14ac:dyDescent="0.25">
      <c r="A769" s="244" t="str">
        <f t="shared" si="20"/>
        <v>00011900--</v>
      </c>
      <c r="B769" s="245"/>
      <c r="C769" s="244"/>
      <c r="D769" s="244"/>
      <c r="E769" s="244"/>
      <c r="F769" s="244"/>
      <c r="G769" s="247"/>
      <c r="H769" s="244"/>
      <c r="I769" s="248"/>
      <c r="J769" s="244"/>
      <c r="K769" s="248"/>
      <c r="L769" s="228"/>
    </row>
    <row r="770" spans="1:12" x14ac:dyDescent="0.25">
      <c r="A770" s="244" t="str">
        <f t="shared" si="20"/>
        <v>00011900--</v>
      </c>
      <c r="B770" s="245"/>
      <c r="C770" s="244"/>
      <c r="D770" s="244"/>
      <c r="E770" s="244"/>
      <c r="F770" s="244"/>
      <c r="G770" s="247"/>
      <c r="H770" s="244"/>
      <c r="I770" s="248"/>
      <c r="J770" s="244"/>
      <c r="K770" s="248"/>
      <c r="L770" s="228"/>
    </row>
    <row r="771" spans="1:12" x14ac:dyDescent="0.25">
      <c r="A771" s="244" t="str">
        <f t="shared" si="20"/>
        <v>00011900--</v>
      </c>
      <c r="B771" s="245"/>
      <c r="C771" s="244"/>
      <c r="D771" s="244"/>
      <c r="E771" s="244"/>
      <c r="F771" s="244"/>
      <c r="G771" s="247"/>
      <c r="H771" s="244"/>
      <c r="I771" s="248"/>
      <c r="J771" s="244"/>
      <c r="K771" s="248"/>
      <c r="L771" s="228"/>
    </row>
    <row r="772" spans="1:12" x14ac:dyDescent="0.25">
      <c r="A772" s="244" t="str">
        <f t="shared" si="20"/>
        <v>00011900--</v>
      </c>
      <c r="B772" s="245"/>
      <c r="C772" s="244"/>
      <c r="D772" s="244"/>
      <c r="E772" s="244"/>
      <c r="F772" s="244"/>
      <c r="G772" s="247"/>
      <c r="H772" s="244"/>
      <c r="I772" s="248"/>
      <c r="J772" s="244"/>
      <c r="K772" s="248"/>
      <c r="L772" s="228"/>
    </row>
    <row r="773" spans="1:12" x14ac:dyDescent="0.25">
      <c r="A773" s="244" t="str">
        <f t="shared" si="20"/>
        <v>00011900--</v>
      </c>
      <c r="B773" s="245"/>
      <c r="C773" s="244"/>
      <c r="D773" s="244"/>
      <c r="E773" s="244"/>
      <c r="F773" s="244"/>
      <c r="G773" s="247"/>
      <c r="H773" s="244"/>
      <c r="I773" s="248"/>
      <c r="J773" s="244"/>
      <c r="K773" s="248"/>
      <c r="L773" s="228"/>
    </row>
    <row r="774" spans="1:12" x14ac:dyDescent="0.25">
      <c r="A774" s="244" t="str">
        <f t="shared" si="20"/>
        <v>00011900--</v>
      </c>
      <c r="B774" s="245"/>
      <c r="C774" s="244"/>
      <c r="D774" s="244"/>
      <c r="E774" s="244"/>
      <c r="F774" s="244"/>
      <c r="G774" s="247"/>
      <c r="H774" s="244"/>
      <c r="I774" s="248"/>
      <c r="J774" s="244"/>
      <c r="K774" s="248"/>
      <c r="L774" s="228"/>
    </row>
    <row r="775" spans="1:12" x14ac:dyDescent="0.25">
      <c r="A775" s="244" t="str">
        <f t="shared" si="20"/>
        <v>00011900--</v>
      </c>
      <c r="B775" s="245"/>
      <c r="C775" s="244"/>
      <c r="D775" s="244"/>
      <c r="E775" s="244"/>
      <c r="F775" s="244"/>
      <c r="G775" s="247"/>
      <c r="H775" s="244"/>
      <c r="I775" s="248"/>
      <c r="J775" s="244"/>
      <c r="K775" s="248"/>
      <c r="L775" s="228"/>
    </row>
    <row r="776" spans="1:12" x14ac:dyDescent="0.25">
      <c r="A776" s="244" t="str">
        <f t="shared" si="20"/>
        <v>00011900--</v>
      </c>
      <c r="B776" s="245"/>
      <c r="C776" s="244"/>
      <c r="D776" s="244"/>
      <c r="E776" s="244"/>
      <c r="F776" s="244"/>
      <c r="G776" s="247"/>
      <c r="H776" s="244"/>
      <c r="I776" s="248"/>
      <c r="J776" s="244"/>
      <c r="K776" s="248"/>
      <c r="L776" s="228"/>
    </row>
    <row r="777" spans="1:12" x14ac:dyDescent="0.25">
      <c r="A777" s="244" t="str">
        <f t="shared" si="20"/>
        <v>00011900--</v>
      </c>
      <c r="B777" s="245"/>
      <c r="C777" s="244"/>
      <c r="D777" s="244"/>
      <c r="E777" s="244"/>
      <c r="F777" s="244"/>
      <c r="G777" s="247"/>
      <c r="H777" s="244"/>
      <c r="I777" s="248"/>
      <c r="J777" s="244"/>
      <c r="K777" s="248"/>
      <c r="L777" s="228"/>
    </row>
    <row r="778" spans="1:12" x14ac:dyDescent="0.25">
      <c r="A778" s="244" t="str">
        <f t="shared" si="20"/>
        <v>00011900--</v>
      </c>
      <c r="B778" s="245"/>
      <c r="C778" s="244"/>
      <c r="D778" s="244"/>
      <c r="E778" s="244"/>
      <c r="F778" s="244"/>
      <c r="G778" s="247"/>
      <c r="H778" s="244"/>
      <c r="I778" s="248"/>
      <c r="J778" s="244"/>
      <c r="K778" s="248"/>
      <c r="L778" s="228"/>
    </row>
    <row r="779" spans="1:12" x14ac:dyDescent="0.25">
      <c r="A779" s="244" t="str">
        <f t="shared" si="20"/>
        <v>00011900--</v>
      </c>
      <c r="B779" s="245"/>
      <c r="C779" s="244"/>
      <c r="D779" s="244"/>
      <c r="E779" s="244"/>
      <c r="F779" s="244"/>
      <c r="G779" s="247"/>
      <c r="H779" s="244"/>
      <c r="I779" s="248"/>
      <c r="J779" s="244"/>
      <c r="K779" s="248"/>
      <c r="L779" s="228"/>
    </row>
    <row r="780" spans="1:12" x14ac:dyDescent="0.25">
      <c r="A780" s="244" t="str">
        <f t="shared" si="20"/>
        <v>00011900--</v>
      </c>
      <c r="B780" s="245"/>
      <c r="C780" s="244"/>
      <c r="D780" s="244"/>
      <c r="E780" s="244"/>
      <c r="F780" s="244"/>
      <c r="G780" s="247"/>
      <c r="H780" s="244"/>
      <c r="I780" s="248"/>
      <c r="J780" s="244"/>
      <c r="K780" s="248"/>
      <c r="L780" s="228"/>
    </row>
    <row r="781" spans="1:12" x14ac:dyDescent="0.25">
      <c r="A781" s="244" t="str">
        <f t="shared" si="20"/>
        <v>00011900--</v>
      </c>
      <c r="B781" s="245"/>
      <c r="C781" s="244"/>
      <c r="D781" s="244"/>
      <c r="E781" s="244"/>
      <c r="F781" s="244"/>
      <c r="G781" s="247"/>
      <c r="H781" s="244"/>
      <c r="I781" s="248"/>
      <c r="J781" s="244"/>
      <c r="K781" s="248"/>
      <c r="L781" s="228"/>
    </row>
  </sheetData>
  <autoFilter ref="A1:M508" xr:uid="{3EE9AC46-B223-4709-9BAC-5B4A46C1CC91}"/>
  <phoneticPr fontId="53" type="noConversion"/>
  <conditionalFormatting sqref="A1:A1048576">
    <cfRule type="duplicateValues" dxfId="7" priority="1"/>
  </conditionalFormatting>
  <dataValidations count="1">
    <dataValidation type="list" showInputMessage="1" showErrorMessage="1" sqref="L2:L781" xr:uid="{F9BE16E3-EFD3-4FCB-BF65-09D746FDFE91}">
      <formula1>"Print, Printed"</formula1>
    </dataValidation>
  </dataValidations>
  <pageMargins left="0.23622047244094491" right="0.23622047244094491" top="0.74803149606299213" bottom="0.74803149606299213" header="0.31496062992125984" footer="0.31496062992125984"/>
  <pageSetup paperSize="9" scale="10" pageOrder="overThenDown" orientation="portrait" r:id="rId1"/>
  <rowBreaks count="4" manualBreakCount="4">
    <brk id="365" max="10" man="1"/>
    <brk id="425" max="10" man="1"/>
    <brk id="542" max="10" man="1"/>
    <brk id="591" max="10" man="1"/>
  </rowBreaks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536369-51FA-469D-9484-460325BDFBC3}">
  <dimension ref="A1:I186"/>
  <sheetViews>
    <sheetView workbookViewId="0">
      <pane ySplit="5" topLeftCell="A108" activePane="bottomLeft" state="frozen"/>
      <selection pane="bottomLeft" activeCell="F192" sqref="F192"/>
    </sheetView>
  </sheetViews>
  <sheetFormatPr defaultRowHeight="12.5" x14ac:dyDescent="0.25"/>
  <cols>
    <col min="1" max="1" width="40.81640625" customWidth="1"/>
    <col min="2" max="4" width="13.54296875" customWidth="1"/>
    <col min="5" max="5" width="3.54296875" customWidth="1"/>
    <col min="6" max="6" width="37.81640625" customWidth="1"/>
    <col min="7" max="7" width="15.453125" customWidth="1"/>
    <col min="8" max="9" width="33.54296875" customWidth="1"/>
  </cols>
  <sheetData>
    <row r="1" spans="1:9" ht="20" x14ac:dyDescent="0.4">
      <c r="A1" s="355" t="s">
        <v>775</v>
      </c>
      <c r="F1" s="364" t="s">
        <v>786</v>
      </c>
      <c r="H1" s="365">
        <v>500</v>
      </c>
      <c r="I1" s="356" t="str">
        <f>"= x"&amp;('Lube Frequency BMSK'!L1/H1)&amp;" per year"</f>
        <v>= x14 per year</v>
      </c>
    </row>
    <row r="2" spans="1:9" ht="13" x14ac:dyDescent="0.3">
      <c r="A2" s="356" t="s">
        <v>776</v>
      </c>
    </row>
    <row r="4" spans="1:9" ht="15.5" x14ac:dyDescent="0.35">
      <c r="A4" s="302" t="s">
        <v>777</v>
      </c>
      <c r="B4" s="303"/>
      <c r="C4" s="303"/>
      <c r="D4" s="303"/>
      <c r="F4" s="358" t="s">
        <v>787</v>
      </c>
      <c r="G4" s="359"/>
      <c r="H4" s="359"/>
      <c r="I4" s="359"/>
    </row>
    <row r="5" spans="1:9" ht="13" x14ac:dyDescent="0.3">
      <c r="A5" s="304" t="s">
        <v>778</v>
      </c>
      <c r="B5" s="357" t="s">
        <v>779</v>
      </c>
      <c r="C5" s="357" t="s">
        <v>780</v>
      </c>
      <c r="D5" s="357" t="s">
        <v>781</v>
      </c>
      <c r="F5" s="360" t="s">
        <v>778</v>
      </c>
      <c r="G5" s="360" t="s">
        <v>782</v>
      </c>
      <c r="H5" s="360" t="s">
        <v>783</v>
      </c>
      <c r="I5" s="360" t="s">
        <v>784</v>
      </c>
    </row>
    <row r="6" spans="1:9" x14ac:dyDescent="0.25">
      <c r="A6" t="str">
        <f>'Lube Frequency BMSK'!B31</f>
        <v>BUS DAEWOO BS106A45</v>
      </c>
      <c r="B6">
        <f>N('Lube Frequency BMSK'!C31)</f>
        <v>0</v>
      </c>
      <c r="C6">
        <f>N('Lube Frequency BMSK'!D31)</f>
        <v>0</v>
      </c>
      <c r="D6">
        <f>N('Lube Frequency BMSK'!E31)</f>
        <v>0</v>
      </c>
      <c r="F6" t="str">
        <f>A6</f>
        <v>BUS DAEWOO BS106A45</v>
      </c>
      <c r="G6">
        <f>'Lube Frequency BMSK'!I31*B6*('Lube Frequency BMSK'!$L$1/$H$1)</f>
        <v>0</v>
      </c>
      <c r="H6">
        <f>'Lube Frequency BMSK'!I31*C6*('Lube Frequency BMSK'!$L$1/$H$1)</f>
        <v>0</v>
      </c>
      <c r="I6">
        <f>'Lube Frequency BMSK'!I31*D6*('Lube Frequency BMSK'!$L$1/$H$1)</f>
        <v>0</v>
      </c>
    </row>
    <row r="7" spans="1:9" x14ac:dyDescent="0.25">
      <c r="A7" t="str">
        <f>'Lube Frequency BMSK'!B32</f>
        <v>Cat 160K</v>
      </c>
      <c r="B7">
        <f>N('Lube Frequency BMSK'!C32)</f>
        <v>3</v>
      </c>
      <c r="C7">
        <f>N('Lube Frequency BMSK'!D32)</f>
        <v>3</v>
      </c>
      <c r="D7">
        <f>N('Lube Frequency BMSK'!E32)</f>
        <v>3</v>
      </c>
      <c r="F7" t="str">
        <f t="shared" ref="F7:F70" si="0">A7</f>
        <v>Cat 160K</v>
      </c>
      <c r="G7">
        <f>'Lube Frequency BMSK'!I32*B7*('Lube Frequency BMSK'!$L$1/$H$1)</f>
        <v>336</v>
      </c>
      <c r="H7">
        <f>'Lube Frequency BMSK'!I32*C7*('Lube Frequency BMSK'!$L$1/$H$1)</f>
        <v>336</v>
      </c>
      <c r="I7">
        <f>'Lube Frequency BMSK'!I32*D7*('Lube Frequency BMSK'!$L$1/$H$1)</f>
        <v>336</v>
      </c>
    </row>
    <row r="8" spans="1:9" x14ac:dyDescent="0.25">
      <c r="A8" t="str">
        <f>'Lube Frequency BMSK'!B33</f>
        <v>CAT 336D Excavator</v>
      </c>
      <c r="B8">
        <f>N('Lube Frequency BMSK'!C33)</f>
        <v>0</v>
      </c>
      <c r="C8">
        <f>N('Lube Frequency BMSK'!D33)</f>
        <v>0</v>
      </c>
      <c r="D8">
        <f>N('Lube Frequency BMSK'!E33)</f>
        <v>0</v>
      </c>
      <c r="F8" t="str">
        <f t="shared" si="0"/>
        <v>CAT 336D Excavator</v>
      </c>
      <c r="G8">
        <f>'Lube Frequency BMSK'!I33*B8*('Lube Frequency BMSK'!$L$1/$H$1)</f>
        <v>0</v>
      </c>
      <c r="H8">
        <f>'Lube Frequency BMSK'!I33*C8*('Lube Frequency BMSK'!$L$1/$H$1)</f>
        <v>0</v>
      </c>
      <c r="I8">
        <f>'Lube Frequency BMSK'!I33*D8*('Lube Frequency BMSK'!$L$1/$H$1)</f>
        <v>0</v>
      </c>
    </row>
    <row r="9" spans="1:9" x14ac:dyDescent="0.25">
      <c r="A9" t="str">
        <f>'Lube Frequency BMSK'!B34</f>
        <v>CAT 3412C Genset</v>
      </c>
      <c r="B9">
        <f>N('Lube Frequency BMSK'!C34)</f>
        <v>0</v>
      </c>
      <c r="C9">
        <f>N('Lube Frequency BMSK'!D34)</f>
        <v>0</v>
      </c>
      <c r="D9">
        <f>N('Lube Frequency BMSK'!E34)</f>
        <v>0</v>
      </c>
      <c r="F9" t="str">
        <f t="shared" si="0"/>
        <v>CAT 3412C Genset</v>
      </c>
      <c r="G9">
        <f>'Lube Frequency BMSK'!I34*B9*('Lube Frequency BMSK'!$L$1/$H$1)</f>
        <v>0</v>
      </c>
      <c r="H9">
        <f>'Lube Frequency BMSK'!I34*C9*('Lube Frequency BMSK'!$L$1/$H$1)</f>
        <v>0</v>
      </c>
      <c r="I9">
        <f>'Lube Frequency BMSK'!I34*D9*('Lube Frequency BMSK'!$L$1/$H$1)</f>
        <v>0</v>
      </c>
    </row>
    <row r="10" spans="1:9" x14ac:dyDescent="0.25">
      <c r="A10" t="str">
        <f>'Lube Frequency BMSK'!B35</f>
        <v>CAT C13 Genset</v>
      </c>
      <c r="B10">
        <f>N('Lube Frequency BMSK'!C35)</f>
        <v>0</v>
      </c>
      <c r="C10">
        <f>N('Lube Frequency BMSK'!D35)</f>
        <v>0</v>
      </c>
      <c r="D10">
        <f>N('Lube Frequency BMSK'!E35)</f>
        <v>0</v>
      </c>
      <c r="F10" t="str">
        <f t="shared" si="0"/>
        <v>CAT C13 Genset</v>
      </c>
      <c r="G10">
        <f>'Lube Frequency BMSK'!I35*B10*('Lube Frequency BMSK'!$L$1/$H$1)</f>
        <v>0</v>
      </c>
      <c r="H10">
        <f>'Lube Frequency BMSK'!I35*C10*('Lube Frequency BMSK'!$L$1/$H$1)</f>
        <v>0</v>
      </c>
      <c r="I10">
        <f>'Lube Frequency BMSK'!I35*D10*('Lube Frequency BMSK'!$L$1/$H$1)</f>
        <v>0</v>
      </c>
    </row>
    <row r="11" spans="1:9" x14ac:dyDescent="0.25">
      <c r="A11" t="str">
        <f>'Lube Frequency BMSK'!B36</f>
        <v>CAT C175-20</v>
      </c>
      <c r="B11">
        <f>N('Lube Frequency BMSK'!C36)</f>
        <v>0</v>
      </c>
      <c r="C11">
        <f>N('Lube Frequency BMSK'!D36)</f>
        <v>0</v>
      </c>
      <c r="D11">
        <f>N('Lube Frequency BMSK'!E36)</f>
        <v>0</v>
      </c>
      <c r="F11" t="str">
        <f t="shared" si="0"/>
        <v>CAT C175-20</v>
      </c>
      <c r="G11">
        <f>'Lube Frequency BMSK'!I36*B11*('Lube Frequency BMSK'!$L$1/$H$1)</f>
        <v>0</v>
      </c>
      <c r="H11">
        <f>'Lube Frequency BMSK'!I36*C11*('Lube Frequency BMSK'!$L$1/$H$1)</f>
        <v>0</v>
      </c>
      <c r="I11">
        <f>'Lube Frequency BMSK'!I36*D11*('Lube Frequency BMSK'!$L$1/$H$1)</f>
        <v>0</v>
      </c>
    </row>
    <row r="12" spans="1:9" x14ac:dyDescent="0.25">
      <c r="A12" t="str">
        <f>'Lube Frequency BMSK'!B37</f>
        <v>CAT C18 Genset</v>
      </c>
      <c r="B12">
        <f>N('Lube Frequency BMSK'!C37)</f>
        <v>0</v>
      </c>
      <c r="C12">
        <f>N('Lube Frequency BMSK'!D37)</f>
        <v>0</v>
      </c>
      <c r="D12">
        <f>N('Lube Frequency BMSK'!E37)</f>
        <v>0</v>
      </c>
      <c r="F12" t="str">
        <f t="shared" si="0"/>
        <v>CAT C18 Genset</v>
      </c>
      <c r="G12">
        <f>'Lube Frequency BMSK'!I37*B12*('Lube Frequency BMSK'!$L$1/$H$1)</f>
        <v>0</v>
      </c>
      <c r="H12">
        <f>'Lube Frequency BMSK'!I37*C12*('Lube Frequency BMSK'!$L$1/$H$1)</f>
        <v>0</v>
      </c>
      <c r="I12">
        <f>'Lube Frequency BMSK'!I37*D12*('Lube Frequency BMSK'!$L$1/$H$1)</f>
        <v>0</v>
      </c>
    </row>
    <row r="13" spans="1:9" x14ac:dyDescent="0.25">
      <c r="A13" t="str">
        <f>'Lube Frequency BMSK'!B38</f>
        <v>CAT D9R</v>
      </c>
      <c r="B13">
        <f>N('Lube Frequency BMSK'!C38)</f>
        <v>2</v>
      </c>
      <c r="C13">
        <f>N('Lube Frequency BMSK'!D38)</f>
        <v>2</v>
      </c>
      <c r="D13">
        <f>N('Lube Frequency BMSK'!E38)</f>
        <v>2</v>
      </c>
      <c r="F13" t="str">
        <f t="shared" si="0"/>
        <v>CAT D9R</v>
      </c>
      <c r="G13">
        <f>'Lube Frequency BMSK'!I38*B13*('Lube Frequency BMSK'!$L$1/$H$1)</f>
        <v>224</v>
      </c>
      <c r="H13">
        <f>'Lube Frequency BMSK'!I38*C13*('Lube Frequency BMSK'!$L$1/$H$1)</f>
        <v>224</v>
      </c>
      <c r="I13">
        <f>'Lube Frequency BMSK'!I38*D13*('Lube Frequency BMSK'!$L$1/$H$1)</f>
        <v>224</v>
      </c>
    </row>
    <row r="14" spans="1:9" x14ac:dyDescent="0.25">
      <c r="A14" t="str">
        <f>'Lube Frequency BMSK'!B39</f>
        <v>CAT DE715</v>
      </c>
      <c r="B14">
        <f>N('Lube Frequency BMSK'!C39)</f>
        <v>0</v>
      </c>
      <c r="C14">
        <f>N('Lube Frequency BMSK'!D39)</f>
        <v>0</v>
      </c>
      <c r="D14">
        <f>N('Lube Frequency BMSK'!E39)</f>
        <v>0</v>
      </c>
      <c r="F14" t="str">
        <f t="shared" si="0"/>
        <v>CAT DE715</v>
      </c>
      <c r="G14">
        <f>'Lube Frequency BMSK'!I39*B14*('Lube Frequency BMSK'!$L$1/$H$1)</f>
        <v>0</v>
      </c>
      <c r="H14">
        <f>'Lube Frequency BMSK'!I39*C14*('Lube Frequency BMSK'!$L$1/$H$1)</f>
        <v>0</v>
      </c>
      <c r="I14">
        <f>'Lube Frequency BMSK'!I39*D14*('Lube Frequency BMSK'!$L$1/$H$1)</f>
        <v>0</v>
      </c>
    </row>
    <row r="15" spans="1:9" x14ac:dyDescent="0.25">
      <c r="A15" t="str">
        <f>'Lube Frequency BMSK'!B40</f>
        <v>CHSDM DZ-98V</v>
      </c>
      <c r="B15">
        <f>N('Lube Frequency BMSK'!C40)</f>
        <v>0</v>
      </c>
      <c r="C15">
        <f>N('Lube Frequency BMSK'!D40)</f>
        <v>0</v>
      </c>
      <c r="D15">
        <f>N('Lube Frequency BMSK'!E40)</f>
        <v>0</v>
      </c>
      <c r="F15" t="str">
        <f t="shared" si="0"/>
        <v>CHSDM DZ-98V</v>
      </c>
      <c r="G15">
        <f>'Lube Frequency BMSK'!I40*B15*('Lube Frequency BMSK'!$L$1/$H$1)</f>
        <v>0</v>
      </c>
      <c r="H15">
        <f>'Lube Frequency BMSK'!I40*C15*('Lube Frequency BMSK'!$L$1/$H$1)</f>
        <v>0</v>
      </c>
      <c r="I15">
        <f>'Lube Frequency BMSK'!I40*D15*('Lube Frequency BMSK'!$L$1/$H$1)</f>
        <v>0</v>
      </c>
    </row>
    <row r="16" spans="1:9" x14ac:dyDescent="0.25">
      <c r="A16" t="str">
        <f>'Lube Frequency BMSK'!B41</f>
        <v>ZOOMLION ZCC2600 260 TON</v>
      </c>
      <c r="B16">
        <f>N('Lube Frequency BMSK'!C41)</f>
        <v>0</v>
      </c>
      <c r="C16">
        <f>N('Lube Frequency BMSK'!D41)</f>
        <v>0</v>
      </c>
      <c r="D16">
        <f>N('Lube Frequency BMSK'!E41)</f>
        <v>0</v>
      </c>
      <c r="F16" t="str">
        <f t="shared" si="0"/>
        <v>ZOOMLION ZCC2600 260 TON</v>
      </c>
      <c r="G16">
        <f>'Lube Frequency BMSK'!I41*B16*('Lube Frequency BMSK'!$L$1/$H$1)</f>
        <v>0</v>
      </c>
      <c r="H16">
        <f>'Lube Frequency BMSK'!I41*C16*('Lube Frequency BMSK'!$L$1/$H$1)</f>
        <v>0</v>
      </c>
      <c r="I16">
        <f>'Lube Frequency BMSK'!I41*D16*('Lube Frequency BMSK'!$L$1/$H$1)</f>
        <v>0</v>
      </c>
    </row>
    <row r="17" spans="1:9" x14ac:dyDescent="0.25">
      <c r="A17" t="str">
        <f>'Lube Frequency BMSK'!B42</f>
        <v>KAMAZ УСТ 54535</v>
      </c>
      <c r="B17">
        <f>N('Lube Frequency BMSK'!C42)</f>
        <v>0</v>
      </c>
      <c r="C17">
        <f>N('Lube Frequency BMSK'!D42)</f>
        <v>0</v>
      </c>
      <c r="D17">
        <f>N('Lube Frequency BMSK'!E42)</f>
        <v>0</v>
      </c>
      <c r="F17" t="str">
        <f t="shared" si="0"/>
        <v>KAMAZ УСТ 54535</v>
      </c>
      <c r="G17">
        <f>'Lube Frequency BMSK'!I42*B17*('Lube Frequency BMSK'!$L$1/$H$1)</f>
        <v>0</v>
      </c>
      <c r="H17">
        <f>'Lube Frequency BMSK'!I42*C17*('Lube Frequency BMSK'!$L$1/$H$1)</f>
        <v>0</v>
      </c>
      <c r="I17">
        <f>'Lube Frequency BMSK'!I42*D17*('Lube Frequency BMSK'!$L$1/$H$1)</f>
        <v>0</v>
      </c>
    </row>
    <row r="18" spans="1:9" x14ac:dyDescent="0.25">
      <c r="A18" t="str">
        <f>'Lube Frequency BMSK'!B43</f>
        <v>KAMAZ УСТ 5849HF-000020</v>
      </c>
      <c r="B18">
        <f>N('Lube Frequency BMSK'!C43)</f>
        <v>0</v>
      </c>
      <c r="C18">
        <f>N('Lube Frequency BMSK'!D43)</f>
        <v>0</v>
      </c>
      <c r="D18">
        <f>N('Lube Frequency BMSK'!E43)</f>
        <v>0</v>
      </c>
      <c r="F18" t="str">
        <f t="shared" si="0"/>
        <v>KAMAZ УСТ 5849HF-000020</v>
      </c>
      <c r="G18">
        <f>'Lube Frequency BMSK'!I43*B18*('Lube Frequency BMSK'!$L$1/$H$1)</f>
        <v>0</v>
      </c>
      <c r="H18">
        <f>'Lube Frequency BMSK'!I43*C18*('Lube Frequency BMSK'!$L$1/$H$1)</f>
        <v>0</v>
      </c>
      <c r="I18">
        <f>'Lube Frequency BMSK'!I43*D18*('Lube Frequency BMSK'!$L$1/$H$1)</f>
        <v>0</v>
      </c>
    </row>
    <row r="19" spans="1:9" x14ac:dyDescent="0.25">
      <c r="A19" t="str">
        <f>'Lube Frequency BMSK'!B44</f>
        <v>CUMMINS C250 D5 GENERATOR</v>
      </c>
      <c r="B19">
        <f>N('Lube Frequency BMSK'!C44)</f>
        <v>0</v>
      </c>
      <c r="C19">
        <f>N('Lube Frequency BMSK'!D44)</f>
        <v>0</v>
      </c>
      <c r="D19">
        <f>N('Lube Frequency BMSK'!E44)</f>
        <v>0</v>
      </c>
      <c r="F19" t="str">
        <f t="shared" si="0"/>
        <v>CUMMINS C250 D5 GENERATOR</v>
      </c>
      <c r="G19">
        <f>'Lube Frequency BMSK'!I44*B19*('Lube Frequency BMSK'!$L$1/$H$1)</f>
        <v>0</v>
      </c>
      <c r="H19">
        <f>'Lube Frequency BMSK'!I44*C19*('Lube Frequency BMSK'!$L$1/$H$1)</f>
        <v>0</v>
      </c>
      <c r="I19">
        <f>'Lube Frequency BMSK'!I44*D19*('Lube Frequency BMSK'!$L$1/$H$1)</f>
        <v>0</v>
      </c>
    </row>
    <row r="20" spans="1:9" x14ac:dyDescent="0.25">
      <c r="A20" t="str">
        <f>'Lube Frequency BMSK'!B45</f>
        <v>DENYO DCA-15LSX GENERATOR</v>
      </c>
      <c r="B20">
        <f>N('Lube Frequency BMSK'!C45)</f>
        <v>0</v>
      </c>
      <c r="C20">
        <f>N('Lube Frequency BMSK'!D45)</f>
        <v>0</v>
      </c>
      <c r="D20">
        <f>N('Lube Frequency BMSK'!E45)</f>
        <v>0</v>
      </c>
      <c r="F20" t="str">
        <f t="shared" si="0"/>
        <v>DENYO DCA-15LSX GENERATOR</v>
      </c>
      <c r="G20">
        <f>'Lube Frequency BMSK'!I45*B20*('Lube Frequency BMSK'!$L$1/$H$1)</f>
        <v>0</v>
      </c>
      <c r="H20">
        <f>'Lube Frequency BMSK'!I45*C20*('Lube Frequency BMSK'!$L$1/$H$1)</f>
        <v>0</v>
      </c>
      <c r="I20">
        <f>'Lube Frequency BMSK'!I45*D20*('Lube Frequency BMSK'!$L$1/$H$1)</f>
        <v>0</v>
      </c>
    </row>
    <row r="21" spans="1:9" x14ac:dyDescent="0.25">
      <c r="A21" t="str">
        <f>'Lube Frequency BMSK'!B46</f>
        <v>DENYO DCA-45ESI GENERATOR</v>
      </c>
      <c r="B21">
        <f>N('Lube Frequency BMSK'!C46)</f>
        <v>0</v>
      </c>
      <c r="C21">
        <f>N('Lube Frequency BMSK'!D46)</f>
        <v>0</v>
      </c>
      <c r="D21">
        <f>N('Lube Frequency BMSK'!E46)</f>
        <v>0</v>
      </c>
      <c r="F21" t="str">
        <f t="shared" si="0"/>
        <v>DENYO DCA-45ESI GENERATOR</v>
      </c>
      <c r="G21">
        <f>'Lube Frequency BMSK'!I46*B21*('Lube Frequency BMSK'!$L$1/$H$1)</f>
        <v>0</v>
      </c>
      <c r="H21">
        <f>'Lube Frequency BMSK'!I46*C21*('Lube Frequency BMSK'!$L$1/$H$1)</f>
        <v>0</v>
      </c>
      <c r="I21">
        <f>'Lube Frequency BMSK'!I46*D21*('Lube Frequency BMSK'!$L$1/$H$1)</f>
        <v>0</v>
      </c>
    </row>
    <row r="22" spans="1:9" x14ac:dyDescent="0.25">
      <c r="A22" t="str">
        <f>'Lube Frequency BMSK'!B47</f>
        <v>DENYO DLW-400LSW WELDING MACHINE</v>
      </c>
      <c r="B22">
        <f>N('Lube Frequency BMSK'!C47)</f>
        <v>0</v>
      </c>
      <c r="C22">
        <f>N('Lube Frequency BMSK'!D47)</f>
        <v>0</v>
      </c>
      <c r="D22">
        <f>N('Lube Frequency BMSK'!E47)</f>
        <v>0</v>
      </c>
      <c r="F22" t="str">
        <f t="shared" si="0"/>
        <v>DENYO DLW-400LSW WELDING MACHINE</v>
      </c>
      <c r="G22">
        <f>'Lube Frequency BMSK'!I47*B22*('Lube Frequency BMSK'!$L$1/$H$1)</f>
        <v>0</v>
      </c>
      <c r="H22">
        <f>'Lube Frequency BMSK'!I47*C22*('Lube Frequency BMSK'!$L$1/$H$1)</f>
        <v>0</v>
      </c>
      <c r="I22">
        <f>'Lube Frequency BMSK'!I47*D22*('Lube Frequency BMSK'!$L$1/$H$1)</f>
        <v>0</v>
      </c>
    </row>
    <row r="23" spans="1:9" x14ac:dyDescent="0.25">
      <c r="A23" t="str">
        <f>'Lube Frequency BMSK'!B48</f>
        <v>DENYO_DCW-480ESW WELDING MACHINE</v>
      </c>
      <c r="B23">
        <f>N('Lube Frequency BMSK'!C48)</f>
        <v>0</v>
      </c>
      <c r="C23">
        <f>N('Lube Frequency BMSK'!D48)</f>
        <v>0</v>
      </c>
      <c r="D23">
        <f>N('Lube Frequency BMSK'!E48)</f>
        <v>0</v>
      </c>
      <c r="F23" t="str">
        <f t="shared" si="0"/>
        <v>DENYO_DCW-480ESW WELDING MACHINE</v>
      </c>
      <c r="G23">
        <f>'Lube Frequency BMSK'!I48*B23*('Lube Frequency BMSK'!$L$1/$H$1)</f>
        <v>0</v>
      </c>
      <c r="H23">
        <f>'Lube Frequency BMSK'!I48*C23*('Lube Frequency BMSK'!$L$1/$H$1)</f>
        <v>0</v>
      </c>
      <c r="I23">
        <f>'Lube Frequency BMSK'!I48*D23*('Lube Frequency BMSK'!$L$1/$H$1)</f>
        <v>0</v>
      </c>
    </row>
    <row r="24" spans="1:9" x14ac:dyDescent="0.25">
      <c r="A24" t="str">
        <f>'Lube Frequency BMSK'!B49</f>
        <v>DIESEL AD 240C GENERATOR</v>
      </c>
      <c r="B24">
        <f>N('Lube Frequency BMSK'!C49)</f>
        <v>0</v>
      </c>
      <c r="C24">
        <f>N('Lube Frequency BMSK'!D49)</f>
        <v>0</v>
      </c>
      <c r="D24">
        <f>N('Lube Frequency BMSK'!E49)</f>
        <v>0</v>
      </c>
      <c r="F24" t="str">
        <f t="shared" si="0"/>
        <v>DIESEL AD 240C GENERATOR</v>
      </c>
      <c r="G24">
        <f>'Lube Frequency BMSK'!I49*B24*('Lube Frequency BMSK'!$L$1/$H$1)</f>
        <v>0</v>
      </c>
      <c r="H24">
        <f>'Lube Frequency BMSK'!I49*C24*('Lube Frequency BMSK'!$L$1/$H$1)</f>
        <v>0</v>
      </c>
      <c r="I24">
        <f>'Lube Frequency BMSK'!I49*D24*('Lube Frequency BMSK'!$L$1/$H$1)</f>
        <v>0</v>
      </c>
    </row>
    <row r="25" spans="1:9" x14ac:dyDescent="0.25">
      <c r="A25" t="str">
        <f>'Lube Frequency BMSK'!B50</f>
        <v>DIESEL POWER ED320C-T400-50-2PH-G1 GENERATOR</v>
      </c>
      <c r="B25">
        <f>N('Lube Frequency BMSK'!C50)</f>
        <v>0</v>
      </c>
      <c r="C25">
        <f>N('Lube Frequency BMSK'!D50)</f>
        <v>0</v>
      </c>
      <c r="D25">
        <f>N('Lube Frequency BMSK'!E50)</f>
        <v>0</v>
      </c>
      <c r="F25" t="str">
        <f t="shared" si="0"/>
        <v>DIESEL POWER ED320C-T400-50-2PH-G1 GENERATOR</v>
      </c>
      <c r="G25">
        <f>'Lube Frequency BMSK'!I50*B25*('Lube Frequency BMSK'!$L$1/$H$1)</f>
        <v>0</v>
      </c>
      <c r="H25">
        <f>'Lube Frequency BMSK'!I50*C25*('Lube Frequency BMSK'!$L$1/$H$1)</f>
        <v>0</v>
      </c>
      <c r="I25">
        <f>'Lube Frequency BMSK'!I50*D25*('Lube Frequency BMSK'!$L$1/$H$1)</f>
        <v>0</v>
      </c>
    </row>
    <row r="26" spans="1:9" x14ac:dyDescent="0.25">
      <c r="A26" t="str">
        <f>'Lube Frequency BMSK'!B51</f>
        <v>DIESEL POWER ED400C-T400-2RN GENERATOR</v>
      </c>
      <c r="B26">
        <f>N('Lube Frequency BMSK'!C51)</f>
        <v>0</v>
      </c>
      <c r="C26">
        <f>N('Lube Frequency BMSK'!D51)</f>
        <v>0</v>
      </c>
      <c r="D26">
        <f>N('Lube Frequency BMSK'!E51)</f>
        <v>0</v>
      </c>
      <c r="F26" t="str">
        <f t="shared" si="0"/>
        <v>DIESEL POWER ED400C-T400-2RN GENERATOR</v>
      </c>
      <c r="G26">
        <f>'Lube Frequency BMSK'!I51*B26*('Lube Frequency BMSK'!$L$1/$H$1)</f>
        <v>0</v>
      </c>
      <c r="H26">
        <f>'Lube Frequency BMSK'!I51*C26*('Lube Frequency BMSK'!$L$1/$H$1)</f>
        <v>0</v>
      </c>
      <c r="I26">
        <f>'Lube Frequency BMSK'!I51*D26*('Lube Frequency BMSK'!$L$1/$H$1)</f>
        <v>0</v>
      </c>
    </row>
    <row r="27" spans="1:9" x14ac:dyDescent="0.25">
      <c r="A27" t="str">
        <f>'Lube Frequency BMSK'!B52</f>
        <v>DIESEL ЭД20П-Т400-50-2РН-G2 GENERATOR</v>
      </c>
      <c r="B27">
        <f>N('Lube Frequency BMSK'!C52)</f>
        <v>0</v>
      </c>
      <c r="C27">
        <f>N('Lube Frequency BMSK'!D52)</f>
        <v>0</v>
      </c>
      <c r="D27">
        <f>N('Lube Frequency BMSK'!E52)</f>
        <v>0</v>
      </c>
      <c r="F27" t="str">
        <f t="shared" si="0"/>
        <v>DIESEL ЭД20П-Т400-50-2РН-G2 GENERATOR</v>
      </c>
      <c r="G27">
        <f>'Lube Frequency BMSK'!I52*B27*('Lube Frequency BMSK'!$L$1/$H$1)</f>
        <v>0</v>
      </c>
      <c r="H27">
        <f>'Lube Frequency BMSK'!I52*C27*('Lube Frequency BMSK'!$L$1/$H$1)</f>
        <v>0</v>
      </c>
      <c r="I27">
        <f>'Lube Frequency BMSK'!I52*D27*('Lube Frequency BMSK'!$L$1/$H$1)</f>
        <v>0</v>
      </c>
    </row>
    <row r="28" spans="1:9" x14ac:dyDescent="0.25">
      <c r="A28" t="str">
        <f>'Lube Frequency BMSK'!B53</f>
        <v>Dongfeng Pickup</v>
      </c>
      <c r="B28">
        <f>N('Lube Frequency BMSK'!C53)</f>
        <v>50</v>
      </c>
      <c r="C28">
        <f>N('Lube Frequency BMSK'!D53)</f>
        <v>50</v>
      </c>
      <c r="D28">
        <f>N('Lube Frequency BMSK'!E53)</f>
        <v>50</v>
      </c>
      <c r="F28" t="str">
        <f t="shared" si="0"/>
        <v>Dongfeng Pickup</v>
      </c>
      <c r="G28">
        <f>'Lube Frequency BMSK'!I53*B28*('Lube Frequency BMSK'!$L$1/$H$1)</f>
        <v>700</v>
      </c>
      <c r="H28">
        <f>'Lube Frequency BMSK'!I53*C28*('Lube Frequency BMSK'!$L$1/$H$1)</f>
        <v>700</v>
      </c>
      <c r="I28">
        <f>'Lube Frequency BMSK'!I53*D28*('Lube Frequency BMSK'!$L$1/$H$1)</f>
        <v>700</v>
      </c>
    </row>
    <row r="29" spans="1:9" x14ac:dyDescent="0.25">
      <c r="A29" t="str">
        <f>'Lube Frequency BMSK'!B54</f>
        <v>DOOSAN P250/HP210 COMPRESSOR</v>
      </c>
      <c r="B29">
        <f>N('Lube Frequency BMSK'!C54)</f>
        <v>0</v>
      </c>
      <c r="C29">
        <f>N('Lube Frequency BMSK'!D54)</f>
        <v>0</v>
      </c>
      <c r="D29">
        <f>N('Lube Frequency BMSK'!E54)</f>
        <v>0</v>
      </c>
      <c r="F29" t="str">
        <f t="shared" si="0"/>
        <v>DOOSAN P250/HP210 COMPRESSOR</v>
      </c>
      <c r="G29">
        <f>'Lube Frequency BMSK'!I54*B29*('Lube Frequency BMSK'!$L$1/$H$1)</f>
        <v>0</v>
      </c>
      <c r="H29">
        <f>'Lube Frequency BMSK'!I54*C29*('Lube Frequency BMSK'!$L$1/$H$1)</f>
        <v>0</v>
      </c>
      <c r="I29">
        <f>'Lube Frequency BMSK'!I54*D29*('Lube Frequency BMSK'!$L$1/$H$1)</f>
        <v>0</v>
      </c>
    </row>
    <row r="30" spans="1:9" x14ac:dyDescent="0.25">
      <c r="A30" t="str">
        <f>'Lube Frequency BMSK'!B55</f>
        <v>ELAZ-BL 888 Backhoe Loader</v>
      </c>
      <c r="B30">
        <f>N('Lube Frequency BMSK'!C55)</f>
        <v>0</v>
      </c>
      <c r="C30">
        <f>N('Lube Frequency BMSK'!D55)</f>
        <v>0</v>
      </c>
      <c r="D30">
        <f>N('Lube Frequency BMSK'!E55)</f>
        <v>0</v>
      </c>
      <c r="F30" t="str">
        <f t="shared" si="0"/>
        <v>ELAZ-BL 888 Backhoe Loader</v>
      </c>
      <c r="G30">
        <f>'Lube Frequency BMSK'!I55*B30*('Lube Frequency BMSK'!$L$1/$H$1)</f>
        <v>0</v>
      </c>
      <c r="H30">
        <f>'Lube Frequency BMSK'!I55*C30*('Lube Frequency BMSK'!$L$1/$H$1)</f>
        <v>0</v>
      </c>
      <c r="I30">
        <f>'Lube Frequency BMSK'!I55*D30*('Lube Frequency BMSK'!$L$1/$H$1)</f>
        <v>0</v>
      </c>
    </row>
    <row r="31" spans="1:9" x14ac:dyDescent="0.25">
      <c r="A31" t="str">
        <f>'Lube Frequency BMSK'!B56</f>
        <v>Elcos Genset GE.CU.030/027.SS+011</v>
      </c>
      <c r="B31">
        <f>N('Lube Frequency BMSK'!C56)</f>
        <v>0</v>
      </c>
      <c r="C31">
        <f>N('Lube Frequency BMSK'!D56)</f>
        <v>0</v>
      </c>
      <c r="D31">
        <f>N('Lube Frequency BMSK'!E56)</f>
        <v>0</v>
      </c>
      <c r="F31" t="str">
        <f t="shared" si="0"/>
        <v>Elcos Genset GE.CU.030/027.SS+011</v>
      </c>
      <c r="G31">
        <f>'Lube Frequency BMSK'!I56*B31*('Lube Frequency BMSK'!$L$1/$H$1)</f>
        <v>0</v>
      </c>
      <c r="H31">
        <f>'Lube Frequency BMSK'!I56*C31*('Lube Frequency BMSK'!$L$1/$H$1)</f>
        <v>0</v>
      </c>
      <c r="I31">
        <f>'Lube Frequency BMSK'!I56*D31*('Lube Frequency BMSK'!$L$1/$H$1)</f>
        <v>0</v>
      </c>
    </row>
    <row r="32" spans="1:9" x14ac:dyDescent="0.25">
      <c r="A32" t="str">
        <f>'Lube Frequency BMSK'!B57</f>
        <v>FAW CA1081P40K2L4E5A85</v>
      </c>
      <c r="B32">
        <f>N('Lube Frequency BMSK'!C57)</f>
        <v>0</v>
      </c>
      <c r="C32">
        <f>N('Lube Frequency BMSK'!D57)</f>
        <v>0</v>
      </c>
      <c r="D32">
        <f>N('Lube Frequency BMSK'!E57)</f>
        <v>0</v>
      </c>
      <c r="F32" t="str">
        <f t="shared" si="0"/>
        <v>FAW CA1081P40K2L4E5A85</v>
      </c>
      <c r="G32">
        <f>'Lube Frequency BMSK'!I57*B32*('Lube Frequency BMSK'!$L$1/$H$1)</f>
        <v>0</v>
      </c>
      <c r="H32">
        <f>'Lube Frequency BMSK'!I57*C32*('Lube Frequency BMSK'!$L$1/$H$1)</f>
        <v>0</v>
      </c>
      <c r="I32">
        <f>'Lube Frequency BMSK'!I57*D32*('Lube Frequency BMSK'!$L$1/$H$1)</f>
        <v>0</v>
      </c>
    </row>
    <row r="33" spans="1:9" x14ac:dyDescent="0.25">
      <c r="A33" t="str">
        <f>'Lube Frequency BMSK'!B58</f>
        <v>FAW CA1121P40K2LE5A85</v>
      </c>
      <c r="B33">
        <f>N('Lube Frequency BMSK'!C58)</f>
        <v>0</v>
      </c>
      <c r="C33">
        <f>N('Lube Frequency BMSK'!D58)</f>
        <v>0</v>
      </c>
      <c r="D33">
        <f>N('Lube Frequency BMSK'!E58)</f>
        <v>0</v>
      </c>
      <c r="F33" t="str">
        <f t="shared" si="0"/>
        <v>FAW CA1121P40K2LE5A85</v>
      </c>
      <c r="G33">
        <f>'Lube Frequency BMSK'!I58*B33*('Lube Frequency BMSK'!$L$1/$H$1)</f>
        <v>0</v>
      </c>
      <c r="H33">
        <f>'Lube Frequency BMSK'!I58*C33*('Lube Frequency BMSK'!$L$1/$H$1)</f>
        <v>0</v>
      </c>
      <c r="I33">
        <f>'Lube Frequency BMSK'!I58*D33*('Lube Frequency BMSK'!$L$1/$H$1)</f>
        <v>0</v>
      </c>
    </row>
    <row r="34" spans="1:9" x14ac:dyDescent="0.25">
      <c r="A34" t="str">
        <f>'Lube Frequency BMSK'!B59</f>
        <v>FAW CA2080P40K8T5E5A84</v>
      </c>
      <c r="B34">
        <f>N('Lube Frequency BMSK'!C59)</f>
        <v>0</v>
      </c>
      <c r="C34">
        <f>N('Lube Frequency BMSK'!D59)</f>
        <v>0</v>
      </c>
      <c r="D34">
        <f>N('Lube Frequency BMSK'!E59)</f>
        <v>0</v>
      </c>
      <c r="F34" t="str">
        <f t="shared" si="0"/>
        <v>FAW CA2080P40K8T5E5A84</v>
      </c>
      <c r="G34">
        <f>'Lube Frequency BMSK'!I59*B34*('Lube Frequency BMSK'!$L$1/$H$1)</f>
        <v>0</v>
      </c>
      <c r="H34">
        <f>'Lube Frequency BMSK'!I59*C34*('Lube Frequency BMSK'!$L$1/$H$1)</f>
        <v>0</v>
      </c>
      <c r="I34">
        <f>'Lube Frequency BMSK'!I59*D34*('Lube Frequency BMSK'!$L$1/$H$1)</f>
        <v>0</v>
      </c>
    </row>
    <row r="35" spans="1:9" x14ac:dyDescent="0.25">
      <c r="A35" t="str">
        <f>'Lube Frequency BMSK'!B60</f>
        <v>FAW CA3250P66K24L1TE5</v>
      </c>
      <c r="B35">
        <f>N('Lube Frequency BMSK'!C60)</f>
        <v>0</v>
      </c>
      <c r="C35">
        <f>N('Lube Frequency BMSK'!D60)</f>
        <v>0</v>
      </c>
      <c r="D35">
        <f>N('Lube Frequency BMSK'!E60)</f>
        <v>0</v>
      </c>
      <c r="F35" t="str">
        <f t="shared" si="0"/>
        <v>FAW CA3250P66K24L1TE5</v>
      </c>
      <c r="G35">
        <f>'Lube Frequency BMSK'!I60*B35*('Lube Frequency BMSK'!$L$1/$H$1)</f>
        <v>0</v>
      </c>
      <c r="H35">
        <f>'Lube Frequency BMSK'!I60*C35*('Lube Frequency BMSK'!$L$1/$H$1)</f>
        <v>0</v>
      </c>
      <c r="I35">
        <f>'Lube Frequency BMSK'!I60*D35*('Lube Frequency BMSK'!$L$1/$H$1)</f>
        <v>0</v>
      </c>
    </row>
    <row r="36" spans="1:9" x14ac:dyDescent="0.25">
      <c r="A36" t="str">
        <f>'Lube Frequency BMSK'!B61</f>
        <v>FORD TRANSIT DE-ICER VAN</v>
      </c>
      <c r="B36">
        <f>N('Lube Frequency BMSK'!C61)</f>
        <v>0</v>
      </c>
      <c r="C36">
        <f>N('Lube Frequency BMSK'!D61)</f>
        <v>0</v>
      </c>
      <c r="D36">
        <f>N('Lube Frequency BMSK'!E61)</f>
        <v>0</v>
      </c>
      <c r="F36" t="str">
        <f t="shared" si="0"/>
        <v>FORD TRANSIT DE-ICER VAN</v>
      </c>
      <c r="G36">
        <f>'Lube Frequency BMSK'!I61*B36*('Lube Frequency BMSK'!$L$1/$H$1)</f>
        <v>0</v>
      </c>
      <c r="H36">
        <f>'Lube Frequency BMSK'!I61*C36*('Lube Frequency BMSK'!$L$1/$H$1)</f>
        <v>0</v>
      </c>
      <c r="I36">
        <f>'Lube Frequency BMSK'!I61*D36*('Lube Frequency BMSK'!$L$1/$H$1)</f>
        <v>0</v>
      </c>
    </row>
    <row r="37" spans="1:9" x14ac:dyDescent="0.25">
      <c r="A37" t="str">
        <f>'Lube Frequency BMSK'!B62</f>
        <v>KAMAZ  43118-3098-50</v>
      </c>
      <c r="B37">
        <f>N('Lube Frequency BMSK'!C62)</f>
        <v>0</v>
      </c>
      <c r="C37">
        <f>N('Lube Frequency BMSK'!D62)</f>
        <v>0</v>
      </c>
      <c r="D37">
        <f>N('Lube Frequency BMSK'!E62)</f>
        <v>0</v>
      </c>
      <c r="F37" t="str">
        <f t="shared" si="0"/>
        <v>KAMAZ  43118-3098-50</v>
      </c>
      <c r="G37">
        <f>'Lube Frequency BMSK'!I62*B37*('Lube Frequency BMSK'!$L$1/$H$1)</f>
        <v>0</v>
      </c>
      <c r="H37">
        <f>'Lube Frequency BMSK'!I62*C37*('Lube Frequency BMSK'!$L$1/$H$1)</f>
        <v>0</v>
      </c>
      <c r="I37">
        <f>'Lube Frequency BMSK'!I62*D37*('Lube Frequency BMSK'!$L$1/$H$1)</f>
        <v>0</v>
      </c>
    </row>
    <row r="38" spans="1:9" x14ac:dyDescent="0.25">
      <c r="A38" t="str">
        <f>'Lube Frequency BMSK'!B63</f>
        <v>GAZ 340901-0000012 ALL TERRAIN VEHICLE</v>
      </c>
      <c r="B38">
        <f>N('Lube Frequency BMSK'!C63)</f>
        <v>0</v>
      </c>
      <c r="C38">
        <f>N('Lube Frequency BMSK'!D63)</f>
        <v>0</v>
      </c>
      <c r="D38">
        <f>N('Lube Frequency BMSK'!E63)</f>
        <v>0</v>
      </c>
      <c r="F38" t="str">
        <f t="shared" si="0"/>
        <v>GAZ 340901-0000012 ALL TERRAIN VEHICLE</v>
      </c>
      <c r="G38">
        <f>'Lube Frequency BMSK'!I63*B38*('Lube Frequency BMSK'!$L$1/$H$1)</f>
        <v>0</v>
      </c>
      <c r="H38">
        <f>'Lube Frequency BMSK'!I63*C38*('Lube Frequency BMSK'!$L$1/$H$1)</f>
        <v>0</v>
      </c>
      <c r="I38">
        <f>'Lube Frequency BMSK'!I63*D38*('Lube Frequency BMSK'!$L$1/$H$1)</f>
        <v>0</v>
      </c>
    </row>
    <row r="39" spans="1:9" x14ac:dyDescent="0.25">
      <c r="A39" t="str">
        <f>'Lube Frequency BMSK'!B64</f>
        <v>GAZ SADKO NEXT TRUCK, BAGGAGE</v>
      </c>
      <c r="B39">
        <f>N('Lube Frequency BMSK'!C64)</f>
        <v>0</v>
      </c>
      <c r="C39">
        <f>N('Lube Frequency BMSK'!D64)</f>
        <v>0</v>
      </c>
      <c r="D39">
        <f>N('Lube Frequency BMSK'!E64)</f>
        <v>0</v>
      </c>
      <c r="F39" t="str">
        <f t="shared" si="0"/>
        <v>GAZ SADKO NEXT TRUCK, BAGGAGE</v>
      </c>
      <c r="G39">
        <f>'Lube Frequency BMSK'!I64*B39*('Lube Frequency BMSK'!$L$1/$H$1)</f>
        <v>0</v>
      </c>
      <c r="H39">
        <f>'Lube Frequency BMSK'!I64*C39*('Lube Frequency BMSK'!$L$1/$H$1)</f>
        <v>0</v>
      </c>
      <c r="I39">
        <f>'Lube Frequency BMSK'!I64*D39*('Lube Frequency BMSK'!$L$1/$H$1)</f>
        <v>0</v>
      </c>
    </row>
    <row r="40" spans="1:9" x14ac:dyDescent="0.25">
      <c r="A40" t="str">
        <f>'Lube Frequency BMSK'!B65</f>
        <v>Generac CUBE+ Super Lighting Tower</v>
      </c>
      <c r="B40">
        <f>N('Lube Frequency BMSK'!C65)</f>
        <v>0</v>
      </c>
      <c r="C40">
        <f>N('Lube Frequency BMSK'!D65)</f>
        <v>0</v>
      </c>
      <c r="D40">
        <f>N('Lube Frequency BMSK'!E65)</f>
        <v>0</v>
      </c>
      <c r="F40" t="str">
        <f t="shared" si="0"/>
        <v>Generac CUBE+ Super Lighting Tower</v>
      </c>
      <c r="G40">
        <f>'Lube Frequency BMSK'!I65*B40*('Lube Frequency BMSK'!$L$1/$H$1)</f>
        <v>0</v>
      </c>
      <c r="H40">
        <f>'Lube Frequency BMSK'!I65*C40*('Lube Frequency BMSK'!$L$1/$H$1)</f>
        <v>0</v>
      </c>
      <c r="I40">
        <f>'Lube Frequency BMSK'!I65*D40*('Lube Frequency BMSK'!$L$1/$H$1)</f>
        <v>0</v>
      </c>
    </row>
    <row r="41" spans="1:9" x14ac:dyDescent="0.25">
      <c r="A41" t="str">
        <f>'Lube Frequency BMSK'!B66</f>
        <v>Genset Onis Visa P21CK</v>
      </c>
      <c r="B41">
        <f>N('Lube Frequency BMSK'!C66)</f>
        <v>0</v>
      </c>
      <c r="C41">
        <f>N('Lube Frequency BMSK'!D66)</f>
        <v>0</v>
      </c>
      <c r="D41">
        <f>N('Lube Frequency BMSK'!E66)</f>
        <v>0</v>
      </c>
      <c r="F41" t="str">
        <f t="shared" si="0"/>
        <v>Genset Onis Visa P21CK</v>
      </c>
      <c r="G41">
        <f>'Lube Frequency BMSK'!I66*B41*('Lube Frequency BMSK'!$L$1/$H$1)</f>
        <v>0</v>
      </c>
      <c r="H41">
        <f>'Lube Frequency BMSK'!I66*C41*('Lube Frequency BMSK'!$L$1/$H$1)</f>
        <v>0</v>
      </c>
      <c r="I41">
        <f>'Lube Frequency BMSK'!I66*D41*('Lube Frequency BMSK'!$L$1/$H$1)</f>
        <v>0</v>
      </c>
    </row>
    <row r="42" spans="1:9" x14ac:dyDescent="0.25">
      <c r="A42" t="str">
        <f>'Lube Frequency BMSK'!B67</f>
        <v>Hanjin D&amp;B-16GT</v>
      </c>
      <c r="B42">
        <f>N('Lube Frequency BMSK'!C67)</f>
        <v>1</v>
      </c>
      <c r="C42">
        <f>N('Lube Frequency BMSK'!D67)</f>
        <v>2</v>
      </c>
      <c r="D42">
        <f>N('Lube Frequency BMSK'!E67)</f>
        <v>2</v>
      </c>
      <c r="F42" t="str">
        <f t="shared" si="0"/>
        <v>Hanjin D&amp;B-16GT</v>
      </c>
      <c r="G42">
        <f>'Lube Frequency BMSK'!I67*B42*('Lube Frequency BMSK'!$L$1/$H$1)</f>
        <v>98</v>
      </c>
      <c r="H42">
        <f>'Lube Frequency BMSK'!I67*C42*('Lube Frequency BMSK'!$L$1/$H$1)</f>
        <v>196</v>
      </c>
      <c r="I42">
        <f>'Lube Frequency BMSK'!I67*D42*('Lube Frequency BMSK'!$L$1/$H$1)</f>
        <v>196</v>
      </c>
    </row>
    <row r="43" spans="1:9" x14ac:dyDescent="0.25">
      <c r="A43" t="str">
        <f>'Lube Frequency BMSK'!B68</f>
        <v>Hitachi EX 1200-6BH</v>
      </c>
      <c r="B43">
        <f>N('Lube Frequency BMSK'!C68)</f>
        <v>2</v>
      </c>
      <c r="C43">
        <f>N('Lube Frequency BMSK'!D68)</f>
        <v>2</v>
      </c>
      <c r="D43">
        <f>N('Lube Frequency BMSK'!E68)</f>
        <v>2</v>
      </c>
      <c r="F43" t="str">
        <f t="shared" si="0"/>
        <v>Hitachi EX 1200-6BH</v>
      </c>
      <c r="G43">
        <f>'Lube Frequency BMSK'!I68*B43*('Lube Frequency BMSK'!$L$1/$H$1)</f>
        <v>196</v>
      </c>
      <c r="H43">
        <f>'Lube Frequency BMSK'!I68*C43*('Lube Frequency BMSK'!$L$1/$H$1)</f>
        <v>196</v>
      </c>
      <c r="I43">
        <f>'Lube Frequency BMSK'!I68*D43*('Lube Frequency BMSK'!$L$1/$H$1)</f>
        <v>196</v>
      </c>
    </row>
    <row r="44" spans="1:9" x14ac:dyDescent="0.25">
      <c r="A44" t="str">
        <f>'Lube Frequency BMSK'!B69</f>
        <v>Hitachi EX 1200-7BH</v>
      </c>
      <c r="B44">
        <f>N('Lube Frequency BMSK'!C69)</f>
        <v>1</v>
      </c>
      <c r="C44">
        <f>N('Lube Frequency BMSK'!D69)</f>
        <v>1</v>
      </c>
      <c r="D44">
        <f>N('Lube Frequency BMSK'!E69)</f>
        <v>1</v>
      </c>
      <c r="F44" t="str">
        <f t="shared" si="0"/>
        <v>Hitachi EX 1200-7BH</v>
      </c>
      <c r="G44">
        <f>'Lube Frequency BMSK'!I69*B44*('Lube Frequency BMSK'!$L$1/$H$1)</f>
        <v>98</v>
      </c>
      <c r="H44">
        <f>'Lube Frequency BMSK'!I69*C44*('Lube Frequency BMSK'!$L$1/$H$1)</f>
        <v>98</v>
      </c>
      <c r="I44">
        <f>'Lube Frequency BMSK'!I69*D44*('Lube Frequency BMSK'!$L$1/$H$1)</f>
        <v>98</v>
      </c>
    </row>
    <row r="45" spans="1:9" x14ac:dyDescent="0.25">
      <c r="A45" t="str">
        <f>'Lube Frequency BMSK'!B70</f>
        <v>Hitachi ZX 330-5G</v>
      </c>
      <c r="B45">
        <f>N('Lube Frequency BMSK'!C70)</f>
        <v>4</v>
      </c>
      <c r="C45">
        <f>N('Lube Frequency BMSK'!D70)</f>
        <v>4</v>
      </c>
      <c r="D45">
        <f>N('Lube Frequency BMSK'!E70)</f>
        <v>4</v>
      </c>
      <c r="F45" t="str">
        <f t="shared" si="0"/>
        <v>Hitachi ZX 330-5G</v>
      </c>
      <c r="G45">
        <f>'Lube Frequency BMSK'!I70*B45*('Lube Frequency BMSK'!$L$1/$H$1)</f>
        <v>336</v>
      </c>
      <c r="H45">
        <f>'Lube Frequency BMSK'!I70*C45*('Lube Frequency BMSK'!$L$1/$H$1)</f>
        <v>336</v>
      </c>
      <c r="I45">
        <f>'Lube Frequency BMSK'!I70*D45*('Lube Frequency BMSK'!$L$1/$H$1)</f>
        <v>336</v>
      </c>
    </row>
    <row r="46" spans="1:9" x14ac:dyDescent="0.25">
      <c r="A46" t="str">
        <f>'Lube Frequency BMSK'!B71</f>
        <v>Hitachi ZX 470</v>
      </c>
      <c r="B46">
        <f>N('Lube Frequency BMSK'!C71)</f>
        <v>4</v>
      </c>
      <c r="C46">
        <f>N('Lube Frequency BMSK'!D71)</f>
        <v>4</v>
      </c>
      <c r="D46">
        <f>N('Lube Frequency BMSK'!E71)</f>
        <v>4</v>
      </c>
      <c r="F46" t="str">
        <f t="shared" si="0"/>
        <v>Hitachi ZX 470</v>
      </c>
      <c r="G46">
        <f>'Lube Frequency BMSK'!I71*B46*('Lube Frequency BMSK'!$L$1/$H$1)</f>
        <v>336</v>
      </c>
      <c r="H46">
        <f>'Lube Frequency BMSK'!I71*C46*('Lube Frequency BMSK'!$L$1/$H$1)</f>
        <v>336</v>
      </c>
      <c r="I46">
        <f>'Lube Frequency BMSK'!I71*D46*('Lube Frequency BMSK'!$L$1/$H$1)</f>
        <v>336</v>
      </c>
    </row>
    <row r="47" spans="1:9" x14ac:dyDescent="0.25">
      <c r="A47" t="str">
        <f>'Lube Frequency BMSK'!B72</f>
        <v>HITACHI ZX210W-5A EXCAVATOR</v>
      </c>
      <c r="B47">
        <f>N('Lube Frequency BMSK'!C72)</f>
        <v>0</v>
      </c>
      <c r="C47">
        <f>N('Lube Frequency BMSK'!D72)</f>
        <v>0</v>
      </c>
      <c r="D47">
        <f>N('Lube Frequency BMSK'!E72)</f>
        <v>0</v>
      </c>
      <c r="F47" t="str">
        <f t="shared" si="0"/>
        <v>HITACHI ZX210W-5A EXCAVATOR</v>
      </c>
      <c r="G47">
        <f>'Lube Frequency BMSK'!I72*B47*('Lube Frequency BMSK'!$L$1/$H$1)</f>
        <v>0</v>
      </c>
      <c r="H47">
        <f>'Lube Frequency BMSK'!I72*C47*('Lube Frequency BMSK'!$L$1/$H$1)</f>
        <v>0</v>
      </c>
      <c r="I47">
        <f>'Lube Frequency BMSK'!I72*D47*('Lube Frequency BMSK'!$L$1/$H$1)</f>
        <v>0</v>
      </c>
    </row>
    <row r="48" spans="1:9" x14ac:dyDescent="0.25">
      <c r="A48" t="str">
        <f>'Lube Frequency BMSK'!B73</f>
        <v>HITACHI ZX280-5G EXCAVATOR</v>
      </c>
      <c r="B48">
        <f>N('Lube Frequency BMSK'!C73)</f>
        <v>0</v>
      </c>
      <c r="C48">
        <f>N('Lube Frequency BMSK'!D73)</f>
        <v>0</v>
      </c>
      <c r="D48">
        <f>N('Lube Frequency BMSK'!E73)</f>
        <v>0</v>
      </c>
      <c r="F48" t="str">
        <f t="shared" si="0"/>
        <v>HITACHI ZX280-5G EXCAVATOR</v>
      </c>
      <c r="G48">
        <f>'Lube Frequency BMSK'!I73*B48*('Lube Frequency BMSK'!$L$1/$H$1)</f>
        <v>0</v>
      </c>
      <c r="H48">
        <f>'Lube Frequency BMSK'!I73*C48*('Lube Frequency BMSK'!$L$1/$H$1)</f>
        <v>0</v>
      </c>
      <c r="I48">
        <f>'Lube Frequency BMSK'!I73*D48*('Lube Frequency BMSK'!$L$1/$H$1)</f>
        <v>0</v>
      </c>
    </row>
    <row r="49" spans="1:9" x14ac:dyDescent="0.25">
      <c r="A49" t="str">
        <f>'Lube Frequency BMSK'!B74</f>
        <v>Hyundai HL770-9S</v>
      </c>
      <c r="B49">
        <f>N('Lube Frequency BMSK'!C74)</f>
        <v>3</v>
      </c>
      <c r="C49">
        <f>N('Lube Frequency BMSK'!D74)</f>
        <v>3</v>
      </c>
      <c r="D49">
        <f>N('Lube Frequency BMSK'!E74)</f>
        <v>3</v>
      </c>
      <c r="F49" t="str">
        <f t="shared" si="0"/>
        <v>Hyundai HL770-9S</v>
      </c>
      <c r="G49">
        <f>'Lube Frequency BMSK'!I74*B49*('Lube Frequency BMSK'!$L$1/$H$1)</f>
        <v>210</v>
      </c>
      <c r="H49">
        <f>'Lube Frequency BMSK'!I74*C49*('Lube Frequency BMSK'!$L$1/$H$1)</f>
        <v>210</v>
      </c>
      <c r="I49">
        <f>'Lube Frequency BMSK'!I74*D49*('Lube Frequency BMSK'!$L$1/$H$1)</f>
        <v>210</v>
      </c>
    </row>
    <row r="50" spans="1:9" x14ac:dyDescent="0.25">
      <c r="A50" t="str">
        <f>'Lube Frequency BMSK'!B75</f>
        <v>IVECO AA10,0-100 EMERGENCY EQUIPMENT FIRE-TRUCK</v>
      </c>
      <c r="B50">
        <f>N('Lube Frequency BMSK'!C75)</f>
        <v>0</v>
      </c>
      <c r="C50">
        <f>N('Lube Frequency BMSK'!D75)</f>
        <v>0</v>
      </c>
      <c r="D50">
        <f>N('Lube Frequency BMSK'!E75)</f>
        <v>0</v>
      </c>
      <c r="F50" t="str">
        <f t="shared" si="0"/>
        <v>IVECO AA10,0-100 EMERGENCY EQUIPMENT FIRE-TRUCK</v>
      </c>
      <c r="G50">
        <f>'Lube Frequency BMSK'!I75*B50*('Lube Frequency BMSK'!$L$1/$H$1)</f>
        <v>0</v>
      </c>
      <c r="H50">
        <f>'Lube Frequency BMSK'!I75*C50*('Lube Frequency BMSK'!$L$1/$H$1)</f>
        <v>0</v>
      </c>
      <c r="I50">
        <f>'Lube Frequency BMSK'!I75*D50*('Lube Frequency BMSK'!$L$1/$H$1)</f>
        <v>0</v>
      </c>
    </row>
    <row r="51" spans="1:9" x14ac:dyDescent="0.25">
      <c r="A51" t="str">
        <f>'Lube Frequency BMSK'!B76</f>
        <v>IVECO AMT 473916 EMERGENCY EQUIPMENT FIRE-TRUCK</v>
      </c>
      <c r="B51">
        <f>N('Lube Frequency BMSK'!C76)</f>
        <v>0</v>
      </c>
      <c r="C51">
        <f>N('Lube Frequency BMSK'!D76)</f>
        <v>0</v>
      </c>
      <c r="D51">
        <f>N('Lube Frequency BMSK'!E76)</f>
        <v>0</v>
      </c>
      <c r="F51" t="str">
        <f t="shared" si="0"/>
        <v>IVECO AMT 473916 EMERGENCY EQUIPMENT FIRE-TRUCK</v>
      </c>
      <c r="G51">
        <f>'Lube Frequency BMSK'!I76*B51*('Lube Frequency BMSK'!$L$1/$H$1)</f>
        <v>0</v>
      </c>
      <c r="H51">
        <f>'Lube Frequency BMSK'!I76*C51*('Lube Frequency BMSK'!$L$1/$H$1)</f>
        <v>0</v>
      </c>
      <c r="I51">
        <f>'Lube Frequency BMSK'!I76*D51*('Lube Frequency BMSK'!$L$1/$H$1)</f>
        <v>0</v>
      </c>
    </row>
    <row r="52" spans="1:9" x14ac:dyDescent="0.25">
      <c r="A52" t="str">
        <f>'Lube Frequency BMSK'!B77</f>
        <v>IVECO-AMT 653900 Dump Truck</v>
      </c>
      <c r="B52">
        <f>N('Lube Frequency BMSK'!C77)</f>
        <v>4</v>
      </c>
      <c r="C52">
        <f>N('Lube Frequency BMSK'!D77)</f>
        <v>4</v>
      </c>
      <c r="D52">
        <f>N('Lube Frequency BMSK'!E77)</f>
        <v>4</v>
      </c>
      <c r="F52" t="str">
        <f t="shared" si="0"/>
        <v>IVECO-AMT 653900 Dump Truck</v>
      </c>
      <c r="G52">
        <f>'Lube Frequency BMSK'!I77*B52*('Lube Frequency BMSK'!$L$1/$H$1)</f>
        <v>56</v>
      </c>
      <c r="H52">
        <f>'Lube Frequency BMSK'!I77*C52*('Lube Frequency BMSK'!$L$1/$H$1)</f>
        <v>56</v>
      </c>
      <c r="I52">
        <f>'Lube Frequency BMSK'!I77*D52*('Lube Frequency BMSK'!$L$1/$H$1)</f>
        <v>56</v>
      </c>
    </row>
    <row r="53" spans="1:9" x14ac:dyDescent="0.25">
      <c r="A53" t="str">
        <f>'Lube Frequency BMSK'!B78</f>
        <v>IVECO-AMT 653910 Tractor Truck</v>
      </c>
      <c r="B53">
        <f>N('Lube Frequency BMSK'!C78)</f>
        <v>0</v>
      </c>
      <c r="C53">
        <f>N('Lube Frequency BMSK'!D78)</f>
        <v>0</v>
      </c>
      <c r="D53">
        <f>N('Lube Frequency BMSK'!E78)</f>
        <v>0</v>
      </c>
      <c r="F53" t="str">
        <f t="shared" si="0"/>
        <v>IVECO-AMT 653910 Tractor Truck</v>
      </c>
      <c r="G53">
        <f>'Lube Frequency BMSK'!I78*B53*('Lube Frequency BMSK'!$L$1/$H$1)</f>
        <v>0</v>
      </c>
      <c r="H53">
        <f>'Lube Frequency BMSK'!I78*C53*('Lube Frequency BMSK'!$L$1/$H$1)</f>
        <v>0</v>
      </c>
      <c r="I53">
        <f>'Lube Frequency BMSK'!I78*D53*('Lube Frequency BMSK'!$L$1/$H$1)</f>
        <v>0</v>
      </c>
    </row>
    <row r="54" spans="1:9" x14ac:dyDescent="0.25">
      <c r="A54" t="str">
        <f>'Lube Frequency BMSK'!B79</f>
        <v>IVECO-AMT MTGE3 Tractor Truck</v>
      </c>
      <c r="B54">
        <f>N('Lube Frequency BMSK'!C79)</f>
        <v>0</v>
      </c>
      <c r="C54">
        <f>N('Lube Frequency BMSK'!D79)</f>
        <v>0</v>
      </c>
      <c r="D54">
        <f>N('Lube Frequency BMSK'!E79)</f>
        <v>0</v>
      </c>
      <c r="F54" t="str">
        <f t="shared" si="0"/>
        <v>IVECO-AMT MTGE3 Tractor Truck</v>
      </c>
      <c r="G54">
        <f>'Lube Frequency BMSK'!I79*B54*('Lube Frequency BMSK'!$L$1/$H$1)</f>
        <v>0</v>
      </c>
      <c r="H54">
        <f>'Lube Frequency BMSK'!I79*C54*('Lube Frequency BMSK'!$L$1/$H$1)</f>
        <v>0</v>
      </c>
      <c r="I54">
        <f>'Lube Frequency BMSK'!I79*D54*('Lube Frequency BMSK'!$L$1/$H$1)</f>
        <v>0</v>
      </c>
    </row>
    <row r="55" spans="1:9" x14ac:dyDescent="0.25">
      <c r="A55" t="str">
        <f>'Lube Frequency BMSK'!B80</f>
        <v>JCB VM200D COMPACTOR, ROLLER DRUM</v>
      </c>
      <c r="B55">
        <f>N('Lube Frequency BMSK'!C80)</f>
        <v>0</v>
      </c>
      <c r="C55">
        <f>N('Lube Frequency BMSK'!D80)</f>
        <v>0</v>
      </c>
      <c r="D55">
        <f>N('Lube Frequency BMSK'!E80)</f>
        <v>0</v>
      </c>
      <c r="F55" t="str">
        <f t="shared" si="0"/>
        <v>JCB VM200D COMPACTOR, ROLLER DRUM</v>
      </c>
      <c r="G55">
        <f>'Lube Frequency BMSK'!I80*B55*('Lube Frequency BMSK'!$L$1/$H$1)</f>
        <v>0</v>
      </c>
      <c r="H55">
        <f>'Lube Frequency BMSK'!I80*C55*('Lube Frequency BMSK'!$L$1/$H$1)</f>
        <v>0</v>
      </c>
      <c r="I55">
        <f>'Lube Frequency BMSK'!I80*D55*('Lube Frequency BMSK'!$L$1/$H$1)</f>
        <v>0</v>
      </c>
    </row>
    <row r="56" spans="1:9" x14ac:dyDescent="0.25">
      <c r="A56" t="str">
        <f>'Lube Frequency BMSK'!B81</f>
        <v>JLG 520AJ Manlift</v>
      </c>
      <c r="B56">
        <f>N('Lube Frequency BMSK'!C81)</f>
        <v>0</v>
      </c>
      <c r="C56">
        <f>N('Lube Frequency BMSK'!D81)</f>
        <v>0</v>
      </c>
      <c r="D56">
        <f>N('Lube Frequency BMSK'!E81)</f>
        <v>0</v>
      </c>
      <c r="F56" t="str">
        <f t="shared" si="0"/>
        <v>JLG 520AJ Manlift</v>
      </c>
      <c r="G56">
        <f>'Lube Frequency BMSK'!I81*B56*('Lube Frequency BMSK'!$L$1/$H$1)</f>
        <v>0</v>
      </c>
      <c r="H56">
        <f>'Lube Frequency BMSK'!I81*C56*('Lube Frequency BMSK'!$L$1/$H$1)</f>
        <v>0</v>
      </c>
      <c r="I56">
        <f>'Lube Frequency BMSK'!I81*D56*('Lube Frequency BMSK'!$L$1/$H$1)</f>
        <v>0</v>
      </c>
    </row>
    <row r="57" spans="1:9" x14ac:dyDescent="0.25">
      <c r="A57" t="str">
        <f>'Lube Frequency BMSK'!B82</f>
        <v>KAMAZ 65201-6010-49(B5)</v>
      </c>
      <c r="B57">
        <f>N('Lube Frequency BMSK'!C82)</f>
        <v>25</v>
      </c>
      <c r="C57">
        <f>N('Lube Frequency BMSK'!D82)</f>
        <v>25</v>
      </c>
      <c r="D57">
        <f>N('Lube Frequency BMSK'!E82)</f>
        <v>25</v>
      </c>
      <c r="F57" t="str">
        <f t="shared" si="0"/>
        <v>KAMAZ 65201-6010-49(B5)</v>
      </c>
      <c r="G57">
        <f>'Lube Frequency BMSK'!I82*B57*('Lube Frequency BMSK'!$L$1/$H$1)</f>
        <v>350</v>
      </c>
      <c r="H57">
        <f>'Lube Frequency BMSK'!I82*C57*('Lube Frequency BMSK'!$L$1/$H$1)</f>
        <v>350</v>
      </c>
      <c r="I57">
        <f>'Lube Frequency BMSK'!I82*D57*('Lube Frequency BMSK'!$L$1/$H$1)</f>
        <v>350</v>
      </c>
    </row>
    <row r="58" spans="1:9" x14ac:dyDescent="0.25">
      <c r="A58" t="str">
        <f>'Lube Frequency BMSK'!B83</f>
        <v>KOHLER J165 GENERATOR</v>
      </c>
      <c r="B58">
        <f>N('Lube Frequency BMSK'!C83)</f>
        <v>0</v>
      </c>
      <c r="C58">
        <f>N('Lube Frequency BMSK'!D83)</f>
        <v>0</v>
      </c>
      <c r="D58">
        <f>N('Lube Frequency BMSK'!E83)</f>
        <v>0</v>
      </c>
      <c r="F58" t="str">
        <f t="shared" si="0"/>
        <v>KOHLER J165 GENERATOR</v>
      </c>
      <c r="G58">
        <f>'Lube Frequency BMSK'!I83*B58*('Lube Frequency BMSK'!$L$1/$H$1)</f>
        <v>0</v>
      </c>
      <c r="H58">
        <f>'Lube Frequency BMSK'!I83*C58*('Lube Frequency BMSK'!$L$1/$H$1)</f>
        <v>0</v>
      </c>
      <c r="I58">
        <f>'Lube Frequency BMSK'!I83*D58*('Lube Frequency BMSK'!$L$1/$H$1)</f>
        <v>0</v>
      </c>
    </row>
    <row r="59" spans="1:9" x14ac:dyDescent="0.25">
      <c r="A59" t="str">
        <f>'Lube Frequency BMSK'!B84</f>
        <v>Komatsu D155A-5</v>
      </c>
      <c r="B59">
        <f>N('Lube Frequency BMSK'!C84)</f>
        <v>2</v>
      </c>
      <c r="C59">
        <f>N('Lube Frequency BMSK'!D84)</f>
        <v>2</v>
      </c>
      <c r="D59">
        <f>N('Lube Frequency BMSK'!E84)</f>
        <v>2</v>
      </c>
      <c r="F59" t="str">
        <f t="shared" si="0"/>
        <v>Komatsu D155A-5</v>
      </c>
      <c r="G59">
        <f>'Lube Frequency BMSK'!I84*B59*('Lube Frequency BMSK'!$L$1/$H$1)</f>
        <v>168</v>
      </c>
      <c r="H59">
        <f>'Lube Frequency BMSK'!I84*C59*('Lube Frequency BMSK'!$L$1/$H$1)</f>
        <v>168</v>
      </c>
      <c r="I59">
        <f>'Lube Frequency BMSK'!I84*D59*('Lube Frequency BMSK'!$L$1/$H$1)</f>
        <v>168</v>
      </c>
    </row>
    <row r="60" spans="1:9" x14ac:dyDescent="0.25">
      <c r="A60" t="str">
        <f>'Lube Frequency BMSK'!B85</f>
        <v>Komatsu D275A-5</v>
      </c>
      <c r="B60">
        <f>N('Lube Frequency BMSK'!C85)</f>
        <v>2</v>
      </c>
      <c r="C60">
        <f>N('Lube Frequency BMSK'!D85)</f>
        <v>2</v>
      </c>
      <c r="D60">
        <f>N('Lube Frequency BMSK'!E85)</f>
        <v>2</v>
      </c>
      <c r="F60" t="str">
        <f t="shared" si="0"/>
        <v>Komatsu D275A-5</v>
      </c>
      <c r="G60">
        <f>'Lube Frequency BMSK'!I85*B60*('Lube Frequency BMSK'!$L$1/$H$1)</f>
        <v>168</v>
      </c>
      <c r="H60">
        <f>'Lube Frequency BMSK'!I85*C60*('Lube Frequency BMSK'!$L$1/$H$1)</f>
        <v>168</v>
      </c>
      <c r="I60">
        <f>'Lube Frequency BMSK'!I85*D60*('Lube Frequency BMSK'!$L$1/$H$1)</f>
        <v>168</v>
      </c>
    </row>
    <row r="61" spans="1:9" x14ac:dyDescent="0.25">
      <c r="A61" t="str">
        <f>'Lube Frequency BMSK'!B86</f>
        <v>Komatsu D375A-6</v>
      </c>
      <c r="B61">
        <f>N('Lube Frequency BMSK'!C86)</f>
        <v>5</v>
      </c>
      <c r="C61">
        <f>N('Lube Frequency BMSK'!D86)</f>
        <v>5</v>
      </c>
      <c r="D61">
        <f>N('Lube Frequency BMSK'!E86)</f>
        <v>5</v>
      </c>
      <c r="F61" t="str">
        <f t="shared" si="0"/>
        <v>Komatsu D375A-6</v>
      </c>
      <c r="G61">
        <f>'Lube Frequency BMSK'!I86*B61*('Lube Frequency BMSK'!$L$1/$H$1)</f>
        <v>420</v>
      </c>
      <c r="H61">
        <f>'Lube Frequency BMSK'!I86*C61*('Lube Frequency BMSK'!$L$1/$H$1)</f>
        <v>420</v>
      </c>
      <c r="I61">
        <f>'Lube Frequency BMSK'!I86*D61*('Lube Frequency BMSK'!$L$1/$H$1)</f>
        <v>420</v>
      </c>
    </row>
    <row r="62" spans="1:9" x14ac:dyDescent="0.25">
      <c r="A62" t="str">
        <f>'Lube Frequency BMSK'!B87</f>
        <v>Komatsu GD825A-2</v>
      </c>
      <c r="B62">
        <f>N('Lube Frequency BMSK'!C87)</f>
        <v>2</v>
      </c>
      <c r="C62">
        <f>N('Lube Frequency BMSK'!D87)</f>
        <v>2</v>
      </c>
      <c r="D62">
        <f>N('Lube Frequency BMSK'!E87)</f>
        <v>2</v>
      </c>
      <c r="F62" t="str">
        <f t="shared" si="0"/>
        <v>Komatsu GD825A-2</v>
      </c>
      <c r="G62">
        <f>'Lube Frequency BMSK'!I87*B62*('Lube Frequency BMSK'!$L$1/$H$1)</f>
        <v>224</v>
      </c>
      <c r="H62">
        <f>'Lube Frequency BMSK'!I87*C62*('Lube Frequency BMSK'!$L$1/$H$1)</f>
        <v>224</v>
      </c>
      <c r="I62">
        <f>'Lube Frequency BMSK'!I87*D62*('Lube Frequency BMSK'!$L$1/$H$1)</f>
        <v>224</v>
      </c>
    </row>
    <row r="63" spans="1:9" x14ac:dyDescent="0.25">
      <c r="A63" t="str">
        <f>'Lube Frequency BMSK'!B88</f>
        <v>Komatsu HM400-3MO</v>
      </c>
      <c r="B63">
        <f>N('Lube Frequency BMSK'!C88)</f>
        <v>28</v>
      </c>
      <c r="C63">
        <f>N('Lube Frequency BMSK'!D88)</f>
        <v>28</v>
      </c>
      <c r="D63">
        <f>N('Lube Frequency BMSK'!E88)</f>
        <v>28</v>
      </c>
      <c r="F63" t="str">
        <f t="shared" si="0"/>
        <v>Komatsu HM400-3MO</v>
      </c>
      <c r="G63">
        <f>'Lube Frequency BMSK'!I88*B63*('Lube Frequency BMSK'!$L$1/$H$1)</f>
        <v>5096</v>
      </c>
      <c r="H63">
        <f>'Lube Frequency BMSK'!I88*C63*('Lube Frequency BMSK'!$L$1/$H$1)</f>
        <v>5096</v>
      </c>
      <c r="I63">
        <f>'Lube Frequency BMSK'!I88*D63*('Lube Frequency BMSK'!$L$1/$H$1)</f>
        <v>5096</v>
      </c>
    </row>
    <row r="64" spans="1:9" x14ac:dyDescent="0.25">
      <c r="A64" t="str">
        <f>'Lube Frequency BMSK'!B89</f>
        <v>Komatsu P&amp;H 44XT</v>
      </c>
      <c r="B64">
        <f>N('Lube Frequency BMSK'!C89)</f>
        <v>2</v>
      </c>
      <c r="C64">
        <f>N('Lube Frequency BMSK'!D89)</f>
        <v>2</v>
      </c>
      <c r="D64">
        <f>N('Lube Frequency BMSK'!E89)</f>
        <v>2</v>
      </c>
      <c r="F64" t="str">
        <f t="shared" si="0"/>
        <v>Komatsu P&amp;H 44XT</v>
      </c>
      <c r="G64">
        <f>'Lube Frequency BMSK'!I89*B64*('Lube Frequency BMSK'!$L$1/$H$1)</f>
        <v>336</v>
      </c>
      <c r="H64">
        <f>'Lube Frequency BMSK'!I89*C64*('Lube Frequency BMSK'!$L$1/$H$1)</f>
        <v>336</v>
      </c>
      <c r="I64">
        <f>'Lube Frequency BMSK'!I89*D64*('Lube Frequency BMSK'!$L$1/$H$1)</f>
        <v>336</v>
      </c>
    </row>
    <row r="65" spans="1:9" x14ac:dyDescent="0.25">
      <c r="A65" t="str">
        <f>'Lube Frequency BMSK'!B90</f>
        <v>KOMATSU PC2000-8</v>
      </c>
      <c r="B65">
        <f>N('Lube Frequency BMSK'!C90)</f>
        <v>2</v>
      </c>
      <c r="C65">
        <f>N('Lube Frequency BMSK'!D90)</f>
        <v>2</v>
      </c>
      <c r="D65">
        <f>N('Lube Frequency BMSK'!E90)</f>
        <v>2</v>
      </c>
      <c r="F65" t="str">
        <f t="shared" si="0"/>
        <v>KOMATSU PC2000-8</v>
      </c>
      <c r="G65">
        <f>'Lube Frequency BMSK'!I90*B65*('Lube Frequency BMSK'!$L$1/$H$1)</f>
        <v>196</v>
      </c>
      <c r="H65">
        <f>'Lube Frequency BMSK'!I90*C65*('Lube Frequency BMSK'!$L$1/$H$1)</f>
        <v>196</v>
      </c>
      <c r="I65">
        <f>'Lube Frequency BMSK'!I90*D65*('Lube Frequency BMSK'!$L$1/$H$1)</f>
        <v>196</v>
      </c>
    </row>
    <row r="66" spans="1:9" x14ac:dyDescent="0.25">
      <c r="A66" t="str">
        <f>'Lube Frequency BMSK'!B91</f>
        <v>Komatsu PC800-8EO</v>
      </c>
      <c r="B66">
        <f>N('Lube Frequency BMSK'!C91)</f>
        <v>3</v>
      </c>
      <c r="C66">
        <f>N('Lube Frequency BMSK'!D91)</f>
        <v>3</v>
      </c>
      <c r="D66">
        <f>N('Lube Frequency BMSK'!E91)</f>
        <v>3</v>
      </c>
      <c r="F66" t="str">
        <f t="shared" si="0"/>
        <v>Komatsu PC800-8EO</v>
      </c>
      <c r="G66">
        <f>'Lube Frequency BMSK'!I91*B66*('Lube Frequency BMSK'!$L$1/$H$1)</f>
        <v>294</v>
      </c>
      <c r="H66">
        <f>'Lube Frequency BMSK'!I91*C66*('Lube Frequency BMSK'!$L$1/$H$1)</f>
        <v>294</v>
      </c>
      <c r="I66">
        <f>'Lube Frequency BMSK'!I91*D66*('Lube Frequency BMSK'!$L$1/$H$1)</f>
        <v>294</v>
      </c>
    </row>
    <row r="67" spans="1:9" x14ac:dyDescent="0.25">
      <c r="A67" t="str">
        <f>'Lube Frequency BMSK'!B92</f>
        <v>Komatsu WA470-6 8?</v>
      </c>
      <c r="B67">
        <f>N('Lube Frequency BMSK'!C92)</f>
        <v>5</v>
      </c>
      <c r="C67">
        <f>N('Lube Frequency BMSK'!D92)</f>
        <v>5</v>
      </c>
      <c r="D67">
        <f>N('Lube Frequency BMSK'!E92)</f>
        <v>5</v>
      </c>
      <c r="F67" t="str">
        <f t="shared" si="0"/>
        <v>Komatsu WA470-6 8?</v>
      </c>
      <c r="G67">
        <f>'Lube Frequency BMSK'!I92*B67*('Lube Frequency BMSK'!$L$1/$H$1)</f>
        <v>350</v>
      </c>
      <c r="H67">
        <f>'Lube Frequency BMSK'!I92*C67*('Lube Frequency BMSK'!$L$1/$H$1)</f>
        <v>350</v>
      </c>
      <c r="I67">
        <f>'Lube Frequency BMSK'!I92*D67*('Lube Frequency BMSK'!$L$1/$H$1)</f>
        <v>350</v>
      </c>
    </row>
    <row r="68" spans="1:9" x14ac:dyDescent="0.25">
      <c r="A68" t="str">
        <f>'Lube Frequency BMSK'!B93</f>
        <v>LIUGONG 395B</v>
      </c>
      <c r="B68">
        <f>N('Lube Frequency BMSK'!C93)</f>
        <v>0</v>
      </c>
      <c r="C68">
        <f>N('Lube Frequency BMSK'!D93)</f>
        <v>0</v>
      </c>
      <c r="D68">
        <f>N('Lube Frequency BMSK'!E93)</f>
        <v>0</v>
      </c>
      <c r="F68" t="str">
        <f t="shared" si="0"/>
        <v>LIUGONG 395B</v>
      </c>
      <c r="G68">
        <f>'Lube Frequency BMSK'!I93*B68*('Lube Frequency BMSK'!$L$1/$H$1)</f>
        <v>0</v>
      </c>
      <c r="H68">
        <f>'Lube Frequency BMSK'!I93*C68*('Lube Frequency BMSK'!$L$1/$H$1)</f>
        <v>0</v>
      </c>
      <c r="I68">
        <f>'Lube Frequency BMSK'!I93*D68*('Lube Frequency BMSK'!$L$1/$H$1)</f>
        <v>0</v>
      </c>
    </row>
    <row r="69" spans="1:9" x14ac:dyDescent="0.25">
      <c r="A69" t="str">
        <f>'Lube Frequency BMSK'!B94</f>
        <v>LIUGONG CLG2050H</v>
      </c>
      <c r="B69">
        <f>N('Lube Frequency BMSK'!C94)</f>
        <v>0</v>
      </c>
      <c r="C69">
        <f>N('Lube Frequency BMSK'!D94)</f>
        <v>0</v>
      </c>
      <c r="D69">
        <f>N('Lube Frequency BMSK'!E94)</f>
        <v>0</v>
      </c>
      <c r="F69" t="str">
        <f t="shared" si="0"/>
        <v>LIUGONG CLG2050H</v>
      </c>
      <c r="G69">
        <f>'Lube Frequency BMSK'!I94*B69*('Lube Frequency BMSK'!$L$1/$H$1)</f>
        <v>0</v>
      </c>
      <c r="H69">
        <f>'Lube Frequency BMSK'!I94*C69*('Lube Frequency BMSK'!$L$1/$H$1)</f>
        <v>0</v>
      </c>
      <c r="I69">
        <f>'Lube Frequency BMSK'!I94*D69*('Lube Frequency BMSK'!$L$1/$H$1)</f>
        <v>0</v>
      </c>
    </row>
    <row r="70" spans="1:9" x14ac:dyDescent="0.25">
      <c r="A70" t="str">
        <f>'Lube Frequency BMSK'!B95</f>
        <v>Liugong CLG764A</v>
      </c>
      <c r="B70">
        <f>N('Lube Frequency BMSK'!C95)</f>
        <v>0</v>
      </c>
      <c r="C70">
        <f>N('Lube Frequency BMSK'!D95)</f>
        <v>0</v>
      </c>
      <c r="D70">
        <f>N('Lube Frequency BMSK'!E95)</f>
        <v>0</v>
      </c>
      <c r="F70" t="str">
        <f t="shared" si="0"/>
        <v>Liugong CLG764A</v>
      </c>
      <c r="G70">
        <f>'Lube Frequency BMSK'!I95*B70*('Lube Frequency BMSK'!$L$1/$H$1)</f>
        <v>0</v>
      </c>
      <c r="H70">
        <f>'Lube Frequency BMSK'!I95*C70*('Lube Frequency BMSK'!$L$1/$H$1)</f>
        <v>0</v>
      </c>
      <c r="I70">
        <f>'Lube Frequency BMSK'!I95*D70*('Lube Frequency BMSK'!$L$1/$H$1)</f>
        <v>0</v>
      </c>
    </row>
    <row r="71" spans="1:9" x14ac:dyDescent="0.25">
      <c r="A71" t="str">
        <f>'Lube Frequency BMSK'!B96</f>
        <v>Liugong CLG8250H</v>
      </c>
      <c r="B71">
        <f>N('Lube Frequency BMSK'!C96)</f>
        <v>0</v>
      </c>
      <c r="C71">
        <f>N('Lube Frequency BMSK'!D96)</f>
        <v>0</v>
      </c>
      <c r="D71">
        <f>N('Lube Frequency BMSK'!E96)</f>
        <v>0</v>
      </c>
      <c r="F71" t="str">
        <f t="shared" ref="F71:F134" si="1">A71</f>
        <v>Liugong CLG8250H</v>
      </c>
      <c r="G71">
        <f>'Lube Frequency BMSK'!I96*B71*('Lube Frequency BMSK'!$L$1/$H$1)</f>
        <v>0</v>
      </c>
      <c r="H71">
        <f>'Lube Frequency BMSK'!I96*C71*('Lube Frequency BMSK'!$L$1/$H$1)</f>
        <v>0</v>
      </c>
      <c r="I71">
        <f>'Lube Frequency BMSK'!I96*D71*('Lube Frequency BMSK'!$L$1/$H$1)</f>
        <v>0</v>
      </c>
    </row>
    <row r="72" spans="1:9" x14ac:dyDescent="0.25">
      <c r="A72" t="str">
        <f>'Lube Frequency BMSK'!B97</f>
        <v>Liugong CLG886H</v>
      </c>
      <c r="B72">
        <f>N('Lube Frequency BMSK'!C97)</f>
        <v>0</v>
      </c>
      <c r="C72">
        <f>N('Lube Frequency BMSK'!D97)</f>
        <v>0</v>
      </c>
      <c r="D72">
        <f>N('Lube Frequency BMSK'!E97)</f>
        <v>0</v>
      </c>
      <c r="F72" t="str">
        <f t="shared" si="1"/>
        <v>Liugong CLG886H</v>
      </c>
      <c r="G72">
        <f>'Lube Frequency BMSK'!I97*B72*('Lube Frequency BMSK'!$L$1/$H$1)</f>
        <v>0</v>
      </c>
      <c r="H72">
        <f>'Lube Frequency BMSK'!I97*C72*('Lube Frequency BMSK'!$L$1/$H$1)</f>
        <v>0</v>
      </c>
      <c r="I72">
        <f>'Lube Frequency BMSK'!I97*D72*('Lube Frequency BMSK'!$L$1/$H$1)</f>
        <v>0</v>
      </c>
    </row>
    <row r="73" spans="1:9" x14ac:dyDescent="0.25">
      <c r="A73" t="str">
        <f>'Lube Frequency BMSK'!B98</f>
        <v>LIUGONG CLGA20-S</v>
      </c>
      <c r="B73">
        <f>N('Lube Frequency BMSK'!C98)</f>
        <v>0</v>
      </c>
      <c r="C73">
        <f>N('Lube Frequency BMSK'!D98)</f>
        <v>0</v>
      </c>
      <c r="D73">
        <f>N('Lube Frequency BMSK'!E98)</f>
        <v>0</v>
      </c>
      <c r="F73" t="str">
        <f t="shared" si="1"/>
        <v>LIUGONG CLGA20-S</v>
      </c>
      <c r="G73">
        <f>'Lube Frequency BMSK'!I98*B73*('Lube Frequency BMSK'!$L$1/$H$1)</f>
        <v>0</v>
      </c>
      <c r="H73">
        <f>'Lube Frequency BMSK'!I98*C73*('Lube Frequency BMSK'!$L$1/$H$1)</f>
        <v>0</v>
      </c>
      <c r="I73">
        <f>'Lube Frequency BMSK'!I98*D73*('Lube Frequency BMSK'!$L$1/$H$1)</f>
        <v>0</v>
      </c>
    </row>
    <row r="74" spans="1:9" x14ac:dyDescent="0.25">
      <c r="A74" t="str">
        <f>'Lube Frequency BMSK'!B99</f>
        <v xml:space="preserve">LIUGONG CPCD30 </v>
      </c>
      <c r="B74">
        <f>N('Lube Frequency BMSK'!C99)</f>
        <v>0</v>
      </c>
      <c r="C74">
        <f>N('Lube Frequency BMSK'!D99)</f>
        <v>0</v>
      </c>
      <c r="D74">
        <f>N('Lube Frequency BMSK'!E99)</f>
        <v>0</v>
      </c>
      <c r="F74" t="str">
        <f t="shared" si="1"/>
        <v xml:space="preserve">LIUGONG CPCD30 </v>
      </c>
      <c r="G74">
        <f>'Lube Frequency BMSK'!I99*B74*('Lube Frequency BMSK'!$L$1/$H$1)</f>
        <v>0</v>
      </c>
      <c r="H74">
        <f>'Lube Frequency BMSK'!I99*C74*('Lube Frequency BMSK'!$L$1/$H$1)</f>
        <v>0</v>
      </c>
      <c r="I74">
        <f>'Lube Frequency BMSK'!I99*D74*('Lube Frequency BMSK'!$L$1/$H$1)</f>
        <v>0</v>
      </c>
    </row>
    <row r="75" spans="1:9" x14ac:dyDescent="0.25">
      <c r="A75" t="str">
        <f>'Lube Frequency BMSK'!B100</f>
        <v>Longyear LF-90D</v>
      </c>
      <c r="B75">
        <f>N('Lube Frequency BMSK'!C100)</f>
        <v>3</v>
      </c>
      <c r="C75">
        <f>N('Lube Frequency BMSK'!D100)</f>
        <v>3</v>
      </c>
      <c r="D75">
        <f>N('Lube Frequency BMSK'!E100)</f>
        <v>3</v>
      </c>
      <c r="F75" t="str">
        <f t="shared" si="1"/>
        <v>Longyear LF-90D</v>
      </c>
      <c r="G75">
        <f>'Lube Frequency BMSK'!I100*B75*('Lube Frequency BMSK'!$L$1/$H$1)</f>
        <v>42</v>
      </c>
      <c r="H75">
        <f>'Lube Frequency BMSK'!I100*C75*('Lube Frequency BMSK'!$L$1/$H$1)</f>
        <v>42</v>
      </c>
      <c r="I75">
        <f>'Lube Frequency BMSK'!I100*D75*('Lube Frequency BMSK'!$L$1/$H$1)</f>
        <v>42</v>
      </c>
    </row>
    <row r="76" spans="1:9" x14ac:dyDescent="0.25">
      <c r="A76" t="str">
        <f>'Lube Frequency BMSK'!B101</f>
        <v>Luigong 990FHD</v>
      </c>
      <c r="B76">
        <f>N('Lube Frequency BMSK'!C101)</f>
        <v>2</v>
      </c>
      <c r="C76">
        <f>N('Lube Frequency BMSK'!D101)</f>
        <v>2</v>
      </c>
      <c r="D76">
        <f>N('Lube Frequency BMSK'!E101)</f>
        <v>2</v>
      </c>
      <c r="F76" t="str">
        <f t="shared" si="1"/>
        <v>Luigong 990FHD</v>
      </c>
      <c r="G76">
        <f>'Lube Frequency BMSK'!I101*B76*('Lube Frequency BMSK'!$L$1/$H$1)</f>
        <v>224</v>
      </c>
      <c r="H76">
        <f>'Lube Frequency BMSK'!I101*C76*('Lube Frequency BMSK'!$L$1/$H$1)</f>
        <v>224</v>
      </c>
      <c r="I76">
        <f>'Lube Frequency BMSK'!I101*D76*('Lube Frequency BMSK'!$L$1/$H$1)</f>
        <v>224</v>
      </c>
    </row>
    <row r="77" spans="1:9" x14ac:dyDescent="0.25">
      <c r="A77" t="str">
        <f>'Lube Frequency BMSK'!B102</f>
        <v>Luigong CLG4260D</v>
      </c>
      <c r="B77">
        <f>N('Lube Frequency BMSK'!C102)</f>
        <v>4</v>
      </c>
      <c r="C77">
        <f>N('Lube Frequency BMSK'!D102)</f>
        <v>4</v>
      </c>
      <c r="D77">
        <f>N('Lube Frequency BMSK'!E102)</f>
        <v>4</v>
      </c>
      <c r="F77" t="str">
        <f t="shared" si="1"/>
        <v>Luigong CLG4260D</v>
      </c>
      <c r="G77">
        <f>'Lube Frequency BMSK'!I102*B77*('Lube Frequency BMSK'!$L$1/$H$1)</f>
        <v>560</v>
      </c>
      <c r="H77">
        <f>'Lube Frequency BMSK'!I102*C77*('Lube Frequency BMSK'!$L$1/$H$1)</f>
        <v>560</v>
      </c>
      <c r="I77">
        <f>'Lube Frequency BMSK'!I102*D77*('Lube Frequency BMSK'!$L$1/$H$1)</f>
        <v>560</v>
      </c>
    </row>
    <row r="78" spans="1:9" x14ac:dyDescent="0.25">
      <c r="A78" t="str">
        <f>'Lube Frequency BMSK'!B103</f>
        <v>Luigong CLG970E</v>
      </c>
      <c r="B78">
        <f>N('Lube Frequency BMSK'!C103)</f>
        <v>3</v>
      </c>
      <c r="C78">
        <f>N('Lube Frequency BMSK'!D103)</f>
        <v>3</v>
      </c>
      <c r="D78">
        <f>N('Lube Frequency BMSK'!E103)</f>
        <v>3</v>
      </c>
      <c r="F78" t="str">
        <f t="shared" si="1"/>
        <v>Luigong CLG970E</v>
      </c>
      <c r="G78">
        <f>'Lube Frequency BMSK'!I103*B78*('Lube Frequency BMSK'!$L$1/$H$1)</f>
        <v>252</v>
      </c>
      <c r="H78">
        <f>'Lube Frequency BMSK'!I103*C78*('Lube Frequency BMSK'!$L$1/$H$1)</f>
        <v>252</v>
      </c>
      <c r="I78">
        <f>'Lube Frequency BMSK'!I103*D78*('Lube Frequency BMSK'!$L$1/$H$1)</f>
        <v>252</v>
      </c>
    </row>
    <row r="79" spans="1:9" x14ac:dyDescent="0.25">
      <c r="A79" t="str">
        <f>'Lube Frequency BMSK'!B104</f>
        <v>Luigong CLGF330</v>
      </c>
      <c r="B79">
        <f>N('Lube Frequency BMSK'!C104)</f>
        <v>1</v>
      </c>
      <c r="C79">
        <f>N('Lube Frequency BMSK'!D104)</f>
        <v>1</v>
      </c>
      <c r="D79">
        <f>N('Lube Frequency BMSK'!E104)</f>
        <v>1</v>
      </c>
      <c r="F79" t="str">
        <f t="shared" si="1"/>
        <v>Luigong CLGF330</v>
      </c>
      <c r="G79">
        <f>'Lube Frequency BMSK'!I104*B79*('Lube Frequency BMSK'!$L$1/$H$1)</f>
        <v>70</v>
      </c>
      <c r="H79">
        <f>'Lube Frequency BMSK'!I104*C79*('Lube Frequency BMSK'!$L$1/$H$1)</f>
        <v>70</v>
      </c>
      <c r="I79">
        <f>'Lube Frequency BMSK'!I104*D79*('Lube Frequency BMSK'!$L$1/$H$1)</f>
        <v>70</v>
      </c>
    </row>
    <row r="80" spans="1:9" x14ac:dyDescent="0.25">
      <c r="A80" t="str">
        <f>'Lube Frequency BMSK'!B105</f>
        <v>Manitou MHT-X 10135 Tyre Handler</v>
      </c>
      <c r="B80">
        <f>N('Lube Frequency BMSK'!C105)</f>
        <v>0</v>
      </c>
      <c r="C80">
        <f>N('Lube Frequency BMSK'!D105)</f>
        <v>0</v>
      </c>
      <c r="D80">
        <f>N('Lube Frequency BMSK'!E105)</f>
        <v>0</v>
      </c>
      <c r="F80" t="str">
        <f t="shared" si="1"/>
        <v>Manitou MHT-X 10135 Tyre Handler</v>
      </c>
      <c r="G80">
        <f>'Lube Frequency BMSK'!I105*B80*('Lube Frequency BMSK'!$L$1/$H$1)</f>
        <v>0</v>
      </c>
      <c r="H80">
        <f>'Lube Frequency BMSK'!I105*C80*('Lube Frequency BMSK'!$L$1/$H$1)</f>
        <v>0</v>
      </c>
      <c r="I80">
        <f>'Lube Frequency BMSK'!I105*D80*('Lube Frequency BMSK'!$L$1/$H$1)</f>
        <v>0</v>
      </c>
    </row>
    <row r="81" spans="1:9" x14ac:dyDescent="0.25">
      <c r="A81" t="str">
        <f>'Lube Frequency BMSK'!B106</f>
        <v>Manitou MHT-X 10180 Cylinder Handler</v>
      </c>
      <c r="B81">
        <f>N('Lube Frequency BMSK'!C106)</f>
        <v>0</v>
      </c>
      <c r="C81">
        <f>N('Lube Frequency BMSK'!D106)</f>
        <v>0</v>
      </c>
      <c r="D81">
        <f>N('Lube Frequency BMSK'!E106)</f>
        <v>0</v>
      </c>
      <c r="F81" t="str">
        <f t="shared" si="1"/>
        <v>Manitou MHT-X 10180 Cylinder Handler</v>
      </c>
      <c r="G81">
        <f>'Lube Frequency BMSK'!I106*B81*('Lube Frequency BMSK'!$L$1/$H$1)</f>
        <v>0</v>
      </c>
      <c r="H81">
        <f>'Lube Frequency BMSK'!I106*C81*('Lube Frequency BMSK'!$L$1/$H$1)</f>
        <v>0</v>
      </c>
      <c r="I81">
        <f>'Lube Frequency BMSK'!I106*D81*('Lube Frequency BMSK'!$L$1/$H$1)</f>
        <v>0</v>
      </c>
    </row>
    <row r="82" spans="1:9" x14ac:dyDescent="0.25">
      <c r="A82" t="str">
        <f>'Lube Frequency BMSK'!B107</f>
        <v>Manitou MHT-X 790 Telescopic Handler</v>
      </c>
      <c r="B82">
        <f>N('Lube Frequency BMSK'!C107)</f>
        <v>0</v>
      </c>
      <c r="C82">
        <f>N('Lube Frequency BMSK'!D107)</f>
        <v>0</v>
      </c>
      <c r="D82">
        <f>N('Lube Frequency BMSK'!E107)</f>
        <v>0</v>
      </c>
      <c r="F82" t="str">
        <f t="shared" si="1"/>
        <v>Manitou MHT-X 790 Telescopic Handler</v>
      </c>
      <c r="G82">
        <f>'Lube Frequency BMSK'!I107*B82*('Lube Frequency BMSK'!$L$1/$H$1)</f>
        <v>0</v>
      </c>
      <c r="H82">
        <f>'Lube Frequency BMSK'!I107*C82*('Lube Frequency BMSK'!$L$1/$H$1)</f>
        <v>0</v>
      </c>
      <c r="I82">
        <f>'Lube Frequency BMSK'!I107*D82*('Lube Frequency BMSK'!$L$1/$H$1)</f>
        <v>0</v>
      </c>
    </row>
    <row r="83" spans="1:9" x14ac:dyDescent="0.25">
      <c r="A83" t="str">
        <f>'Lube Frequency BMSK'!B108</f>
        <v>Manitou MT-X 1840 Telescopic Handler</v>
      </c>
      <c r="B83">
        <f>N('Lube Frequency BMSK'!C108)</f>
        <v>0</v>
      </c>
      <c r="C83">
        <f>N('Lube Frequency BMSK'!D108)</f>
        <v>0</v>
      </c>
      <c r="D83">
        <f>N('Lube Frequency BMSK'!E108)</f>
        <v>0</v>
      </c>
      <c r="F83" t="str">
        <f t="shared" si="1"/>
        <v>Manitou MT-X 1840 Telescopic Handler</v>
      </c>
      <c r="G83">
        <f>'Lube Frequency BMSK'!I108*B83*('Lube Frequency BMSK'!$L$1/$H$1)</f>
        <v>0</v>
      </c>
      <c r="H83">
        <f>'Lube Frequency BMSK'!I108*C83*('Lube Frequency BMSK'!$L$1/$H$1)</f>
        <v>0</v>
      </c>
      <c r="I83">
        <f>'Lube Frequency BMSK'!I108*D83*('Lube Frequency BMSK'!$L$1/$H$1)</f>
        <v>0</v>
      </c>
    </row>
    <row r="84" spans="1:9" x14ac:dyDescent="0.25">
      <c r="A84" t="str">
        <f>'Lube Frequency BMSK'!B109</f>
        <v>Manitou MT-X1440 Telescopic Handler</v>
      </c>
      <c r="B84">
        <f>N('Lube Frequency BMSK'!C109)</f>
        <v>0</v>
      </c>
      <c r="C84">
        <f>N('Lube Frequency BMSK'!D109)</f>
        <v>0</v>
      </c>
      <c r="D84">
        <f>N('Lube Frequency BMSK'!E109)</f>
        <v>0</v>
      </c>
      <c r="F84" t="str">
        <f t="shared" si="1"/>
        <v>Manitou MT-X1440 Telescopic Handler</v>
      </c>
      <c r="G84">
        <f>'Lube Frequency BMSK'!I109*B84*('Lube Frequency BMSK'!$L$1/$H$1)</f>
        <v>0</v>
      </c>
      <c r="H84">
        <f>'Lube Frequency BMSK'!I109*C84*('Lube Frequency BMSK'!$L$1/$H$1)</f>
        <v>0</v>
      </c>
      <c r="I84">
        <f>'Lube Frequency BMSK'!I109*D84*('Lube Frequency BMSK'!$L$1/$H$1)</f>
        <v>0</v>
      </c>
    </row>
    <row r="85" spans="1:9" x14ac:dyDescent="0.25">
      <c r="A85" t="str">
        <f>'Lube Frequency BMSK'!B110</f>
        <v>Manitou M-X-50-4 Forklift</v>
      </c>
      <c r="B85">
        <f>N('Lube Frequency BMSK'!C110)</f>
        <v>0</v>
      </c>
      <c r="C85">
        <f>N('Lube Frequency BMSK'!D110)</f>
        <v>0</v>
      </c>
      <c r="D85">
        <f>N('Lube Frequency BMSK'!E110)</f>
        <v>0</v>
      </c>
      <c r="F85" t="str">
        <f t="shared" si="1"/>
        <v>Manitou M-X-50-4 Forklift</v>
      </c>
      <c r="G85">
        <f>'Lube Frequency BMSK'!I110*B85*('Lube Frequency BMSK'!$L$1/$H$1)</f>
        <v>0</v>
      </c>
      <c r="H85">
        <f>'Lube Frequency BMSK'!I110*C85*('Lube Frequency BMSK'!$L$1/$H$1)</f>
        <v>0</v>
      </c>
      <c r="I85">
        <f>'Lube Frequency BMSK'!I110*D85*('Lube Frequency BMSK'!$L$1/$H$1)</f>
        <v>0</v>
      </c>
    </row>
    <row r="86" spans="1:9" x14ac:dyDescent="0.25">
      <c r="A86" t="str">
        <f>'Lube Frequency BMSK'!B111</f>
        <v>MAZ misc trucks</v>
      </c>
      <c r="B86">
        <f>N('Lube Frequency BMSK'!C111)</f>
        <v>0</v>
      </c>
      <c r="C86">
        <f>N('Lube Frequency BMSK'!D111)</f>
        <v>0</v>
      </c>
      <c r="D86">
        <f>N('Lube Frequency BMSK'!E111)</f>
        <v>0</v>
      </c>
      <c r="F86" t="str">
        <f t="shared" si="1"/>
        <v>MAZ misc trucks</v>
      </c>
      <c r="G86">
        <f>'Lube Frequency BMSK'!I111*B86*('Lube Frequency BMSK'!$L$1/$H$1)</f>
        <v>0</v>
      </c>
      <c r="H86">
        <f>'Lube Frequency BMSK'!I111*C86*('Lube Frequency BMSK'!$L$1/$H$1)</f>
        <v>0</v>
      </c>
      <c r="I86">
        <f>'Lube Frequency BMSK'!I111*D86*('Lube Frequency BMSK'!$L$1/$H$1)</f>
        <v>0</v>
      </c>
    </row>
    <row r="87" spans="1:9" x14ac:dyDescent="0.25">
      <c r="A87" t="str">
        <f>'Lube Frequency BMSK'!B112</f>
        <v>McCloskey C38</v>
      </c>
      <c r="B87">
        <f>N('Lube Frequency BMSK'!C112)</f>
        <v>1</v>
      </c>
      <c r="C87">
        <f>N('Lube Frequency BMSK'!D112)</f>
        <v>1</v>
      </c>
      <c r="D87">
        <f>N('Lube Frequency BMSK'!E112)</f>
        <v>1</v>
      </c>
      <c r="F87" t="str">
        <f t="shared" si="1"/>
        <v>McCloskey C38</v>
      </c>
      <c r="G87">
        <f>'Lube Frequency BMSK'!I112*B87*('Lube Frequency BMSK'!$L$1/$H$1)</f>
        <v>56</v>
      </c>
      <c r="H87">
        <f>'Lube Frequency BMSK'!I112*C87*('Lube Frequency BMSK'!$L$1/$H$1)</f>
        <v>56</v>
      </c>
      <c r="I87">
        <f>'Lube Frequency BMSK'!I112*D87*('Lube Frequency BMSK'!$L$1/$H$1)</f>
        <v>56</v>
      </c>
    </row>
    <row r="88" spans="1:9" x14ac:dyDescent="0.25">
      <c r="A88" t="str">
        <f>'Lube Frequency BMSK'!B113</f>
        <v>McCloskey C44</v>
      </c>
      <c r="B88">
        <f>N('Lube Frequency BMSK'!C113)</f>
        <v>1</v>
      </c>
      <c r="C88">
        <f>N('Lube Frequency BMSK'!D113)</f>
        <v>1</v>
      </c>
      <c r="D88">
        <f>N('Lube Frequency BMSK'!E113)</f>
        <v>1</v>
      </c>
      <c r="F88" t="str">
        <f t="shared" si="1"/>
        <v>McCloskey C44</v>
      </c>
      <c r="G88">
        <f>'Lube Frequency BMSK'!I113*B88*('Lube Frequency BMSK'!$L$1/$H$1)</f>
        <v>56</v>
      </c>
      <c r="H88">
        <f>'Lube Frequency BMSK'!I113*C88*('Lube Frequency BMSK'!$L$1/$H$1)</f>
        <v>56</v>
      </c>
      <c r="I88">
        <f>'Lube Frequency BMSK'!I113*D88*('Lube Frequency BMSK'!$L$1/$H$1)</f>
        <v>56</v>
      </c>
    </row>
    <row r="89" spans="1:9" x14ac:dyDescent="0.25">
      <c r="A89" t="str">
        <f>'Lube Frequency BMSK'!B114</f>
        <v>McCloskey J45</v>
      </c>
      <c r="B89">
        <f>N('Lube Frequency BMSK'!C114)</f>
        <v>1</v>
      </c>
      <c r="C89">
        <f>N('Lube Frequency BMSK'!D114)</f>
        <v>1</v>
      </c>
      <c r="D89">
        <f>N('Lube Frequency BMSK'!E114)</f>
        <v>1</v>
      </c>
      <c r="F89" t="str">
        <f t="shared" si="1"/>
        <v>McCloskey J45</v>
      </c>
      <c r="G89">
        <f>'Lube Frequency BMSK'!I114*B89*('Lube Frequency BMSK'!$L$1/$H$1)</f>
        <v>98</v>
      </c>
      <c r="H89">
        <f>'Lube Frequency BMSK'!I114*C89*('Lube Frequency BMSK'!$L$1/$H$1)</f>
        <v>98</v>
      </c>
      <c r="I89">
        <f>'Lube Frequency BMSK'!I114*D89*('Lube Frequency BMSK'!$L$1/$H$1)</f>
        <v>98</v>
      </c>
    </row>
    <row r="90" spans="1:9" x14ac:dyDescent="0.25">
      <c r="A90" t="str">
        <f>'Lube Frequency BMSK'!B115</f>
        <v>McCloskey J50V2</v>
      </c>
      <c r="B90">
        <f>N('Lube Frequency BMSK'!C115)</f>
        <v>1</v>
      </c>
      <c r="C90">
        <f>N('Lube Frequency BMSK'!D115)</f>
        <v>1</v>
      </c>
      <c r="D90">
        <f>N('Lube Frequency BMSK'!E115)</f>
        <v>1</v>
      </c>
      <c r="F90" t="str">
        <f t="shared" si="1"/>
        <v>McCloskey J50V2</v>
      </c>
      <c r="G90">
        <f>'Lube Frequency BMSK'!I115*B90*('Lube Frequency BMSK'!$L$1/$H$1)</f>
        <v>98</v>
      </c>
      <c r="H90">
        <f>'Lube Frequency BMSK'!I115*C90*('Lube Frequency BMSK'!$L$1/$H$1)</f>
        <v>98</v>
      </c>
      <c r="I90">
        <f>'Lube Frequency BMSK'!I115*D90*('Lube Frequency BMSK'!$L$1/$H$1)</f>
        <v>98</v>
      </c>
    </row>
    <row r="91" spans="1:9" x14ac:dyDescent="0.25">
      <c r="A91" t="str">
        <f>'Lube Frequency BMSK'!B116</f>
        <v>McCloskey S190</v>
      </c>
      <c r="B91">
        <f>N('Lube Frequency BMSK'!C116)</f>
        <v>2</v>
      </c>
      <c r="C91">
        <f>N('Lube Frequency BMSK'!D116)</f>
        <v>2</v>
      </c>
      <c r="D91">
        <f>N('Lube Frequency BMSK'!E116)</f>
        <v>2</v>
      </c>
      <c r="F91" t="str">
        <f t="shared" si="1"/>
        <v>McCloskey S190</v>
      </c>
      <c r="G91">
        <f>'Lube Frequency BMSK'!I116*B91*('Lube Frequency BMSK'!$L$1/$H$1)</f>
        <v>140</v>
      </c>
      <c r="H91">
        <f>'Lube Frequency BMSK'!I116*C91*('Lube Frequency BMSK'!$L$1/$H$1)</f>
        <v>140</v>
      </c>
      <c r="I91">
        <f>'Lube Frequency BMSK'!I116*D91*('Lube Frequency BMSK'!$L$1/$H$1)</f>
        <v>140</v>
      </c>
    </row>
    <row r="92" spans="1:9" x14ac:dyDescent="0.25">
      <c r="A92" t="str">
        <f>'Lube Frequency BMSK'!B117</f>
        <v>MILLER Big Blue 800 Duo AIR PAK Welder - Diesel</v>
      </c>
      <c r="B92">
        <f>N('Lube Frequency BMSK'!C117)</f>
        <v>0</v>
      </c>
      <c r="C92">
        <f>N('Lube Frequency BMSK'!D117)</f>
        <v>0</v>
      </c>
      <c r="D92">
        <f>N('Lube Frequency BMSK'!E117)</f>
        <v>0</v>
      </c>
      <c r="F92" t="str">
        <f t="shared" si="1"/>
        <v>MILLER Big Blue 800 Duo AIR PAK Welder - Diesel</v>
      </c>
      <c r="G92">
        <f>'Lube Frequency BMSK'!I117*B92*('Lube Frequency BMSK'!$L$1/$H$1)</f>
        <v>0</v>
      </c>
      <c r="H92">
        <f>'Lube Frequency BMSK'!I117*C92*('Lube Frequency BMSK'!$L$1/$H$1)</f>
        <v>0</v>
      </c>
      <c r="I92">
        <f>'Lube Frequency BMSK'!I117*D92*('Lube Frequency BMSK'!$L$1/$H$1)</f>
        <v>0</v>
      </c>
    </row>
    <row r="93" spans="1:9" x14ac:dyDescent="0.25">
      <c r="A93" t="str">
        <f>'Lube Frequency BMSK'!B118</f>
        <v>New Holland LM1345 Telescopic Handler</v>
      </c>
      <c r="B93">
        <f>N('Lube Frequency BMSK'!C118)</f>
        <v>0</v>
      </c>
      <c r="C93">
        <f>N('Lube Frequency BMSK'!D118)</f>
        <v>0</v>
      </c>
      <c r="D93">
        <f>N('Lube Frequency BMSK'!E118)</f>
        <v>0</v>
      </c>
      <c r="F93" t="str">
        <f t="shared" si="1"/>
        <v>New Holland LM1345 Telescopic Handler</v>
      </c>
      <c r="G93">
        <f>'Lube Frequency BMSK'!I118*B93*('Lube Frequency BMSK'!$L$1/$H$1)</f>
        <v>0</v>
      </c>
      <c r="H93">
        <f>'Lube Frequency BMSK'!I118*C93*('Lube Frequency BMSK'!$L$1/$H$1)</f>
        <v>0</v>
      </c>
      <c r="I93">
        <f>'Lube Frequency BMSK'!I118*D93*('Lube Frequency BMSK'!$L$1/$H$1)</f>
        <v>0</v>
      </c>
    </row>
    <row r="94" spans="1:9" x14ac:dyDescent="0.25">
      <c r="A94" t="str">
        <f>'Lube Frequency BMSK'!B119</f>
        <v>NHL NTE150</v>
      </c>
      <c r="B94">
        <f>N('Lube Frequency BMSK'!C119)</f>
        <v>1</v>
      </c>
      <c r="C94">
        <f>N('Lube Frequency BMSK'!D119)</f>
        <v>13</v>
      </c>
      <c r="D94">
        <f>N('Lube Frequency BMSK'!E119)</f>
        <v>13</v>
      </c>
      <c r="F94" t="str">
        <f t="shared" si="1"/>
        <v>NHL NTE150</v>
      </c>
      <c r="G94">
        <f>'Lube Frequency BMSK'!I119*B94*('Lube Frequency BMSK'!$L$1/$H$1)</f>
        <v>182</v>
      </c>
      <c r="H94">
        <f>'Lube Frequency BMSK'!I119*C94*('Lube Frequency BMSK'!$L$1/$H$1)</f>
        <v>2366</v>
      </c>
      <c r="I94">
        <f>'Lube Frequency BMSK'!I119*D94*('Lube Frequency BMSK'!$L$1/$H$1)</f>
        <v>2366</v>
      </c>
    </row>
    <row r="95" spans="1:9" x14ac:dyDescent="0.25">
      <c r="A95" t="str">
        <f>'Lube Frequency BMSK'!B120</f>
        <v>NHL NTE360</v>
      </c>
      <c r="B95">
        <f>N('Lube Frequency BMSK'!C120)</f>
        <v>0</v>
      </c>
      <c r="C95">
        <f>N('Lube Frequency BMSK'!D120)</f>
        <v>18</v>
      </c>
      <c r="D95">
        <f>N('Lube Frequency BMSK'!E120)</f>
        <v>32</v>
      </c>
      <c r="F95" t="str">
        <f t="shared" si="1"/>
        <v>NHL NTE360</v>
      </c>
      <c r="G95">
        <f>'Lube Frequency BMSK'!I120*B95*('Lube Frequency BMSK'!$L$1/$H$1)</f>
        <v>0</v>
      </c>
      <c r="H95">
        <f>'Lube Frequency BMSK'!I120*C95*('Lube Frequency BMSK'!$L$1/$H$1)</f>
        <v>3276</v>
      </c>
      <c r="I95">
        <f>'Lube Frequency BMSK'!I120*D95*('Lube Frequency BMSK'!$L$1/$H$1)</f>
        <v>5824</v>
      </c>
    </row>
    <row r="96" spans="1:9" x14ac:dyDescent="0.25">
      <c r="A96" t="str">
        <f>'Lube Frequency BMSK'!B121</f>
        <v>NHL TR60</v>
      </c>
      <c r="B96">
        <f>N('Lube Frequency BMSK'!C121)</f>
        <v>16</v>
      </c>
      <c r="C96">
        <f>N('Lube Frequency BMSK'!D121)</f>
        <v>16</v>
      </c>
      <c r="D96">
        <f>N('Lube Frequency BMSK'!E121)</f>
        <v>16</v>
      </c>
      <c r="F96" t="str">
        <f t="shared" si="1"/>
        <v>NHL TR60</v>
      </c>
      <c r="G96">
        <f>'Lube Frequency BMSK'!I121*B96*('Lube Frequency BMSK'!$L$1/$H$1)</f>
        <v>3136</v>
      </c>
      <c r="H96">
        <f>'Lube Frequency BMSK'!I121*C96*('Lube Frequency BMSK'!$L$1/$H$1)</f>
        <v>3136</v>
      </c>
      <c r="I96">
        <f>'Lube Frequency BMSK'!I121*D96*('Lube Frequency BMSK'!$L$1/$H$1)</f>
        <v>3136</v>
      </c>
    </row>
    <row r="97" spans="1:9" x14ac:dyDescent="0.25">
      <c r="A97" t="str">
        <f>'Lube Frequency BMSK'!B122</f>
        <v>NMS MT1150JC</v>
      </c>
      <c r="B97">
        <f>N('Lube Frequency BMSK'!C122)</f>
        <v>2</v>
      </c>
      <c r="C97">
        <f>N('Lube Frequency BMSK'!D122)</f>
        <v>2</v>
      </c>
      <c r="D97">
        <f>N('Lube Frequency BMSK'!E122)</f>
        <v>2</v>
      </c>
      <c r="F97" t="str">
        <f t="shared" si="1"/>
        <v>NMS MT1150JC</v>
      </c>
      <c r="G97">
        <f>'Lube Frequency BMSK'!I122*B97*('Lube Frequency BMSK'!$L$1/$H$1)</f>
        <v>224</v>
      </c>
      <c r="H97">
        <f>'Lube Frequency BMSK'!I122*C97*('Lube Frequency BMSK'!$L$1/$H$1)</f>
        <v>224</v>
      </c>
      <c r="I97">
        <f>'Lube Frequency BMSK'!I122*D97*('Lube Frequency BMSK'!$L$1/$H$1)</f>
        <v>224</v>
      </c>
    </row>
    <row r="98" spans="1:9" x14ac:dyDescent="0.25">
      <c r="A98" t="str">
        <f>'Lube Frequency BMSK'!B123</f>
        <v>NMS MT1860SR</v>
      </c>
      <c r="B98">
        <f>N('Lube Frequency BMSK'!C123)</f>
        <v>2</v>
      </c>
      <c r="C98">
        <f>N('Lube Frequency BMSK'!D123)</f>
        <v>2</v>
      </c>
      <c r="D98">
        <f>N('Lube Frequency BMSK'!E123)</f>
        <v>2</v>
      </c>
      <c r="F98" t="str">
        <f t="shared" si="1"/>
        <v>NMS MT1860SR</v>
      </c>
      <c r="G98">
        <f>'Lube Frequency BMSK'!I123*B98*('Lube Frequency BMSK'!$L$1/$H$1)</f>
        <v>196</v>
      </c>
      <c r="H98">
        <f>'Lube Frequency BMSK'!I123*C98*('Lube Frequency BMSK'!$L$1/$H$1)</f>
        <v>196</v>
      </c>
      <c r="I98">
        <f>'Lube Frequency BMSK'!I123*D98*('Lube Frequency BMSK'!$L$1/$H$1)</f>
        <v>196</v>
      </c>
    </row>
    <row r="99" spans="1:9" x14ac:dyDescent="0.25">
      <c r="A99" t="str">
        <f>'Lube Frequency BMSK'!B124</f>
        <v>NMS MT300MC</v>
      </c>
      <c r="B99">
        <f>N('Lube Frequency BMSK'!C124)</f>
        <v>2</v>
      </c>
      <c r="C99">
        <f>N('Lube Frequency BMSK'!D124)</f>
        <v>2</v>
      </c>
      <c r="D99">
        <f>N('Lube Frequency BMSK'!E124)</f>
        <v>2</v>
      </c>
      <c r="F99" t="str">
        <f t="shared" si="1"/>
        <v>NMS MT300MC</v>
      </c>
      <c r="G99">
        <f>'Lube Frequency BMSK'!I124*B99*('Lube Frequency BMSK'!$L$1/$H$1)</f>
        <v>252</v>
      </c>
      <c r="H99">
        <f>'Lube Frequency BMSK'!I124*C99*('Lube Frequency BMSK'!$L$1/$H$1)</f>
        <v>252</v>
      </c>
      <c r="I99">
        <f>'Lube Frequency BMSK'!I124*D99*('Lube Frequency BMSK'!$L$1/$H$1)</f>
        <v>252</v>
      </c>
    </row>
    <row r="100" spans="1:9" x14ac:dyDescent="0.25">
      <c r="A100" t="str">
        <f>'Lube Frequency BMSK'!B125</f>
        <v>Pargarant ПГ-300ЖМ2 Steam generator</v>
      </c>
      <c r="B100">
        <f>N('Lube Frequency BMSK'!C125)</f>
        <v>0</v>
      </c>
      <c r="C100">
        <f>N('Lube Frequency BMSK'!D125)</f>
        <v>0</v>
      </c>
      <c r="D100">
        <f>N('Lube Frequency BMSK'!E125)</f>
        <v>0</v>
      </c>
      <c r="F100" t="str">
        <f t="shared" si="1"/>
        <v>Pargarant ПГ-300ЖМ2 Steam generator</v>
      </c>
      <c r="G100">
        <f>'Lube Frequency BMSK'!I125*B100*('Lube Frequency BMSK'!$L$1/$H$1)</f>
        <v>0</v>
      </c>
      <c r="H100">
        <f>'Lube Frequency BMSK'!I125*C100*('Lube Frequency BMSK'!$L$1/$H$1)</f>
        <v>0</v>
      </c>
      <c r="I100">
        <f>'Lube Frequency BMSK'!I125*D100*('Lube Frequency BMSK'!$L$1/$H$1)</f>
        <v>0</v>
      </c>
    </row>
    <row r="101" spans="1:9" x14ac:dyDescent="0.25">
      <c r="A101" t="str">
        <f>'Lube Frequency BMSK'!B126</f>
        <v>Sany SRC1200C Wheel Crane</v>
      </c>
      <c r="B101">
        <f>N('Lube Frequency BMSK'!C126)</f>
        <v>0</v>
      </c>
      <c r="C101">
        <f>N('Lube Frequency BMSK'!D126)</f>
        <v>0</v>
      </c>
      <c r="D101">
        <f>N('Lube Frequency BMSK'!E126)</f>
        <v>0</v>
      </c>
      <c r="F101" t="str">
        <f t="shared" si="1"/>
        <v>Sany SRC1200C Wheel Crane</v>
      </c>
      <c r="G101">
        <f>'Lube Frequency BMSK'!I126*B101*('Lube Frequency BMSK'!$L$1/$H$1)</f>
        <v>0</v>
      </c>
      <c r="H101">
        <f>'Lube Frequency BMSK'!I126*C101*('Lube Frequency BMSK'!$L$1/$H$1)</f>
        <v>0</v>
      </c>
      <c r="I101">
        <f>'Lube Frequency BMSK'!I126*D101*('Lube Frequency BMSK'!$L$1/$H$1)</f>
        <v>0</v>
      </c>
    </row>
    <row r="102" spans="1:9" x14ac:dyDescent="0.25">
      <c r="A102" t="str">
        <f>'Lube Frequency BMSK'!B127</f>
        <v>Sany SRC600A Wheel Crane</v>
      </c>
      <c r="B102">
        <f>N('Lube Frequency BMSK'!C127)</f>
        <v>0</v>
      </c>
      <c r="C102">
        <f>N('Lube Frequency BMSK'!D127)</f>
        <v>0</v>
      </c>
      <c r="D102">
        <f>N('Lube Frequency BMSK'!E127)</f>
        <v>0</v>
      </c>
      <c r="F102" t="str">
        <f t="shared" si="1"/>
        <v>Sany SRC600A Wheel Crane</v>
      </c>
      <c r="G102">
        <f>'Lube Frequency BMSK'!I127*B102*('Lube Frequency BMSK'!$L$1/$H$1)</f>
        <v>0</v>
      </c>
      <c r="H102">
        <f>'Lube Frequency BMSK'!I127*C102*('Lube Frequency BMSK'!$L$1/$H$1)</f>
        <v>0</v>
      </c>
      <c r="I102">
        <f>'Lube Frequency BMSK'!I127*D102*('Lube Frequency BMSK'!$L$1/$H$1)</f>
        <v>0</v>
      </c>
    </row>
    <row r="103" spans="1:9" x14ac:dyDescent="0.25">
      <c r="A103" t="str">
        <f>'Lube Frequency BMSK'!B128</f>
        <v>Shantui SD32</v>
      </c>
      <c r="B103">
        <f>N('Lube Frequency BMSK'!C128)</f>
        <v>5</v>
      </c>
      <c r="C103">
        <f>N('Lube Frequency BMSK'!D128)</f>
        <v>5</v>
      </c>
      <c r="D103">
        <f>N('Lube Frequency BMSK'!E128)</f>
        <v>5</v>
      </c>
      <c r="F103" t="str">
        <f t="shared" si="1"/>
        <v>Shantui SD32</v>
      </c>
      <c r="G103">
        <f>'Lube Frequency BMSK'!I128*B103*('Lube Frequency BMSK'!$L$1/$H$1)</f>
        <v>560</v>
      </c>
      <c r="H103">
        <f>'Lube Frequency BMSK'!I128*C103*('Lube Frequency BMSK'!$L$1/$H$1)</f>
        <v>560</v>
      </c>
      <c r="I103">
        <f>'Lube Frequency BMSK'!I128*D103*('Lube Frequency BMSK'!$L$1/$H$1)</f>
        <v>560</v>
      </c>
    </row>
    <row r="104" spans="1:9" x14ac:dyDescent="0.25">
      <c r="A104" t="str">
        <f>'Lube Frequency BMSK'!B129</f>
        <v>Shantui SD34-B3</v>
      </c>
      <c r="B104">
        <f>N('Lube Frequency BMSK'!C129)</f>
        <v>2</v>
      </c>
      <c r="C104">
        <f>N('Lube Frequency BMSK'!D129)</f>
        <v>1</v>
      </c>
      <c r="D104">
        <f>N('Lube Frequency BMSK'!E129)</f>
        <v>1</v>
      </c>
      <c r="F104" t="str">
        <f t="shared" si="1"/>
        <v>Shantui SD34-B3</v>
      </c>
      <c r="G104">
        <f>'Lube Frequency BMSK'!I129*B104*('Lube Frequency BMSK'!$L$1/$H$1)</f>
        <v>140</v>
      </c>
      <c r="H104">
        <f>'Lube Frequency BMSK'!I129*C104*('Lube Frequency BMSK'!$L$1/$H$1)</f>
        <v>70</v>
      </c>
      <c r="I104">
        <f>'Lube Frequency BMSK'!I129*D104*('Lube Frequency BMSK'!$L$1/$H$1)</f>
        <v>70</v>
      </c>
    </row>
    <row r="105" spans="1:9" x14ac:dyDescent="0.25">
      <c r="A105" t="str">
        <f>'Lube Frequency BMSK'!B130</f>
        <v>Shantui SD60-C5</v>
      </c>
      <c r="B105">
        <f>N('Lube Frequency BMSK'!C130)</f>
        <v>5</v>
      </c>
      <c r="C105">
        <f>N('Lube Frequency BMSK'!D130)</f>
        <v>6</v>
      </c>
      <c r="D105">
        <f>N('Lube Frequency BMSK'!E130)</f>
        <v>7</v>
      </c>
      <c r="F105" t="str">
        <f t="shared" si="1"/>
        <v>Shantui SD60-C5</v>
      </c>
      <c r="G105">
        <f>'Lube Frequency BMSK'!I130*B105*('Lube Frequency BMSK'!$L$1/$H$1)</f>
        <v>700</v>
      </c>
      <c r="H105">
        <f>'Lube Frequency BMSK'!I130*C105*('Lube Frequency BMSK'!$L$1/$H$1)</f>
        <v>840</v>
      </c>
      <c r="I105">
        <f>'Lube Frequency BMSK'!I130*D105*('Lube Frequency BMSK'!$L$1/$H$1)</f>
        <v>980</v>
      </c>
    </row>
    <row r="106" spans="1:9" x14ac:dyDescent="0.25">
      <c r="A106" t="str">
        <f>'Lube Frequency BMSK'!B131</f>
        <v>Shantui SD90-C5</v>
      </c>
      <c r="B106">
        <f>N('Lube Frequency BMSK'!C131)</f>
        <v>4</v>
      </c>
      <c r="C106">
        <f>N('Lube Frequency BMSK'!D131)</f>
        <v>3</v>
      </c>
      <c r="D106">
        <f>N('Lube Frequency BMSK'!E131)</f>
        <v>4</v>
      </c>
      <c r="F106" t="str">
        <f t="shared" si="1"/>
        <v>Shantui SD90-C5</v>
      </c>
      <c r="G106">
        <f>'Lube Frequency BMSK'!I131*B106*('Lube Frequency BMSK'!$L$1/$H$1)</f>
        <v>616</v>
      </c>
      <c r="H106">
        <f>'Lube Frequency BMSK'!I131*C106*('Lube Frequency BMSK'!$L$1/$H$1)</f>
        <v>462</v>
      </c>
      <c r="I106">
        <f>'Lube Frequency BMSK'!I131*D106*('Lube Frequency BMSK'!$L$1/$H$1)</f>
        <v>616</v>
      </c>
    </row>
    <row r="107" spans="1:9" x14ac:dyDescent="0.25">
      <c r="A107" t="str">
        <f>'Lube Frequency BMSK'!B132</f>
        <v>Shantui SG16-3</v>
      </c>
      <c r="B107">
        <f>N('Lube Frequency BMSK'!C132)</f>
        <v>2</v>
      </c>
      <c r="C107">
        <f>N('Lube Frequency BMSK'!D132)</f>
        <v>2</v>
      </c>
      <c r="D107">
        <f>N('Lube Frequency BMSK'!E132)</f>
        <v>2</v>
      </c>
      <c r="F107" t="str">
        <f t="shared" si="1"/>
        <v>Shantui SG16-3</v>
      </c>
      <c r="G107">
        <f>'Lube Frequency BMSK'!I132*B107*('Lube Frequency BMSK'!$L$1/$H$1)</f>
        <v>168</v>
      </c>
      <c r="H107">
        <f>'Lube Frequency BMSK'!I132*C107*('Lube Frequency BMSK'!$L$1/$H$1)</f>
        <v>168</v>
      </c>
      <c r="I107">
        <f>'Lube Frequency BMSK'!I132*D107*('Lube Frequency BMSK'!$L$1/$H$1)</f>
        <v>168</v>
      </c>
    </row>
    <row r="108" spans="1:9" x14ac:dyDescent="0.25">
      <c r="A108" t="str">
        <f>'Lube Frequency BMSK'!B133</f>
        <v>Shantui SG18-3</v>
      </c>
      <c r="B108">
        <f>N('Lube Frequency BMSK'!C133)</f>
        <v>4</v>
      </c>
      <c r="C108">
        <f>N('Lube Frequency BMSK'!D133)</f>
        <v>4</v>
      </c>
      <c r="D108">
        <f>N('Lube Frequency BMSK'!E133)</f>
        <v>4</v>
      </c>
      <c r="F108" t="str">
        <f t="shared" si="1"/>
        <v>Shantui SG18-3</v>
      </c>
      <c r="G108">
        <f>'Lube Frequency BMSK'!I133*B108*('Lube Frequency BMSK'!$L$1/$H$1)</f>
        <v>392</v>
      </c>
      <c r="H108">
        <f>'Lube Frequency BMSK'!I133*C108*('Lube Frequency BMSK'!$L$1/$H$1)</f>
        <v>392</v>
      </c>
      <c r="I108">
        <f>'Lube Frequency BMSK'!I133*D108*('Lube Frequency BMSK'!$L$1/$H$1)</f>
        <v>392</v>
      </c>
    </row>
    <row r="109" spans="1:9" x14ac:dyDescent="0.25">
      <c r="A109" t="str">
        <f>'Lube Frequency BMSK'!B134</f>
        <v>Shantui SG18-4</v>
      </c>
      <c r="B109">
        <f>N('Lube Frequency BMSK'!C134)</f>
        <v>2</v>
      </c>
      <c r="C109">
        <f>N('Lube Frequency BMSK'!D134)</f>
        <v>2</v>
      </c>
      <c r="D109">
        <f>N('Lube Frequency BMSK'!E134)</f>
        <v>2</v>
      </c>
      <c r="F109" t="str">
        <f t="shared" si="1"/>
        <v>Shantui SG18-4</v>
      </c>
      <c r="G109">
        <f>'Lube Frequency BMSK'!I134*B109*('Lube Frequency BMSK'!$L$1/$H$1)</f>
        <v>168</v>
      </c>
      <c r="H109">
        <f>'Lube Frequency BMSK'!I134*C109*('Lube Frequency BMSK'!$L$1/$H$1)</f>
        <v>168</v>
      </c>
      <c r="I109">
        <f>'Lube Frequency BMSK'!I134*D109*('Lube Frequency BMSK'!$L$1/$H$1)</f>
        <v>168</v>
      </c>
    </row>
    <row r="110" spans="1:9" x14ac:dyDescent="0.25">
      <c r="A110" t="str">
        <f>'Lube Frequency BMSK'!B135</f>
        <v>Shantui SR14P Compactor</v>
      </c>
      <c r="B110">
        <f>N('Lube Frequency BMSK'!C135)</f>
        <v>0</v>
      </c>
      <c r="C110">
        <f>N('Lube Frequency BMSK'!D135)</f>
        <v>0</v>
      </c>
      <c r="D110">
        <f>N('Lube Frequency BMSK'!E135)</f>
        <v>0</v>
      </c>
      <c r="F110" t="str">
        <f t="shared" si="1"/>
        <v>Shantui SR14P Compactor</v>
      </c>
      <c r="G110">
        <f>'Lube Frequency BMSK'!I135*B110*('Lube Frequency BMSK'!$L$1/$H$1)</f>
        <v>0</v>
      </c>
      <c r="H110">
        <f>'Lube Frequency BMSK'!I135*C110*('Lube Frequency BMSK'!$L$1/$H$1)</f>
        <v>0</v>
      </c>
      <c r="I110">
        <f>'Lube Frequency BMSK'!I135*D110*('Lube Frequency BMSK'!$L$1/$H$1)</f>
        <v>0</v>
      </c>
    </row>
    <row r="111" spans="1:9" x14ac:dyDescent="0.25">
      <c r="A111" t="str">
        <f>'Lube Frequency BMSK'!B136</f>
        <v>Shantui SR20MPA</v>
      </c>
      <c r="B111">
        <f>N('Lube Frequency BMSK'!C136)</f>
        <v>3</v>
      </c>
      <c r="C111">
        <f>N('Lube Frequency BMSK'!D136)</f>
        <v>3</v>
      </c>
      <c r="D111">
        <f>N('Lube Frequency BMSK'!E136)</f>
        <v>3</v>
      </c>
      <c r="F111" t="str">
        <f t="shared" si="1"/>
        <v>Shantui SR20MPA</v>
      </c>
      <c r="G111">
        <f>'Lube Frequency BMSK'!I136*B111*('Lube Frequency BMSK'!$L$1/$H$1)</f>
        <v>210</v>
      </c>
      <c r="H111">
        <f>'Lube Frequency BMSK'!I136*C111*('Lube Frequency BMSK'!$L$1/$H$1)</f>
        <v>210</v>
      </c>
      <c r="I111">
        <f>'Lube Frequency BMSK'!I136*D111*('Lube Frequency BMSK'!$L$1/$H$1)</f>
        <v>210</v>
      </c>
    </row>
    <row r="112" spans="1:9" x14ac:dyDescent="0.25">
      <c r="A112" t="str">
        <f>'Lube Frequency BMSK'!B137</f>
        <v>Shantui SR26-C5</v>
      </c>
      <c r="B112">
        <f>N('Lube Frequency BMSK'!C137)</f>
        <v>4</v>
      </c>
      <c r="C112">
        <f>N('Lube Frequency BMSK'!D137)</f>
        <v>4</v>
      </c>
      <c r="D112">
        <f>N('Lube Frequency BMSK'!E137)</f>
        <v>4</v>
      </c>
      <c r="F112" t="str">
        <f t="shared" si="1"/>
        <v>Shantui SR26-C5</v>
      </c>
      <c r="G112">
        <f>'Lube Frequency BMSK'!I137*B112*('Lube Frequency BMSK'!$L$1/$H$1)</f>
        <v>336</v>
      </c>
      <c r="H112">
        <f>'Lube Frequency BMSK'!I137*C112*('Lube Frequency BMSK'!$L$1/$H$1)</f>
        <v>336</v>
      </c>
      <c r="I112">
        <f>'Lube Frequency BMSK'!I137*D112*('Lube Frequency BMSK'!$L$1/$H$1)</f>
        <v>336</v>
      </c>
    </row>
    <row r="113" spans="1:9" x14ac:dyDescent="0.25">
      <c r="A113" t="str">
        <f>'Lube Frequency BMSK'!B138</f>
        <v>SHINDAIWA DGW 400 Welding machine</v>
      </c>
      <c r="B113">
        <f>N('Lube Frequency BMSK'!C138)</f>
        <v>0</v>
      </c>
      <c r="C113">
        <f>N('Lube Frequency BMSK'!D138)</f>
        <v>0</v>
      </c>
      <c r="D113">
        <f>N('Lube Frequency BMSK'!E138)</f>
        <v>0</v>
      </c>
      <c r="F113" t="str">
        <f t="shared" si="1"/>
        <v>SHINDAIWA DGW 400 Welding machine</v>
      </c>
      <c r="G113">
        <f>'Lube Frequency BMSK'!I138*B113*('Lube Frequency BMSK'!$L$1/$H$1)</f>
        <v>0</v>
      </c>
      <c r="H113">
        <f>'Lube Frequency BMSK'!I138*C113*('Lube Frequency BMSK'!$L$1/$H$1)</f>
        <v>0</v>
      </c>
      <c r="I113">
        <f>'Lube Frequency BMSK'!I138*D113*('Lube Frequency BMSK'!$L$1/$H$1)</f>
        <v>0</v>
      </c>
    </row>
    <row r="114" spans="1:9" x14ac:dyDescent="0.25">
      <c r="A114" t="str">
        <f>'Lube Frequency BMSK'!B139</f>
        <v>SINOMACH TTC025G2 Truck Crane</v>
      </c>
      <c r="B114">
        <f>N('Lube Frequency BMSK'!C139)</f>
        <v>0</v>
      </c>
      <c r="C114">
        <f>N('Lube Frequency BMSK'!D139)</f>
        <v>0</v>
      </c>
      <c r="D114">
        <f>N('Lube Frequency BMSK'!E139)</f>
        <v>0</v>
      </c>
      <c r="F114" t="str">
        <f t="shared" si="1"/>
        <v>SINOMACH TTC025G2 Truck Crane</v>
      </c>
      <c r="G114">
        <f>'Lube Frequency BMSK'!I139*B114*('Lube Frequency BMSK'!$L$1/$H$1)</f>
        <v>0</v>
      </c>
      <c r="H114">
        <f>'Lube Frequency BMSK'!I139*C114*('Lube Frequency BMSK'!$L$1/$H$1)</f>
        <v>0</v>
      </c>
      <c r="I114">
        <f>'Lube Frequency BMSK'!I139*D114*('Lube Frequency BMSK'!$L$1/$H$1)</f>
        <v>0</v>
      </c>
    </row>
    <row r="115" spans="1:9" x14ac:dyDescent="0.25">
      <c r="A115" t="str">
        <f>'Lube Frequency BMSK'!B140</f>
        <v>Sunward SWDE165A</v>
      </c>
      <c r="B115">
        <f>N('Lube Frequency BMSK'!C140)</f>
        <v>4</v>
      </c>
      <c r="C115">
        <f>N('Lube Frequency BMSK'!D140)</f>
        <v>3</v>
      </c>
      <c r="D115">
        <f>N('Lube Frequency BMSK'!E140)</f>
        <v>3</v>
      </c>
      <c r="F115" t="str">
        <f t="shared" si="1"/>
        <v>Sunward SWDE165A</v>
      </c>
      <c r="G115">
        <f>'Lube Frequency BMSK'!I140*B115*('Lube Frequency BMSK'!$L$1/$H$1)</f>
        <v>280</v>
      </c>
      <c r="H115">
        <f>'Lube Frequency BMSK'!I140*C115*('Lube Frequency BMSK'!$L$1/$H$1)</f>
        <v>210</v>
      </c>
      <c r="I115">
        <f>'Lube Frequency BMSK'!I140*D115*('Lube Frequency BMSK'!$L$1/$H$1)</f>
        <v>210</v>
      </c>
    </row>
    <row r="116" spans="1:9" x14ac:dyDescent="0.25">
      <c r="A116" t="str">
        <f>'Lube Frequency BMSK'!B141</f>
        <v>Sunward SWDR T250</v>
      </c>
      <c r="B116">
        <f>N('Lube Frequency BMSK'!C141)</f>
        <v>0</v>
      </c>
      <c r="C116">
        <f>N('Lube Frequency BMSK'!D141)</f>
        <v>4</v>
      </c>
      <c r="D116">
        <f>N('Lube Frequency BMSK'!E141)</f>
        <v>5</v>
      </c>
      <c r="F116" t="str">
        <f t="shared" si="1"/>
        <v>Sunward SWDR T250</v>
      </c>
      <c r="G116">
        <f>'Lube Frequency BMSK'!I141*B116*('Lube Frequency BMSK'!$L$1/$H$1)</f>
        <v>0</v>
      </c>
      <c r="H116">
        <f>'Lube Frequency BMSK'!I141*C116*('Lube Frequency BMSK'!$L$1/$H$1)</f>
        <v>336</v>
      </c>
      <c r="I116">
        <f>'Lube Frequency BMSK'!I141*D116*('Lube Frequency BMSK'!$L$1/$H$1)</f>
        <v>420</v>
      </c>
    </row>
    <row r="117" spans="1:9" x14ac:dyDescent="0.25">
      <c r="A117" t="str">
        <f>'Lube Frequency BMSK'!B142</f>
        <v>Taihao HDX Motivator for Electric Rope Shovel based on a truck chassis (6x6)</v>
      </c>
      <c r="B117">
        <f>N('Lube Frequency BMSK'!C142)</f>
        <v>0</v>
      </c>
      <c r="C117">
        <f>N('Lube Frequency BMSK'!D142)</f>
        <v>0</v>
      </c>
      <c r="D117">
        <f>N('Lube Frequency BMSK'!E142)</f>
        <v>0</v>
      </c>
      <c r="F117" t="str">
        <f t="shared" si="1"/>
        <v>Taihao HDX Motivator for Electric Rope Shovel based on a truck chassis (6x6)</v>
      </c>
      <c r="G117">
        <f>'Lube Frequency BMSK'!I142*B117*('Lube Frequency BMSK'!$L$1/$H$1)</f>
        <v>0</v>
      </c>
      <c r="H117">
        <f>'Lube Frequency BMSK'!I142*C117*('Lube Frequency BMSK'!$L$1/$H$1)</f>
        <v>0</v>
      </c>
      <c r="I117">
        <f>'Lube Frequency BMSK'!I142*D117*('Lube Frequency BMSK'!$L$1/$H$1)</f>
        <v>0</v>
      </c>
    </row>
    <row r="118" spans="1:9" x14ac:dyDescent="0.25">
      <c r="A118" t="str">
        <f>'Lube Frequency BMSK'!B143</f>
        <v>Teplorod С-175/DG Industrial Heater</v>
      </c>
      <c r="B118">
        <f>N('Lube Frequency BMSK'!C143)</f>
        <v>0</v>
      </c>
      <c r="C118">
        <f>N('Lube Frequency BMSK'!D143)</f>
        <v>0</v>
      </c>
      <c r="D118">
        <f>N('Lube Frequency BMSK'!E143)</f>
        <v>0</v>
      </c>
      <c r="F118" t="str">
        <f t="shared" si="1"/>
        <v>Teplorod С-175/DG Industrial Heater</v>
      </c>
      <c r="G118">
        <f>'Lube Frequency BMSK'!I143*B118*('Lube Frequency BMSK'!$L$1/$H$1)</f>
        <v>0</v>
      </c>
      <c r="H118">
        <f>'Lube Frequency BMSK'!I143*C118*('Lube Frequency BMSK'!$L$1/$H$1)</f>
        <v>0</v>
      </c>
      <c r="I118">
        <f>'Lube Frequency BMSK'!I143*D118*('Lube Frequency BMSK'!$L$1/$H$1)</f>
        <v>0</v>
      </c>
    </row>
    <row r="119" spans="1:9" x14ac:dyDescent="0.25">
      <c r="A119" t="str">
        <f>'Lube Frequency BMSK'!B144</f>
        <v>TEREX 1075L CRANE, MOBILE</v>
      </c>
      <c r="B119">
        <f>N('Lube Frequency BMSK'!C144)</f>
        <v>0</v>
      </c>
      <c r="C119">
        <f>N('Lube Frequency BMSK'!D144)</f>
        <v>0</v>
      </c>
      <c r="D119">
        <f>N('Lube Frequency BMSK'!E144)</f>
        <v>0</v>
      </c>
      <c r="F119" t="str">
        <f t="shared" si="1"/>
        <v>TEREX 1075L CRANE, MOBILE</v>
      </c>
      <c r="G119">
        <f>'Lube Frequency BMSK'!I144*B119*('Lube Frequency BMSK'!$L$1/$H$1)</f>
        <v>0</v>
      </c>
      <c r="H119">
        <f>'Lube Frequency BMSK'!I144*C119*('Lube Frequency BMSK'!$L$1/$H$1)</f>
        <v>0</v>
      </c>
      <c r="I119">
        <f>'Lube Frequency BMSK'!I144*D119*('Lube Frequency BMSK'!$L$1/$H$1)</f>
        <v>0</v>
      </c>
    </row>
    <row r="120" spans="1:9" x14ac:dyDescent="0.25">
      <c r="A120" t="str">
        <f>'Lube Frequency BMSK'!B145</f>
        <v>TEREX DEMAG AC220-5 CRANE, MOBILE</v>
      </c>
      <c r="B120">
        <f>N('Lube Frequency BMSK'!C145)</f>
        <v>0</v>
      </c>
      <c r="C120">
        <f>N('Lube Frequency BMSK'!D145)</f>
        <v>0</v>
      </c>
      <c r="D120">
        <f>N('Lube Frequency BMSK'!E145)</f>
        <v>0</v>
      </c>
      <c r="F120" t="str">
        <f t="shared" si="1"/>
        <v>TEREX DEMAG AC220-5 CRANE, MOBILE</v>
      </c>
      <c r="G120">
        <f>'Lube Frequency BMSK'!I145*B120*('Lube Frequency BMSK'!$L$1/$H$1)</f>
        <v>0</v>
      </c>
      <c r="H120">
        <f>'Lube Frequency BMSK'!I145*C120*('Lube Frequency BMSK'!$L$1/$H$1)</f>
        <v>0</v>
      </c>
      <c r="I120">
        <f>'Lube Frequency BMSK'!I145*D120*('Lube Frequency BMSK'!$L$1/$H$1)</f>
        <v>0</v>
      </c>
    </row>
    <row r="121" spans="1:9" x14ac:dyDescent="0.25">
      <c r="A121" t="str">
        <f>'Lube Frequency BMSK'!B146</f>
        <v>TEREX DEMAG AC350-6 CRANE, MOBILE</v>
      </c>
      <c r="B121">
        <f>N('Lube Frequency BMSK'!C146)</f>
        <v>0</v>
      </c>
      <c r="C121">
        <f>N('Lube Frequency BMSK'!D146)</f>
        <v>0</v>
      </c>
      <c r="D121">
        <f>N('Lube Frequency BMSK'!E146)</f>
        <v>0</v>
      </c>
      <c r="F121" t="str">
        <f t="shared" si="1"/>
        <v>TEREX DEMAG AC350-6 CRANE, MOBILE</v>
      </c>
      <c r="G121">
        <f>'Lube Frequency BMSK'!I146*B121*('Lube Frequency BMSK'!$L$1/$H$1)</f>
        <v>0</v>
      </c>
      <c r="H121">
        <f>'Lube Frequency BMSK'!I146*C121*('Lube Frequency BMSK'!$L$1/$H$1)</f>
        <v>0</v>
      </c>
      <c r="I121">
        <f>'Lube Frequency BMSK'!I146*D121*('Lube Frequency BMSK'!$L$1/$H$1)</f>
        <v>0</v>
      </c>
    </row>
    <row r="122" spans="1:9" x14ac:dyDescent="0.25">
      <c r="A122" t="str">
        <f>'Lube Frequency BMSK'!B147</f>
        <v>TEREX GENIE S-60 Manlift</v>
      </c>
      <c r="B122">
        <f>N('Lube Frequency BMSK'!C147)</f>
        <v>0</v>
      </c>
      <c r="C122">
        <f>N('Lube Frequency BMSK'!D147)</f>
        <v>0</v>
      </c>
      <c r="D122">
        <f>N('Lube Frequency BMSK'!E147)</f>
        <v>0</v>
      </c>
      <c r="F122" t="str">
        <f t="shared" si="1"/>
        <v>TEREX GENIE S-60 Manlift</v>
      </c>
      <c r="G122">
        <f>'Lube Frequency BMSK'!I147*B122*('Lube Frequency BMSK'!$L$1/$H$1)</f>
        <v>0</v>
      </c>
      <c r="H122">
        <f>'Lube Frequency BMSK'!I147*C122*('Lube Frequency BMSK'!$L$1/$H$1)</f>
        <v>0</v>
      </c>
      <c r="I122">
        <f>'Lube Frequency BMSK'!I147*D122*('Lube Frequency BMSK'!$L$1/$H$1)</f>
        <v>0</v>
      </c>
    </row>
    <row r="123" spans="1:9" x14ac:dyDescent="0.25">
      <c r="A123" t="str">
        <f>'Lube Frequency BMSK'!B148</f>
        <v>TEREX GENIE SX-105XC Manlift</v>
      </c>
      <c r="B123">
        <f>N('Lube Frequency BMSK'!C148)</f>
        <v>0</v>
      </c>
      <c r="C123">
        <f>N('Lube Frequency BMSK'!D148)</f>
        <v>0</v>
      </c>
      <c r="D123">
        <f>N('Lube Frequency BMSK'!E148)</f>
        <v>0</v>
      </c>
      <c r="F123" t="str">
        <f t="shared" si="1"/>
        <v>TEREX GENIE SX-105XC Manlift</v>
      </c>
      <c r="G123">
        <f>'Lube Frequency BMSK'!I148*B123*('Lube Frequency BMSK'!$L$1/$H$1)</f>
        <v>0</v>
      </c>
      <c r="H123">
        <f>'Lube Frequency BMSK'!I148*C123*('Lube Frequency BMSK'!$L$1/$H$1)</f>
        <v>0</v>
      </c>
      <c r="I123">
        <f>'Lube Frequency BMSK'!I148*D123*('Lube Frequency BMSK'!$L$1/$H$1)</f>
        <v>0</v>
      </c>
    </row>
    <row r="124" spans="1:9" x14ac:dyDescent="0.25">
      <c r="A124" t="str">
        <f>'Lube Frequency BMSK'!B149</f>
        <v>TEREX GENIE SX-125XC Manlift</v>
      </c>
      <c r="B124">
        <f>N('Lube Frequency BMSK'!C149)</f>
        <v>0</v>
      </c>
      <c r="C124">
        <f>N('Lube Frequency BMSK'!D149)</f>
        <v>0</v>
      </c>
      <c r="D124">
        <f>N('Lube Frequency BMSK'!E149)</f>
        <v>0</v>
      </c>
      <c r="F124" t="str">
        <f t="shared" si="1"/>
        <v>TEREX GENIE SX-125XC Manlift</v>
      </c>
      <c r="G124">
        <f>'Lube Frequency BMSK'!I149*B124*('Lube Frequency BMSK'!$L$1/$H$1)</f>
        <v>0</v>
      </c>
      <c r="H124">
        <f>'Lube Frequency BMSK'!I149*C124*('Lube Frequency BMSK'!$L$1/$H$1)</f>
        <v>0</v>
      </c>
      <c r="I124">
        <f>'Lube Frequency BMSK'!I149*D124*('Lube Frequency BMSK'!$L$1/$H$1)</f>
        <v>0</v>
      </c>
    </row>
    <row r="125" spans="1:9" x14ac:dyDescent="0.25">
      <c r="A125" t="str">
        <f>'Lube Frequency BMSK'!B150</f>
        <v>TEREX RT100 CRANE, MOBILE</v>
      </c>
      <c r="B125">
        <f>N('Lube Frequency BMSK'!C150)</f>
        <v>0</v>
      </c>
      <c r="C125">
        <f>N('Lube Frequency BMSK'!D150)</f>
        <v>0</v>
      </c>
      <c r="D125">
        <f>N('Lube Frequency BMSK'!E150)</f>
        <v>0</v>
      </c>
      <c r="F125" t="str">
        <f t="shared" si="1"/>
        <v>TEREX RT100 CRANE, MOBILE</v>
      </c>
      <c r="G125">
        <f>'Lube Frequency BMSK'!I150*B125*('Lube Frequency BMSK'!$L$1/$H$1)</f>
        <v>0</v>
      </c>
      <c r="H125">
        <f>'Lube Frequency BMSK'!I150*C125*('Lube Frequency BMSK'!$L$1/$H$1)</f>
        <v>0</v>
      </c>
      <c r="I125">
        <f>'Lube Frequency BMSK'!I150*D125*('Lube Frequency BMSK'!$L$1/$H$1)</f>
        <v>0</v>
      </c>
    </row>
    <row r="126" spans="1:9" x14ac:dyDescent="0.25">
      <c r="A126" t="str">
        <f>'Lube Frequency BMSK'!B151</f>
        <v>TLP-4M-030 (ТЛП-4М-030)</v>
      </c>
      <c r="B126">
        <f>N('Lube Frequency BMSK'!C151)</f>
        <v>0</v>
      </c>
      <c r="C126">
        <f>N('Lube Frequency BMSK'!D151)</f>
        <v>0</v>
      </c>
      <c r="D126">
        <f>N('Lube Frequency BMSK'!E151)</f>
        <v>0</v>
      </c>
      <c r="F126" t="str">
        <f t="shared" si="1"/>
        <v>TLP-4M-030 (ТЛП-4М-030)</v>
      </c>
      <c r="G126">
        <f>'Lube Frequency BMSK'!I151*B126*('Lube Frequency BMSK'!$L$1/$H$1)</f>
        <v>0</v>
      </c>
      <c r="H126">
        <f>'Lube Frequency BMSK'!I151*C126*('Lube Frequency BMSK'!$L$1/$H$1)</f>
        <v>0</v>
      </c>
      <c r="I126">
        <f>'Lube Frequency BMSK'!I151*D126*('Lube Frequency BMSK'!$L$1/$H$1)</f>
        <v>0</v>
      </c>
    </row>
    <row r="127" spans="1:9" x14ac:dyDescent="0.25">
      <c r="A127" t="str">
        <f>'Lube Frequency BMSK'!B152</f>
        <v>Toyota Hilux AT Pickup</v>
      </c>
      <c r="B127">
        <f>N('Lube Frequency BMSK'!C152)</f>
        <v>0</v>
      </c>
      <c r="C127">
        <f>N('Lube Frequency BMSK'!D152)</f>
        <v>0</v>
      </c>
      <c r="D127">
        <f>N('Lube Frequency BMSK'!E152)</f>
        <v>0</v>
      </c>
      <c r="F127" t="str">
        <f t="shared" si="1"/>
        <v>Toyota Hilux AT Pickup</v>
      </c>
      <c r="G127">
        <f>'Lube Frequency BMSK'!I152*B127*('Lube Frequency BMSK'!$L$1/$H$1)</f>
        <v>0</v>
      </c>
      <c r="H127">
        <f>'Lube Frequency BMSK'!I152*C127*('Lube Frequency BMSK'!$L$1/$H$1)</f>
        <v>0</v>
      </c>
      <c r="I127">
        <f>'Lube Frequency BMSK'!I152*D127*('Lube Frequency BMSK'!$L$1/$H$1)</f>
        <v>0</v>
      </c>
    </row>
    <row r="128" spans="1:9" x14ac:dyDescent="0.25">
      <c r="A128" t="str">
        <f>'Lube Frequency BMSK'!B153</f>
        <v>Toyota Hilux MT Pickup</v>
      </c>
      <c r="B128">
        <f>N('Lube Frequency BMSK'!C153)</f>
        <v>0</v>
      </c>
      <c r="C128">
        <f>N('Lube Frequency BMSK'!D153)</f>
        <v>0</v>
      </c>
      <c r="D128">
        <f>N('Lube Frequency BMSK'!E153)</f>
        <v>0</v>
      </c>
      <c r="F128" t="str">
        <f t="shared" si="1"/>
        <v>Toyota Hilux MT Pickup</v>
      </c>
      <c r="G128">
        <f>'Lube Frequency BMSK'!I153*B128*('Lube Frequency BMSK'!$L$1/$H$1)</f>
        <v>0</v>
      </c>
      <c r="H128">
        <f>'Lube Frequency BMSK'!I153*C128*('Lube Frequency BMSK'!$L$1/$H$1)</f>
        <v>0</v>
      </c>
      <c r="I128">
        <f>'Lube Frequency BMSK'!I153*D128*('Lube Frequency BMSK'!$L$1/$H$1)</f>
        <v>0</v>
      </c>
    </row>
    <row r="129" spans="1:9" x14ac:dyDescent="0.25">
      <c r="A129" t="str">
        <f>'Lube Frequency BMSK'!B154</f>
        <v>Toyota Landcruiser 200 AT</v>
      </c>
      <c r="B129">
        <f>N('Lube Frequency BMSK'!C154)</f>
        <v>0</v>
      </c>
      <c r="C129">
        <f>N('Lube Frequency BMSK'!D154)</f>
        <v>0</v>
      </c>
      <c r="D129">
        <f>N('Lube Frequency BMSK'!E154)</f>
        <v>0</v>
      </c>
      <c r="F129" t="str">
        <f t="shared" si="1"/>
        <v>Toyota Landcruiser 200 AT</v>
      </c>
      <c r="G129">
        <f>'Lube Frequency BMSK'!I154*B129*('Lube Frequency BMSK'!$L$1/$H$1)</f>
        <v>0</v>
      </c>
      <c r="H129">
        <f>'Lube Frequency BMSK'!I154*C129*('Lube Frequency BMSK'!$L$1/$H$1)</f>
        <v>0</v>
      </c>
      <c r="I129">
        <f>'Lube Frequency BMSK'!I154*D129*('Lube Frequency BMSK'!$L$1/$H$1)</f>
        <v>0</v>
      </c>
    </row>
    <row r="130" spans="1:9" x14ac:dyDescent="0.25">
      <c r="A130" t="str">
        <f>'Lube Frequency BMSK'!B155</f>
        <v>TREKOL 39294 ALL-TERRAIN VEHICLE</v>
      </c>
      <c r="B130">
        <f>N('Lube Frequency BMSK'!C155)</f>
        <v>0</v>
      </c>
      <c r="C130">
        <f>N('Lube Frequency BMSK'!D155)</f>
        <v>0</v>
      </c>
      <c r="D130">
        <f>N('Lube Frequency BMSK'!E155)</f>
        <v>0</v>
      </c>
      <c r="F130" t="str">
        <f t="shared" si="1"/>
        <v>TREKOL 39294 ALL-TERRAIN VEHICLE</v>
      </c>
      <c r="G130">
        <f>'Lube Frequency BMSK'!I155*B130*('Lube Frequency BMSK'!$L$1/$H$1)</f>
        <v>0</v>
      </c>
      <c r="H130">
        <f>'Lube Frequency BMSK'!I155*C130*('Lube Frequency BMSK'!$L$1/$H$1)</f>
        <v>0</v>
      </c>
      <c r="I130">
        <f>'Lube Frequency BMSK'!I155*D130*('Lube Frequency BMSK'!$L$1/$H$1)</f>
        <v>0</v>
      </c>
    </row>
    <row r="131" spans="1:9" x14ac:dyDescent="0.25">
      <c r="A131" t="str">
        <f>'Lube Frequency BMSK'!B156</f>
        <v>TRUCK , BOOM KAMAZ 65117-776010-19</v>
      </c>
      <c r="B131">
        <f>N('Lube Frequency BMSK'!C156)</f>
        <v>7</v>
      </c>
      <c r="C131">
        <f>N('Lube Frequency BMSK'!D156)</f>
        <v>7</v>
      </c>
      <c r="D131">
        <f>N('Lube Frequency BMSK'!E156)</f>
        <v>7</v>
      </c>
      <c r="F131" t="str">
        <f t="shared" si="1"/>
        <v>TRUCK , BOOM KAMAZ 65117-776010-19</v>
      </c>
      <c r="G131">
        <f>'Lube Frequency BMSK'!I156*B131*('Lube Frequency BMSK'!$L$1/$H$1)</f>
        <v>196</v>
      </c>
      <c r="H131">
        <f>'Lube Frequency BMSK'!I156*C131*('Lube Frequency BMSK'!$L$1/$H$1)</f>
        <v>196</v>
      </c>
      <c r="I131">
        <f>'Lube Frequency BMSK'!I156*D131*('Lube Frequency BMSK'!$L$1/$H$1)</f>
        <v>196</v>
      </c>
    </row>
    <row r="132" spans="1:9" x14ac:dyDescent="0.25">
      <c r="A132" t="str">
        <f>'Lube Frequency BMSK'!B157</f>
        <v>TRUCK , CONCRETE PUMP MERCEDES-BENZ 3340</v>
      </c>
      <c r="B132">
        <f>N('Lube Frequency BMSK'!C157)</f>
        <v>0</v>
      </c>
      <c r="C132">
        <f>N('Lube Frequency BMSK'!D157)</f>
        <v>0</v>
      </c>
      <c r="D132">
        <f>N('Lube Frequency BMSK'!E157)</f>
        <v>0</v>
      </c>
      <c r="F132" t="str">
        <f t="shared" si="1"/>
        <v>TRUCK , CONCRETE PUMP MERCEDES-BENZ 3340</v>
      </c>
      <c r="G132">
        <f>'Lube Frequency BMSK'!I157*B132*('Lube Frequency BMSK'!$L$1/$H$1)</f>
        <v>0</v>
      </c>
      <c r="H132">
        <f>'Lube Frequency BMSK'!I157*C132*('Lube Frequency BMSK'!$L$1/$H$1)</f>
        <v>0</v>
      </c>
      <c r="I132">
        <f>'Lube Frequency BMSK'!I157*D132*('Lube Frequency BMSK'!$L$1/$H$1)</f>
        <v>0</v>
      </c>
    </row>
    <row r="133" spans="1:9" x14ac:dyDescent="0.25">
      <c r="A133" t="str">
        <f>'Lube Frequency BMSK'!B158</f>
        <v>TRUCK , DUMP KAMAZ 65201-6010-49(B5)</v>
      </c>
      <c r="B133">
        <f>N('Lube Frequency BMSK'!C158)</f>
        <v>4</v>
      </c>
      <c r="C133">
        <f>N('Lube Frequency BMSK'!D158)</f>
        <v>4</v>
      </c>
      <c r="D133">
        <f>N('Lube Frequency BMSK'!E158)</f>
        <v>4</v>
      </c>
      <c r="F133" t="str">
        <f t="shared" si="1"/>
        <v>TRUCK , DUMP KAMAZ 65201-6010-49(B5)</v>
      </c>
      <c r="G133">
        <f>'Lube Frequency BMSK'!I158*B133*('Lube Frequency BMSK'!$L$1/$H$1)</f>
        <v>56</v>
      </c>
      <c r="H133">
        <f>'Lube Frequency BMSK'!I158*C133*('Lube Frequency BMSK'!$L$1/$H$1)</f>
        <v>56</v>
      </c>
      <c r="I133">
        <f>'Lube Frequency BMSK'!I158*D133*('Lube Frequency BMSK'!$L$1/$H$1)</f>
        <v>56</v>
      </c>
    </row>
    <row r="134" spans="1:9" x14ac:dyDescent="0.25">
      <c r="A134" t="str">
        <f>'Lube Frequency BMSK'!B159</f>
        <v>TRUCK, CONCRETE TRANSMIXER KAMAZ 6520-6041-43</v>
      </c>
      <c r="B134">
        <f>N('Lube Frequency BMSK'!C159)</f>
        <v>0</v>
      </c>
      <c r="C134">
        <f>N('Lube Frequency BMSK'!D159)</f>
        <v>0</v>
      </c>
      <c r="D134">
        <f>N('Lube Frequency BMSK'!E159)</f>
        <v>0</v>
      </c>
      <c r="F134" t="str">
        <f t="shared" si="1"/>
        <v>TRUCK, CONCRETE TRANSMIXER KAMAZ 6520-6041-43</v>
      </c>
      <c r="G134">
        <f>'Lube Frequency BMSK'!I159*B134*('Lube Frequency BMSK'!$L$1/$H$1)</f>
        <v>0</v>
      </c>
      <c r="H134">
        <f>'Lube Frequency BMSK'!I159*C134*('Lube Frequency BMSK'!$L$1/$H$1)</f>
        <v>0</v>
      </c>
      <c r="I134">
        <f>'Lube Frequency BMSK'!I159*D134*('Lube Frequency BMSK'!$L$1/$H$1)</f>
        <v>0</v>
      </c>
    </row>
    <row r="135" spans="1:9" x14ac:dyDescent="0.25">
      <c r="A135" t="str">
        <f>'Lube Frequency BMSK'!B160</f>
        <v>TRUCK, DUMP KAMAZ 6520-6041-43</v>
      </c>
      <c r="B135">
        <f>N('Lube Frequency BMSK'!C160)</f>
        <v>0</v>
      </c>
      <c r="C135">
        <f>N('Lube Frequency BMSK'!D160)</f>
        <v>0</v>
      </c>
      <c r="D135">
        <f>N('Lube Frequency BMSK'!E160)</f>
        <v>0</v>
      </c>
      <c r="F135" t="str">
        <f t="shared" ref="F135:F161" si="2">A135</f>
        <v>TRUCK, DUMP KAMAZ 6520-6041-43</v>
      </c>
      <c r="G135">
        <f>'Lube Frequency BMSK'!I160*B135*('Lube Frequency BMSK'!$L$1/$H$1)</f>
        <v>0</v>
      </c>
      <c r="H135">
        <f>'Lube Frequency BMSK'!I160*C135*('Lube Frequency BMSK'!$L$1/$H$1)</f>
        <v>0</v>
      </c>
      <c r="I135">
        <f>'Lube Frequency BMSK'!I160*D135*('Lube Frequency BMSK'!$L$1/$H$1)</f>
        <v>0</v>
      </c>
    </row>
    <row r="136" spans="1:9" x14ac:dyDescent="0.25">
      <c r="A136" t="str">
        <f>'Lube Frequency BMSK'!B161</f>
        <v>TRUCK, MECHANIC KAMAZ 5350-3014-42</v>
      </c>
      <c r="B136">
        <f>N('Lube Frequency BMSK'!C161)</f>
        <v>0</v>
      </c>
      <c r="C136">
        <f>N('Lube Frequency BMSK'!D161)</f>
        <v>0</v>
      </c>
      <c r="D136">
        <f>N('Lube Frequency BMSK'!E161)</f>
        <v>0</v>
      </c>
      <c r="F136" t="str">
        <f t="shared" si="2"/>
        <v>TRUCK, MECHANIC KAMAZ 5350-3014-42</v>
      </c>
      <c r="G136">
        <f>'Lube Frequency BMSK'!I161*B136*('Lube Frequency BMSK'!$L$1/$H$1)</f>
        <v>0</v>
      </c>
      <c r="H136">
        <f>'Lube Frequency BMSK'!I161*C136*('Lube Frequency BMSK'!$L$1/$H$1)</f>
        <v>0</v>
      </c>
      <c r="I136">
        <f>'Lube Frequency BMSK'!I161*D136*('Lube Frequency BMSK'!$L$1/$H$1)</f>
        <v>0</v>
      </c>
    </row>
    <row r="137" spans="1:9" x14ac:dyDescent="0.25">
      <c r="A137" t="str">
        <f>'Lube Frequency BMSK'!B162</f>
        <v>TRUCK, TANKER KAMAZ 65115-3082-48</v>
      </c>
      <c r="B137">
        <f>N('Lube Frequency BMSK'!C162)</f>
        <v>0</v>
      </c>
      <c r="C137">
        <f>N('Lube Frequency BMSK'!D162)</f>
        <v>0</v>
      </c>
      <c r="D137">
        <f>N('Lube Frequency BMSK'!E162)</f>
        <v>0</v>
      </c>
      <c r="F137" t="str">
        <f t="shared" si="2"/>
        <v>TRUCK, TANKER KAMAZ 65115-3082-48</v>
      </c>
      <c r="G137">
        <f>'Lube Frequency BMSK'!I162*B137*('Lube Frequency BMSK'!$L$1/$H$1)</f>
        <v>0</v>
      </c>
      <c r="H137">
        <f>'Lube Frequency BMSK'!I162*C137*('Lube Frequency BMSK'!$L$1/$H$1)</f>
        <v>0</v>
      </c>
      <c r="I137">
        <f>'Lube Frequency BMSK'!I162*D137*('Lube Frequency BMSK'!$L$1/$H$1)</f>
        <v>0</v>
      </c>
    </row>
    <row r="138" spans="1:9" x14ac:dyDescent="0.25">
      <c r="A138" t="str">
        <f>'Lube Frequency BMSK'!B163</f>
        <v>TRUCK, TRACTOR KAMAZ 65116-6010-48</v>
      </c>
      <c r="B138">
        <f>N('Lube Frequency BMSK'!C163)</f>
        <v>0</v>
      </c>
      <c r="C138">
        <f>N('Lube Frequency BMSK'!D163)</f>
        <v>0</v>
      </c>
      <c r="D138">
        <f>N('Lube Frequency BMSK'!E163)</f>
        <v>0</v>
      </c>
      <c r="F138" t="str">
        <f t="shared" si="2"/>
        <v>TRUCK, TRACTOR KAMAZ 65116-6010-48</v>
      </c>
      <c r="G138">
        <f>'Lube Frequency BMSK'!I163*B138*('Lube Frequency BMSK'!$L$1/$H$1)</f>
        <v>0</v>
      </c>
      <c r="H138">
        <f>'Lube Frequency BMSK'!I163*C138*('Lube Frequency BMSK'!$L$1/$H$1)</f>
        <v>0</v>
      </c>
      <c r="I138">
        <f>'Lube Frequency BMSK'!I163*D138*('Lube Frequency BMSK'!$L$1/$H$1)</f>
        <v>0</v>
      </c>
    </row>
    <row r="139" spans="1:9" x14ac:dyDescent="0.25">
      <c r="A139" t="str">
        <f>'Lube Frequency BMSK'!B164</f>
        <v>TRUCK, TRACTOR MAN TGS 26.400 6x4 BLS WW</v>
      </c>
      <c r="B139">
        <f>N('Lube Frequency BMSK'!C164)</f>
        <v>0</v>
      </c>
      <c r="C139">
        <f>N('Lube Frequency BMSK'!D164)</f>
        <v>0</v>
      </c>
      <c r="D139">
        <f>N('Lube Frequency BMSK'!E164)</f>
        <v>0</v>
      </c>
      <c r="F139" t="str">
        <f t="shared" si="2"/>
        <v>TRUCK, TRACTOR MAN TGS 26.400 6x4 BLS WW</v>
      </c>
      <c r="G139">
        <f>'Lube Frequency BMSK'!I164*B139*('Lube Frequency BMSK'!$L$1/$H$1)</f>
        <v>0</v>
      </c>
      <c r="H139">
        <f>'Lube Frequency BMSK'!I164*C139*('Lube Frequency BMSK'!$L$1/$H$1)</f>
        <v>0</v>
      </c>
      <c r="I139">
        <f>'Lube Frequency BMSK'!I164*D139*('Lube Frequency BMSK'!$L$1/$H$1)</f>
        <v>0</v>
      </c>
    </row>
    <row r="140" spans="1:9" x14ac:dyDescent="0.25">
      <c r="A140" t="str">
        <f>'Lube Frequency BMSK'!B165</f>
        <v>TRUCK, TRACTOR MAN TGS 40.480 6x4 BBS WW</v>
      </c>
      <c r="B140">
        <f>N('Lube Frequency BMSK'!C165)</f>
        <v>0</v>
      </c>
      <c r="C140">
        <f>N('Lube Frequency BMSK'!D165)</f>
        <v>0</v>
      </c>
      <c r="D140">
        <f>N('Lube Frequency BMSK'!E165)</f>
        <v>0</v>
      </c>
      <c r="F140" t="str">
        <f t="shared" si="2"/>
        <v>TRUCK, TRACTOR MAN TGS 40.480 6x4 BBS WW</v>
      </c>
      <c r="G140">
        <f>'Lube Frequency BMSK'!I165*B140*('Lube Frequency BMSK'!$L$1/$H$1)</f>
        <v>0</v>
      </c>
      <c r="H140">
        <f>'Lube Frequency BMSK'!I165*C140*('Lube Frequency BMSK'!$L$1/$H$1)</f>
        <v>0</v>
      </c>
      <c r="I140">
        <f>'Lube Frequency BMSK'!I165*D140*('Lube Frequency BMSK'!$L$1/$H$1)</f>
        <v>0</v>
      </c>
    </row>
    <row r="141" spans="1:9" x14ac:dyDescent="0.25">
      <c r="A141" t="str">
        <f>'Lube Frequency BMSK'!B166</f>
        <v>TRUCK, WATER KAMAZ УСТ 5453К2</v>
      </c>
      <c r="B141">
        <f>N('Lube Frequency BMSK'!C166)</f>
        <v>20</v>
      </c>
      <c r="C141">
        <f>N('Lube Frequency BMSK'!D166)</f>
        <v>20</v>
      </c>
      <c r="D141">
        <f>N('Lube Frequency BMSK'!E166)</f>
        <v>20</v>
      </c>
      <c r="F141" t="str">
        <f t="shared" si="2"/>
        <v>TRUCK, WATER KAMAZ УСТ 5453К2</v>
      </c>
      <c r="G141">
        <f>'Lube Frequency BMSK'!I166*B141*('Lube Frequency BMSK'!$L$1/$H$1)</f>
        <v>280</v>
      </c>
      <c r="H141">
        <f>'Lube Frequency BMSK'!I166*C141*('Lube Frequency BMSK'!$L$1/$H$1)</f>
        <v>280</v>
      </c>
      <c r="I141">
        <f>'Lube Frequency BMSK'!I166*D141*('Lube Frequency BMSK'!$L$1/$H$1)</f>
        <v>280</v>
      </c>
    </row>
    <row r="142" spans="1:9" x14ac:dyDescent="0.25">
      <c r="A142" t="str">
        <f>'Lube Frequency BMSK'!B167</f>
        <v>TZCO  WK-35</v>
      </c>
      <c r="B142">
        <f>N('Lube Frequency BMSK'!C167)</f>
        <v>0</v>
      </c>
      <c r="C142">
        <f>N('Lube Frequency BMSK'!D167)</f>
        <v>0</v>
      </c>
      <c r="D142">
        <f>N('Lube Frequency BMSK'!E167)</f>
        <v>0</v>
      </c>
      <c r="F142" t="str">
        <f t="shared" si="2"/>
        <v>TZCO  WK-35</v>
      </c>
      <c r="G142">
        <f>'Lube Frequency BMSK'!I167*B142*('Lube Frequency BMSK'!$L$1/$H$1)</f>
        <v>0</v>
      </c>
      <c r="H142">
        <f>'Lube Frequency BMSK'!I167*C142*('Lube Frequency BMSK'!$L$1/$H$1)</f>
        <v>0</v>
      </c>
      <c r="I142">
        <f>'Lube Frequency BMSK'!I167*D142*('Lube Frequency BMSK'!$L$1/$H$1)</f>
        <v>0</v>
      </c>
    </row>
    <row r="143" spans="1:9" x14ac:dyDescent="0.25">
      <c r="A143" t="str">
        <f>'Lube Frequency BMSK'!B168</f>
        <v>TZCO  WK-55</v>
      </c>
      <c r="B143">
        <f>N('Lube Frequency BMSK'!C168)</f>
        <v>0</v>
      </c>
      <c r="C143">
        <f>N('Lube Frequency BMSK'!D168)</f>
        <v>0</v>
      </c>
      <c r="D143">
        <f>N('Lube Frequency BMSK'!E168)</f>
        <v>0</v>
      </c>
      <c r="F143" t="str">
        <f t="shared" si="2"/>
        <v>TZCO  WK-55</v>
      </c>
      <c r="G143">
        <f>'Lube Frequency BMSK'!I168*B143*('Lube Frequency BMSK'!$L$1/$H$1)</f>
        <v>0</v>
      </c>
      <c r="H143">
        <f>'Lube Frequency BMSK'!I168*C143*('Lube Frequency BMSK'!$L$1/$H$1)</f>
        <v>0</v>
      </c>
      <c r="I143">
        <f>'Lube Frequency BMSK'!I168*D143*('Lube Frequency BMSK'!$L$1/$H$1)</f>
        <v>0</v>
      </c>
    </row>
    <row r="144" spans="1:9" x14ac:dyDescent="0.25">
      <c r="A144" t="str">
        <f>'Lube Frequency BMSK'!B169</f>
        <v>URAL 32551-5013-71 Crew bus</v>
      </c>
      <c r="B144">
        <f>N('Lube Frequency BMSK'!C169)</f>
        <v>0</v>
      </c>
      <c r="C144">
        <f>N('Lube Frequency BMSK'!D169)</f>
        <v>0</v>
      </c>
      <c r="D144">
        <f>N('Lube Frequency BMSK'!E169)</f>
        <v>0</v>
      </c>
      <c r="F144" t="str">
        <f t="shared" si="2"/>
        <v>URAL 32551-5013-71 Crew bus</v>
      </c>
      <c r="G144">
        <f>'Lube Frequency BMSK'!I169*B144*('Lube Frequency BMSK'!$L$1/$H$1)</f>
        <v>0</v>
      </c>
      <c r="H144">
        <f>'Lube Frequency BMSK'!I169*C144*('Lube Frequency BMSK'!$L$1/$H$1)</f>
        <v>0</v>
      </c>
      <c r="I144">
        <f>'Lube Frequency BMSK'!I169*D144*('Lube Frequency BMSK'!$L$1/$H$1)</f>
        <v>0</v>
      </c>
    </row>
    <row r="145" spans="1:9" x14ac:dyDescent="0.25">
      <c r="A145" t="str">
        <f>'Lube Frequency BMSK'!B170</f>
        <v>URAL 43441C-10 АЦ 6.0-70 Fire-truck</v>
      </c>
      <c r="B145">
        <f>N('Lube Frequency BMSK'!C170)</f>
        <v>0</v>
      </c>
      <c r="C145">
        <f>N('Lube Frequency BMSK'!D170)</f>
        <v>0</v>
      </c>
      <c r="D145">
        <f>N('Lube Frequency BMSK'!E170)</f>
        <v>0</v>
      </c>
      <c r="F145" t="str">
        <f t="shared" si="2"/>
        <v>URAL 43441C-10 АЦ 6.0-70 Fire-truck</v>
      </c>
      <c r="G145">
        <f>'Lube Frequency BMSK'!I170*B145*('Lube Frequency BMSK'!$L$1/$H$1)</f>
        <v>0</v>
      </c>
      <c r="H145">
        <f>'Lube Frequency BMSK'!I170*C145*('Lube Frequency BMSK'!$L$1/$H$1)</f>
        <v>0</v>
      </c>
      <c r="I145">
        <f>'Lube Frequency BMSK'!I170*D145*('Lube Frequency BMSK'!$L$1/$H$1)</f>
        <v>0</v>
      </c>
    </row>
    <row r="146" spans="1:9" x14ac:dyDescent="0.25">
      <c r="A146" t="str">
        <f>'Lube Frequency BMSK'!B171</f>
        <v>URAL 4671L2-20 WATER TRUCK</v>
      </c>
      <c r="B146">
        <f>N('Lube Frequency BMSK'!C171)</f>
        <v>0</v>
      </c>
      <c r="C146">
        <f>N('Lube Frequency BMSK'!D171)</f>
        <v>0</v>
      </c>
      <c r="D146">
        <f>N('Lube Frequency BMSK'!E171)</f>
        <v>0</v>
      </c>
      <c r="F146" t="str">
        <f t="shared" si="2"/>
        <v>URAL 4671L2-20 WATER TRUCK</v>
      </c>
      <c r="G146">
        <f>'Lube Frequency BMSK'!I171*B146*('Lube Frequency BMSK'!$L$1/$H$1)</f>
        <v>0</v>
      </c>
      <c r="H146">
        <f>'Lube Frequency BMSK'!I171*C146*('Lube Frequency BMSK'!$L$1/$H$1)</f>
        <v>0</v>
      </c>
      <c r="I146">
        <f>'Lube Frequency BMSK'!I171*D146*('Lube Frequency BMSK'!$L$1/$H$1)</f>
        <v>0</v>
      </c>
    </row>
    <row r="147" spans="1:9" x14ac:dyDescent="0.25">
      <c r="A147" t="str">
        <f>'Lube Frequency BMSK'!B172</f>
        <v>URAL 4672M8 VACUUM TRUCK</v>
      </c>
      <c r="B147">
        <f>N('Lube Frequency BMSK'!C172)</f>
        <v>0</v>
      </c>
      <c r="C147">
        <f>N('Lube Frequency BMSK'!D172)</f>
        <v>0</v>
      </c>
      <c r="D147">
        <f>N('Lube Frequency BMSK'!E172)</f>
        <v>0</v>
      </c>
      <c r="F147" t="str">
        <f t="shared" si="2"/>
        <v>URAL 4672M8 VACUUM TRUCK</v>
      </c>
      <c r="G147">
        <f>'Lube Frequency BMSK'!I172*B147*('Lube Frequency BMSK'!$L$1/$H$1)</f>
        <v>0</v>
      </c>
      <c r="H147">
        <f>'Lube Frequency BMSK'!I172*C147*('Lube Frequency BMSK'!$L$1/$H$1)</f>
        <v>0</v>
      </c>
      <c r="I147">
        <f>'Lube Frequency BMSK'!I172*D147*('Lube Frequency BMSK'!$L$1/$H$1)</f>
        <v>0</v>
      </c>
    </row>
    <row r="148" spans="1:9" x14ac:dyDescent="0.25">
      <c r="A148" t="str">
        <f>'Lube Frequency BMSK'!B173</f>
        <v>URAL 4672М1-20 WATER TRUCK</v>
      </c>
      <c r="B148">
        <f>N('Lube Frequency BMSK'!C173)</f>
        <v>0</v>
      </c>
      <c r="C148">
        <f>N('Lube Frequency BMSK'!D173)</f>
        <v>0</v>
      </c>
      <c r="D148">
        <f>N('Lube Frequency BMSK'!E173)</f>
        <v>0</v>
      </c>
      <c r="F148" t="str">
        <f t="shared" si="2"/>
        <v>URAL 4672М1-20 WATER TRUCK</v>
      </c>
      <c r="G148">
        <f>'Lube Frequency BMSK'!I173*B148*('Lube Frequency BMSK'!$L$1/$H$1)</f>
        <v>0</v>
      </c>
      <c r="H148">
        <f>'Lube Frequency BMSK'!I173*C148*('Lube Frequency BMSK'!$L$1/$H$1)</f>
        <v>0</v>
      </c>
      <c r="I148">
        <f>'Lube Frequency BMSK'!I173*D148*('Lube Frequency BMSK'!$L$1/$H$1)</f>
        <v>0</v>
      </c>
    </row>
    <row r="149" spans="1:9" x14ac:dyDescent="0.25">
      <c r="A149" t="str">
        <f>'Lube Frequency BMSK'!B174</f>
        <v>URAL 58498А-0000020 Crew bus</v>
      </c>
      <c r="B149">
        <f>N('Lube Frequency BMSK'!C174)</f>
        <v>0</v>
      </c>
      <c r="C149">
        <f>N('Lube Frequency BMSK'!D174)</f>
        <v>0</v>
      </c>
      <c r="D149">
        <f>N('Lube Frequency BMSK'!E174)</f>
        <v>0</v>
      </c>
      <c r="F149" t="str">
        <f t="shared" si="2"/>
        <v>URAL 58498А-0000020 Crew bus</v>
      </c>
      <c r="G149">
        <f>'Lube Frequency BMSK'!I174*B149*('Lube Frequency BMSK'!$L$1/$H$1)</f>
        <v>0</v>
      </c>
      <c r="H149">
        <f>'Lube Frequency BMSK'!I174*C149*('Lube Frequency BMSK'!$L$1/$H$1)</f>
        <v>0</v>
      </c>
      <c r="I149">
        <f>'Lube Frequency BMSK'!I174*D149*('Lube Frequency BMSK'!$L$1/$H$1)</f>
        <v>0</v>
      </c>
    </row>
    <row r="150" spans="1:9" x14ac:dyDescent="0.25">
      <c r="A150" t="str">
        <f>'Lube Frequency BMSK'!B175</f>
        <v>URAL 63704-0151 Fuel Truck</v>
      </c>
      <c r="B150">
        <f>N('Lube Frequency BMSK'!C175)</f>
        <v>0</v>
      </c>
      <c r="C150">
        <f>N('Lube Frequency BMSK'!D175)</f>
        <v>0</v>
      </c>
      <c r="D150">
        <f>N('Lube Frequency BMSK'!E175)</f>
        <v>0</v>
      </c>
      <c r="F150" t="str">
        <f t="shared" si="2"/>
        <v>URAL 63704-0151 Fuel Truck</v>
      </c>
      <c r="G150">
        <f>'Lube Frequency BMSK'!I175*B150*('Lube Frequency BMSK'!$L$1/$H$1)</f>
        <v>0</v>
      </c>
      <c r="H150">
        <f>'Lube Frequency BMSK'!I175*C150*('Lube Frequency BMSK'!$L$1/$H$1)</f>
        <v>0</v>
      </c>
      <c r="I150">
        <f>'Lube Frequency BMSK'!I175*D150*('Lube Frequency BMSK'!$L$1/$H$1)</f>
        <v>0</v>
      </c>
    </row>
    <row r="151" spans="1:9" x14ac:dyDescent="0.25">
      <c r="A151" t="str">
        <f>'Lube Frequency BMSK'!B176</f>
        <v>URAL 63704К Fuel Truck</v>
      </c>
      <c r="B151">
        <f>N('Lube Frequency BMSK'!C176)</f>
        <v>0</v>
      </c>
      <c r="C151">
        <f>N('Lube Frequency BMSK'!D176)</f>
        <v>0</v>
      </c>
      <c r="D151">
        <f>N('Lube Frequency BMSK'!E176)</f>
        <v>0</v>
      </c>
      <c r="F151" t="str">
        <f t="shared" si="2"/>
        <v>URAL 63704К Fuel Truck</v>
      </c>
      <c r="G151">
        <f>'Lube Frequency BMSK'!I176*B151*('Lube Frequency BMSK'!$L$1/$H$1)</f>
        <v>0</v>
      </c>
      <c r="H151">
        <f>'Lube Frequency BMSK'!I176*C151*('Lube Frequency BMSK'!$L$1/$H$1)</f>
        <v>0</v>
      </c>
      <c r="I151">
        <f>'Lube Frequency BMSK'!I176*D151*('Lube Frequency BMSK'!$L$1/$H$1)</f>
        <v>0</v>
      </c>
    </row>
    <row r="152" spans="1:9" x14ac:dyDescent="0.25">
      <c r="A152" t="str">
        <f>'Lube Frequency BMSK'!B177</f>
        <v>URAL NEXT 4320 Lube Truck    (1891АА-0001100)</v>
      </c>
      <c r="B152">
        <f>N('Lube Frequency BMSK'!C177)</f>
        <v>0</v>
      </c>
      <c r="C152">
        <f>N('Lube Frequency BMSK'!D177)</f>
        <v>0</v>
      </c>
      <c r="D152">
        <f>N('Lube Frequency BMSK'!E177)</f>
        <v>0</v>
      </c>
      <c r="F152" t="str">
        <f t="shared" si="2"/>
        <v>URAL NEXT 4320 Lube Truck    (1891АА-0001100)</v>
      </c>
      <c r="G152">
        <f>'Lube Frequency BMSK'!I177*B152*('Lube Frequency BMSK'!$L$1/$H$1)</f>
        <v>0</v>
      </c>
      <c r="H152">
        <f>'Lube Frequency BMSK'!I177*C152*('Lube Frequency BMSK'!$L$1/$H$1)</f>
        <v>0</v>
      </c>
      <c r="I152">
        <f>'Lube Frequency BMSK'!I177*D152*('Lube Frequency BMSK'!$L$1/$H$1)</f>
        <v>0</v>
      </c>
    </row>
    <row r="153" spans="1:9" x14ac:dyDescent="0.25">
      <c r="A153" t="str">
        <f>'Lube Frequency BMSK'!B178</f>
        <v>URAL NEXT 4320 Mechanical Truck      (1891AA-0001103)</v>
      </c>
      <c r="B153">
        <f>N('Lube Frequency BMSK'!C178)</f>
        <v>0</v>
      </c>
      <c r="C153">
        <f>N('Lube Frequency BMSK'!D178)</f>
        <v>0</v>
      </c>
      <c r="D153">
        <f>N('Lube Frequency BMSK'!E178)</f>
        <v>0</v>
      </c>
      <c r="F153" t="str">
        <f t="shared" si="2"/>
        <v>URAL NEXT 4320 Mechanical Truck      (1891AA-0001103)</v>
      </c>
      <c r="G153">
        <f>'Lube Frequency BMSK'!I178*B153*('Lube Frequency BMSK'!$L$1/$H$1)</f>
        <v>0</v>
      </c>
      <c r="H153">
        <f>'Lube Frequency BMSK'!I178*C153*('Lube Frequency BMSK'!$L$1/$H$1)</f>
        <v>0</v>
      </c>
      <c r="I153">
        <f>'Lube Frequency BMSK'!I178*D153*('Lube Frequency BMSK'!$L$1/$H$1)</f>
        <v>0</v>
      </c>
    </row>
    <row r="154" spans="1:9" x14ac:dyDescent="0.25">
      <c r="A154" t="str">
        <f>'Lube Frequency BMSK'!B179</f>
        <v>URAL ППУА Steam Truck</v>
      </c>
      <c r="B154">
        <f>N('Lube Frequency BMSK'!C179)</f>
        <v>0</v>
      </c>
      <c r="C154">
        <f>N('Lube Frequency BMSK'!D179)</f>
        <v>0</v>
      </c>
      <c r="D154">
        <f>N('Lube Frequency BMSK'!E179)</f>
        <v>0</v>
      </c>
      <c r="F154" t="str">
        <f t="shared" si="2"/>
        <v>URAL ППУА Steam Truck</v>
      </c>
      <c r="G154">
        <f>'Lube Frequency BMSK'!I179*B154*('Lube Frequency BMSK'!$L$1/$H$1)</f>
        <v>0</v>
      </c>
      <c r="H154">
        <f>'Lube Frequency BMSK'!I179*C154*('Lube Frequency BMSK'!$L$1/$H$1)</f>
        <v>0</v>
      </c>
      <c r="I154">
        <f>'Lube Frequency BMSK'!I179*D154*('Lube Frequency BMSK'!$L$1/$H$1)</f>
        <v>0</v>
      </c>
    </row>
    <row r="155" spans="1:9" x14ac:dyDescent="0.25">
      <c r="A155" t="str">
        <f>'Lube Frequency BMSK'!B180</f>
        <v>URAL СШР-1 Snow blower Truck</v>
      </c>
      <c r="B155">
        <f>N('Lube Frequency BMSK'!C180)</f>
        <v>0</v>
      </c>
      <c r="C155">
        <f>N('Lube Frequency BMSK'!D180)</f>
        <v>0</v>
      </c>
      <c r="D155">
        <f>N('Lube Frequency BMSK'!E180)</f>
        <v>0</v>
      </c>
      <c r="F155" t="str">
        <f t="shared" si="2"/>
        <v>URAL СШР-1 Snow blower Truck</v>
      </c>
      <c r="G155">
        <f>'Lube Frequency BMSK'!I180*B155*('Lube Frequency BMSK'!$L$1/$H$1)</f>
        <v>0</v>
      </c>
      <c r="H155">
        <f>'Lube Frequency BMSK'!I180*C155*('Lube Frequency BMSK'!$L$1/$H$1)</f>
        <v>0</v>
      </c>
      <c r="I155">
        <f>'Lube Frequency BMSK'!I180*D155*('Lube Frequency BMSK'!$L$1/$H$1)</f>
        <v>0</v>
      </c>
    </row>
    <row r="156" spans="1:9" x14ac:dyDescent="0.25">
      <c r="A156" t="str">
        <f>'Lube Frequency BMSK'!B181</f>
        <v xml:space="preserve">URB-2D3 </v>
      </c>
      <c r="B156">
        <f>N('Lube Frequency BMSK'!C181)</f>
        <v>1</v>
      </c>
      <c r="C156">
        <f>N('Lube Frequency BMSK'!D181)</f>
        <v>0</v>
      </c>
      <c r="D156">
        <f>N('Lube Frequency BMSK'!E181)</f>
        <v>0</v>
      </c>
      <c r="F156" t="str">
        <f t="shared" si="2"/>
        <v xml:space="preserve">URB-2D3 </v>
      </c>
      <c r="G156">
        <f>'Lube Frequency BMSK'!I181*B156*('Lube Frequency BMSK'!$L$1/$H$1)</f>
        <v>14</v>
      </c>
      <c r="H156">
        <f>'Lube Frequency BMSK'!I181*C156*('Lube Frequency BMSK'!$L$1/$H$1)</f>
        <v>0</v>
      </c>
      <c r="I156">
        <f>'Lube Frequency BMSK'!I181*D156*('Lube Frequency BMSK'!$L$1/$H$1)</f>
        <v>0</v>
      </c>
    </row>
    <row r="157" spans="1:9" x14ac:dyDescent="0.25">
      <c r="A157" t="str">
        <f>'Lube Frequency BMSK'!B182</f>
        <v>ZOOMLION ZRS4531 KONTAINER LOADER</v>
      </c>
      <c r="B157">
        <f>N('Lube Frequency BMSK'!C182)</f>
        <v>0</v>
      </c>
      <c r="C157">
        <f>N('Lube Frequency BMSK'!D182)</f>
        <v>0</v>
      </c>
      <c r="D157">
        <f>N('Lube Frequency BMSK'!E182)</f>
        <v>0</v>
      </c>
      <c r="F157" t="str">
        <f t="shared" si="2"/>
        <v>ZOOMLION ZRS4531 KONTAINER LOADER</v>
      </c>
      <c r="G157">
        <f>'Lube Frequency BMSK'!I182*B157*('Lube Frequency BMSK'!$L$1/$H$1)</f>
        <v>0</v>
      </c>
      <c r="H157">
        <f>'Lube Frequency BMSK'!I182*C157*('Lube Frequency BMSK'!$L$1/$H$1)</f>
        <v>0</v>
      </c>
      <c r="I157">
        <f>'Lube Frequency BMSK'!I182*D157*('Lube Frequency BMSK'!$L$1/$H$1)</f>
        <v>0</v>
      </c>
    </row>
    <row r="158" spans="1:9" x14ac:dyDescent="0.25">
      <c r="A158" t="str">
        <f>'Lube Frequency BMSK'!B183</f>
        <v>ZOOMLION ZRT400</v>
      </c>
      <c r="B158">
        <f>N('Lube Frequency BMSK'!C183)</f>
        <v>0</v>
      </c>
      <c r="C158">
        <f>N('Lube Frequency BMSK'!D183)</f>
        <v>0</v>
      </c>
      <c r="D158">
        <f>N('Lube Frequency BMSK'!E183)</f>
        <v>0</v>
      </c>
      <c r="F158" t="str">
        <f t="shared" si="2"/>
        <v>ZOOMLION ZRT400</v>
      </c>
      <c r="G158">
        <f>'Lube Frequency BMSK'!I183*B158*('Lube Frequency BMSK'!$L$1/$H$1)</f>
        <v>0</v>
      </c>
      <c r="H158">
        <f>'Lube Frequency BMSK'!I183*C158*('Lube Frequency BMSK'!$L$1/$H$1)</f>
        <v>0</v>
      </c>
      <c r="I158">
        <f>'Lube Frequency BMSK'!I183*D158*('Lube Frequency BMSK'!$L$1/$H$1)</f>
        <v>0</v>
      </c>
    </row>
    <row r="159" spans="1:9" x14ac:dyDescent="0.25">
      <c r="A159" t="str">
        <f>'Lube Frequency BMSK'!B184</f>
        <v>ZOOMLION ZS0808HD</v>
      </c>
      <c r="B159">
        <f>N('Lube Frequency BMSK'!C184)</f>
        <v>0</v>
      </c>
      <c r="C159">
        <f>N('Lube Frequency BMSK'!D184)</f>
        <v>0</v>
      </c>
      <c r="D159">
        <f>N('Lube Frequency BMSK'!E184)</f>
        <v>0</v>
      </c>
      <c r="F159" t="str">
        <f t="shared" si="2"/>
        <v>ZOOMLION ZS0808HD</v>
      </c>
      <c r="G159">
        <f>'Lube Frequency BMSK'!I184*B159*('Lube Frequency BMSK'!$L$1/$H$1)</f>
        <v>0</v>
      </c>
      <c r="H159">
        <f>'Lube Frequency BMSK'!I184*C159*('Lube Frequency BMSK'!$L$1/$H$1)</f>
        <v>0</v>
      </c>
      <c r="I159">
        <f>'Lube Frequency BMSK'!I184*D159*('Lube Frequency BMSK'!$L$1/$H$1)</f>
        <v>0</v>
      </c>
    </row>
    <row r="160" spans="1:9" x14ac:dyDescent="0.25">
      <c r="A160" t="str">
        <f>'Lube Frequency BMSK'!B185</f>
        <v>ZOOMLION ZS2023ERT</v>
      </c>
      <c r="B160">
        <f>N('Lube Frequency BMSK'!C185)</f>
        <v>0</v>
      </c>
      <c r="C160">
        <f>N('Lube Frequency BMSK'!D185)</f>
        <v>0</v>
      </c>
      <c r="D160">
        <f>N('Lube Frequency BMSK'!E185)</f>
        <v>0</v>
      </c>
      <c r="F160" t="str">
        <f t="shared" si="2"/>
        <v>ZOOMLION ZS2023ERT</v>
      </c>
      <c r="G160">
        <f>'Lube Frequency BMSK'!I185*B160*('Lube Frequency BMSK'!$L$1/$H$1)</f>
        <v>0</v>
      </c>
      <c r="H160">
        <f>'Lube Frequency BMSK'!I185*C160*('Lube Frequency BMSK'!$L$1/$H$1)</f>
        <v>0</v>
      </c>
      <c r="I160">
        <f>'Lube Frequency BMSK'!I185*D160*('Lube Frequency BMSK'!$L$1/$H$1)</f>
        <v>0</v>
      </c>
    </row>
    <row r="161" spans="1:9" x14ac:dyDescent="0.25">
      <c r="A161" t="str">
        <f>'Lube Frequency BMSK'!B186</f>
        <v>ZOOMLION ZT42J</v>
      </c>
      <c r="B161">
        <f>N('Lube Frequency BMSK'!C186)</f>
        <v>0</v>
      </c>
      <c r="C161">
        <f>N('Lube Frequency BMSK'!D186)</f>
        <v>0</v>
      </c>
      <c r="D161">
        <f>N('Lube Frequency BMSK'!E186)</f>
        <v>0</v>
      </c>
      <c r="F161" t="str">
        <f t="shared" si="2"/>
        <v>ZOOMLION ZT42J</v>
      </c>
      <c r="G161">
        <f>'Lube Frequency BMSK'!I186*B161*('Lube Frequency BMSK'!$L$1/$H$1)</f>
        <v>0</v>
      </c>
      <c r="H161">
        <f>'Lube Frequency BMSK'!I186*C161*('Lube Frequency BMSK'!$L$1/$H$1)</f>
        <v>0</v>
      </c>
      <c r="I161">
        <f>'Lube Frequency BMSK'!I186*D161*('Lube Frequency BMSK'!$L$1/$H$1)</f>
        <v>0</v>
      </c>
    </row>
    <row r="162" spans="1:9" ht="13" x14ac:dyDescent="0.3">
      <c r="A162" s="304" t="s">
        <v>161</v>
      </c>
      <c r="B162" s="357">
        <f>SUM(B6:B161)</f>
        <v>259</v>
      </c>
      <c r="C162" s="357">
        <f>SUM(C6:C161)</f>
        <v>291</v>
      </c>
      <c r="D162" s="357">
        <f>SUM(D6:D161)</f>
        <v>308</v>
      </c>
      <c r="F162" s="361" t="s">
        <v>161</v>
      </c>
      <c r="G162" s="360">
        <f>SUM(G6:G161)</f>
        <v>19894</v>
      </c>
      <c r="H162" s="360">
        <f>SUM(H6:H161)</f>
        <v>25620</v>
      </c>
      <c r="I162" s="360">
        <f>SUM(I6:I161)</f>
        <v>28546</v>
      </c>
    </row>
    <row r="165" spans="1:9" ht="15.5" x14ac:dyDescent="0.35">
      <c r="A165" s="362" t="s">
        <v>821</v>
      </c>
      <c r="B165" s="363"/>
      <c r="C165" s="363"/>
      <c r="D165" s="363"/>
    </row>
    <row r="166" spans="1:9" ht="13" x14ac:dyDescent="0.3">
      <c r="A166" s="368" t="s">
        <v>785</v>
      </c>
      <c r="B166" s="369">
        <v>2026</v>
      </c>
      <c r="C166" s="369">
        <v>2027</v>
      </c>
      <c r="D166" s="369">
        <v>2028</v>
      </c>
      <c r="F166" s="369" t="s">
        <v>815</v>
      </c>
      <c r="G166" s="369" t="s">
        <v>816</v>
      </c>
      <c r="H166" s="369" t="s">
        <v>817</v>
      </c>
      <c r="I166" s="369" t="s">
        <v>818</v>
      </c>
    </row>
    <row r="167" spans="1:9" x14ac:dyDescent="0.25">
      <c r="A167" s="370" t="s">
        <v>628</v>
      </c>
      <c r="B167" s="371">
        <f>SUMPRODUCT('Lube Frequency BMSK'!LB31:LB186,'Lube Frequency BMSK'!C31:C186)*('Lube Frequency BMSK'!$L$1/$H$1)</f>
        <v>3626</v>
      </c>
      <c r="C167" s="371">
        <f>SUMPRODUCT('Lube Frequency BMSK'!LB31:LB186,'Lube Frequency BMSK'!D31:D186)*('Lube Frequency BMSK'!$L$1/$H$1)</f>
        <v>4074</v>
      </c>
      <c r="D167" s="371">
        <f>SUMPRODUCT('Lube Frequency BMSK'!LB31:LB186,'Lube Frequency BMSK'!E31:E186)*('Lube Frequency BMSK'!$L$1/$H$1)</f>
        <v>4312</v>
      </c>
      <c r="F167" s="390">
        <f>Comparison!$B$6</f>
        <v>5865</v>
      </c>
      <c r="G167" s="390">
        <f>Comparison!$C$6</f>
        <v>3293.64</v>
      </c>
      <c r="H167" s="390" t="str">
        <f>"₽"&amp;FIXED(B167*F167,0)&amp;" (USD "&amp;FIXED(B167*F167/Comparison!$G$1,0)&amp;")"</f>
        <v>₽21 266 490 (USD 270 566)</v>
      </c>
      <c r="I167" s="390" t="str">
        <f>"₽"&amp;FIXED(B167*G167,0)&amp;" (USD "&amp;FIXED(B167*G167/Comparison!$G$1,0)&amp;")"</f>
        <v>₽11 942 739 (USD 151 943)</v>
      </c>
    </row>
    <row r="168" spans="1:9" x14ac:dyDescent="0.25">
      <c r="A168" s="370" t="s">
        <v>630</v>
      </c>
      <c r="B168" s="371">
        <f>SUMPRODUCT('Lube Frequency BMSK'!LC31:LC186,'Lube Frequency BMSK'!C31:C186)*('Lube Frequency BMSK'!$L$1/$H$1)</f>
        <v>1400</v>
      </c>
      <c r="C168" s="371">
        <f>SUMPRODUCT('Lube Frequency BMSK'!LC31:LC186,'Lube Frequency BMSK'!D31:D186)*('Lube Frequency BMSK'!$L$1/$H$1)</f>
        <v>1386</v>
      </c>
      <c r="D168" s="371">
        <f>SUMPRODUCT('Lube Frequency BMSK'!LC31:LC186,'Lube Frequency BMSK'!E31:E186)*('Lube Frequency BMSK'!$L$1/$H$1)</f>
        <v>1414</v>
      </c>
      <c r="F168" s="390">
        <f>Comparison!$B$8</f>
        <v>5230</v>
      </c>
      <c r="G168" s="390">
        <f>Comparison!$C$8</f>
        <v>3519.81</v>
      </c>
      <c r="H168" s="390" t="str">
        <f>"₽"&amp;FIXED(B168*F168,0)&amp;" (USD "&amp;FIXED(B168*F168/Comparison!$G$1,0)&amp;")"</f>
        <v>₽7 322 000 (USD 93 155)</v>
      </c>
      <c r="I168" s="390" t="str">
        <f>"₽"&amp;FIXED(B168*G168,0)&amp;" (USD "&amp;FIXED(B168*G168/Comparison!$G$1,0)&amp;")"</f>
        <v>₽4 927 734 (USD 62 694)</v>
      </c>
    </row>
    <row r="169" spans="1:9" x14ac:dyDescent="0.25">
      <c r="A169" s="370" t="s">
        <v>605</v>
      </c>
      <c r="B169" s="371">
        <f>SUMPRODUCT('Lube Frequency BMSK'!LD31:LD186,'Lube Frequency BMSK'!C31:C186)*('Lube Frequency BMSK'!$L$1/$H$1)</f>
        <v>2030</v>
      </c>
      <c r="C169" s="371">
        <f>SUMPRODUCT('Lube Frequency BMSK'!LD31:LD186,'Lube Frequency BMSK'!D31:D186)*('Lube Frequency BMSK'!$L$1/$H$1)</f>
        <v>2492</v>
      </c>
      <c r="D169" s="371">
        <f>SUMPRODUCT('Lube Frequency BMSK'!LD31:LD186,'Lube Frequency BMSK'!E31:E186)*('Lube Frequency BMSK'!$L$1/$H$1)</f>
        <v>2730</v>
      </c>
      <c r="F169" s="390">
        <f>Comparison!$B$7</f>
        <v>5610</v>
      </c>
      <c r="G169" s="390">
        <f>Comparison!$C$7</f>
        <v>2838.78</v>
      </c>
      <c r="H169" s="390" t="str">
        <f>"₽"&amp;FIXED(B169*F169,0)&amp;" (USD "&amp;FIXED(B169*F169/Comparison!$G$1,0)&amp;")"</f>
        <v>₽11 388 300 (USD 144 889)</v>
      </c>
      <c r="I169" s="390" t="str">
        <f>"₽"&amp;FIXED(B169*G169,0)&amp;" (USD "&amp;FIXED(B169*G169/Comparison!$G$1,0)&amp;")"</f>
        <v>₽5 762 723 (USD 73 317)</v>
      </c>
    </row>
    <row r="170" spans="1:9" x14ac:dyDescent="0.25">
      <c r="A170" s="370" t="s">
        <v>608</v>
      </c>
      <c r="B170" s="371" t="e">
        <f>SUMPRODUCT('Lube Frequency BMSK'!LE31:LE186,'Lube Frequency BMSK'!C31:C186)*('Lube Frequency BMSK'!$L$1/$H$1)</f>
        <v>#REF!</v>
      </c>
      <c r="C170" s="371" t="e">
        <f>SUMPRODUCT('Lube Frequency BMSK'!LE31:LE186,'Lube Frequency BMSK'!D31:D186)*('Lube Frequency BMSK'!$L$1/$H$1)</f>
        <v>#REF!</v>
      </c>
      <c r="D170" s="371" t="e">
        <f>SUMPRODUCT('Lube Frequency BMSK'!LE31:LE186,'Lube Frequency BMSK'!E31:E186)*('Lube Frequency BMSK'!$L$1/$H$1)</f>
        <v>#REF!</v>
      </c>
      <c r="F170" s="390">
        <f>Comparison!$B$8</f>
        <v>5230</v>
      </c>
      <c r="G170" s="390">
        <f>Comparison!$C$8</f>
        <v>3519.81</v>
      </c>
      <c r="H170" s="390" t="e">
        <f>"₽"&amp;FIXED(B170*F170,0)&amp;" (USD "&amp;FIXED(B170*F170/Comparison!$G$1,0)&amp;")"</f>
        <v>#REF!</v>
      </c>
      <c r="I170" s="390" t="e">
        <f>"₽"&amp;FIXED(B170*G170,0)&amp;" (USD "&amp;FIXED(B170*G170/Comparison!$G$1,0)&amp;")"</f>
        <v>#REF!</v>
      </c>
    </row>
    <row r="171" spans="1:9" x14ac:dyDescent="0.25">
      <c r="A171" s="372" t="s">
        <v>618</v>
      </c>
      <c r="B171" s="373">
        <f>SUMPRODUCT('Lube Frequency BMSK'!LF31:LF186,'Lube Frequency BMSK'!C31:C186)*('Lube Frequency BMSK'!$L$1/$H$1)</f>
        <v>308</v>
      </c>
      <c r="C171" s="373">
        <f>SUMPRODUCT('Lube Frequency BMSK'!LF31:LF186,'Lube Frequency BMSK'!D31:D186)*('Lube Frequency BMSK'!$L$1/$H$1)</f>
        <v>350</v>
      </c>
      <c r="D171" s="373">
        <f>SUMPRODUCT('Lube Frequency BMSK'!LF31:LF186,'Lube Frequency BMSK'!E31:E186)*('Lube Frequency BMSK'!$L$1/$H$1)</f>
        <v>364</v>
      </c>
      <c r="F171" s="390">
        <f>Comparison!$B$7</f>
        <v>5610</v>
      </c>
      <c r="G171" s="390">
        <f>Comparison!$C$7</f>
        <v>2838.78</v>
      </c>
      <c r="H171" s="390" t="str">
        <f>"₽"&amp;FIXED(B171*F171,0)&amp;" (USD "&amp;FIXED(B171*F171/Comparison!$G$1,0)&amp;")"</f>
        <v>₽1 727 880 (USD 21 983)</v>
      </c>
      <c r="I171" s="390" t="str">
        <f>"₽"&amp;FIXED(B171*G171,0)&amp;" (USD "&amp;FIXED(B171*G171/Comparison!$G$1,0)&amp;")"</f>
        <v>₽874 344 (USD 11 124)</v>
      </c>
    </row>
    <row r="172" spans="1:9" ht="13" x14ac:dyDescent="0.3">
      <c r="A172" s="374" t="s">
        <v>129</v>
      </c>
      <c r="B172" s="375">
        <f>SUMPRODUCT('Lube Frequency BMSK'!LG31:LG186,'Lube Frequency BMSK'!C31:C186)*('Lube Frequency BMSK'!$L$1/$H$1)</f>
        <v>1932</v>
      </c>
      <c r="C172" s="375">
        <f>SUMPRODUCT('Lube Frequency BMSK'!LG31:LG186,'Lube Frequency BMSK'!D31:D186)*('Lube Frequency BMSK'!$L$1/$H$1)</f>
        <v>2394</v>
      </c>
      <c r="D172" s="375">
        <f>SUMPRODUCT('Lube Frequency BMSK'!LG31:LG186,'Lube Frequency BMSK'!E31:E186)*('Lube Frequency BMSK'!$L$1/$H$1)</f>
        <v>2632</v>
      </c>
      <c r="F172" s="390">
        <f>Comparison!$B$9</f>
        <v>5015</v>
      </c>
      <c r="G172" s="391" t="s">
        <v>802</v>
      </c>
      <c r="H172" s="390" t="str">
        <f>"₽"&amp;FIXED(B172*F172,0)&amp;" (USD "&amp;FIXED(B172*F172/Comparison!$G$1,0)&amp;")"</f>
        <v>₽9 688 980 (USD 123 269)</v>
      </c>
      <c r="I172" s="391" t="s">
        <v>803</v>
      </c>
    </row>
    <row r="173" spans="1:9" ht="13" x14ac:dyDescent="0.3">
      <c r="A173" s="368" t="s">
        <v>161</v>
      </c>
      <c r="B173" s="369" t="e">
        <f>SUM(B167:B172)</f>
        <v>#REF!</v>
      </c>
      <c r="C173" s="369" t="e">
        <f>SUM(C167:C172)</f>
        <v>#REF!</v>
      </c>
      <c r="D173" s="369" t="e">
        <f>SUM(D167:D172)</f>
        <v>#REF!</v>
      </c>
      <c r="F173" s="368" t="s">
        <v>161</v>
      </c>
      <c r="G173" s="392"/>
      <c r="H173" s="393" t="e">
        <f>"₽"&amp;FIXED(B167*F167+B168*F168+B169*F169+B170*F170+B171*F171+B172*F172,0)&amp;" (USD "&amp;FIXED((B167*F167+B168*F168+B169*F169+B170*F170+B171*F171+B172*F172)/Comparison!$G$1,0)&amp;")"</f>
        <v>#REF!</v>
      </c>
      <c r="I173" s="393" t="e">
        <f>"₽"&amp;FIXED(B167*G167+B168*G168+B169*G169+B170*G170+B171*G171,0)&amp;" (USD "&amp;FIXED((B167*G167+B168*G168+B169*G169+B170*G170+B171*G171)/Comparison!$G$1,0)&amp;")"</f>
        <v>#REF!</v>
      </c>
    </row>
    <row r="174" spans="1:9" ht="13" x14ac:dyDescent="0.3">
      <c r="A174" s="367" t="s">
        <v>790</v>
      </c>
    </row>
    <row r="177" spans="1:9" ht="15.5" x14ac:dyDescent="0.35">
      <c r="A177" s="376" t="s">
        <v>791</v>
      </c>
      <c r="B177" s="377"/>
      <c r="C177" s="377"/>
      <c r="D177" s="377"/>
    </row>
    <row r="178" spans="1:9" ht="13" x14ac:dyDescent="0.3">
      <c r="A178" s="386" t="s">
        <v>785</v>
      </c>
      <c r="B178" s="387">
        <v>2026</v>
      </c>
      <c r="C178" s="387">
        <v>2027</v>
      </c>
      <c r="D178" s="387">
        <v>2028</v>
      </c>
      <c r="F178" s="387" t="s">
        <v>815</v>
      </c>
      <c r="G178" s="387" t="s">
        <v>816</v>
      </c>
      <c r="H178" s="387" t="s">
        <v>817</v>
      </c>
      <c r="I178" s="387" t="s">
        <v>818</v>
      </c>
    </row>
    <row r="179" spans="1:9" ht="13" x14ac:dyDescent="0.3">
      <c r="A179" s="388" t="s">
        <v>792</v>
      </c>
      <c r="B179" s="389">
        <f>SUMPRODUCT('Lube Frequency BMSK'!LB31:LB186,'Lube Frequency BMSK'!C31:C186)*('Lube Frequency BMSK'!$L$1/250)</f>
        <v>7252</v>
      </c>
      <c r="C179" s="389">
        <f>SUMPRODUCT('Lube Frequency BMSK'!LB31:LB186,'Lube Frequency BMSK'!D31:D186)*('Lube Frequency BMSK'!$L$1/250)</f>
        <v>8148</v>
      </c>
      <c r="D179" s="389">
        <f>SUMPRODUCT('Lube Frequency BMSK'!LB31:LB186,'Lube Frequency BMSK'!E31:E186)*('Lube Frequency BMSK'!$L$1/250)</f>
        <v>8624</v>
      </c>
      <c r="F179" s="390">
        <f>Comparison!$B$6</f>
        <v>5865</v>
      </c>
      <c r="G179" s="390">
        <f>Comparison!$C$6</f>
        <v>3293.64</v>
      </c>
      <c r="H179" s="390" t="str">
        <f>"₽"&amp;FIXED(B179*F179,0)&amp;" (USD "&amp;FIXED(B179*F179/Comparison!$G$1,0)&amp;")"</f>
        <v>₽42 532 980 (USD 541 132)</v>
      </c>
      <c r="I179" s="390" t="str">
        <f>"₽"&amp;FIXED(B179*G179,0)&amp;" (USD "&amp;FIXED(B179*G179/Comparison!$G$1,0)&amp;")"</f>
        <v>₽23 885 477 (USD 303 886)</v>
      </c>
    </row>
    <row r="180" spans="1:9" x14ac:dyDescent="0.25">
      <c r="A180" s="370" t="s">
        <v>630</v>
      </c>
      <c r="B180" s="371">
        <f>SUMPRODUCT('Lube Frequency BMSK'!LC31:LC186,'Lube Frequency BMSK'!C31:C186)*('Lube Frequency BMSK'!$L$1/$H$1)</f>
        <v>1400</v>
      </c>
      <c r="C180" s="371">
        <f>SUMPRODUCT('Lube Frequency BMSK'!LC31:LC186,'Lube Frequency BMSK'!D31:D186)*('Lube Frequency BMSK'!$L$1/$H$1)</f>
        <v>1386</v>
      </c>
      <c r="D180" s="371">
        <f>SUMPRODUCT('Lube Frequency BMSK'!LC31:LC186,'Lube Frequency BMSK'!E31:E186)*('Lube Frequency BMSK'!$L$1/$H$1)</f>
        <v>1414</v>
      </c>
      <c r="F180" s="390">
        <f>Comparison!$B$8</f>
        <v>5230</v>
      </c>
      <c r="G180" s="390">
        <f>Comparison!$C$8</f>
        <v>3519.81</v>
      </c>
      <c r="H180" s="390" t="str">
        <f>"₽"&amp;FIXED(B180*F180,0)&amp;" (USD "&amp;FIXED(B180*F180/Comparison!$G$1,0)&amp;")"</f>
        <v>₽7 322 000 (USD 93 155)</v>
      </c>
      <c r="I180" s="390" t="str">
        <f>"₽"&amp;FIXED(B180*G180,0)&amp;" (USD "&amp;FIXED(B180*G180/Comparison!$G$1,0)&amp;")"</f>
        <v>₽4 927 734 (USD 62 694)</v>
      </c>
    </row>
    <row r="181" spans="1:9" x14ac:dyDescent="0.25">
      <c r="A181" s="370" t="s">
        <v>605</v>
      </c>
      <c r="B181" s="371">
        <f>SUMPRODUCT('Lube Frequency BMSK'!LD31:LD186,'Lube Frequency BMSK'!C31:C186)*('Lube Frequency BMSK'!$L$1/$H$1)</f>
        <v>2030</v>
      </c>
      <c r="C181" s="371">
        <f>SUMPRODUCT('Lube Frequency BMSK'!LD31:LD186,'Lube Frequency BMSK'!D31:D186)*('Lube Frequency BMSK'!$L$1/$H$1)</f>
        <v>2492</v>
      </c>
      <c r="D181" s="371">
        <f>SUMPRODUCT('Lube Frequency BMSK'!LD31:LD186,'Lube Frequency BMSK'!E31:E186)*('Lube Frequency BMSK'!$L$1/$H$1)</f>
        <v>2730</v>
      </c>
      <c r="F181" s="390">
        <f>Comparison!$B$7</f>
        <v>5610</v>
      </c>
      <c r="G181" s="390">
        <f>Comparison!$C$7</f>
        <v>2838.78</v>
      </c>
      <c r="H181" s="390" t="str">
        <f>"₽"&amp;FIXED(B181*F181,0)&amp;" (USD "&amp;FIXED(B181*F181/Comparison!$G$1,0)&amp;")"</f>
        <v>₽11 388 300 (USD 144 889)</v>
      </c>
      <c r="I181" s="390" t="str">
        <f>"₽"&amp;FIXED(B181*G181,0)&amp;" (USD "&amp;FIXED(B181*G181/Comparison!$G$1,0)&amp;")"</f>
        <v>₽5 762 723 (USD 73 317)</v>
      </c>
    </row>
    <row r="182" spans="1:9" x14ac:dyDescent="0.25">
      <c r="A182" s="370" t="s">
        <v>608</v>
      </c>
      <c r="B182" s="371" t="e">
        <f>SUMPRODUCT('Lube Frequency BMSK'!LE31:LE186,'Lube Frequency BMSK'!C31:C186)*('Lube Frequency BMSK'!$L$1/$H$1)</f>
        <v>#REF!</v>
      </c>
      <c r="C182" s="371" t="e">
        <f>SUMPRODUCT('Lube Frequency BMSK'!LE31:LE186,'Lube Frequency BMSK'!D31:D186)*('Lube Frequency BMSK'!$L$1/$H$1)</f>
        <v>#REF!</v>
      </c>
      <c r="D182" s="371" t="e">
        <f>SUMPRODUCT('Lube Frequency BMSK'!LE31:LE186,'Lube Frequency BMSK'!E31:E186)*('Lube Frequency BMSK'!$L$1/$H$1)</f>
        <v>#REF!</v>
      </c>
      <c r="F182" s="390">
        <f>Comparison!$B$8</f>
        <v>5230</v>
      </c>
      <c r="G182" s="390">
        <f>Comparison!$C$8</f>
        <v>3519.81</v>
      </c>
      <c r="H182" s="390" t="e">
        <f>"₽"&amp;FIXED(B182*F182,0)&amp;" (USD "&amp;FIXED(B182*F182/Comparison!$G$1,0)&amp;")"</f>
        <v>#REF!</v>
      </c>
      <c r="I182" s="390" t="e">
        <f>"₽"&amp;FIXED(B182*G182,0)&amp;" (USD "&amp;FIXED(B182*G182/Comparison!$G$1,0)&amp;")"</f>
        <v>#REF!</v>
      </c>
    </row>
    <row r="183" spans="1:9" x14ac:dyDescent="0.25">
      <c r="A183" s="370" t="s">
        <v>618</v>
      </c>
      <c r="B183" s="371">
        <f>SUMPRODUCT('Lube Frequency BMSK'!LF31:LF186,'Lube Frequency BMSK'!C31:C186)*('Lube Frequency BMSK'!$L$1/$H$1)</f>
        <v>308</v>
      </c>
      <c r="C183" s="371">
        <f>SUMPRODUCT('Lube Frequency BMSK'!LF31:LF186,'Lube Frequency BMSK'!D31:D186)*('Lube Frequency BMSK'!$L$1/$H$1)</f>
        <v>350</v>
      </c>
      <c r="D183" s="371">
        <f>SUMPRODUCT('Lube Frequency BMSK'!LF31:LF186,'Lube Frequency BMSK'!E31:E186)*('Lube Frequency BMSK'!$L$1/$H$1)</f>
        <v>364</v>
      </c>
      <c r="F183" s="390">
        <f>Comparison!$B$7</f>
        <v>5610</v>
      </c>
      <c r="G183" s="390">
        <f>Comparison!$C$7</f>
        <v>2838.78</v>
      </c>
      <c r="H183" s="390" t="str">
        <f>"₽"&amp;FIXED(B183*F183,0)&amp;" (USD "&amp;FIXED(B183*F183/Comparison!$G$1,0)&amp;")"</f>
        <v>₽1 727 880 (USD 21 983)</v>
      </c>
      <c r="I183" s="390" t="str">
        <f>"₽"&amp;FIXED(B183*G183,0)&amp;" (USD "&amp;FIXED(B183*G183/Comparison!$G$1,0)&amp;")"</f>
        <v>₽874 344 (USD 11 124)</v>
      </c>
    </row>
    <row r="184" spans="1:9" x14ac:dyDescent="0.25">
      <c r="A184" s="370" t="s">
        <v>129</v>
      </c>
      <c r="B184" s="371">
        <f>SUMPRODUCT('Lube Frequency BMSK'!LG31:LG186,'Lube Frequency BMSK'!C31:C186)*('Lube Frequency BMSK'!$L$1/$H$1)</f>
        <v>1932</v>
      </c>
      <c r="C184" s="371">
        <f>SUMPRODUCT('Lube Frequency BMSK'!LG31:LG186,'Lube Frequency BMSK'!D31:D186)*('Lube Frequency BMSK'!$L$1/$H$1)</f>
        <v>2394</v>
      </c>
      <c r="D184" s="371">
        <f>SUMPRODUCT('Lube Frequency BMSK'!LG31:LG186,'Lube Frequency BMSK'!E31:E186)*('Lube Frequency BMSK'!$L$1/$H$1)</f>
        <v>2632</v>
      </c>
      <c r="F184" s="390">
        <f>Comparison!$B$9</f>
        <v>5015</v>
      </c>
      <c r="G184" s="391" t="s">
        <v>802</v>
      </c>
      <c r="H184" s="390" t="str">
        <f>"₽"&amp;FIXED(B184*F184,0)&amp;" (USD "&amp;FIXED(B184*F184/Comparison!$G$1,0)&amp;")"</f>
        <v>₽9 688 980 (USD 123 269)</v>
      </c>
      <c r="I184" s="391" t="s">
        <v>803</v>
      </c>
    </row>
    <row r="185" spans="1:9" ht="13" x14ac:dyDescent="0.3">
      <c r="A185" s="386" t="s">
        <v>161</v>
      </c>
      <c r="B185" s="387" t="e">
        <f>SUM(B179:B184)</f>
        <v>#REF!</v>
      </c>
      <c r="C185" s="387" t="e">
        <f>SUM(C179:C184)</f>
        <v>#REF!</v>
      </c>
      <c r="D185" s="387" t="e">
        <f>SUM(D179:D184)</f>
        <v>#REF!</v>
      </c>
      <c r="F185" s="386" t="s">
        <v>161</v>
      </c>
      <c r="G185" s="394"/>
      <c r="H185" s="395" t="e">
        <f>"₽"&amp;FIXED(B179*F179+B180*F180+B181*F181+B182*F182+B183*F183+B184*F184,0)&amp;" (USD "&amp;FIXED((B179*F179+B180*F180+B181*F181+B182*F182+B183*F183+B184*F184)/Comparison!$G$1,0)&amp;")"</f>
        <v>#REF!</v>
      </c>
      <c r="I185" s="395" t="e">
        <f>"₽"&amp;FIXED(B179*G179+B180*G180+B181*G181+B182*G182+B183*G183,0)&amp;" (USD "&amp;FIXED((B179*G179+B180*G180+B181*G181+B182*G182+B183*G183)/Comparison!$G$1,0)&amp;")"</f>
        <v>#REF!</v>
      </c>
    </row>
    <row r="186" spans="1:9" ht="13" x14ac:dyDescent="0.3">
      <c r="A186" s="367" t="s">
        <v>793</v>
      </c>
    </row>
  </sheetData>
  <dataValidations count="1">
    <dataValidation type="list" allowBlank="1" showInputMessage="1" showErrorMessage="1" sqref="H1" xr:uid="{EB87F266-DB48-4D5E-B149-3A9DC0F9E9D8}">
      <formula1>"250,500"</formula1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A4E1B9-6AC4-4736-9829-2E1E08495C60}">
  <dimension ref="A1:H23"/>
  <sheetViews>
    <sheetView workbookViewId="0">
      <selection activeCell="I13" sqref="I13"/>
    </sheetView>
  </sheetViews>
  <sheetFormatPr defaultRowHeight="12.5" x14ac:dyDescent="0.25"/>
  <cols>
    <col min="1" max="1" width="41.81640625" customWidth="1"/>
    <col min="2" max="2" width="17.26953125" customWidth="1"/>
    <col min="3" max="5" width="31.81640625" customWidth="1"/>
    <col min="6" max="8" width="17.26953125" customWidth="1"/>
    <col min="9" max="9" width="20.1796875" customWidth="1"/>
  </cols>
  <sheetData>
    <row r="1" spans="1:7" ht="20" x14ac:dyDescent="0.4">
      <c r="A1" s="355" t="s">
        <v>794</v>
      </c>
      <c r="F1" s="364" t="s">
        <v>819</v>
      </c>
      <c r="G1" s="383">
        <v>78.599999999999994</v>
      </c>
    </row>
    <row r="2" spans="1:7" ht="13" x14ac:dyDescent="0.3">
      <c r="A2" s="356" t="s">
        <v>795</v>
      </c>
      <c r="F2" s="367" t="s">
        <v>820</v>
      </c>
    </row>
    <row r="4" spans="1:7" ht="15.5" x14ac:dyDescent="0.35">
      <c r="A4" s="302" t="s">
        <v>796</v>
      </c>
      <c r="B4" s="303"/>
      <c r="C4" s="303"/>
      <c r="D4" s="303"/>
    </row>
    <row r="5" spans="1:7" ht="13" x14ac:dyDescent="0.3">
      <c r="A5" s="304" t="s">
        <v>785</v>
      </c>
      <c r="B5" s="357" t="s">
        <v>797</v>
      </c>
      <c r="C5" s="357" t="s">
        <v>798</v>
      </c>
      <c r="D5" s="357" t="s">
        <v>799</v>
      </c>
    </row>
    <row r="6" spans="1:7" x14ac:dyDescent="0.25">
      <c r="A6" t="s">
        <v>800</v>
      </c>
      <c r="B6" s="378">
        <v>5865</v>
      </c>
      <c r="C6" s="378">
        <v>3293.64</v>
      </c>
      <c r="D6" s="379">
        <f>B6-C6</f>
        <v>2571.36</v>
      </c>
    </row>
    <row r="7" spans="1:7" x14ac:dyDescent="0.25">
      <c r="A7" t="s">
        <v>801</v>
      </c>
      <c r="B7" s="378">
        <v>5610</v>
      </c>
      <c r="C7" s="378">
        <v>2838.78</v>
      </c>
      <c r="D7" s="379">
        <f>B7-C7</f>
        <v>2771.22</v>
      </c>
    </row>
    <row r="8" spans="1:7" x14ac:dyDescent="0.25">
      <c r="A8" t="s">
        <v>630</v>
      </c>
      <c r="B8" s="378">
        <v>5230</v>
      </c>
      <c r="C8" s="378">
        <v>3519.81</v>
      </c>
      <c r="D8" s="379">
        <f>B8-C8</f>
        <v>1710.19</v>
      </c>
    </row>
    <row r="9" spans="1:7" x14ac:dyDescent="0.25">
      <c r="A9" t="s">
        <v>129</v>
      </c>
      <c r="B9" s="378">
        <v>5015</v>
      </c>
      <c r="C9" s="380" t="s">
        <v>802</v>
      </c>
      <c r="D9" s="380" t="s">
        <v>803</v>
      </c>
    </row>
    <row r="10" spans="1:7" x14ac:dyDescent="0.25">
      <c r="A10" t="s">
        <v>804</v>
      </c>
      <c r="B10" s="378">
        <v>10130</v>
      </c>
      <c r="C10" s="380" t="s">
        <v>802</v>
      </c>
      <c r="D10" s="380" t="s">
        <v>803</v>
      </c>
    </row>
    <row r="12" spans="1:7" ht="15.5" x14ac:dyDescent="0.35">
      <c r="A12" s="358" t="s">
        <v>805</v>
      </c>
      <c r="B12" s="359"/>
      <c r="C12" s="359"/>
      <c r="D12" s="359"/>
      <c r="E12" s="359"/>
    </row>
    <row r="13" spans="1:7" ht="13" x14ac:dyDescent="0.3">
      <c r="A13" s="361" t="s">
        <v>785</v>
      </c>
      <c r="B13" s="360" t="s">
        <v>806</v>
      </c>
      <c r="C13" s="360" t="s">
        <v>807</v>
      </c>
      <c r="D13" s="360" t="s">
        <v>808</v>
      </c>
      <c r="E13" s="360" t="s">
        <v>809</v>
      </c>
    </row>
    <row r="14" spans="1:7" x14ac:dyDescent="0.25">
      <c r="A14" t="s">
        <v>800</v>
      </c>
      <c r="B14" s="379">
        <f>Summary!B167</f>
        <v>3626</v>
      </c>
      <c r="C14" s="379" t="str">
        <f>"₽"&amp;FIXED(B14*B6,0)&amp;" (USD "&amp;FIXED(B14*B6/$G$1,0)&amp;")"</f>
        <v>₽21 266 490 (USD 270 566)</v>
      </c>
      <c r="D14" s="379" t="str">
        <f>"₽"&amp;FIXED(B14*C6,0)&amp;" (USD "&amp;FIXED(B14*C6/$G$1,0)&amp;")"</f>
        <v>₽11 942 739 (USD 151 943)</v>
      </c>
      <c r="E14" s="379" t="str">
        <f>"₽"&amp;FIXED(B14*(B6-C6),0)&amp;" (USD "&amp;FIXED(B14*(B6-C6)/$G$1,0)&amp;")"</f>
        <v>₽9 323 751 (USD 118 623)</v>
      </c>
    </row>
    <row r="15" spans="1:7" x14ac:dyDescent="0.25">
      <c r="A15" t="s">
        <v>801</v>
      </c>
      <c r="B15" s="379">
        <f>Summary!B169+Summary!B171</f>
        <v>2338</v>
      </c>
      <c r="C15" s="379" t="str">
        <f>"₽"&amp;FIXED(B15*B7,0)&amp;" (USD "&amp;FIXED(B15*B7/$G$1,0)&amp;")"</f>
        <v>₽13 116 180 (USD 166 873)</v>
      </c>
      <c r="D15" s="379" t="str">
        <f>"₽"&amp;FIXED(B15*C7,0)&amp;" (USD "&amp;FIXED(B15*C7/$G$1,0)&amp;")"</f>
        <v>₽6 637 068 (USD 84 441)</v>
      </c>
      <c r="E15" s="379" t="str">
        <f>"₽"&amp;FIXED(B15*(B7-C7),0)&amp;" (USD "&amp;FIXED(B15*(B7-C7)/$G$1,0)&amp;")"</f>
        <v>₽6 479 112 (USD 82 431)</v>
      </c>
    </row>
    <row r="16" spans="1:7" x14ac:dyDescent="0.25">
      <c r="A16" t="s">
        <v>810</v>
      </c>
      <c r="B16" s="379" t="e">
        <f>Summary!B168+Summary!B170</f>
        <v>#REF!</v>
      </c>
      <c r="C16" s="379" t="e">
        <f>"₽"&amp;FIXED(B16*B8,0)&amp;" (USD "&amp;FIXED(B16*B8/$G$1,0)&amp;")"</f>
        <v>#REF!</v>
      </c>
      <c r="D16" s="379" t="e">
        <f>"₽"&amp;FIXED(B16*C8,0)&amp;" (USD "&amp;FIXED(B16*C8/$G$1,0)&amp;")"</f>
        <v>#REF!</v>
      </c>
      <c r="E16" s="379" t="e">
        <f>"₽"&amp;FIXED(B16*(B8-C8),0)&amp;" (USD "&amp;FIXED(B16*(B8-C8)/$G$1,0)&amp;")"</f>
        <v>#REF!</v>
      </c>
    </row>
    <row r="17" spans="1:8" x14ac:dyDescent="0.25">
      <c r="A17" t="s">
        <v>129</v>
      </c>
      <c r="B17" s="379">
        <f>Summary!B172</f>
        <v>1932</v>
      </c>
      <c r="C17" s="379" t="str">
        <f>"₽"&amp;FIXED(B17*B9,0)&amp;" (USD "&amp;FIXED(B17*B9/$G$1,0)&amp;")"</f>
        <v>₽9 688 980 (USD 123 269)</v>
      </c>
      <c r="D17" s="380" t="s">
        <v>802</v>
      </c>
      <c r="E17" s="380" t="s">
        <v>803</v>
      </c>
    </row>
    <row r="18" spans="1:8" ht="13" x14ac:dyDescent="0.3">
      <c r="A18" s="361" t="s">
        <v>161</v>
      </c>
      <c r="B18" s="381" t="e">
        <f>SUM(B14:B17)</f>
        <v>#REF!</v>
      </c>
      <c r="C18" s="381" t="e">
        <f>"₽"&amp;FIXED(B14*B6+B15*B7+B16*B8+B17*B9,0)&amp;" (USD "&amp;FIXED((B14*B6+B15*B7+B16*B8+B17*B9)/$G$1,0)&amp;")"</f>
        <v>#REF!</v>
      </c>
      <c r="D18" s="381" t="e">
        <f>"₽"&amp;FIXED(B14*C6+B15*C7+B16*C8,0)&amp;" (USD "&amp;FIXED((B14*C6+B15*C7+B16*C8)/$G$1,0)&amp;")"</f>
        <v>#REF!</v>
      </c>
      <c r="E18" s="381" t="e">
        <f>"₽"&amp;FIXED((B14*B6+B15*B7+B16*B8)-(B14*C6+B15*C7+B16*C8),0)&amp;" (USD "&amp;FIXED(((B14*B6+B15*B7+B16*B8)-(B14*C6+B15*C7+B16*C8))/$G$1,0)&amp;")"</f>
        <v>#REF!</v>
      </c>
    </row>
    <row r="19" spans="1:8" s="240" customFormat="1" ht="13" x14ac:dyDescent="0.3">
      <c r="A19" s="385" t="s">
        <v>811</v>
      </c>
      <c r="C19" s="384" t="e">
        <f>"₽"&amp;FIXED(B14*B6+B15*B7+B16*B8,0)&amp;" (USD "&amp;FIXED((B14*B6+B15*B7+B16*B8)/$G$1,0)&amp;")"</f>
        <v>#REF!</v>
      </c>
      <c r="D19" s="384" t="e">
        <f>"₽"&amp;FIXED(B14*C6+B15*C7+B16*C8,0)&amp;" (USD "&amp;FIXED((B14*C6+B15*C7+B16*C8)/$G$1,0)&amp;")"</f>
        <v>#REF!</v>
      </c>
      <c r="E19" s="384" t="e">
        <f>"₽"&amp;FIXED((B14*B6+B15*B7+B16*B8)-(B14*C6+B15*C7+B16*C8),0)&amp;" (USD "&amp;FIXED(((B14*B6+B15*B7+B16*B8)-(B14*C6+B15*C7+B16*C8))/$G$1,0)&amp;")"</f>
        <v>#REF!</v>
      </c>
      <c r="F19"/>
      <c r="G19"/>
      <c r="H19"/>
    </row>
    <row r="21" spans="1:8" x14ac:dyDescent="0.25">
      <c r="A21" s="382" t="s">
        <v>812</v>
      </c>
    </row>
    <row r="22" spans="1:8" x14ac:dyDescent="0.25">
      <c r="A22" s="366" t="s">
        <v>813</v>
      </c>
    </row>
    <row r="23" spans="1:8" x14ac:dyDescent="0.25">
      <c r="A23" s="366" t="s">
        <v>814</v>
      </c>
    </row>
  </sheetData>
  <pageMargins left="0.7" right="0.7" top="0.75" bottom="0.75" header="0.3" footer="0.3"/>
  <legacy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A66B68-3C60-40C3-9A77-47A4BC7D820B}">
  <sheetPr codeName="Sheet5"/>
  <dimension ref="A1:LG197"/>
  <sheetViews>
    <sheetView tabSelected="1" view="pageBreakPreview" topLeftCell="A9" zoomScale="55" zoomScaleNormal="70" zoomScaleSheetLayoutView="55" zoomScalePageLayoutView="50" workbookViewId="0">
      <pane xSplit="31" topLeftCell="BP1" activePane="topRight" state="frozen"/>
      <selection pane="topRight" activeCell="L11" sqref="L11"/>
    </sheetView>
  </sheetViews>
  <sheetFormatPr defaultColWidth="16" defaultRowHeight="20" x14ac:dyDescent="0.4"/>
  <cols>
    <col min="1" max="1" width="16" style="141"/>
    <col min="2" max="2" width="39.90625" style="323" customWidth="1"/>
    <col min="3" max="12" width="16" style="141" customWidth="1"/>
    <col min="13" max="32" width="16" style="141"/>
    <col min="33" max="34" width="16" style="208"/>
    <col min="35" max="16384" width="16" style="141"/>
  </cols>
  <sheetData>
    <row r="1" spans="1:319" s="134" customFormat="1" ht="201" customHeight="1" x14ac:dyDescent="0.25">
      <c r="B1" s="313" t="s">
        <v>103</v>
      </c>
      <c r="C1" s="541" t="s">
        <v>570</v>
      </c>
      <c r="D1" s="541"/>
      <c r="E1" s="541"/>
      <c r="F1" s="541" t="s">
        <v>571</v>
      </c>
      <c r="G1" s="541"/>
      <c r="H1" s="541"/>
      <c r="I1" s="217"/>
      <c r="J1" s="135"/>
      <c r="K1" s="211" t="s">
        <v>160</v>
      </c>
      <c r="L1" s="136">
        <v>7000</v>
      </c>
      <c r="M1" s="137" t="s">
        <v>1079</v>
      </c>
      <c r="N1" s="137" t="s">
        <v>1080</v>
      </c>
      <c r="O1" s="137" t="s">
        <v>1081</v>
      </c>
      <c r="P1" s="137" t="s">
        <v>841</v>
      </c>
      <c r="Q1" s="137" t="s">
        <v>1083</v>
      </c>
      <c r="R1" s="137" t="s">
        <v>1084</v>
      </c>
      <c r="S1" s="137" t="s">
        <v>1171</v>
      </c>
      <c r="T1" s="137" t="s">
        <v>1175</v>
      </c>
      <c r="U1" s="137" t="s">
        <v>1173</v>
      </c>
      <c r="V1" s="137" t="s">
        <v>1086</v>
      </c>
      <c r="W1" s="137" t="s">
        <v>1089</v>
      </c>
      <c r="X1" s="137" t="s">
        <v>361</v>
      </c>
      <c r="Y1" s="137" t="s">
        <v>829</v>
      </c>
      <c r="Z1" s="137" t="s">
        <v>1141</v>
      </c>
      <c r="AA1" s="137" t="s">
        <v>1183</v>
      </c>
      <c r="AB1" s="137" t="s">
        <v>1090</v>
      </c>
      <c r="AC1" s="137" t="s">
        <v>1224</v>
      </c>
      <c r="AD1" s="137" t="s">
        <v>1116</v>
      </c>
      <c r="AE1" s="137" t="s">
        <v>515</v>
      </c>
      <c r="AF1" s="138" t="s">
        <v>568</v>
      </c>
      <c r="AG1" s="138" t="s">
        <v>567</v>
      </c>
      <c r="AH1" s="138" t="s">
        <v>566</v>
      </c>
      <c r="AI1" s="138" t="s">
        <v>107</v>
      </c>
      <c r="AJ1" s="281" t="s">
        <v>566</v>
      </c>
      <c r="AK1" s="281" t="s">
        <v>1077</v>
      </c>
      <c r="AL1" s="281" t="s">
        <v>501</v>
      </c>
      <c r="AM1" s="138" t="s">
        <v>108</v>
      </c>
      <c r="AN1" s="281" t="s">
        <v>566</v>
      </c>
      <c r="AO1" s="281" t="s">
        <v>1077</v>
      </c>
      <c r="AP1" s="281" t="s">
        <v>501</v>
      </c>
      <c r="AQ1" s="138" t="s">
        <v>0</v>
      </c>
      <c r="AR1" s="281" t="s">
        <v>566</v>
      </c>
      <c r="AS1" s="281" t="s">
        <v>1077</v>
      </c>
      <c r="AT1" s="281" t="s">
        <v>501</v>
      </c>
      <c r="AU1" s="138" t="s">
        <v>1</v>
      </c>
      <c r="AV1" s="281" t="s">
        <v>566</v>
      </c>
      <c r="AW1" s="281" t="s">
        <v>1077</v>
      </c>
      <c r="AX1" s="281" t="s">
        <v>501</v>
      </c>
      <c r="AY1" s="138" t="s">
        <v>109</v>
      </c>
      <c r="AZ1" s="281" t="s">
        <v>566</v>
      </c>
      <c r="BA1" s="281" t="s">
        <v>1077</v>
      </c>
      <c r="BB1" s="281" t="s">
        <v>501</v>
      </c>
      <c r="BC1" s="138" t="s">
        <v>110</v>
      </c>
      <c r="BD1" s="281" t="s">
        <v>566</v>
      </c>
      <c r="BE1" s="281" t="s">
        <v>1077</v>
      </c>
      <c r="BF1" s="281" t="s">
        <v>501</v>
      </c>
      <c r="BG1" s="138" t="s">
        <v>111</v>
      </c>
      <c r="BH1" s="281" t="s">
        <v>566</v>
      </c>
      <c r="BI1" s="281" t="s">
        <v>1077</v>
      </c>
      <c r="BJ1" s="281" t="s">
        <v>501</v>
      </c>
      <c r="BK1" s="282" t="s">
        <v>112</v>
      </c>
      <c r="BL1" s="281" t="s">
        <v>566</v>
      </c>
      <c r="BM1" s="281" t="s">
        <v>1077</v>
      </c>
      <c r="BN1" s="281" t="s">
        <v>501</v>
      </c>
      <c r="BO1" s="138" t="s">
        <v>113</v>
      </c>
      <c r="BP1" s="281" t="s">
        <v>566</v>
      </c>
      <c r="BQ1" s="281" t="s">
        <v>1077</v>
      </c>
      <c r="BR1" s="281" t="s">
        <v>501</v>
      </c>
      <c r="BS1" s="138" t="s">
        <v>114</v>
      </c>
      <c r="BT1" s="281" t="s">
        <v>566</v>
      </c>
      <c r="BU1" s="281" t="s">
        <v>1077</v>
      </c>
      <c r="BV1" s="281" t="s">
        <v>501</v>
      </c>
      <c r="BW1" s="138" t="s">
        <v>84</v>
      </c>
      <c r="BX1" s="281" t="s">
        <v>566</v>
      </c>
      <c r="BY1" s="281" t="s">
        <v>1077</v>
      </c>
      <c r="BZ1" s="281" t="s">
        <v>501</v>
      </c>
      <c r="CA1" s="138" t="s">
        <v>85</v>
      </c>
      <c r="CB1" s="281" t="s">
        <v>566</v>
      </c>
      <c r="CC1" s="281" t="s">
        <v>1077</v>
      </c>
      <c r="CD1" s="281" t="s">
        <v>501</v>
      </c>
      <c r="CE1" s="138" t="s">
        <v>86</v>
      </c>
      <c r="CF1" s="281" t="s">
        <v>566</v>
      </c>
      <c r="CG1" s="281" t="s">
        <v>1077</v>
      </c>
      <c r="CH1" s="281" t="s">
        <v>501</v>
      </c>
      <c r="CI1" s="138" t="s">
        <v>87</v>
      </c>
      <c r="CJ1" s="281" t="s">
        <v>566</v>
      </c>
      <c r="CK1" s="281" t="s">
        <v>1077</v>
      </c>
      <c r="CL1" s="281" t="s">
        <v>501</v>
      </c>
      <c r="CM1" s="282" t="s">
        <v>115</v>
      </c>
      <c r="CN1" s="281" t="s">
        <v>566</v>
      </c>
      <c r="CO1" s="281" t="s">
        <v>1077</v>
      </c>
      <c r="CP1" s="281" t="s">
        <v>501</v>
      </c>
      <c r="CQ1" s="282" t="s">
        <v>116</v>
      </c>
      <c r="CR1" s="281" t="s">
        <v>566</v>
      </c>
      <c r="CS1" s="281" t="s">
        <v>1077</v>
      </c>
      <c r="CT1" s="281" t="s">
        <v>501</v>
      </c>
      <c r="CU1" s="138" t="s">
        <v>117</v>
      </c>
      <c r="CV1" s="281" t="s">
        <v>566</v>
      </c>
      <c r="CW1" s="281" t="s">
        <v>1077</v>
      </c>
      <c r="CX1" s="281" t="s">
        <v>501</v>
      </c>
      <c r="CY1" s="138" t="s">
        <v>118</v>
      </c>
      <c r="CZ1" s="281" t="s">
        <v>566</v>
      </c>
      <c r="DA1" s="281" t="s">
        <v>1077</v>
      </c>
      <c r="DB1" s="281" t="s">
        <v>501</v>
      </c>
      <c r="DC1" s="138" t="s">
        <v>1127</v>
      </c>
      <c r="DD1" s="281" t="s">
        <v>566</v>
      </c>
      <c r="DE1" s="281" t="s">
        <v>1077</v>
      </c>
      <c r="DF1" s="281" t="s">
        <v>501</v>
      </c>
      <c r="DG1" s="138" t="s">
        <v>1128</v>
      </c>
      <c r="DH1" s="281" t="s">
        <v>566</v>
      </c>
      <c r="DI1" s="281" t="s">
        <v>1077</v>
      </c>
      <c r="DJ1" s="281" t="s">
        <v>501</v>
      </c>
      <c r="DK1" s="138" t="s">
        <v>1199</v>
      </c>
      <c r="DL1" s="281" t="s">
        <v>566</v>
      </c>
      <c r="DM1" s="281" t="s">
        <v>1165</v>
      </c>
      <c r="DN1" s="281" t="s">
        <v>501</v>
      </c>
      <c r="DO1" s="138" t="s">
        <v>1200</v>
      </c>
      <c r="DP1" s="281" t="s">
        <v>566</v>
      </c>
      <c r="DQ1" s="281" t="s">
        <v>1165</v>
      </c>
      <c r="DR1" s="281" t="s">
        <v>501</v>
      </c>
      <c r="DS1" s="138" t="s">
        <v>119</v>
      </c>
      <c r="DT1" s="281" t="s">
        <v>566</v>
      </c>
      <c r="DU1" s="281" t="s">
        <v>1077</v>
      </c>
      <c r="DV1" s="281" t="s">
        <v>501</v>
      </c>
      <c r="DW1" s="138" t="s">
        <v>100</v>
      </c>
      <c r="DX1" s="281" t="s">
        <v>566</v>
      </c>
      <c r="DY1" s="281" t="s">
        <v>1077</v>
      </c>
      <c r="DZ1" s="281" t="s">
        <v>501</v>
      </c>
      <c r="EA1" s="138" t="s">
        <v>120</v>
      </c>
      <c r="EB1" s="281" t="s">
        <v>566</v>
      </c>
      <c r="EC1" s="281" t="s">
        <v>1077</v>
      </c>
      <c r="ED1" s="281" t="s">
        <v>501</v>
      </c>
      <c r="EE1" s="138" t="s">
        <v>1101</v>
      </c>
      <c r="EF1" s="281" t="s">
        <v>566</v>
      </c>
      <c r="EG1" s="281" t="s">
        <v>1077</v>
      </c>
      <c r="EH1" s="281" t="s">
        <v>501</v>
      </c>
      <c r="EI1" s="138" t="s">
        <v>1102</v>
      </c>
      <c r="EJ1" s="281" t="s">
        <v>566</v>
      </c>
      <c r="EK1" s="281" t="s">
        <v>1077</v>
      </c>
      <c r="EL1" s="281" t="s">
        <v>501</v>
      </c>
      <c r="EM1" s="138" t="s">
        <v>121</v>
      </c>
      <c r="EN1" s="281" t="s">
        <v>566</v>
      </c>
      <c r="EO1" s="281" t="s">
        <v>1077</v>
      </c>
      <c r="EP1" s="281" t="s">
        <v>501</v>
      </c>
      <c r="EQ1" s="138" t="s">
        <v>122</v>
      </c>
      <c r="ER1" s="281" t="s">
        <v>566</v>
      </c>
      <c r="ES1" s="281" t="s">
        <v>1077</v>
      </c>
      <c r="ET1" s="281" t="s">
        <v>501</v>
      </c>
      <c r="EU1" s="138" t="s">
        <v>1162</v>
      </c>
      <c r="EV1" s="281" t="s">
        <v>566</v>
      </c>
      <c r="EW1" s="281" t="s">
        <v>1077</v>
      </c>
      <c r="EX1" s="281" t="s">
        <v>501</v>
      </c>
      <c r="EY1" s="138" t="s">
        <v>3</v>
      </c>
      <c r="EZ1" s="281" t="s">
        <v>566</v>
      </c>
      <c r="FA1" s="281" t="s">
        <v>1077</v>
      </c>
      <c r="FB1" s="281" t="s">
        <v>501</v>
      </c>
      <c r="FC1" s="138" t="s">
        <v>123</v>
      </c>
      <c r="FD1" s="281" t="s">
        <v>566</v>
      </c>
      <c r="FE1" s="281" t="s">
        <v>501</v>
      </c>
      <c r="FF1" s="138" t="s">
        <v>124</v>
      </c>
      <c r="FG1" s="281" t="s">
        <v>566</v>
      </c>
      <c r="FH1" s="281" t="s">
        <v>1165</v>
      </c>
      <c r="FI1" s="281" t="s">
        <v>501</v>
      </c>
      <c r="FJ1" s="138" t="s">
        <v>1166</v>
      </c>
      <c r="FK1" s="281" t="s">
        <v>566</v>
      </c>
      <c r="FL1" s="281" t="s">
        <v>1077</v>
      </c>
      <c r="FM1" s="281" t="s">
        <v>501</v>
      </c>
      <c r="FN1" s="138" t="s">
        <v>1168</v>
      </c>
      <c r="FO1" s="281" t="s">
        <v>566</v>
      </c>
      <c r="FP1" s="281" t="s">
        <v>1077</v>
      </c>
      <c r="FQ1" s="281" t="s">
        <v>501</v>
      </c>
      <c r="FR1" s="138" t="s">
        <v>1169</v>
      </c>
      <c r="FS1" s="281" t="s">
        <v>566</v>
      </c>
      <c r="FT1" s="281" t="s">
        <v>1077</v>
      </c>
      <c r="FU1" s="281" t="s">
        <v>501</v>
      </c>
      <c r="FV1" s="138" t="s">
        <v>1204</v>
      </c>
      <c r="FW1" s="281" t="s">
        <v>566</v>
      </c>
      <c r="FX1" s="281" t="s">
        <v>1165</v>
      </c>
      <c r="FY1" s="281" t="s">
        <v>501</v>
      </c>
      <c r="FZ1" s="138" t="s">
        <v>1186</v>
      </c>
      <c r="GA1" s="281" t="s">
        <v>566</v>
      </c>
      <c r="GB1" s="281" t="s">
        <v>1165</v>
      </c>
      <c r="GC1" s="281" t="s">
        <v>501</v>
      </c>
      <c r="GD1" s="138" t="s">
        <v>1189</v>
      </c>
      <c r="GE1" s="281" t="s">
        <v>566</v>
      </c>
      <c r="GF1" s="281" t="s">
        <v>1165</v>
      </c>
      <c r="GG1" s="281" t="s">
        <v>501</v>
      </c>
      <c r="GH1" s="138" t="s">
        <v>1179</v>
      </c>
      <c r="GI1" s="281" t="s">
        <v>566</v>
      </c>
      <c r="GJ1" s="281" t="s">
        <v>1077</v>
      </c>
      <c r="GK1" s="281" t="s">
        <v>501</v>
      </c>
      <c r="GL1" s="138" t="s">
        <v>1207</v>
      </c>
      <c r="GM1" s="281" t="s">
        <v>566</v>
      </c>
      <c r="GN1" s="281" t="s">
        <v>1077</v>
      </c>
      <c r="GO1" s="281" t="s">
        <v>501</v>
      </c>
      <c r="GP1" s="138" t="s">
        <v>1208</v>
      </c>
      <c r="GQ1" s="281" t="s">
        <v>566</v>
      </c>
      <c r="GR1" s="281" t="s">
        <v>1077</v>
      </c>
      <c r="GS1" s="281" t="s">
        <v>501</v>
      </c>
      <c r="GT1" s="138" t="s">
        <v>1217</v>
      </c>
      <c r="GU1" s="281" t="s">
        <v>566</v>
      </c>
      <c r="GV1" s="281" t="s">
        <v>1222</v>
      </c>
      <c r="GW1" s="281" t="s">
        <v>501</v>
      </c>
      <c r="GX1" s="138" t="s">
        <v>1213</v>
      </c>
      <c r="GY1" s="281" t="s">
        <v>566</v>
      </c>
      <c r="GZ1" s="281" t="s">
        <v>1165</v>
      </c>
      <c r="HA1" s="281" t="s">
        <v>501</v>
      </c>
      <c r="HB1" s="138" t="s">
        <v>1219</v>
      </c>
      <c r="HC1" s="281" t="s">
        <v>566</v>
      </c>
      <c r="HD1" s="281" t="s">
        <v>1165</v>
      </c>
      <c r="HE1" s="281" t="s">
        <v>501</v>
      </c>
      <c r="HF1" s="138" t="s">
        <v>359</v>
      </c>
      <c r="HG1" s="281" t="s">
        <v>566</v>
      </c>
      <c r="HH1" s="281" t="s">
        <v>1077</v>
      </c>
      <c r="HI1" s="281" t="s">
        <v>501</v>
      </c>
      <c r="HJ1" s="138" t="s">
        <v>1129</v>
      </c>
      <c r="HK1" s="281" t="s">
        <v>566</v>
      </c>
      <c r="HL1" s="281" t="s">
        <v>1077</v>
      </c>
      <c r="HM1" s="281" t="s">
        <v>501</v>
      </c>
      <c r="HN1" s="138" t="s">
        <v>1145</v>
      </c>
      <c r="HO1" s="281" t="s">
        <v>566</v>
      </c>
      <c r="HP1" s="281" t="s">
        <v>1077</v>
      </c>
      <c r="HQ1" s="281" t="s">
        <v>501</v>
      </c>
      <c r="HR1" s="138" t="s">
        <v>1177</v>
      </c>
      <c r="HS1" s="281" t="s">
        <v>566</v>
      </c>
      <c r="HT1" s="281" t="s">
        <v>1077</v>
      </c>
      <c r="HU1" s="281" t="s">
        <v>501</v>
      </c>
      <c r="HV1" s="138" t="s">
        <v>1178</v>
      </c>
      <c r="HW1" s="281" t="s">
        <v>566</v>
      </c>
      <c r="HX1" s="281" t="s">
        <v>1077</v>
      </c>
      <c r="HY1" s="281" t="s">
        <v>501</v>
      </c>
      <c r="HZ1" s="138" t="s">
        <v>1132</v>
      </c>
      <c r="IA1" s="281" t="s">
        <v>566</v>
      </c>
      <c r="IB1" s="281" t="s">
        <v>1077</v>
      </c>
      <c r="IC1" s="281" t="s">
        <v>501</v>
      </c>
      <c r="ID1" s="138" t="s">
        <v>1131</v>
      </c>
      <c r="IE1" s="281" t="s">
        <v>566</v>
      </c>
      <c r="IF1" s="281" t="s">
        <v>1077</v>
      </c>
      <c r="IG1" s="281" t="s">
        <v>501</v>
      </c>
      <c r="IH1" s="138" t="s">
        <v>1130</v>
      </c>
      <c r="II1" s="281" t="s">
        <v>566</v>
      </c>
      <c r="IJ1" s="281" t="s">
        <v>1077</v>
      </c>
      <c r="IK1" s="281" t="s">
        <v>501</v>
      </c>
      <c r="IL1" s="138" t="s">
        <v>1136</v>
      </c>
      <c r="IM1" s="281" t="s">
        <v>566</v>
      </c>
      <c r="IN1" s="281" t="s">
        <v>1077</v>
      </c>
      <c r="IO1" s="281" t="s">
        <v>501</v>
      </c>
      <c r="IP1" s="138" t="s">
        <v>1147</v>
      </c>
      <c r="IQ1" s="281" t="s">
        <v>566</v>
      </c>
      <c r="IR1" s="281" t="s">
        <v>1077</v>
      </c>
      <c r="IS1" s="281" t="s">
        <v>501</v>
      </c>
      <c r="IT1" s="138" t="s">
        <v>1148</v>
      </c>
      <c r="IU1" s="281" t="s">
        <v>566</v>
      </c>
      <c r="IV1" s="281" t="s">
        <v>1077</v>
      </c>
      <c r="IW1" s="281" t="s">
        <v>501</v>
      </c>
      <c r="IX1" s="138" t="s">
        <v>1193</v>
      </c>
      <c r="IY1" s="281" t="s">
        <v>566</v>
      </c>
      <c r="IZ1" s="281" t="s">
        <v>1077</v>
      </c>
      <c r="JA1" s="281" t="s">
        <v>501</v>
      </c>
      <c r="JB1" s="138" t="s">
        <v>1149</v>
      </c>
      <c r="JC1" s="281" t="s">
        <v>566</v>
      </c>
      <c r="JD1" s="281" t="s">
        <v>1077</v>
      </c>
      <c r="JE1" s="281" t="s">
        <v>501</v>
      </c>
      <c r="JF1" s="138" t="s">
        <v>1150</v>
      </c>
      <c r="JG1" s="281" t="s">
        <v>566</v>
      </c>
      <c r="JH1" s="281" t="s">
        <v>501</v>
      </c>
      <c r="JI1" s="138" t="s">
        <v>1151</v>
      </c>
      <c r="JJ1" s="281" t="s">
        <v>566</v>
      </c>
      <c r="JK1" s="281" t="s">
        <v>501</v>
      </c>
      <c r="JL1" s="138" t="s">
        <v>500</v>
      </c>
      <c r="JM1" s="281" t="s">
        <v>566</v>
      </c>
      <c r="JN1" s="281" t="s">
        <v>501</v>
      </c>
      <c r="JO1" s="138" t="s">
        <v>528</v>
      </c>
      <c r="JP1" s="281" t="s">
        <v>566</v>
      </c>
      <c r="JQ1" s="281" t="s">
        <v>501</v>
      </c>
      <c r="JR1" s="138" t="s">
        <v>1110</v>
      </c>
      <c r="JS1" s="281" t="s">
        <v>566</v>
      </c>
      <c r="JT1" s="281" t="s">
        <v>1077</v>
      </c>
      <c r="JU1" s="281" t="s">
        <v>501</v>
      </c>
      <c r="JV1" s="138" t="s">
        <v>1111</v>
      </c>
      <c r="JW1" s="281" t="s">
        <v>566</v>
      </c>
      <c r="JX1" s="281" t="s">
        <v>1077</v>
      </c>
      <c r="JY1" s="281" t="s">
        <v>501</v>
      </c>
      <c r="JZ1" s="138" t="s">
        <v>1122</v>
      </c>
      <c r="KA1" s="281" t="s">
        <v>566</v>
      </c>
      <c r="KB1" s="281" t="s">
        <v>1077</v>
      </c>
      <c r="KC1" s="281" t="s">
        <v>501</v>
      </c>
      <c r="KD1" s="138" t="s">
        <v>1123</v>
      </c>
      <c r="KE1" s="281" t="s">
        <v>566</v>
      </c>
      <c r="KF1" s="281" t="s">
        <v>1077</v>
      </c>
      <c r="KG1" s="281" t="s">
        <v>501</v>
      </c>
      <c r="KH1" s="138" t="s">
        <v>1124</v>
      </c>
      <c r="KI1" s="281" t="s">
        <v>566</v>
      </c>
      <c r="KJ1" s="281" t="s">
        <v>1077</v>
      </c>
      <c r="KK1" s="281" t="s">
        <v>501</v>
      </c>
      <c r="KL1" s="138" t="s">
        <v>1125</v>
      </c>
      <c r="KM1" s="281" t="s">
        <v>566</v>
      </c>
      <c r="KN1" s="281" t="s">
        <v>1077</v>
      </c>
      <c r="KO1" s="281" t="s">
        <v>501</v>
      </c>
      <c r="KP1" s="138" t="s">
        <v>520</v>
      </c>
      <c r="KQ1" s="281" t="s">
        <v>566</v>
      </c>
      <c r="KR1" s="281" t="s">
        <v>501</v>
      </c>
      <c r="KS1" s="324" t="s">
        <v>741</v>
      </c>
      <c r="KT1" s="134" t="s">
        <v>566</v>
      </c>
      <c r="KU1" s="134" t="s">
        <v>501</v>
      </c>
      <c r="KV1" s="324" t="s">
        <v>742</v>
      </c>
      <c r="KW1" s="134" t="s">
        <v>566</v>
      </c>
      <c r="KX1" s="134" t="s">
        <v>501</v>
      </c>
      <c r="KY1" s="134" t="s">
        <v>743</v>
      </c>
      <c r="KZ1" s="134" t="s">
        <v>745</v>
      </c>
      <c r="LA1" s="354" t="s">
        <v>774</v>
      </c>
    </row>
    <row r="2" spans="1:319" s="329" customFormat="1" ht="55.15" customHeight="1" x14ac:dyDescent="0.25">
      <c r="A2" s="329">
        <f>24*30</f>
        <v>720</v>
      </c>
      <c r="B2" s="330"/>
      <c r="C2" s="331">
        <v>2026</v>
      </c>
      <c r="D2" s="331">
        <v>2027</v>
      </c>
      <c r="E2" s="331">
        <v>2028</v>
      </c>
      <c r="F2" s="331">
        <v>2026</v>
      </c>
      <c r="G2" s="331">
        <v>2027</v>
      </c>
      <c r="H2" s="331">
        <v>2028</v>
      </c>
      <c r="I2" s="331" t="s">
        <v>125</v>
      </c>
      <c r="J2" s="331" t="s">
        <v>126</v>
      </c>
      <c r="K2" s="331">
        <v>500</v>
      </c>
      <c r="L2" s="331" t="s">
        <v>127</v>
      </c>
      <c r="M2" s="489" t="s">
        <v>81</v>
      </c>
      <c r="N2" s="490" t="s">
        <v>82</v>
      </c>
      <c r="O2" s="496" t="s">
        <v>1078</v>
      </c>
      <c r="P2" s="492" t="s">
        <v>1082</v>
      </c>
      <c r="Q2" s="493" t="s">
        <v>345</v>
      </c>
      <c r="R2" s="494" t="s">
        <v>128</v>
      </c>
      <c r="S2" s="517" t="s">
        <v>65</v>
      </c>
      <c r="T2" s="480" t="s">
        <v>1085</v>
      </c>
      <c r="U2" s="518" t="s">
        <v>1174</v>
      </c>
      <c r="V2" s="481" t="s">
        <v>1087</v>
      </c>
      <c r="W2" s="482" t="s">
        <v>1088</v>
      </c>
      <c r="X2" s="483" t="s">
        <v>1098</v>
      </c>
      <c r="Y2" s="488" t="s">
        <v>1099</v>
      </c>
      <c r="Z2" s="504" t="s">
        <v>1185</v>
      </c>
      <c r="AA2" s="520" t="s">
        <v>1184</v>
      </c>
      <c r="AB2" s="488" t="s">
        <v>1091</v>
      </c>
      <c r="AC2" s="143" t="s">
        <v>129</v>
      </c>
      <c r="AD2" s="502" t="s">
        <v>1115</v>
      </c>
      <c r="AE2" s="336" t="s">
        <v>152</v>
      </c>
      <c r="AF2" s="332">
        <v>10</v>
      </c>
      <c r="AG2" s="332">
        <v>9</v>
      </c>
      <c r="AH2" s="332"/>
      <c r="AI2" s="332">
        <v>1</v>
      </c>
      <c r="AJ2" s="332"/>
      <c r="AK2" s="332"/>
      <c r="AL2" s="332"/>
      <c r="AM2" s="332">
        <v>2</v>
      </c>
      <c r="AN2" s="332"/>
      <c r="AO2" s="332"/>
      <c r="AP2" s="332"/>
      <c r="AQ2" s="332">
        <v>3</v>
      </c>
      <c r="AR2" s="332"/>
      <c r="AS2" s="332"/>
      <c r="AT2" s="332"/>
      <c r="AU2" s="332" t="s">
        <v>4</v>
      </c>
      <c r="AV2" s="332"/>
      <c r="AW2" s="332"/>
      <c r="AX2" s="332"/>
      <c r="AY2" s="332">
        <v>4</v>
      </c>
      <c r="AZ2" s="332"/>
      <c r="BA2" s="332"/>
      <c r="BB2" s="332"/>
      <c r="BC2" s="332" t="s">
        <v>5</v>
      </c>
      <c r="BD2" s="332"/>
      <c r="BE2" s="332"/>
      <c r="BF2" s="332"/>
      <c r="BG2" s="332" t="s">
        <v>6</v>
      </c>
      <c r="BH2" s="332"/>
      <c r="BI2" s="332"/>
      <c r="BJ2" s="332"/>
      <c r="BK2" s="332" t="s">
        <v>7</v>
      </c>
      <c r="BL2" s="332"/>
      <c r="BM2" s="332"/>
      <c r="BN2" s="332"/>
      <c r="BO2" s="332" t="s">
        <v>8</v>
      </c>
      <c r="BP2" s="332"/>
      <c r="BQ2" s="332"/>
      <c r="BR2" s="332"/>
      <c r="BS2" s="332" t="s">
        <v>9</v>
      </c>
      <c r="BT2" s="332"/>
      <c r="BU2" s="332"/>
      <c r="BV2" s="332"/>
      <c r="BW2" s="332" t="s">
        <v>75</v>
      </c>
      <c r="BX2" s="332"/>
      <c r="BY2" s="332"/>
      <c r="BZ2" s="332"/>
      <c r="CA2" s="332" t="s">
        <v>76</v>
      </c>
      <c r="CB2" s="332"/>
      <c r="CC2" s="332"/>
      <c r="CD2" s="332"/>
      <c r="CE2" s="332" t="s">
        <v>77</v>
      </c>
      <c r="CF2" s="332"/>
      <c r="CG2" s="332"/>
      <c r="CH2" s="332"/>
      <c r="CI2" s="332" t="s">
        <v>78</v>
      </c>
      <c r="CJ2" s="332"/>
      <c r="CK2" s="332"/>
      <c r="CL2" s="332"/>
      <c r="CM2" s="332" t="s">
        <v>79</v>
      </c>
      <c r="CN2" s="332"/>
      <c r="CO2" s="332"/>
      <c r="CP2" s="332"/>
      <c r="CQ2" s="332" t="s">
        <v>80</v>
      </c>
      <c r="CR2" s="332"/>
      <c r="CS2" s="332"/>
      <c r="CT2" s="332"/>
      <c r="CU2" s="332" t="s">
        <v>130</v>
      </c>
      <c r="CV2" s="332"/>
      <c r="CW2" s="332"/>
      <c r="CX2" s="332"/>
      <c r="CY2" s="332" t="s">
        <v>131</v>
      </c>
      <c r="CZ2" s="332"/>
      <c r="DA2" s="332"/>
      <c r="DB2" s="332"/>
      <c r="DC2" s="332" t="s">
        <v>10</v>
      </c>
      <c r="DD2" s="332"/>
      <c r="DE2" s="332"/>
      <c r="DF2" s="332"/>
      <c r="DG2" s="332" t="s">
        <v>11</v>
      </c>
      <c r="DH2" s="332"/>
      <c r="DI2" s="332"/>
      <c r="DJ2" s="332"/>
      <c r="DK2" s="332" t="s">
        <v>1196</v>
      </c>
      <c r="DL2" s="332"/>
      <c r="DM2" s="332"/>
      <c r="DN2" s="332"/>
      <c r="DO2" s="332" t="s">
        <v>1197</v>
      </c>
      <c r="DP2" s="332"/>
      <c r="DQ2" s="332"/>
      <c r="DR2" s="332"/>
      <c r="DS2" s="332">
        <v>5</v>
      </c>
      <c r="DT2" s="332"/>
      <c r="DU2" s="332"/>
      <c r="DV2" s="332"/>
      <c r="DW2" s="332" t="s">
        <v>12</v>
      </c>
      <c r="DX2" s="332"/>
      <c r="DY2" s="332"/>
      <c r="DZ2" s="332"/>
      <c r="EA2" s="332" t="s">
        <v>13</v>
      </c>
      <c r="EB2" s="332"/>
      <c r="EC2" s="332"/>
      <c r="ED2" s="332"/>
      <c r="EE2" s="332" t="s">
        <v>14</v>
      </c>
      <c r="EF2" s="332"/>
      <c r="EG2" s="332"/>
      <c r="EH2" s="332"/>
      <c r="EI2" s="332" t="s">
        <v>132</v>
      </c>
      <c r="EJ2" s="332"/>
      <c r="EK2" s="332"/>
      <c r="EL2" s="332"/>
      <c r="EM2" s="332" t="s">
        <v>15</v>
      </c>
      <c r="EN2" s="332"/>
      <c r="EO2" s="332"/>
      <c r="EP2" s="332"/>
      <c r="EQ2" s="332" t="s">
        <v>133</v>
      </c>
      <c r="ER2" s="332"/>
      <c r="ES2" s="332"/>
      <c r="ET2" s="332"/>
      <c r="EU2" s="332">
        <v>7</v>
      </c>
      <c r="EV2" s="332"/>
      <c r="EW2" s="332"/>
      <c r="EX2" s="332"/>
      <c r="EY2" s="332">
        <v>8</v>
      </c>
      <c r="EZ2" s="332"/>
      <c r="FA2" s="332"/>
      <c r="FB2" s="332"/>
      <c r="FC2" s="332" t="s">
        <v>589</v>
      </c>
      <c r="FD2" s="332"/>
      <c r="FE2" s="332"/>
      <c r="FF2" s="332">
        <v>13</v>
      </c>
      <c r="FG2" s="332"/>
      <c r="FH2" s="332"/>
      <c r="FI2" s="332"/>
      <c r="FJ2" s="332" t="s">
        <v>573</v>
      </c>
      <c r="FK2" s="332"/>
      <c r="FL2" s="332"/>
      <c r="FM2" s="332"/>
      <c r="FN2" s="332" t="s">
        <v>574</v>
      </c>
      <c r="FO2" s="332"/>
      <c r="FP2" s="332"/>
      <c r="FQ2" s="332"/>
      <c r="FR2" s="332" t="s">
        <v>575</v>
      </c>
      <c r="FS2" s="332"/>
      <c r="FT2" s="332"/>
      <c r="FU2" s="332"/>
      <c r="FV2" s="332" t="s">
        <v>576</v>
      </c>
      <c r="FW2" s="332"/>
      <c r="FX2" s="332"/>
      <c r="FY2" s="332"/>
      <c r="FZ2" s="332" t="s">
        <v>1187</v>
      </c>
      <c r="GA2" s="332"/>
      <c r="GB2" s="332"/>
      <c r="GC2" s="332"/>
      <c r="GD2" s="332" t="s">
        <v>1188</v>
      </c>
      <c r="GE2" s="332"/>
      <c r="GF2" s="332"/>
      <c r="GG2" s="332"/>
      <c r="GH2" s="332" t="s">
        <v>1180</v>
      </c>
      <c r="GI2" s="332"/>
      <c r="GJ2" s="332"/>
      <c r="GK2" s="332"/>
      <c r="GL2" s="332" t="s">
        <v>1205</v>
      </c>
      <c r="GM2" s="332"/>
      <c r="GN2" s="332"/>
      <c r="GO2" s="332"/>
      <c r="GP2" s="332" t="s">
        <v>1206</v>
      </c>
      <c r="GQ2" s="332"/>
      <c r="GR2" s="332"/>
      <c r="GS2" s="332"/>
      <c r="GT2" s="332" t="s">
        <v>1211</v>
      </c>
      <c r="GU2" s="332"/>
      <c r="GV2" s="332"/>
      <c r="GW2" s="332"/>
      <c r="GX2" s="332" t="s">
        <v>1212</v>
      </c>
      <c r="GY2" s="332"/>
      <c r="GZ2" s="332"/>
      <c r="HA2" s="332"/>
      <c r="HB2" s="332" t="s">
        <v>1218</v>
      </c>
      <c r="HC2" s="332"/>
      <c r="HD2" s="332"/>
      <c r="HE2" s="332"/>
      <c r="HF2" s="332" t="s">
        <v>577</v>
      </c>
      <c r="HG2" s="332"/>
      <c r="HH2" s="332"/>
      <c r="HI2" s="332"/>
      <c r="HJ2" s="332" t="s">
        <v>578</v>
      </c>
      <c r="HK2" s="332"/>
      <c r="HL2" s="332"/>
      <c r="HM2" s="332"/>
      <c r="HN2" s="332" t="s">
        <v>579</v>
      </c>
      <c r="HO2" s="332"/>
      <c r="HP2" s="332"/>
      <c r="HQ2" s="332"/>
      <c r="HR2" s="332" t="s">
        <v>1143</v>
      </c>
      <c r="HS2" s="332"/>
      <c r="HT2" s="332"/>
      <c r="HU2" s="332"/>
      <c r="HV2" s="332" t="s">
        <v>1144</v>
      </c>
      <c r="HW2" s="332"/>
      <c r="HX2" s="332"/>
      <c r="HY2" s="332"/>
      <c r="HZ2" s="332" t="s">
        <v>580</v>
      </c>
      <c r="IA2" s="332"/>
      <c r="IB2" s="332"/>
      <c r="IC2" s="332"/>
      <c r="ID2" s="332" t="s">
        <v>581</v>
      </c>
      <c r="IE2" s="332"/>
      <c r="IF2" s="332"/>
      <c r="IG2" s="332"/>
      <c r="IH2" s="332" t="s">
        <v>582</v>
      </c>
      <c r="II2" s="332"/>
      <c r="IJ2" s="332"/>
      <c r="IK2" s="332"/>
      <c r="IL2" s="332" t="s">
        <v>583</v>
      </c>
      <c r="IM2" s="332"/>
      <c r="IN2" s="332"/>
      <c r="IO2" s="332"/>
      <c r="IP2" s="332"/>
      <c r="IQ2" s="332"/>
      <c r="IR2" s="332"/>
      <c r="IS2" s="332"/>
      <c r="IT2" s="332"/>
      <c r="IU2" s="332"/>
      <c r="IV2" s="332"/>
      <c r="IW2" s="332"/>
      <c r="IX2" s="332" t="s">
        <v>584</v>
      </c>
      <c r="IY2" s="332"/>
      <c r="IZ2" s="332"/>
      <c r="JA2" s="332"/>
      <c r="JB2" s="332" t="s">
        <v>585</v>
      </c>
      <c r="JC2" s="332"/>
      <c r="JD2" s="332"/>
      <c r="JE2" s="332"/>
      <c r="JF2" s="332" t="s">
        <v>586</v>
      </c>
      <c r="JG2" s="332"/>
      <c r="JH2" s="332"/>
      <c r="JI2" s="332" t="s">
        <v>587</v>
      </c>
      <c r="JJ2" s="332"/>
      <c r="JK2" s="332"/>
      <c r="JL2" s="332" t="s">
        <v>590</v>
      </c>
      <c r="JM2" s="332"/>
      <c r="JN2" s="332"/>
      <c r="JO2" s="332" t="s">
        <v>588</v>
      </c>
      <c r="JP2" s="332"/>
      <c r="JQ2" s="332"/>
      <c r="JR2" s="332" t="s">
        <v>1108</v>
      </c>
      <c r="JS2" s="332"/>
      <c r="JT2" s="332"/>
      <c r="JU2" s="332"/>
      <c r="JV2" s="332" t="s">
        <v>1109</v>
      </c>
      <c r="JW2" s="332"/>
      <c r="JX2" s="332"/>
      <c r="JY2" s="332"/>
      <c r="JZ2" s="332" t="s">
        <v>1118</v>
      </c>
      <c r="KA2" s="332"/>
      <c r="KB2" s="332"/>
      <c r="KC2" s="332"/>
      <c r="KD2" s="332" t="s">
        <v>1119</v>
      </c>
      <c r="KE2" s="332"/>
      <c r="KF2" s="332"/>
      <c r="KG2" s="332"/>
      <c r="KH2" s="332" t="s">
        <v>1120</v>
      </c>
      <c r="KI2" s="332"/>
      <c r="KJ2" s="332"/>
      <c r="KK2" s="332"/>
      <c r="KL2" s="332" t="s">
        <v>1121</v>
      </c>
      <c r="KM2" s="332"/>
      <c r="KN2" s="332"/>
      <c r="KO2" s="332"/>
      <c r="KP2" s="332" t="s">
        <v>594</v>
      </c>
      <c r="KQ2" s="332"/>
      <c r="KR2" s="332"/>
      <c r="KS2" s="329">
        <v>15</v>
      </c>
      <c r="KV2" s="329">
        <v>16</v>
      </c>
      <c r="KY2" s="333" t="s">
        <v>744</v>
      </c>
      <c r="KZ2" s="334" t="s">
        <v>746</v>
      </c>
      <c r="LB2" s="329" t="s">
        <v>770</v>
      </c>
      <c r="LC2" s="329" t="s">
        <v>771</v>
      </c>
      <c r="LD2" s="329" t="s">
        <v>772</v>
      </c>
      <c r="LE2" s="329" t="s">
        <v>773</v>
      </c>
      <c r="LF2" s="329" t="s">
        <v>788</v>
      </c>
      <c r="LG2" s="329" t="s">
        <v>789</v>
      </c>
    </row>
    <row r="3" spans="1:319" ht="38.25" customHeight="1" x14ac:dyDescent="0.55000000000000004">
      <c r="B3" s="314" t="s">
        <v>406</v>
      </c>
      <c r="C3" s="218"/>
      <c r="D3" s="218"/>
      <c r="E3" s="218"/>
      <c r="F3" s="218"/>
      <c r="G3" s="218"/>
      <c r="H3" s="218"/>
      <c r="I3" s="162"/>
      <c r="J3" s="142"/>
      <c r="K3" s="142"/>
      <c r="L3" s="268">
        <f t="shared" ref="L3:L66" si="0">$L$1</f>
        <v>7000</v>
      </c>
      <c r="M3" s="164">
        <f t="shared" ref="M3:M30" si="1">(AI3/250)*L3*(D3+C3+E3+I3)</f>
        <v>0</v>
      </c>
      <c r="N3" s="397"/>
      <c r="O3" s="165">
        <f t="shared" ref="O3:O30" si="2">((AQ3)/2000)*L3*(C3+D3+E3+I3)</f>
        <v>0</v>
      </c>
      <c r="P3" s="165"/>
      <c r="Q3" s="165"/>
      <c r="R3" s="165" t="e">
        <f>(AM3+AU3+AY3+BC3+BG3+BK3+BO3+BS3+BW3+CA3+CE3+CI3+CM3+CQ3+CU3+CY3+DC3+DG3+DS3+DW3+EA3+EE3+EI3+EM3+EQ3+EU3+#REF!+#REF!+FJ3+FN3+#REF!+#REF!+HF3+#REF!+HJ3+HN3+HZ3+ID3+IH3+IL3+IX3+JB3+JF3+JI3+JL3+JO3)/1000*L3*(C3+D3+E3+I3)</f>
        <v>#REF!</v>
      </c>
      <c r="S3" s="165"/>
      <c r="T3" s="165">
        <f t="shared" ref="T3:T30" si="3">((FR3)/3000)*L3*(C3+D3+E3+I3)</f>
        <v>0</v>
      </c>
      <c r="U3" s="165"/>
      <c r="V3" s="165"/>
      <c r="W3" s="165"/>
      <c r="X3" s="165" t="e">
        <f>(FF3+FC3+#REF!+KP3)/4000*L3*(C3+D3+E3+I3)</f>
        <v>#REF!</v>
      </c>
      <c r="Y3" s="484"/>
      <c r="Z3" s="484"/>
      <c r="AA3" s="484"/>
      <c r="AB3" s="484"/>
      <c r="AC3" s="150">
        <f>(AG3/2000)*L3*(C3+D3+E3+I3)</f>
        <v>0</v>
      </c>
      <c r="AD3" s="150"/>
      <c r="AE3" s="150">
        <f t="shared" ref="AE3:AE30" si="4">(EY3/1000)*L3*(C3+D3+E3+I3)</f>
        <v>0</v>
      </c>
      <c r="AF3" s="161"/>
      <c r="AG3" s="143"/>
      <c r="AH3" s="154"/>
      <c r="AI3" s="144"/>
      <c r="AJ3" s="154"/>
      <c r="AK3" s="154"/>
      <c r="AL3" s="220"/>
      <c r="AM3" s="140"/>
      <c r="AN3" s="154"/>
      <c r="AO3" s="154"/>
      <c r="AP3" s="220"/>
      <c r="AQ3" s="145"/>
      <c r="AR3" s="154"/>
      <c r="AS3" s="154"/>
      <c r="AT3" s="220"/>
      <c r="AU3" s="140"/>
      <c r="AV3" s="277"/>
      <c r="AW3" s="277"/>
      <c r="AX3" s="277"/>
      <c r="AY3" s="140"/>
      <c r="AZ3" s="277"/>
      <c r="BA3" s="277"/>
      <c r="BB3" s="277"/>
      <c r="BC3" s="140"/>
      <c r="BD3" s="277"/>
      <c r="BE3" s="277"/>
      <c r="BF3" s="277"/>
      <c r="BG3" s="140"/>
      <c r="BH3" s="277"/>
      <c r="BI3" s="277"/>
      <c r="BJ3" s="277"/>
      <c r="BK3" s="140"/>
      <c r="BL3" s="277"/>
      <c r="BM3" s="277"/>
      <c r="BN3" s="277"/>
      <c r="BO3" s="140"/>
      <c r="BP3" s="277"/>
      <c r="BQ3" s="277"/>
      <c r="BR3" s="277"/>
      <c r="BS3" s="140"/>
      <c r="BT3" s="277"/>
      <c r="BU3" s="277"/>
      <c r="BV3" s="277"/>
      <c r="BW3" s="140"/>
      <c r="BX3" s="154"/>
      <c r="BY3" s="154"/>
      <c r="BZ3" s="220"/>
      <c r="CA3" s="140"/>
      <c r="CB3" s="154"/>
      <c r="CC3" s="154"/>
      <c r="CD3" s="220"/>
      <c r="CE3" s="140"/>
      <c r="CF3" s="271"/>
      <c r="CG3" s="271"/>
      <c r="CH3" s="271"/>
      <c r="CI3" s="140"/>
      <c r="CJ3" s="154"/>
      <c r="CK3" s="154"/>
      <c r="CL3" s="154"/>
      <c r="CM3" s="140"/>
      <c r="CN3" s="271"/>
      <c r="CO3" s="271"/>
      <c r="CP3" s="271"/>
      <c r="CQ3" s="140"/>
      <c r="CR3" s="154"/>
      <c r="CS3" s="154"/>
      <c r="CT3" s="154"/>
      <c r="CU3" s="140"/>
      <c r="CV3" s="154"/>
      <c r="CW3" s="154"/>
      <c r="CX3" s="220"/>
      <c r="CY3" s="140"/>
      <c r="CZ3" s="154"/>
      <c r="DA3" s="154"/>
      <c r="DB3" s="220"/>
      <c r="DC3" s="140"/>
      <c r="DD3" s="146"/>
      <c r="DE3" s="146"/>
      <c r="DF3" s="146"/>
      <c r="DG3" s="140"/>
      <c r="DH3" s="146"/>
      <c r="DI3" s="146"/>
      <c r="DJ3" s="146"/>
      <c r="DK3" s="146"/>
      <c r="DL3" s="146"/>
      <c r="DM3" s="146"/>
      <c r="DN3" s="146"/>
      <c r="DO3" s="146"/>
      <c r="DP3" s="146"/>
      <c r="DQ3" s="146"/>
      <c r="DR3" s="146"/>
      <c r="DS3" s="140"/>
      <c r="DT3" s="154"/>
      <c r="DU3" s="154"/>
      <c r="DV3" s="154"/>
      <c r="DW3" s="140"/>
      <c r="DX3" s="220"/>
      <c r="DY3" s="220"/>
      <c r="DZ3" s="220"/>
      <c r="EA3" s="140"/>
      <c r="EB3" s="220"/>
      <c r="EC3" s="220"/>
      <c r="ED3" s="220"/>
      <c r="EE3" s="140"/>
      <c r="EF3" s="154"/>
      <c r="EG3" s="154"/>
      <c r="EH3" s="154"/>
      <c r="EI3" s="140"/>
      <c r="EJ3" s="154"/>
      <c r="EK3" s="154"/>
      <c r="EL3" s="154"/>
      <c r="EM3" s="140"/>
      <c r="EN3" s="222"/>
      <c r="EO3" s="222"/>
      <c r="EP3" s="222"/>
      <c r="EQ3" s="140"/>
      <c r="ER3" s="222"/>
      <c r="ES3" s="222"/>
      <c r="ET3" s="222"/>
      <c r="EU3" s="140"/>
      <c r="EV3" s="222"/>
      <c r="EW3" s="222"/>
      <c r="EX3" s="222"/>
      <c r="EY3" s="272"/>
      <c r="EZ3" s="222"/>
      <c r="FA3" s="222"/>
      <c r="FB3" s="222"/>
      <c r="FC3" s="273"/>
      <c r="FD3" s="223"/>
      <c r="FE3" s="223"/>
      <c r="FF3" s="276"/>
      <c r="FG3" s="156"/>
      <c r="FH3" s="156"/>
      <c r="FI3" s="156"/>
      <c r="FJ3" s="140"/>
      <c r="FK3" s="277"/>
      <c r="FL3" s="277"/>
      <c r="FM3" s="277"/>
      <c r="FN3" s="140"/>
      <c r="FO3" s="277"/>
      <c r="FP3" s="277"/>
      <c r="FQ3" s="277"/>
      <c r="FR3" s="280"/>
      <c r="FS3" s="277"/>
      <c r="FT3" s="277"/>
      <c r="FU3" s="277"/>
      <c r="FV3" s="277"/>
      <c r="FW3" s="277"/>
      <c r="FX3" s="277"/>
      <c r="FY3" s="277"/>
      <c r="FZ3" s="277"/>
      <c r="GA3" s="277"/>
      <c r="GB3" s="277"/>
      <c r="GC3" s="277"/>
      <c r="GD3" s="277"/>
      <c r="GE3" s="277"/>
      <c r="GF3" s="277"/>
      <c r="GG3" s="277"/>
      <c r="GH3" s="277"/>
      <c r="GI3" s="277"/>
      <c r="GJ3" s="277"/>
      <c r="GK3" s="277"/>
      <c r="GL3" s="277"/>
      <c r="GM3" s="277"/>
      <c r="GN3" s="277"/>
      <c r="GO3" s="277"/>
      <c r="GP3" s="277"/>
      <c r="GQ3" s="277"/>
      <c r="GR3" s="277"/>
      <c r="GS3" s="277"/>
      <c r="GT3" s="277"/>
      <c r="GU3" s="277"/>
      <c r="GV3" s="277"/>
      <c r="GW3" s="277"/>
      <c r="GX3" s="277"/>
      <c r="GY3" s="277"/>
      <c r="GZ3" s="277"/>
      <c r="HA3" s="277"/>
      <c r="HB3" s="277"/>
      <c r="HC3" s="277"/>
      <c r="HD3" s="277"/>
      <c r="HE3" s="277"/>
      <c r="HF3" s="140"/>
      <c r="HG3" s="277"/>
      <c r="HH3" s="277"/>
      <c r="HI3" s="277"/>
      <c r="HJ3" s="140"/>
      <c r="HK3" s="277"/>
      <c r="HL3" s="277"/>
      <c r="HM3" s="277"/>
      <c r="HN3" s="140"/>
      <c r="HO3" s="277"/>
      <c r="HP3" s="277"/>
      <c r="HQ3" s="277"/>
      <c r="HR3" s="277"/>
      <c r="HS3" s="277"/>
      <c r="HT3" s="277"/>
      <c r="HU3" s="277"/>
      <c r="HV3" s="277"/>
      <c r="HW3" s="277"/>
      <c r="HX3" s="277"/>
      <c r="HY3" s="277"/>
      <c r="HZ3" s="140"/>
      <c r="IA3" s="277"/>
      <c r="IB3" s="277"/>
      <c r="IC3" s="277"/>
      <c r="ID3" s="140"/>
      <c r="IE3" s="277"/>
      <c r="IF3" s="277"/>
      <c r="IG3" s="277"/>
      <c r="IH3" s="140"/>
      <c r="II3" s="277"/>
      <c r="IJ3" s="277"/>
      <c r="IK3" s="277"/>
      <c r="IL3" s="140"/>
      <c r="IM3" s="277"/>
      <c r="IN3" s="277"/>
      <c r="IO3" s="277"/>
      <c r="IP3" s="277"/>
      <c r="IQ3" s="277"/>
      <c r="IR3" s="277"/>
      <c r="IS3" s="277"/>
      <c r="IT3" s="277"/>
      <c r="IU3" s="277"/>
      <c r="IV3" s="277"/>
      <c r="IW3" s="277"/>
      <c r="IX3" s="140"/>
      <c r="IY3" s="277"/>
      <c r="IZ3" s="277"/>
      <c r="JA3" s="277"/>
      <c r="JB3" s="140"/>
      <c r="JC3" s="277"/>
      <c r="JD3" s="277"/>
      <c r="JE3" s="277"/>
      <c r="JF3" s="140"/>
      <c r="JG3" s="277"/>
      <c r="JH3" s="277"/>
      <c r="JI3" s="140"/>
      <c r="JJ3" s="277"/>
      <c r="JK3" s="277"/>
      <c r="JL3" s="140"/>
      <c r="JM3" s="277"/>
      <c r="JN3" s="277"/>
      <c r="JO3" s="140"/>
      <c r="JP3" s="277"/>
      <c r="JQ3" s="277"/>
      <c r="JR3" s="277"/>
      <c r="JS3" s="277"/>
      <c r="JT3" s="277"/>
      <c r="JU3" s="277"/>
      <c r="JV3" s="277">
        <v>4.8</v>
      </c>
      <c r="JW3" s="277">
        <v>250</v>
      </c>
      <c r="JX3" s="489" t="s">
        <v>81</v>
      </c>
      <c r="JY3" s="277" t="s">
        <v>81</v>
      </c>
      <c r="JZ3" s="277"/>
      <c r="KA3" s="277"/>
      <c r="KB3" s="277"/>
      <c r="KC3" s="277"/>
      <c r="KD3" s="277"/>
      <c r="KE3" s="277"/>
      <c r="KF3" s="277"/>
      <c r="KG3" s="277"/>
      <c r="KH3" s="277"/>
      <c r="KI3" s="277"/>
      <c r="KJ3" s="277"/>
      <c r="KK3" s="277"/>
      <c r="KL3" s="277"/>
      <c r="KM3" s="277"/>
      <c r="KN3" s="277"/>
      <c r="KO3" s="277"/>
      <c r="KP3" s="274"/>
      <c r="KQ3" s="253"/>
      <c r="KR3" s="253"/>
      <c r="KY3" s="141">
        <f t="shared" ref="KY3:KY30" si="5">(KS3/4000)*L3*(C3+D3+E3+I3)</f>
        <v>0</v>
      </c>
      <c r="KZ3" s="141">
        <f t="shared" ref="KZ3:KZ30" si="6">(KV3/4000)*L3*(C3+D3+E3+I3)</f>
        <v>0</v>
      </c>
    </row>
    <row r="4" spans="1:319" ht="38.25" customHeight="1" x14ac:dyDescent="0.55000000000000004">
      <c r="B4" s="314" t="s">
        <v>368</v>
      </c>
      <c r="C4" s="218"/>
      <c r="D4" s="218"/>
      <c r="E4" s="218"/>
      <c r="F4" s="218"/>
      <c r="G4" s="218"/>
      <c r="H4" s="218"/>
      <c r="I4" s="162"/>
      <c r="J4" s="142"/>
      <c r="K4" s="142"/>
      <c r="L4" s="268">
        <f t="shared" si="0"/>
        <v>7000</v>
      </c>
      <c r="M4" s="164">
        <f t="shared" si="1"/>
        <v>0</v>
      </c>
      <c r="N4" s="397"/>
      <c r="O4" s="165">
        <f t="shared" si="2"/>
        <v>0</v>
      </c>
      <c r="P4" s="165"/>
      <c r="Q4" s="165"/>
      <c r="R4" s="165" t="e">
        <f>(AM4+AU4+AY4+BC4+BG4+BK4+BO4+BS4+BW4+CA4+CE4+CI4+CM4+CQ4+CU4+CY4+DC4+DG4+DS4+DW4+EA4+EE4+EI4+EM4+EQ4+EU4+#REF!+#REF!+FJ4+FN4+#REF!+#REF!+HF4+#REF!+HJ4+HN4+HZ4+ID4+IH4+IL4+IX4+JB4+JF4+JI4+JL4+JO4)/1000*L4*(C4+D4+E4+I4)</f>
        <v>#REF!</v>
      </c>
      <c r="S4" s="165"/>
      <c r="T4" s="165">
        <f t="shared" si="3"/>
        <v>0</v>
      </c>
      <c r="U4" s="165"/>
      <c r="V4" s="165"/>
      <c r="W4" s="165"/>
      <c r="X4" s="165" t="e">
        <f>(FF4+FC4+#REF!+KP4)/4000*L4*(C4+D4+E4+I4)</f>
        <v>#REF!</v>
      </c>
      <c r="Y4" s="484"/>
      <c r="Z4" s="484"/>
      <c r="AA4" s="484"/>
      <c r="AB4" s="484"/>
      <c r="AC4" s="150">
        <f t="shared" ref="AC4:AC30" si="7">(AG4/6000)*L4*(C4+D4+E4+I4)</f>
        <v>0</v>
      </c>
      <c r="AD4" s="150"/>
      <c r="AE4" s="150">
        <f t="shared" si="4"/>
        <v>0</v>
      </c>
      <c r="AF4" s="161"/>
      <c r="AG4" s="143"/>
      <c r="AH4" s="154"/>
      <c r="AI4" s="144"/>
      <c r="AJ4" s="154"/>
      <c r="AK4" s="154"/>
      <c r="AL4" s="220"/>
      <c r="AM4" s="140"/>
      <c r="AN4" s="154"/>
      <c r="AO4" s="154"/>
      <c r="AP4" s="220"/>
      <c r="AQ4" s="145"/>
      <c r="AR4" s="154"/>
      <c r="AS4" s="154"/>
      <c r="AT4" s="220"/>
      <c r="AU4" s="140"/>
      <c r="AV4" s="277"/>
      <c r="AW4" s="277"/>
      <c r="AX4" s="277"/>
      <c r="AY4" s="140"/>
      <c r="AZ4" s="277"/>
      <c r="BA4" s="277"/>
      <c r="BB4" s="277"/>
      <c r="BC4" s="140"/>
      <c r="BD4" s="277"/>
      <c r="BE4" s="277"/>
      <c r="BF4" s="277"/>
      <c r="BG4" s="140"/>
      <c r="BH4" s="277"/>
      <c r="BI4" s="277"/>
      <c r="BJ4" s="277"/>
      <c r="BK4" s="140"/>
      <c r="BL4" s="277"/>
      <c r="BM4" s="277"/>
      <c r="BN4" s="277"/>
      <c r="BO4" s="140"/>
      <c r="BP4" s="277"/>
      <c r="BQ4" s="277"/>
      <c r="BR4" s="277"/>
      <c r="BS4" s="140"/>
      <c r="BT4" s="277"/>
      <c r="BU4" s="277"/>
      <c r="BV4" s="277"/>
      <c r="BW4" s="140"/>
      <c r="BX4" s="154"/>
      <c r="BY4" s="154"/>
      <c r="BZ4" s="220"/>
      <c r="CA4" s="140"/>
      <c r="CB4" s="154"/>
      <c r="CC4" s="154"/>
      <c r="CD4" s="220"/>
      <c r="CE4" s="140"/>
      <c r="CF4" s="271"/>
      <c r="CG4" s="271"/>
      <c r="CH4" s="271"/>
      <c r="CI4" s="140"/>
      <c r="CJ4" s="154"/>
      <c r="CK4" s="154"/>
      <c r="CL4" s="154"/>
      <c r="CM4" s="140"/>
      <c r="CN4" s="271"/>
      <c r="CO4" s="271"/>
      <c r="CP4" s="271"/>
      <c r="CQ4" s="140"/>
      <c r="CR4" s="154"/>
      <c r="CS4" s="154"/>
      <c r="CT4" s="154"/>
      <c r="CU4" s="140"/>
      <c r="CV4" s="154"/>
      <c r="CW4" s="154"/>
      <c r="CX4" s="220"/>
      <c r="CY4" s="140"/>
      <c r="CZ4" s="154"/>
      <c r="DA4" s="154"/>
      <c r="DB4" s="220"/>
      <c r="DC4" s="140"/>
      <c r="DD4" s="146"/>
      <c r="DE4" s="146"/>
      <c r="DF4" s="146"/>
      <c r="DG4" s="140"/>
      <c r="DH4" s="146"/>
      <c r="DI4" s="146"/>
      <c r="DJ4" s="146"/>
      <c r="DK4" s="146"/>
      <c r="DL4" s="146"/>
      <c r="DM4" s="146"/>
      <c r="DN4" s="146"/>
      <c r="DO4" s="146"/>
      <c r="DP4" s="146"/>
      <c r="DQ4" s="146"/>
      <c r="DR4" s="146"/>
      <c r="DS4" s="140"/>
      <c r="DT4" s="154"/>
      <c r="DU4" s="154"/>
      <c r="DV4" s="154"/>
      <c r="DW4" s="140"/>
      <c r="DX4" s="220"/>
      <c r="DY4" s="220"/>
      <c r="DZ4" s="220"/>
      <c r="EA4" s="140"/>
      <c r="EB4" s="220"/>
      <c r="EC4" s="220"/>
      <c r="ED4" s="220"/>
      <c r="EE4" s="140"/>
      <c r="EF4" s="154"/>
      <c r="EG4" s="154"/>
      <c r="EH4" s="154"/>
      <c r="EI4" s="140"/>
      <c r="EJ4" s="154"/>
      <c r="EK4" s="154"/>
      <c r="EL4" s="154"/>
      <c r="EM4" s="140"/>
      <c r="EN4" s="222"/>
      <c r="EO4" s="222"/>
      <c r="EP4" s="222"/>
      <c r="EQ4" s="140"/>
      <c r="ER4" s="222"/>
      <c r="ES4" s="222"/>
      <c r="ET4" s="222"/>
      <c r="EU4" s="140"/>
      <c r="EV4" s="222"/>
      <c r="EW4" s="222"/>
      <c r="EX4" s="222"/>
      <c r="EY4" s="272"/>
      <c r="EZ4" s="222"/>
      <c r="FA4" s="222"/>
      <c r="FB4" s="222"/>
      <c r="FC4" s="273"/>
      <c r="FD4" s="223"/>
      <c r="FE4" s="223"/>
      <c r="FF4" s="276"/>
      <c r="FG4" s="156"/>
      <c r="FH4" s="156"/>
      <c r="FI4" s="156"/>
      <c r="FJ4" s="140"/>
      <c r="FK4" s="277"/>
      <c r="FL4" s="277"/>
      <c r="FM4" s="277"/>
      <c r="FN4" s="140"/>
      <c r="FO4" s="277"/>
      <c r="FP4" s="277"/>
      <c r="FQ4" s="277"/>
      <c r="FR4" s="280"/>
      <c r="FS4" s="277"/>
      <c r="FT4" s="277"/>
      <c r="FU4" s="277"/>
      <c r="FV4" s="277"/>
      <c r="FW4" s="277"/>
      <c r="FX4" s="277"/>
      <c r="FY4" s="277"/>
      <c r="FZ4" s="277"/>
      <c r="GA4" s="277"/>
      <c r="GB4" s="277"/>
      <c r="GC4" s="277"/>
      <c r="GD4" s="277"/>
      <c r="GE4" s="277"/>
      <c r="GF4" s="277"/>
      <c r="GG4" s="277"/>
      <c r="GH4" s="277"/>
      <c r="GI4" s="277"/>
      <c r="GJ4" s="277"/>
      <c r="GK4" s="277"/>
      <c r="GL4" s="277"/>
      <c r="GM4" s="277"/>
      <c r="GN4" s="277"/>
      <c r="GO4" s="277"/>
      <c r="GP4" s="277"/>
      <c r="GQ4" s="277"/>
      <c r="GR4" s="277"/>
      <c r="GS4" s="277"/>
      <c r="GT4" s="277"/>
      <c r="GU4" s="277"/>
      <c r="GV4" s="277"/>
      <c r="GW4" s="277"/>
      <c r="GX4" s="277"/>
      <c r="GY4" s="277"/>
      <c r="GZ4" s="277"/>
      <c r="HA4" s="277"/>
      <c r="HB4" s="277"/>
      <c r="HC4" s="277"/>
      <c r="HD4" s="277"/>
      <c r="HE4" s="277"/>
      <c r="HF4" s="140"/>
      <c r="HG4" s="277"/>
      <c r="HH4" s="277"/>
      <c r="HI4" s="277"/>
      <c r="HJ4" s="140"/>
      <c r="HK4" s="277"/>
      <c r="HL4" s="277"/>
      <c r="HM4" s="277"/>
      <c r="HN4" s="140"/>
      <c r="HO4" s="277"/>
      <c r="HP4" s="277"/>
      <c r="HQ4" s="277"/>
      <c r="HR4" s="277"/>
      <c r="HS4" s="277"/>
      <c r="HT4" s="277"/>
      <c r="HU4" s="277"/>
      <c r="HV4" s="277"/>
      <c r="HW4" s="277"/>
      <c r="HX4" s="277"/>
      <c r="HY4" s="277"/>
      <c r="HZ4" s="140"/>
      <c r="IA4" s="277"/>
      <c r="IB4" s="277"/>
      <c r="IC4" s="277"/>
      <c r="ID4" s="140"/>
      <c r="IE4" s="277"/>
      <c r="IF4" s="277"/>
      <c r="IG4" s="277"/>
      <c r="IH4" s="140"/>
      <c r="II4" s="277"/>
      <c r="IJ4" s="277"/>
      <c r="IK4" s="277"/>
      <c r="IL4" s="140"/>
      <c r="IM4" s="277"/>
      <c r="IN4" s="277"/>
      <c r="IO4" s="277"/>
      <c r="IP4" s="277"/>
      <c r="IQ4" s="277"/>
      <c r="IR4" s="277"/>
      <c r="IS4" s="277"/>
      <c r="IT4" s="277"/>
      <c r="IU4" s="277"/>
      <c r="IV4" s="277"/>
      <c r="IW4" s="277"/>
      <c r="IX4" s="140"/>
      <c r="IY4" s="277"/>
      <c r="IZ4" s="277"/>
      <c r="JA4" s="277"/>
      <c r="JB4" s="140"/>
      <c r="JC4" s="277"/>
      <c r="JD4" s="277"/>
      <c r="JE4" s="277"/>
      <c r="JF4" s="140"/>
      <c r="JG4" s="277"/>
      <c r="JH4" s="277"/>
      <c r="JI4" s="140"/>
      <c r="JJ4" s="277"/>
      <c r="JK4" s="277"/>
      <c r="JL4" s="140"/>
      <c r="JM4" s="277"/>
      <c r="JN4" s="277"/>
      <c r="JO4" s="140"/>
      <c r="JP4" s="277"/>
      <c r="JQ4" s="277"/>
      <c r="JR4" s="277"/>
      <c r="JS4" s="277"/>
      <c r="JT4" s="277"/>
      <c r="JU4" s="277"/>
      <c r="JV4" s="277"/>
      <c r="JW4" s="277"/>
      <c r="JX4" s="277"/>
      <c r="JY4" s="277"/>
      <c r="JZ4" s="277"/>
      <c r="KA4" s="277"/>
      <c r="KB4" s="277"/>
      <c r="KC4" s="277"/>
      <c r="KD4" s="277"/>
      <c r="KE4" s="277"/>
      <c r="KF4" s="277"/>
      <c r="KG4" s="277"/>
      <c r="KH4" s="277"/>
      <c r="KI4" s="277"/>
      <c r="KJ4" s="277"/>
      <c r="KK4" s="277"/>
      <c r="KL4" s="277"/>
      <c r="KM4" s="277"/>
      <c r="KN4" s="277"/>
      <c r="KO4" s="277"/>
      <c r="KP4" s="274"/>
      <c r="KQ4" s="253"/>
      <c r="KR4" s="253"/>
      <c r="KY4" s="141">
        <f t="shared" si="5"/>
        <v>0</v>
      </c>
      <c r="KZ4" s="141">
        <f t="shared" si="6"/>
        <v>0</v>
      </c>
    </row>
    <row r="5" spans="1:319" ht="38.25" customHeight="1" x14ac:dyDescent="0.55000000000000004">
      <c r="B5" s="314" t="s">
        <v>369</v>
      </c>
      <c r="C5" s="218"/>
      <c r="D5" s="218"/>
      <c r="E5" s="218"/>
      <c r="F5" s="218"/>
      <c r="G5" s="218"/>
      <c r="H5" s="218"/>
      <c r="I5" s="162"/>
      <c r="J5" s="142"/>
      <c r="K5" s="142"/>
      <c r="L5" s="268">
        <f t="shared" si="0"/>
        <v>7000</v>
      </c>
      <c r="M5" s="164">
        <f t="shared" si="1"/>
        <v>0</v>
      </c>
      <c r="N5" s="397"/>
      <c r="O5" s="165">
        <f t="shared" si="2"/>
        <v>0</v>
      </c>
      <c r="P5" s="165"/>
      <c r="Q5" s="165"/>
      <c r="R5" s="165" t="e">
        <f>(AM5+AU5+AY5+BC5+BG5+BK5+BO5+BS5+BW5+CA5+CE5+CI5+CM5+CQ5+CU5+CY5+DC5+DG5+DS5+DW5+EA5+EE5+EI5+EM5+EQ5+EU5+#REF!+#REF!+FJ5+FN5+#REF!+#REF!+HF5+#REF!+HJ5+HN5+HZ5+ID5+IH5+IL5+IX5+JB5+JF5+JI5+JL5+JO5)/1000*L5*(C5+D5+E5+I5)</f>
        <v>#REF!</v>
      </c>
      <c r="S5" s="165"/>
      <c r="T5" s="165">
        <f t="shared" si="3"/>
        <v>0</v>
      </c>
      <c r="U5" s="165"/>
      <c r="V5" s="165"/>
      <c r="W5" s="165"/>
      <c r="X5" s="165" t="e">
        <f>(FF5+FC5+#REF!+KP5)/4000*L5*(C5+D5+E5+I5)</f>
        <v>#REF!</v>
      </c>
      <c r="Y5" s="484"/>
      <c r="Z5" s="484"/>
      <c r="AA5" s="484"/>
      <c r="AB5" s="484"/>
      <c r="AC5" s="150">
        <f t="shared" si="7"/>
        <v>0</v>
      </c>
      <c r="AD5" s="150"/>
      <c r="AE5" s="150">
        <f t="shared" si="4"/>
        <v>0</v>
      </c>
      <c r="AF5" s="161"/>
      <c r="AG5" s="143"/>
      <c r="AH5" s="154"/>
      <c r="AI5" s="144"/>
      <c r="AJ5" s="154"/>
      <c r="AK5" s="154"/>
      <c r="AL5" s="220"/>
      <c r="AM5" s="140"/>
      <c r="AN5" s="154"/>
      <c r="AO5" s="154"/>
      <c r="AP5" s="220"/>
      <c r="AQ5" s="145"/>
      <c r="AR5" s="154"/>
      <c r="AS5" s="154"/>
      <c r="AT5" s="220"/>
      <c r="AU5" s="140"/>
      <c r="AV5" s="277"/>
      <c r="AW5" s="277"/>
      <c r="AX5" s="277"/>
      <c r="AY5" s="140"/>
      <c r="AZ5" s="277"/>
      <c r="BA5" s="277"/>
      <c r="BB5" s="277"/>
      <c r="BC5" s="140"/>
      <c r="BD5" s="277"/>
      <c r="BE5" s="277"/>
      <c r="BF5" s="277"/>
      <c r="BG5" s="140"/>
      <c r="BH5" s="277"/>
      <c r="BI5" s="277"/>
      <c r="BJ5" s="277"/>
      <c r="BK5" s="140"/>
      <c r="BL5" s="277"/>
      <c r="BM5" s="277"/>
      <c r="BN5" s="277"/>
      <c r="BO5" s="140"/>
      <c r="BP5" s="277"/>
      <c r="BQ5" s="277"/>
      <c r="BR5" s="277"/>
      <c r="BS5" s="140"/>
      <c r="BT5" s="277"/>
      <c r="BU5" s="277"/>
      <c r="BV5" s="277"/>
      <c r="BW5" s="140"/>
      <c r="BX5" s="154"/>
      <c r="BY5" s="154"/>
      <c r="BZ5" s="220"/>
      <c r="CA5" s="140"/>
      <c r="CB5" s="154"/>
      <c r="CC5" s="154"/>
      <c r="CD5" s="220"/>
      <c r="CE5" s="140"/>
      <c r="CF5" s="271"/>
      <c r="CG5" s="271"/>
      <c r="CH5" s="271"/>
      <c r="CI5" s="140"/>
      <c r="CJ5" s="154"/>
      <c r="CK5" s="154"/>
      <c r="CL5" s="154"/>
      <c r="CM5" s="140"/>
      <c r="CN5" s="271"/>
      <c r="CO5" s="271"/>
      <c r="CP5" s="271"/>
      <c r="CQ5" s="140"/>
      <c r="CR5" s="154"/>
      <c r="CS5" s="154"/>
      <c r="CT5" s="154"/>
      <c r="CU5" s="140"/>
      <c r="CV5" s="154"/>
      <c r="CW5" s="154"/>
      <c r="CX5" s="220"/>
      <c r="CY5" s="140"/>
      <c r="CZ5" s="154"/>
      <c r="DA5" s="154"/>
      <c r="DB5" s="220"/>
      <c r="DC5" s="140"/>
      <c r="DD5" s="146"/>
      <c r="DE5" s="146"/>
      <c r="DF5" s="146"/>
      <c r="DG5" s="140"/>
      <c r="DH5" s="146"/>
      <c r="DI5" s="146"/>
      <c r="DJ5" s="146"/>
      <c r="DK5" s="146"/>
      <c r="DL5" s="146"/>
      <c r="DM5" s="146"/>
      <c r="DN5" s="146"/>
      <c r="DO5" s="146"/>
      <c r="DP5" s="146"/>
      <c r="DQ5" s="146"/>
      <c r="DR5" s="146"/>
      <c r="DS5" s="140"/>
      <c r="DT5" s="154"/>
      <c r="DU5" s="154"/>
      <c r="DV5" s="154"/>
      <c r="DW5" s="140"/>
      <c r="DX5" s="220"/>
      <c r="DY5" s="220"/>
      <c r="DZ5" s="220"/>
      <c r="EA5" s="140"/>
      <c r="EB5" s="220"/>
      <c r="EC5" s="220"/>
      <c r="ED5" s="220"/>
      <c r="EE5" s="140"/>
      <c r="EF5" s="154"/>
      <c r="EG5" s="154"/>
      <c r="EH5" s="154"/>
      <c r="EI5" s="140"/>
      <c r="EJ5" s="154"/>
      <c r="EK5" s="154"/>
      <c r="EL5" s="154"/>
      <c r="EM5" s="140"/>
      <c r="EN5" s="222"/>
      <c r="EO5" s="222"/>
      <c r="EP5" s="222"/>
      <c r="EQ5" s="140"/>
      <c r="ER5" s="222"/>
      <c r="ES5" s="222"/>
      <c r="ET5" s="222"/>
      <c r="EU5" s="140"/>
      <c r="EV5" s="222"/>
      <c r="EW5" s="222"/>
      <c r="EX5" s="222"/>
      <c r="EY5" s="272"/>
      <c r="EZ5" s="222"/>
      <c r="FA5" s="222"/>
      <c r="FB5" s="222"/>
      <c r="FC5" s="273"/>
      <c r="FD5" s="223"/>
      <c r="FE5" s="223"/>
      <c r="FF5" s="276"/>
      <c r="FG5" s="156"/>
      <c r="FH5" s="156"/>
      <c r="FI5" s="156"/>
      <c r="FJ5" s="140"/>
      <c r="FK5" s="277"/>
      <c r="FL5" s="277"/>
      <c r="FM5" s="277"/>
      <c r="FN5" s="140"/>
      <c r="FO5" s="277"/>
      <c r="FP5" s="277"/>
      <c r="FQ5" s="277"/>
      <c r="FR5" s="280"/>
      <c r="FS5" s="277"/>
      <c r="FT5" s="277"/>
      <c r="FU5" s="277"/>
      <c r="FV5" s="277"/>
      <c r="FW5" s="277"/>
      <c r="FX5" s="277"/>
      <c r="FY5" s="277"/>
      <c r="FZ5" s="277"/>
      <c r="GA5" s="277"/>
      <c r="GB5" s="277"/>
      <c r="GC5" s="277"/>
      <c r="GD5" s="277"/>
      <c r="GE5" s="277"/>
      <c r="GF5" s="277"/>
      <c r="GG5" s="277"/>
      <c r="GH5" s="277"/>
      <c r="GI5" s="277"/>
      <c r="GJ5" s="277"/>
      <c r="GK5" s="277"/>
      <c r="GL5" s="277"/>
      <c r="GM5" s="277"/>
      <c r="GN5" s="277"/>
      <c r="GO5" s="277"/>
      <c r="GP5" s="277"/>
      <c r="GQ5" s="277"/>
      <c r="GR5" s="277"/>
      <c r="GS5" s="277"/>
      <c r="GT5" s="277"/>
      <c r="GU5" s="277"/>
      <c r="GV5" s="277"/>
      <c r="GW5" s="277"/>
      <c r="GX5" s="277"/>
      <c r="GY5" s="277"/>
      <c r="GZ5" s="277"/>
      <c r="HA5" s="277"/>
      <c r="HB5" s="277"/>
      <c r="HC5" s="277"/>
      <c r="HD5" s="277"/>
      <c r="HE5" s="277"/>
      <c r="HF5" s="140"/>
      <c r="HG5" s="277"/>
      <c r="HH5" s="277"/>
      <c r="HI5" s="277"/>
      <c r="HJ5" s="140"/>
      <c r="HK5" s="277"/>
      <c r="HL5" s="277"/>
      <c r="HM5" s="277"/>
      <c r="HN5" s="140"/>
      <c r="HO5" s="277"/>
      <c r="HP5" s="277"/>
      <c r="HQ5" s="277"/>
      <c r="HR5" s="277"/>
      <c r="HS5" s="277"/>
      <c r="HT5" s="277"/>
      <c r="HU5" s="277"/>
      <c r="HV5" s="277"/>
      <c r="HW5" s="277"/>
      <c r="HX5" s="277"/>
      <c r="HY5" s="277"/>
      <c r="HZ5" s="140"/>
      <c r="IA5" s="277"/>
      <c r="IB5" s="277"/>
      <c r="IC5" s="277"/>
      <c r="ID5" s="140"/>
      <c r="IE5" s="277"/>
      <c r="IF5" s="277"/>
      <c r="IG5" s="277"/>
      <c r="IH5" s="140"/>
      <c r="II5" s="277"/>
      <c r="IJ5" s="277"/>
      <c r="IK5" s="277"/>
      <c r="IL5" s="140"/>
      <c r="IM5" s="277"/>
      <c r="IN5" s="277"/>
      <c r="IO5" s="277"/>
      <c r="IP5" s="277"/>
      <c r="IQ5" s="277"/>
      <c r="IR5" s="277"/>
      <c r="IS5" s="277"/>
      <c r="IT5" s="277"/>
      <c r="IU5" s="277"/>
      <c r="IV5" s="277"/>
      <c r="IW5" s="277"/>
      <c r="IX5" s="140"/>
      <c r="IY5" s="277"/>
      <c r="IZ5" s="277"/>
      <c r="JA5" s="277"/>
      <c r="JB5" s="140"/>
      <c r="JC5" s="277"/>
      <c r="JD5" s="277"/>
      <c r="JE5" s="277"/>
      <c r="JF5" s="140"/>
      <c r="JG5" s="277"/>
      <c r="JH5" s="277"/>
      <c r="JI5" s="140"/>
      <c r="JJ5" s="277"/>
      <c r="JK5" s="277"/>
      <c r="JL5" s="140"/>
      <c r="JM5" s="277"/>
      <c r="JN5" s="277"/>
      <c r="JO5" s="140"/>
      <c r="JP5" s="277"/>
      <c r="JQ5" s="277"/>
      <c r="JR5" s="277"/>
      <c r="JS5" s="277"/>
      <c r="JT5" s="277"/>
      <c r="JU5" s="277"/>
      <c r="JV5" s="277"/>
      <c r="JW5" s="277"/>
      <c r="JX5" s="277"/>
      <c r="JY5" s="277"/>
      <c r="JZ5" s="277"/>
      <c r="KA5" s="277"/>
      <c r="KB5" s="277"/>
      <c r="KC5" s="277"/>
      <c r="KD5" s="277"/>
      <c r="KE5" s="277"/>
      <c r="KF5" s="277"/>
      <c r="KG5" s="277"/>
      <c r="KH5" s="277"/>
      <c r="KI5" s="277"/>
      <c r="KJ5" s="277"/>
      <c r="KK5" s="277"/>
      <c r="KL5" s="277"/>
      <c r="KM5" s="277"/>
      <c r="KN5" s="277"/>
      <c r="KO5" s="277"/>
      <c r="KP5" s="274"/>
      <c r="KQ5" s="253"/>
      <c r="KR5" s="253"/>
      <c r="KY5" s="141">
        <f t="shared" si="5"/>
        <v>0</v>
      </c>
      <c r="KZ5" s="141">
        <f t="shared" si="6"/>
        <v>0</v>
      </c>
    </row>
    <row r="6" spans="1:319" ht="38.25" customHeight="1" x14ac:dyDescent="0.55000000000000004">
      <c r="B6" s="314" t="s">
        <v>366</v>
      </c>
      <c r="C6" s="218"/>
      <c r="D6" s="218"/>
      <c r="E6" s="218"/>
      <c r="F6" s="218"/>
      <c r="G6" s="218"/>
      <c r="H6" s="218"/>
      <c r="I6" s="162"/>
      <c r="J6" s="142"/>
      <c r="K6" s="142"/>
      <c r="L6" s="268">
        <f t="shared" si="0"/>
        <v>7000</v>
      </c>
      <c r="M6" s="164">
        <f t="shared" si="1"/>
        <v>0</v>
      </c>
      <c r="N6" s="397"/>
      <c r="O6" s="165">
        <f t="shared" si="2"/>
        <v>0</v>
      </c>
      <c r="P6" s="165"/>
      <c r="Q6" s="165"/>
      <c r="R6" s="165" t="e">
        <f>(AM6+AU6+AY6+BC6+BG6+BK6+BO6+BS6+BW6+CA6+CE6+CI6+CM6+CQ6+CU6+CY6+DC6+DG6+DS6+DW6+EA6+EE6+EI6+EM6+EQ6+EU6+#REF!+#REF!+FJ6+FN6+#REF!+#REF!+HF6+#REF!+HJ6+HN6+HZ6+ID6+IH6+IL6+IX6+JB6+JF6+JI6+JL6+JO6)/1000*L6*(C6+D6+E6+I6)</f>
        <v>#REF!</v>
      </c>
      <c r="S6" s="165"/>
      <c r="T6" s="165">
        <f t="shared" si="3"/>
        <v>0</v>
      </c>
      <c r="U6" s="165"/>
      <c r="V6" s="165"/>
      <c r="W6" s="165"/>
      <c r="X6" s="165" t="e">
        <f>(FF6+FC6+#REF!+KP6)/4000*L6*(C6+D6+E6+I6)</f>
        <v>#REF!</v>
      </c>
      <c r="Y6" s="484"/>
      <c r="Z6" s="484"/>
      <c r="AA6" s="484"/>
      <c r="AB6" s="484"/>
      <c r="AC6" s="150">
        <f t="shared" si="7"/>
        <v>0</v>
      </c>
      <c r="AD6" s="150"/>
      <c r="AE6" s="150">
        <f t="shared" si="4"/>
        <v>0</v>
      </c>
      <c r="AF6" s="161"/>
      <c r="AG6" s="143"/>
      <c r="AH6" s="154"/>
      <c r="AI6" s="144"/>
      <c r="AJ6" s="154"/>
      <c r="AK6" s="154"/>
      <c r="AL6" s="220"/>
      <c r="AM6" s="140"/>
      <c r="AN6" s="154"/>
      <c r="AO6" s="154"/>
      <c r="AP6" s="220"/>
      <c r="AQ6" s="145"/>
      <c r="AR6" s="154"/>
      <c r="AS6" s="154"/>
      <c r="AT6" s="220"/>
      <c r="AU6" s="140"/>
      <c r="AV6" s="277"/>
      <c r="AW6" s="277"/>
      <c r="AX6" s="277"/>
      <c r="AY6" s="140"/>
      <c r="AZ6" s="277"/>
      <c r="BA6" s="277"/>
      <c r="BB6" s="277"/>
      <c r="BC6" s="140"/>
      <c r="BD6" s="277"/>
      <c r="BE6" s="277"/>
      <c r="BF6" s="277"/>
      <c r="BG6" s="140"/>
      <c r="BH6" s="277"/>
      <c r="BI6" s="277"/>
      <c r="BJ6" s="277"/>
      <c r="BK6" s="140"/>
      <c r="BL6" s="277"/>
      <c r="BM6" s="277"/>
      <c r="BN6" s="277"/>
      <c r="BO6" s="140"/>
      <c r="BP6" s="277"/>
      <c r="BQ6" s="277"/>
      <c r="BR6" s="277"/>
      <c r="BS6" s="140"/>
      <c r="BT6" s="277"/>
      <c r="BU6" s="277"/>
      <c r="BV6" s="277"/>
      <c r="BW6" s="140"/>
      <c r="BX6" s="154"/>
      <c r="BY6" s="154"/>
      <c r="BZ6" s="220"/>
      <c r="CA6" s="140"/>
      <c r="CB6" s="154"/>
      <c r="CC6" s="154"/>
      <c r="CD6" s="220"/>
      <c r="CE6" s="140"/>
      <c r="CF6" s="271"/>
      <c r="CG6" s="271"/>
      <c r="CH6" s="271"/>
      <c r="CI6" s="140"/>
      <c r="CJ6" s="154"/>
      <c r="CK6" s="154"/>
      <c r="CL6" s="154"/>
      <c r="CM6" s="140"/>
      <c r="CN6" s="271"/>
      <c r="CO6" s="271"/>
      <c r="CP6" s="271"/>
      <c r="CQ6" s="140"/>
      <c r="CR6" s="154"/>
      <c r="CS6" s="154"/>
      <c r="CT6" s="154"/>
      <c r="CU6" s="140"/>
      <c r="CV6" s="154"/>
      <c r="CW6" s="154"/>
      <c r="CX6" s="220"/>
      <c r="CY6" s="140"/>
      <c r="CZ6" s="154"/>
      <c r="DA6" s="154"/>
      <c r="DB6" s="220"/>
      <c r="DC6" s="140"/>
      <c r="DD6" s="146"/>
      <c r="DE6" s="146"/>
      <c r="DF6" s="146"/>
      <c r="DG6" s="140"/>
      <c r="DH6" s="146"/>
      <c r="DI6" s="146"/>
      <c r="DJ6" s="146"/>
      <c r="DK6" s="146"/>
      <c r="DL6" s="146"/>
      <c r="DM6" s="146"/>
      <c r="DN6" s="146"/>
      <c r="DO6" s="146"/>
      <c r="DP6" s="146"/>
      <c r="DQ6" s="146"/>
      <c r="DR6" s="146"/>
      <c r="DS6" s="140"/>
      <c r="DT6" s="154"/>
      <c r="DU6" s="154"/>
      <c r="DV6" s="154"/>
      <c r="DW6" s="140"/>
      <c r="DX6" s="220"/>
      <c r="DY6" s="220"/>
      <c r="DZ6" s="220"/>
      <c r="EA6" s="140"/>
      <c r="EB6" s="220"/>
      <c r="EC6" s="220"/>
      <c r="ED6" s="220"/>
      <c r="EE6" s="140"/>
      <c r="EF6" s="154"/>
      <c r="EG6" s="154"/>
      <c r="EH6" s="154"/>
      <c r="EI6" s="140"/>
      <c r="EJ6" s="154"/>
      <c r="EK6" s="154"/>
      <c r="EL6" s="154"/>
      <c r="EM6" s="140"/>
      <c r="EN6" s="222"/>
      <c r="EO6" s="222"/>
      <c r="EP6" s="222"/>
      <c r="EQ6" s="140"/>
      <c r="ER6" s="222"/>
      <c r="ES6" s="222"/>
      <c r="ET6" s="222"/>
      <c r="EU6" s="140"/>
      <c r="EV6" s="222"/>
      <c r="EW6" s="222"/>
      <c r="EX6" s="222"/>
      <c r="EY6" s="272"/>
      <c r="EZ6" s="222"/>
      <c r="FA6" s="222"/>
      <c r="FB6" s="222"/>
      <c r="FC6" s="273"/>
      <c r="FD6" s="223"/>
      <c r="FE6" s="223"/>
      <c r="FF6" s="276"/>
      <c r="FG6" s="156"/>
      <c r="FH6" s="156"/>
      <c r="FI6" s="156"/>
      <c r="FJ6" s="140"/>
      <c r="FK6" s="277"/>
      <c r="FL6" s="277"/>
      <c r="FM6" s="277"/>
      <c r="FN6" s="140"/>
      <c r="FO6" s="277"/>
      <c r="FP6" s="277"/>
      <c r="FQ6" s="277"/>
      <c r="FR6" s="280"/>
      <c r="FS6" s="277"/>
      <c r="FT6" s="277"/>
      <c r="FU6" s="277"/>
      <c r="FV6" s="277"/>
      <c r="FW6" s="277"/>
      <c r="FX6" s="277"/>
      <c r="FY6" s="277"/>
      <c r="FZ6" s="277"/>
      <c r="GA6" s="277"/>
      <c r="GB6" s="277"/>
      <c r="GC6" s="277"/>
      <c r="GD6" s="277"/>
      <c r="GE6" s="277"/>
      <c r="GF6" s="277"/>
      <c r="GG6" s="277"/>
      <c r="GH6" s="277"/>
      <c r="GI6" s="277"/>
      <c r="GJ6" s="277"/>
      <c r="GK6" s="277"/>
      <c r="GL6" s="277"/>
      <c r="GM6" s="277"/>
      <c r="GN6" s="277"/>
      <c r="GO6" s="277"/>
      <c r="GP6" s="277"/>
      <c r="GQ6" s="277"/>
      <c r="GR6" s="277"/>
      <c r="GS6" s="277"/>
      <c r="GT6" s="277"/>
      <c r="GU6" s="277"/>
      <c r="GV6" s="277"/>
      <c r="GW6" s="277"/>
      <c r="GX6" s="277"/>
      <c r="GY6" s="277"/>
      <c r="GZ6" s="277"/>
      <c r="HA6" s="277"/>
      <c r="HB6" s="277"/>
      <c r="HC6" s="277"/>
      <c r="HD6" s="277"/>
      <c r="HE6" s="277"/>
      <c r="HF6" s="140"/>
      <c r="HG6" s="277"/>
      <c r="HH6" s="277"/>
      <c r="HI6" s="277"/>
      <c r="HJ6" s="140"/>
      <c r="HK6" s="277"/>
      <c r="HL6" s="277"/>
      <c r="HM6" s="277"/>
      <c r="HN6" s="140"/>
      <c r="HO6" s="277"/>
      <c r="HP6" s="277"/>
      <c r="HQ6" s="277"/>
      <c r="HR6" s="277"/>
      <c r="HS6" s="277"/>
      <c r="HT6" s="277"/>
      <c r="HU6" s="277"/>
      <c r="HV6" s="277"/>
      <c r="HW6" s="277"/>
      <c r="HX6" s="277"/>
      <c r="HY6" s="277"/>
      <c r="HZ6" s="140"/>
      <c r="IA6" s="277"/>
      <c r="IB6" s="277"/>
      <c r="IC6" s="277"/>
      <c r="ID6" s="140"/>
      <c r="IE6" s="277"/>
      <c r="IF6" s="277"/>
      <c r="IG6" s="277"/>
      <c r="IH6" s="140"/>
      <c r="II6" s="277"/>
      <c r="IJ6" s="277"/>
      <c r="IK6" s="277"/>
      <c r="IL6" s="140"/>
      <c r="IM6" s="277"/>
      <c r="IN6" s="277"/>
      <c r="IO6" s="277"/>
      <c r="IP6" s="277"/>
      <c r="IQ6" s="277"/>
      <c r="IR6" s="277"/>
      <c r="IS6" s="277"/>
      <c r="IT6" s="277"/>
      <c r="IU6" s="277"/>
      <c r="IV6" s="277"/>
      <c r="IW6" s="277"/>
      <c r="IX6" s="140"/>
      <c r="IY6" s="277"/>
      <c r="IZ6" s="277"/>
      <c r="JA6" s="277"/>
      <c r="JB6" s="140"/>
      <c r="JC6" s="277"/>
      <c r="JD6" s="277"/>
      <c r="JE6" s="277"/>
      <c r="JF6" s="140"/>
      <c r="JG6" s="277"/>
      <c r="JH6" s="277"/>
      <c r="JI6" s="140"/>
      <c r="JJ6" s="277"/>
      <c r="JK6" s="277"/>
      <c r="JL6" s="140"/>
      <c r="JM6" s="277"/>
      <c r="JN6" s="277"/>
      <c r="JO6" s="140"/>
      <c r="JP6" s="277"/>
      <c r="JQ6" s="277"/>
      <c r="JR6" s="277"/>
      <c r="JS6" s="277"/>
      <c r="JT6" s="277"/>
      <c r="JU6" s="277"/>
      <c r="JV6" s="277"/>
      <c r="JW6" s="277"/>
      <c r="JX6" s="277"/>
      <c r="JY6" s="277"/>
      <c r="JZ6" s="277"/>
      <c r="KA6" s="277"/>
      <c r="KB6" s="277"/>
      <c r="KC6" s="277"/>
      <c r="KD6" s="277"/>
      <c r="KE6" s="277"/>
      <c r="KF6" s="277"/>
      <c r="KG6" s="277"/>
      <c r="KH6" s="277"/>
      <c r="KI6" s="277"/>
      <c r="KJ6" s="277"/>
      <c r="KK6" s="277"/>
      <c r="KL6" s="277"/>
      <c r="KM6" s="277"/>
      <c r="KN6" s="277"/>
      <c r="KO6" s="277"/>
      <c r="KP6" s="274"/>
      <c r="KQ6" s="253"/>
      <c r="KR6" s="253"/>
      <c r="KY6" s="141">
        <f t="shared" si="5"/>
        <v>0</v>
      </c>
      <c r="KZ6" s="141">
        <f t="shared" si="6"/>
        <v>0</v>
      </c>
    </row>
    <row r="7" spans="1:319" ht="38.25" customHeight="1" x14ac:dyDescent="0.55000000000000004">
      <c r="B7" s="314" t="s">
        <v>370</v>
      </c>
      <c r="C7" s="218"/>
      <c r="D7" s="218"/>
      <c r="E7" s="218"/>
      <c r="F7" s="218"/>
      <c r="G7" s="218"/>
      <c r="H7" s="218"/>
      <c r="I7" s="162"/>
      <c r="J7" s="142"/>
      <c r="K7" s="142"/>
      <c r="L7" s="268">
        <f t="shared" si="0"/>
        <v>7000</v>
      </c>
      <c r="M7" s="164">
        <f t="shared" si="1"/>
        <v>0</v>
      </c>
      <c r="N7" s="397"/>
      <c r="O7" s="165">
        <f t="shared" si="2"/>
        <v>0</v>
      </c>
      <c r="P7" s="165"/>
      <c r="Q7" s="165"/>
      <c r="R7" s="165" t="e">
        <f>(AM7+AU7+AY7+BC7+BG7+BK7+BO7+BS7+BW7+CA7+CE7+CI7+CM7+CQ7+CU7+CY7+DC7+DG7+DS7+DW7+EA7+EE7+EI7+EM7+EQ7+EU7+#REF!+#REF!+FJ7+FN7+#REF!+#REF!+HF7+#REF!+HJ7+HN7+HZ7+ID7+IH7+IL7+IX7+JB7+JF7+JI7+JL7+JO7)/1000*L7*(C7+D7+E7+I7)</f>
        <v>#REF!</v>
      </c>
      <c r="S7" s="165"/>
      <c r="T7" s="165">
        <f t="shared" si="3"/>
        <v>0</v>
      </c>
      <c r="U7" s="165"/>
      <c r="V7" s="165"/>
      <c r="W7" s="165"/>
      <c r="X7" s="165" t="e">
        <f>(FF7+FC7+#REF!+KP7)/4000*L7*(C7+D7+E7+I7)</f>
        <v>#REF!</v>
      </c>
      <c r="Y7" s="484"/>
      <c r="Z7" s="484"/>
      <c r="AA7" s="484"/>
      <c r="AB7" s="484"/>
      <c r="AC7" s="150">
        <f t="shared" si="7"/>
        <v>0</v>
      </c>
      <c r="AD7" s="150"/>
      <c r="AE7" s="150">
        <f t="shared" si="4"/>
        <v>0</v>
      </c>
      <c r="AF7" s="161"/>
      <c r="AG7" s="143"/>
      <c r="AH7" s="154"/>
      <c r="AI7" s="144"/>
      <c r="AJ7" s="154"/>
      <c r="AK7" s="154"/>
      <c r="AL7" s="220"/>
      <c r="AM7" s="140"/>
      <c r="AN7" s="154"/>
      <c r="AO7" s="154"/>
      <c r="AP7" s="220"/>
      <c r="AQ7" s="145"/>
      <c r="AR7" s="154"/>
      <c r="AS7" s="154"/>
      <c r="AT7" s="220"/>
      <c r="AU7" s="140"/>
      <c r="AV7" s="277"/>
      <c r="AW7" s="277"/>
      <c r="AX7" s="277"/>
      <c r="AY7" s="140"/>
      <c r="AZ7" s="277"/>
      <c r="BA7" s="277"/>
      <c r="BB7" s="277"/>
      <c r="BC7" s="140"/>
      <c r="BD7" s="277"/>
      <c r="BE7" s="277"/>
      <c r="BF7" s="277"/>
      <c r="BG7" s="140"/>
      <c r="BH7" s="277"/>
      <c r="BI7" s="277"/>
      <c r="BJ7" s="277"/>
      <c r="BK7" s="140"/>
      <c r="BL7" s="277"/>
      <c r="BM7" s="277"/>
      <c r="BN7" s="277"/>
      <c r="BO7" s="140"/>
      <c r="BP7" s="277"/>
      <c r="BQ7" s="277"/>
      <c r="BR7" s="277"/>
      <c r="BS7" s="140"/>
      <c r="BT7" s="277"/>
      <c r="BU7" s="277"/>
      <c r="BV7" s="277"/>
      <c r="BW7" s="140"/>
      <c r="BX7" s="154"/>
      <c r="BY7" s="154"/>
      <c r="BZ7" s="220"/>
      <c r="CA7" s="140"/>
      <c r="CB7" s="154"/>
      <c r="CC7" s="154"/>
      <c r="CD7" s="220"/>
      <c r="CE7" s="140"/>
      <c r="CF7" s="271"/>
      <c r="CG7" s="271"/>
      <c r="CH7" s="271"/>
      <c r="CI7" s="140"/>
      <c r="CJ7" s="154"/>
      <c r="CK7" s="154"/>
      <c r="CL7" s="154"/>
      <c r="CM7" s="140"/>
      <c r="CN7" s="271"/>
      <c r="CO7" s="271"/>
      <c r="CP7" s="271"/>
      <c r="CQ7" s="140"/>
      <c r="CR7" s="154"/>
      <c r="CS7" s="154"/>
      <c r="CT7" s="154"/>
      <c r="CU7" s="140"/>
      <c r="CV7" s="154"/>
      <c r="CW7" s="154"/>
      <c r="CX7" s="220"/>
      <c r="CY7" s="140"/>
      <c r="CZ7" s="154"/>
      <c r="DA7" s="154"/>
      <c r="DB7" s="220"/>
      <c r="DC7" s="140"/>
      <c r="DD7" s="146"/>
      <c r="DE7" s="146"/>
      <c r="DF7" s="146"/>
      <c r="DG7" s="140"/>
      <c r="DH7" s="146"/>
      <c r="DI7" s="146"/>
      <c r="DJ7" s="146"/>
      <c r="DK7" s="146"/>
      <c r="DL7" s="146"/>
      <c r="DM7" s="146"/>
      <c r="DN7" s="146"/>
      <c r="DO7" s="146"/>
      <c r="DP7" s="146"/>
      <c r="DQ7" s="146"/>
      <c r="DR7" s="146"/>
      <c r="DS7" s="140"/>
      <c r="DT7" s="154"/>
      <c r="DU7" s="154"/>
      <c r="DV7" s="154"/>
      <c r="DW7" s="140"/>
      <c r="DX7" s="220"/>
      <c r="DY7" s="220"/>
      <c r="DZ7" s="220"/>
      <c r="EA7" s="140"/>
      <c r="EB7" s="220"/>
      <c r="EC7" s="220"/>
      <c r="ED7" s="220"/>
      <c r="EE7" s="140"/>
      <c r="EF7" s="154"/>
      <c r="EG7" s="154"/>
      <c r="EH7" s="154"/>
      <c r="EI7" s="140"/>
      <c r="EJ7" s="154"/>
      <c r="EK7" s="154"/>
      <c r="EL7" s="154"/>
      <c r="EM7" s="140"/>
      <c r="EN7" s="222"/>
      <c r="EO7" s="222"/>
      <c r="EP7" s="222"/>
      <c r="EQ7" s="140"/>
      <c r="ER7" s="222"/>
      <c r="ES7" s="222"/>
      <c r="ET7" s="222"/>
      <c r="EU7" s="140"/>
      <c r="EV7" s="222"/>
      <c r="EW7" s="222"/>
      <c r="EX7" s="222"/>
      <c r="EY7" s="272"/>
      <c r="EZ7" s="222"/>
      <c r="FA7" s="222"/>
      <c r="FB7" s="222"/>
      <c r="FC7" s="273"/>
      <c r="FD7" s="223"/>
      <c r="FE7" s="223"/>
      <c r="FF7" s="276"/>
      <c r="FG7" s="156"/>
      <c r="FH7" s="156"/>
      <c r="FI7" s="156"/>
      <c r="FJ7" s="140"/>
      <c r="FK7" s="277"/>
      <c r="FL7" s="277"/>
      <c r="FM7" s="277"/>
      <c r="FN7" s="140"/>
      <c r="FO7" s="277"/>
      <c r="FP7" s="277"/>
      <c r="FQ7" s="277"/>
      <c r="FR7" s="280"/>
      <c r="FS7" s="277"/>
      <c r="FT7" s="277"/>
      <c r="FU7" s="277"/>
      <c r="FV7" s="277"/>
      <c r="FW7" s="277"/>
      <c r="FX7" s="277"/>
      <c r="FY7" s="277"/>
      <c r="FZ7" s="277"/>
      <c r="GA7" s="277"/>
      <c r="GB7" s="277"/>
      <c r="GC7" s="277"/>
      <c r="GD7" s="277"/>
      <c r="GE7" s="277"/>
      <c r="GF7" s="277"/>
      <c r="GG7" s="277"/>
      <c r="GH7" s="277"/>
      <c r="GI7" s="277"/>
      <c r="GJ7" s="277"/>
      <c r="GK7" s="277"/>
      <c r="GL7" s="277"/>
      <c r="GM7" s="277"/>
      <c r="GN7" s="277"/>
      <c r="GO7" s="277"/>
      <c r="GP7" s="277"/>
      <c r="GQ7" s="277"/>
      <c r="GR7" s="277"/>
      <c r="GS7" s="277"/>
      <c r="GT7" s="277"/>
      <c r="GU7" s="277"/>
      <c r="GV7" s="277"/>
      <c r="GW7" s="277"/>
      <c r="GX7" s="277"/>
      <c r="GY7" s="277"/>
      <c r="GZ7" s="277"/>
      <c r="HA7" s="277"/>
      <c r="HB7" s="277"/>
      <c r="HC7" s="277"/>
      <c r="HD7" s="277"/>
      <c r="HE7" s="277"/>
      <c r="HF7" s="140"/>
      <c r="HG7" s="277"/>
      <c r="HH7" s="277"/>
      <c r="HI7" s="277"/>
      <c r="HJ7" s="140"/>
      <c r="HK7" s="277"/>
      <c r="HL7" s="277"/>
      <c r="HM7" s="277"/>
      <c r="HN7" s="140"/>
      <c r="HO7" s="277"/>
      <c r="HP7" s="277"/>
      <c r="HQ7" s="277"/>
      <c r="HR7" s="277"/>
      <c r="HS7" s="277"/>
      <c r="HT7" s="277"/>
      <c r="HU7" s="277"/>
      <c r="HV7" s="277"/>
      <c r="HW7" s="277"/>
      <c r="HX7" s="277"/>
      <c r="HY7" s="277"/>
      <c r="HZ7" s="140"/>
      <c r="IA7" s="277"/>
      <c r="IB7" s="277"/>
      <c r="IC7" s="277"/>
      <c r="ID7" s="140"/>
      <c r="IE7" s="277"/>
      <c r="IF7" s="277"/>
      <c r="IG7" s="277"/>
      <c r="IH7" s="140"/>
      <c r="II7" s="277"/>
      <c r="IJ7" s="277"/>
      <c r="IK7" s="277"/>
      <c r="IL7" s="140"/>
      <c r="IM7" s="277"/>
      <c r="IN7" s="277"/>
      <c r="IO7" s="277"/>
      <c r="IP7" s="277"/>
      <c r="IQ7" s="277"/>
      <c r="IR7" s="277"/>
      <c r="IS7" s="277"/>
      <c r="IT7" s="277"/>
      <c r="IU7" s="277"/>
      <c r="IV7" s="277"/>
      <c r="IW7" s="277"/>
      <c r="IX7" s="140"/>
      <c r="IY7" s="277"/>
      <c r="IZ7" s="277"/>
      <c r="JA7" s="277"/>
      <c r="JB7" s="140"/>
      <c r="JC7" s="277"/>
      <c r="JD7" s="277"/>
      <c r="JE7" s="277"/>
      <c r="JF7" s="140"/>
      <c r="JG7" s="277"/>
      <c r="JH7" s="277"/>
      <c r="JI7" s="140"/>
      <c r="JJ7" s="277"/>
      <c r="JK7" s="277"/>
      <c r="JL7" s="140"/>
      <c r="JM7" s="277"/>
      <c r="JN7" s="277"/>
      <c r="JO7" s="140"/>
      <c r="JP7" s="277"/>
      <c r="JQ7" s="277"/>
      <c r="JR7" s="277"/>
      <c r="JS7" s="277"/>
      <c r="JT7" s="277"/>
      <c r="JU7" s="277"/>
      <c r="JV7" s="277"/>
      <c r="JW7" s="277"/>
      <c r="JX7" s="277"/>
      <c r="JY7" s="277"/>
      <c r="JZ7" s="277"/>
      <c r="KA7" s="277"/>
      <c r="KB7" s="277"/>
      <c r="KC7" s="277"/>
      <c r="KD7" s="277"/>
      <c r="KE7" s="277"/>
      <c r="KF7" s="277"/>
      <c r="KG7" s="277"/>
      <c r="KH7" s="277"/>
      <c r="KI7" s="277"/>
      <c r="KJ7" s="277"/>
      <c r="KK7" s="277"/>
      <c r="KL7" s="277"/>
      <c r="KM7" s="277"/>
      <c r="KN7" s="277"/>
      <c r="KO7" s="277"/>
      <c r="KP7" s="274"/>
      <c r="KQ7" s="253"/>
      <c r="KR7" s="253"/>
      <c r="KY7" s="141">
        <f t="shared" si="5"/>
        <v>0</v>
      </c>
      <c r="KZ7" s="141">
        <f t="shared" si="6"/>
        <v>0</v>
      </c>
    </row>
    <row r="8" spans="1:319" ht="38.25" customHeight="1" x14ac:dyDescent="0.55000000000000004">
      <c r="B8" s="314" t="s">
        <v>371</v>
      </c>
      <c r="C8" s="218"/>
      <c r="D8" s="218"/>
      <c r="E8" s="218"/>
      <c r="F8" s="218"/>
      <c r="G8" s="218"/>
      <c r="H8" s="218"/>
      <c r="I8" s="162"/>
      <c r="J8" s="142"/>
      <c r="K8" s="142"/>
      <c r="L8" s="268">
        <f t="shared" si="0"/>
        <v>7000</v>
      </c>
      <c r="M8" s="164">
        <f t="shared" si="1"/>
        <v>0</v>
      </c>
      <c r="N8" s="397"/>
      <c r="O8" s="165">
        <f t="shared" si="2"/>
        <v>0</v>
      </c>
      <c r="P8" s="165"/>
      <c r="Q8" s="165"/>
      <c r="R8" s="165" t="e">
        <f>(AM8+AU8+AY8+BC8+BG8+BK8+BO8+BS8+BW8+CA8+CE8+CI8+CM8+CQ8+CU8+CY8+DC8+DG8+DS8+DW8+EA8+EE8+EI8+EM8+EQ8+EU8+#REF!+#REF!+FJ8+FN8+#REF!+#REF!+HF8+#REF!+HJ8+HN8+HZ8+ID8+IH8+IL8+IX8+JB8+JF8+JI8+JL8+JO8)/1000*L8*(C8+D8+E8+I8)</f>
        <v>#REF!</v>
      </c>
      <c r="S8" s="165"/>
      <c r="T8" s="165">
        <f t="shared" si="3"/>
        <v>0</v>
      </c>
      <c r="U8" s="165"/>
      <c r="V8" s="165"/>
      <c r="W8" s="165"/>
      <c r="X8" s="165" t="e">
        <f>(FF8+FC8+#REF!+KP8)/4000*L8*(C8+D8+E8+I8)</f>
        <v>#REF!</v>
      </c>
      <c r="Y8" s="484"/>
      <c r="Z8" s="484"/>
      <c r="AA8" s="484"/>
      <c r="AB8" s="484"/>
      <c r="AC8" s="150">
        <f t="shared" si="7"/>
        <v>0</v>
      </c>
      <c r="AD8" s="150"/>
      <c r="AE8" s="150">
        <f t="shared" si="4"/>
        <v>0</v>
      </c>
      <c r="AF8" s="161"/>
      <c r="AG8" s="143"/>
      <c r="AH8" s="154"/>
      <c r="AI8" s="144"/>
      <c r="AJ8" s="154"/>
      <c r="AK8" s="154"/>
      <c r="AL8" s="220"/>
      <c r="AM8" s="140"/>
      <c r="AN8" s="154"/>
      <c r="AO8" s="154"/>
      <c r="AP8" s="220"/>
      <c r="AQ8" s="145"/>
      <c r="AR8" s="154"/>
      <c r="AS8" s="154"/>
      <c r="AT8" s="220"/>
      <c r="AU8" s="140"/>
      <c r="AV8" s="277"/>
      <c r="AW8" s="277"/>
      <c r="AX8" s="277"/>
      <c r="AY8" s="140"/>
      <c r="AZ8" s="277"/>
      <c r="BA8" s="277"/>
      <c r="BB8" s="277"/>
      <c r="BC8" s="140"/>
      <c r="BD8" s="277"/>
      <c r="BE8" s="277"/>
      <c r="BF8" s="277"/>
      <c r="BG8" s="140"/>
      <c r="BH8" s="277"/>
      <c r="BI8" s="277"/>
      <c r="BJ8" s="277"/>
      <c r="BK8" s="140"/>
      <c r="BL8" s="277"/>
      <c r="BM8" s="277"/>
      <c r="BN8" s="277"/>
      <c r="BO8" s="140"/>
      <c r="BP8" s="277"/>
      <c r="BQ8" s="277"/>
      <c r="BR8" s="277"/>
      <c r="BS8" s="140"/>
      <c r="BT8" s="277"/>
      <c r="BU8" s="277"/>
      <c r="BV8" s="277"/>
      <c r="BW8" s="140"/>
      <c r="BX8" s="154"/>
      <c r="BY8" s="154"/>
      <c r="BZ8" s="220"/>
      <c r="CA8" s="140"/>
      <c r="CB8" s="154"/>
      <c r="CC8" s="154"/>
      <c r="CD8" s="220"/>
      <c r="CE8" s="140"/>
      <c r="CF8" s="271"/>
      <c r="CG8" s="271"/>
      <c r="CH8" s="271"/>
      <c r="CI8" s="140"/>
      <c r="CJ8" s="154"/>
      <c r="CK8" s="154"/>
      <c r="CL8" s="154"/>
      <c r="CM8" s="140"/>
      <c r="CN8" s="271"/>
      <c r="CO8" s="271"/>
      <c r="CP8" s="271"/>
      <c r="CQ8" s="140"/>
      <c r="CR8" s="154"/>
      <c r="CS8" s="154"/>
      <c r="CT8" s="154"/>
      <c r="CU8" s="140"/>
      <c r="CV8" s="154"/>
      <c r="CW8" s="154"/>
      <c r="CX8" s="220"/>
      <c r="CY8" s="140"/>
      <c r="CZ8" s="154"/>
      <c r="DA8" s="154"/>
      <c r="DB8" s="220"/>
      <c r="DC8" s="140"/>
      <c r="DD8" s="146"/>
      <c r="DE8" s="146"/>
      <c r="DF8" s="146"/>
      <c r="DG8" s="140"/>
      <c r="DH8" s="146"/>
      <c r="DI8" s="146"/>
      <c r="DJ8" s="146"/>
      <c r="DK8" s="146"/>
      <c r="DL8" s="146"/>
      <c r="DM8" s="146"/>
      <c r="DN8" s="146"/>
      <c r="DO8" s="146"/>
      <c r="DP8" s="146"/>
      <c r="DQ8" s="146"/>
      <c r="DR8" s="146"/>
      <c r="DS8" s="140"/>
      <c r="DT8" s="154"/>
      <c r="DU8" s="154"/>
      <c r="DV8" s="154"/>
      <c r="DW8" s="140"/>
      <c r="DX8" s="220"/>
      <c r="DY8" s="220"/>
      <c r="DZ8" s="220"/>
      <c r="EA8" s="140"/>
      <c r="EB8" s="220"/>
      <c r="EC8" s="220"/>
      <c r="ED8" s="220"/>
      <c r="EE8" s="140"/>
      <c r="EF8" s="154"/>
      <c r="EG8" s="154"/>
      <c r="EH8" s="154"/>
      <c r="EI8" s="140"/>
      <c r="EJ8" s="154"/>
      <c r="EK8" s="154"/>
      <c r="EL8" s="154"/>
      <c r="EM8" s="140"/>
      <c r="EN8" s="222"/>
      <c r="EO8" s="222"/>
      <c r="EP8" s="222"/>
      <c r="EQ8" s="140"/>
      <c r="ER8" s="222"/>
      <c r="ES8" s="222"/>
      <c r="ET8" s="222"/>
      <c r="EU8" s="140"/>
      <c r="EV8" s="222"/>
      <c r="EW8" s="222"/>
      <c r="EX8" s="222"/>
      <c r="EY8" s="272"/>
      <c r="EZ8" s="222"/>
      <c r="FA8" s="222"/>
      <c r="FB8" s="222"/>
      <c r="FC8" s="273"/>
      <c r="FD8" s="223"/>
      <c r="FE8" s="223"/>
      <c r="FF8" s="276"/>
      <c r="FG8" s="156"/>
      <c r="FH8" s="156"/>
      <c r="FI8" s="156"/>
      <c r="FJ8" s="140"/>
      <c r="FK8" s="277"/>
      <c r="FL8" s="277"/>
      <c r="FM8" s="277"/>
      <c r="FN8" s="140"/>
      <c r="FO8" s="277"/>
      <c r="FP8" s="277"/>
      <c r="FQ8" s="277"/>
      <c r="FR8" s="280"/>
      <c r="FS8" s="277"/>
      <c r="FT8" s="277"/>
      <c r="FU8" s="277"/>
      <c r="FV8" s="277"/>
      <c r="FW8" s="277"/>
      <c r="FX8" s="277"/>
      <c r="FY8" s="277"/>
      <c r="FZ8" s="277"/>
      <c r="GA8" s="277"/>
      <c r="GB8" s="277"/>
      <c r="GC8" s="277"/>
      <c r="GD8" s="277"/>
      <c r="GE8" s="277"/>
      <c r="GF8" s="277"/>
      <c r="GG8" s="277"/>
      <c r="GH8" s="277"/>
      <c r="GI8" s="277"/>
      <c r="GJ8" s="277"/>
      <c r="GK8" s="277"/>
      <c r="GL8" s="277"/>
      <c r="GM8" s="277"/>
      <c r="GN8" s="277"/>
      <c r="GO8" s="277"/>
      <c r="GP8" s="277"/>
      <c r="GQ8" s="277"/>
      <c r="GR8" s="277"/>
      <c r="GS8" s="277"/>
      <c r="GT8" s="277"/>
      <c r="GU8" s="277"/>
      <c r="GV8" s="277"/>
      <c r="GW8" s="277"/>
      <c r="GX8" s="277"/>
      <c r="GY8" s="277"/>
      <c r="GZ8" s="277"/>
      <c r="HA8" s="277"/>
      <c r="HB8" s="277"/>
      <c r="HC8" s="277"/>
      <c r="HD8" s="277"/>
      <c r="HE8" s="277"/>
      <c r="HF8" s="140"/>
      <c r="HG8" s="277"/>
      <c r="HH8" s="277"/>
      <c r="HI8" s="277"/>
      <c r="HJ8" s="140"/>
      <c r="HK8" s="277"/>
      <c r="HL8" s="277"/>
      <c r="HM8" s="277"/>
      <c r="HN8" s="140"/>
      <c r="HO8" s="277"/>
      <c r="HP8" s="277"/>
      <c r="HQ8" s="277"/>
      <c r="HR8" s="277"/>
      <c r="HS8" s="277"/>
      <c r="HT8" s="277"/>
      <c r="HU8" s="277"/>
      <c r="HV8" s="277"/>
      <c r="HW8" s="277"/>
      <c r="HX8" s="277"/>
      <c r="HY8" s="277"/>
      <c r="HZ8" s="140"/>
      <c r="IA8" s="277"/>
      <c r="IB8" s="277"/>
      <c r="IC8" s="277"/>
      <c r="ID8" s="140"/>
      <c r="IE8" s="277"/>
      <c r="IF8" s="277"/>
      <c r="IG8" s="277"/>
      <c r="IH8" s="140"/>
      <c r="II8" s="277"/>
      <c r="IJ8" s="277"/>
      <c r="IK8" s="277"/>
      <c r="IL8" s="140"/>
      <c r="IM8" s="277"/>
      <c r="IN8" s="277"/>
      <c r="IO8" s="277"/>
      <c r="IP8" s="277"/>
      <c r="IQ8" s="277"/>
      <c r="IR8" s="277"/>
      <c r="IS8" s="277"/>
      <c r="IT8" s="277"/>
      <c r="IU8" s="277"/>
      <c r="IV8" s="277"/>
      <c r="IW8" s="277"/>
      <c r="IX8" s="140"/>
      <c r="IY8" s="277"/>
      <c r="IZ8" s="277"/>
      <c r="JA8" s="277"/>
      <c r="JB8" s="140"/>
      <c r="JC8" s="277"/>
      <c r="JD8" s="277"/>
      <c r="JE8" s="277"/>
      <c r="JF8" s="140"/>
      <c r="JG8" s="277"/>
      <c r="JH8" s="277"/>
      <c r="JI8" s="140"/>
      <c r="JJ8" s="277"/>
      <c r="JK8" s="277"/>
      <c r="JL8" s="140"/>
      <c r="JM8" s="277"/>
      <c r="JN8" s="277"/>
      <c r="JO8" s="140"/>
      <c r="JP8" s="277"/>
      <c r="JQ8" s="277"/>
      <c r="JR8" s="277"/>
      <c r="JS8" s="277"/>
      <c r="JT8" s="277"/>
      <c r="JU8" s="277"/>
      <c r="JV8" s="277"/>
      <c r="JW8" s="277"/>
      <c r="JX8" s="277"/>
      <c r="JY8" s="277"/>
      <c r="JZ8" s="277"/>
      <c r="KA8" s="277"/>
      <c r="KB8" s="277"/>
      <c r="KC8" s="277"/>
      <c r="KD8" s="277"/>
      <c r="KE8" s="277"/>
      <c r="KF8" s="277"/>
      <c r="KG8" s="277"/>
      <c r="KH8" s="277"/>
      <c r="KI8" s="277"/>
      <c r="KJ8" s="277"/>
      <c r="KK8" s="277"/>
      <c r="KL8" s="277"/>
      <c r="KM8" s="277"/>
      <c r="KN8" s="277"/>
      <c r="KO8" s="277"/>
      <c r="KP8" s="274"/>
      <c r="KQ8" s="253"/>
      <c r="KR8" s="253"/>
      <c r="KY8" s="141">
        <f t="shared" si="5"/>
        <v>0</v>
      </c>
      <c r="KZ8" s="141">
        <f t="shared" si="6"/>
        <v>0</v>
      </c>
    </row>
    <row r="9" spans="1:319" ht="38.25" customHeight="1" x14ac:dyDescent="0.55000000000000004">
      <c r="B9" s="314" t="s">
        <v>372</v>
      </c>
      <c r="C9" s="218"/>
      <c r="D9" s="218"/>
      <c r="E9" s="218"/>
      <c r="F9" s="218"/>
      <c r="G9" s="218"/>
      <c r="H9" s="218"/>
      <c r="I9" s="162"/>
      <c r="J9" s="142"/>
      <c r="K9" s="142"/>
      <c r="L9" s="268">
        <f t="shared" si="0"/>
        <v>7000</v>
      </c>
      <c r="M9" s="164">
        <f t="shared" si="1"/>
        <v>0</v>
      </c>
      <c r="N9" s="397"/>
      <c r="O9" s="165">
        <f t="shared" si="2"/>
        <v>0</v>
      </c>
      <c r="P9" s="165"/>
      <c r="Q9" s="165"/>
      <c r="R9" s="165" t="e">
        <f>(AM9+AU9+AY9+BC9+BG9+BK9+BO9+BS9+BW9+CA9+CE9+CI9+CM9+CQ9+CU9+CY9+DC9+DG9+DS9+DW9+EA9+EE9+EI9+EM9+EQ9+EU9+#REF!+#REF!+FJ9+FN9+#REF!+#REF!+HF9+#REF!+HJ9+HN9+HZ9+ID9+IH9+IL9+IX9+JB9+JF9+JI9+JL9+JO9)/1000*L9*(C9+D9+E9+I9)</f>
        <v>#REF!</v>
      </c>
      <c r="S9" s="165"/>
      <c r="T9" s="165">
        <f t="shared" si="3"/>
        <v>0</v>
      </c>
      <c r="U9" s="165"/>
      <c r="V9" s="165"/>
      <c r="W9" s="165"/>
      <c r="X9" s="165" t="e">
        <f>(FF9+FC9+#REF!+KP9)/4000*L9*(C9+D9+E9+I9)</f>
        <v>#REF!</v>
      </c>
      <c r="Y9" s="484"/>
      <c r="Z9" s="484"/>
      <c r="AA9" s="484"/>
      <c r="AB9" s="484"/>
      <c r="AC9" s="150">
        <f t="shared" si="7"/>
        <v>0</v>
      </c>
      <c r="AD9" s="150"/>
      <c r="AE9" s="150">
        <f t="shared" si="4"/>
        <v>0</v>
      </c>
      <c r="AF9" s="161"/>
      <c r="AG9" s="143"/>
      <c r="AH9" s="154"/>
      <c r="AI9" s="144"/>
      <c r="AJ9" s="154"/>
      <c r="AK9" s="154"/>
      <c r="AL9" s="220"/>
      <c r="AM9" s="140"/>
      <c r="AN9" s="154"/>
      <c r="AO9" s="154"/>
      <c r="AP9" s="220"/>
      <c r="AQ9" s="145"/>
      <c r="AR9" s="154"/>
      <c r="AS9" s="154"/>
      <c r="AT9" s="220"/>
      <c r="AU9" s="140"/>
      <c r="AV9" s="277"/>
      <c r="AW9" s="277"/>
      <c r="AX9" s="277"/>
      <c r="AY9" s="140"/>
      <c r="AZ9" s="277"/>
      <c r="BA9" s="277"/>
      <c r="BB9" s="277"/>
      <c r="BC9" s="140"/>
      <c r="BD9" s="277"/>
      <c r="BE9" s="277"/>
      <c r="BF9" s="277"/>
      <c r="BG9" s="140"/>
      <c r="BH9" s="277"/>
      <c r="BI9" s="277"/>
      <c r="BJ9" s="277"/>
      <c r="BK9" s="140"/>
      <c r="BL9" s="277"/>
      <c r="BM9" s="277"/>
      <c r="BN9" s="277"/>
      <c r="BO9" s="140"/>
      <c r="BP9" s="277"/>
      <c r="BQ9" s="277"/>
      <c r="BR9" s="277"/>
      <c r="BS9" s="140"/>
      <c r="BT9" s="277"/>
      <c r="BU9" s="277"/>
      <c r="BV9" s="277"/>
      <c r="BW9" s="140"/>
      <c r="BX9" s="154"/>
      <c r="BY9" s="154"/>
      <c r="BZ9" s="220"/>
      <c r="CA9" s="140"/>
      <c r="CB9" s="154"/>
      <c r="CC9" s="154"/>
      <c r="CD9" s="220"/>
      <c r="CE9" s="140"/>
      <c r="CF9" s="271"/>
      <c r="CG9" s="271"/>
      <c r="CH9" s="271"/>
      <c r="CI9" s="140"/>
      <c r="CJ9" s="154"/>
      <c r="CK9" s="154"/>
      <c r="CL9" s="154"/>
      <c r="CM9" s="140"/>
      <c r="CN9" s="271"/>
      <c r="CO9" s="271"/>
      <c r="CP9" s="271"/>
      <c r="CQ9" s="140"/>
      <c r="CR9" s="154"/>
      <c r="CS9" s="154"/>
      <c r="CT9" s="154"/>
      <c r="CU9" s="140"/>
      <c r="CV9" s="154"/>
      <c r="CW9" s="154"/>
      <c r="CX9" s="220"/>
      <c r="CY9" s="140"/>
      <c r="CZ9" s="154"/>
      <c r="DA9" s="154"/>
      <c r="DB9" s="220"/>
      <c r="DC9" s="140"/>
      <c r="DD9" s="146"/>
      <c r="DE9" s="146"/>
      <c r="DF9" s="146"/>
      <c r="DG9" s="140"/>
      <c r="DH9" s="146"/>
      <c r="DI9" s="146"/>
      <c r="DJ9" s="146"/>
      <c r="DK9" s="146"/>
      <c r="DL9" s="146"/>
      <c r="DM9" s="146"/>
      <c r="DN9" s="146"/>
      <c r="DO9" s="146"/>
      <c r="DP9" s="146"/>
      <c r="DQ9" s="146"/>
      <c r="DR9" s="146"/>
      <c r="DS9" s="140"/>
      <c r="DT9" s="154"/>
      <c r="DU9" s="154"/>
      <c r="DV9" s="154"/>
      <c r="DW9" s="140"/>
      <c r="DX9" s="220"/>
      <c r="DY9" s="220"/>
      <c r="DZ9" s="220"/>
      <c r="EA9" s="140"/>
      <c r="EB9" s="220"/>
      <c r="EC9" s="220"/>
      <c r="ED9" s="220"/>
      <c r="EE9" s="140"/>
      <c r="EF9" s="154"/>
      <c r="EG9" s="154"/>
      <c r="EH9" s="154"/>
      <c r="EI9" s="140"/>
      <c r="EJ9" s="154"/>
      <c r="EK9" s="154"/>
      <c r="EL9" s="154"/>
      <c r="EM9" s="140"/>
      <c r="EN9" s="222"/>
      <c r="EO9" s="222"/>
      <c r="EP9" s="222"/>
      <c r="EQ9" s="140"/>
      <c r="ER9" s="222"/>
      <c r="ES9" s="222"/>
      <c r="ET9" s="222"/>
      <c r="EU9" s="140"/>
      <c r="EV9" s="222"/>
      <c r="EW9" s="222"/>
      <c r="EX9" s="222"/>
      <c r="EY9" s="272"/>
      <c r="EZ9" s="222"/>
      <c r="FA9" s="222"/>
      <c r="FB9" s="222"/>
      <c r="FC9" s="273"/>
      <c r="FD9" s="223"/>
      <c r="FE9" s="223"/>
      <c r="FF9" s="276"/>
      <c r="FG9" s="156"/>
      <c r="FH9" s="156"/>
      <c r="FI9" s="156"/>
      <c r="FJ9" s="140"/>
      <c r="FK9" s="277"/>
      <c r="FL9" s="277"/>
      <c r="FM9" s="277"/>
      <c r="FN9" s="140"/>
      <c r="FO9" s="277"/>
      <c r="FP9" s="277"/>
      <c r="FQ9" s="277"/>
      <c r="FR9" s="280"/>
      <c r="FS9" s="277"/>
      <c r="FT9" s="277"/>
      <c r="FU9" s="277"/>
      <c r="FV9" s="277"/>
      <c r="FW9" s="277"/>
      <c r="FX9" s="277"/>
      <c r="FY9" s="277"/>
      <c r="FZ9" s="277"/>
      <c r="GA9" s="277"/>
      <c r="GB9" s="277"/>
      <c r="GC9" s="277"/>
      <c r="GD9" s="277"/>
      <c r="GE9" s="277"/>
      <c r="GF9" s="277"/>
      <c r="GG9" s="277"/>
      <c r="GH9" s="277"/>
      <c r="GI9" s="277"/>
      <c r="GJ9" s="277"/>
      <c r="GK9" s="277"/>
      <c r="GL9" s="277"/>
      <c r="GM9" s="277"/>
      <c r="GN9" s="277"/>
      <c r="GO9" s="277"/>
      <c r="GP9" s="277"/>
      <c r="GQ9" s="277"/>
      <c r="GR9" s="277"/>
      <c r="GS9" s="277"/>
      <c r="GT9" s="277"/>
      <c r="GU9" s="277"/>
      <c r="GV9" s="277"/>
      <c r="GW9" s="277"/>
      <c r="GX9" s="277"/>
      <c r="GY9" s="277"/>
      <c r="GZ9" s="277"/>
      <c r="HA9" s="277"/>
      <c r="HB9" s="277"/>
      <c r="HC9" s="277"/>
      <c r="HD9" s="277"/>
      <c r="HE9" s="277"/>
      <c r="HF9" s="140"/>
      <c r="HG9" s="277"/>
      <c r="HH9" s="277"/>
      <c r="HI9" s="277"/>
      <c r="HJ9" s="140"/>
      <c r="HK9" s="277"/>
      <c r="HL9" s="277"/>
      <c r="HM9" s="277"/>
      <c r="HN9" s="140"/>
      <c r="HO9" s="277"/>
      <c r="HP9" s="277"/>
      <c r="HQ9" s="277"/>
      <c r="HR9" s="277"/>
      <c r="HS9" s="277"/>
      <c r="HT9" s="277"/>
      <c r="HU9" s="277"/>
      <c r="HV9" s="277"/>
      <c r="HW9" s="277"/>
      <c r="HX9" s="277"/>
      <c r="HY9" s="277"/>
      <c r="HZ9" s="140"/>
      <c r="IA9" s="277"/>
      <c r="IB9" s="277"/>
      <c r="IC9" s="277"/>
      <c r="ID9" s="140"/>
      <c r="IE9" s="277"/>
      <c r="IF9" s="277"/>
      <c r="IG9" s="277"/>
      <c r="IH9" s="140"/>
      <c r="II9" s="277"/>
      <c r="IJ9" s="277"/>
      <c r="IK9" s="277"/>
      <c r="IL9" s="140"/>
      <c r="IM9" s="277"/>
      <c r="IN9" s="277"/>
      <c r="IO9" s="277"/>
      <c r="IP9" s="277"/>
      <c r="IQ9" s="277"/>
      <c r="IR9" s="277"/>
      <c r="IS9" s="277"/>
      <c r="IT9" s="277"/>
      <c r="IU9" s="277"/>
      <c r="IV9" s="277"/>
      <c r="IW9" s="277"/>
      <c r="IX9" s="140"/>
      <c r="IY9" s="277"/>
      <c r="IZ9" s="277"/>
      <c r="JA9" s="277"/>
      <c r="JB9" s="140"/>
      <c r="JC9" s="277"/>
      <c r="JD9" s="277"/>
      <c r="JE9" s="277"/>
      <c r="JF9" s="140"/>
      <c r="JG9" s="277"/>
      <c r="JH9" s="277"/>
      <c r="JI9" s="140"/>
      <c r="JJ9" s="277"/>
      <c r="JK9" s="277"/>
      <c r="JL9" s="140"/>
      <c r="JM9" s="277"/>
      <c r="JN9" s="277"/>
      <c r="JO9" s="140"/>
      <c r="JP9" s="277"/>
      <c r="JQ9" s="277"/>
      <c r="JR9" s="277"/>
      <c r="JS9" s="277"/>
      <c r="JT9" s="277"/>
      <c r="JU9" s="277"/>
      <c r="JV9" s="277"/>
      <c r="JW9" s="277"/>
      <c r="JX9" s="277"/>
      <c r="JY9" s="277"/>
      <c r="JZ9" s="277"/>
      <c r="KA9" s="277"/>
      <c r="KB9" s="277"/>
      <c r="KC9" s="277"/>
      <c r="KD9" s="277"/>
      <c r="KE9" s="277"/>
      <c r="KF9" s="277"/>
      <c r="KG9" s="277"/>
      <c r="KH9" s="277"/>
      <c r="KI9" s="277"/>
      <c r="KJ9" s="277"/>
      <c r="KK9" s="277"/>
      <c r="KL9" s="277"/>
      <c r="KM9" s="277"/>
      <c r="KN9" s="277"/>
      <c r="KO9" s="277"/>
      <c r="KP9" s="274"/>
      <c r="KQ9" s="253"/>
      <c r="KR9" s="253"/>
      <c r="KY9" s="141">
        <f t="shared" si="5"/>
        <v>0</v>
      </c>
      <c r="KZ9" s="141">
        <f t="shared" si="6"/>
        <v>0</v>
      </c>
    </row>
    <row r="10" spans="1:319" ht="38.25" customHeight="1" x14ac:dyDescent="0.55000000000000004">
      <c r="B10" s="314" t="s">
        <v>367</v>
      </c>
      <c r="C10" s="218"/>
      <c r="D10" s="218"/>
      <c r="E10" s="218"/>
      <c r="F10" s="218"/>
      <c r="G10" s="218"/>
      <c r="H10" s="218"/>
      <c r="I10" s="162"/>
      <c r="J10" s="142"/>
      <c r="K10" s="142"/>
      <c r="L10" s="268">
        <f t="shared" si="0"/>
        <v>7000</v>
      </c>
      <c r="M10" s="164">
        <f t="shared" si="1"/>
        <v>0</v>
      </c>
      <c r="N10" s="397"/>
      <c r="O10" s="165">
        <f t="shared" si="2"/>
        <v>0</v>
      </c>
      <c r="P10" s="165"/>
      <c r="Q10" s="165"/>
      <c r="R10" s="165" t="e">
        <f>(AM10+AU10+AY10+BC10+BG10+BK10+BO10+BS10+BW10+CA10+CE10+CI10+CM10+CQ10+CU10+CY10+DC10+DG10+DS10+DW10+EA10+EE10+EI10+EM10+EQ10+EU10+#REF!+#REF!+FJ10+FN10+#REF!+#REF!+HF10+#REF!+HJ10+HN10+HZ10+ID10+IH10+IL10+IX10+JB10+JF10+JI10+JL10+JO10)/1000*L10*(C10+D10+E10+I10)</f>
        <v>#REF!</v>
      </c>
      <c r="S10" s="165"/>
      <c r="T10" s="165">
        <f t="shared" si="3"/>
        <v>0</v>
      </c>
      <c r="U10" s="165"/>
      <c r="V10" s="165"/>
      <c r="W10" s="165"/>
      <c r="X10" s="165" t="e">
        <f>(FF10+FC10+#REF!+KP10)/4000*L10*(C10+D10+E10+I10)</f>
        <v>#REF!</v>
      </c>
      <c r="Y10" s="484"/>
      <c r="Z10" s="484"/>
      <c r="AA10" s="484"/>
      <c r="AB10" s="484"/>
      <c r="AC10" s="150">
        <f t="shared" si="7"/>
        <v>0</v>
      </c>
      <c r="AD10" s="150"/>
      <c r="AE10" s="150">
        <f t="shared" si="4"/>
        <v>0</v>
      </c>
      <c r="AF10" s="161"/>
      <c r="AG10" s="143"/>
      <c r="AH10" s="154"/>
      <c r="AI10" s="144"/>
      <c r="AJ10" s="154"/>
      <c r="AK10" s="154"/>
      <c r="AL10" s="220"/>
      <c r="AM10" s="140"/>
      <c r="AN10" s="154"/>
      <c r="AO10" s="154"/>
      <c r="AP10" s="220"/>
      <c r="AQ10" s="145"/>
      <c r="AR10" s="154"/>
      <c r="AS10" s="154"/>
      <c r="AT10" s="220"/>
      <c r="AU10" s="140"/>
      <c r="AV10" s="277"/>
      <c r="AW10" s="277"/>
      <c r="AX10" s="277"/>
      <c r="AY10" s="140"/>
      <c r="AZ10" s="277"/>
      <c r="BA10" s="277"/>
      <c r="BB10" s="277"/>
      <c r="BC10" s="140"/>
      <c r="BD10" s="277"/>
      <c r="BE10" s="277"/>
      <c r="BF10" s="277"/>
      <c r="BG10" s="140"/>
      <c r="BH10" s="277"/>
      <c r="BI10" s="277"/>
      <c r="BJ10" s="277"/>
      <c r="BK10" s="140"/>
      <c r="BL10" s="277"/>
      <c r="BM10" s="277"/>
      <c r="BN10" s="277"/>
      <c r="BO10" s="140"/>
      <c r="BP10" s="277"/>
      <c r="BQ10" s="277"/>
      <c r="BR10" s="277"/>
      <c r="BS10" s="140"/>
      <c r="BT10" s="277"/>
      <c r="BU10" s="277"/>
      <c r="BV10" s="277"/>
      <c r="BW10" s="140"/>
      <c r="BX10" s="154"/>
      <c r="BY10" s="154"/>
      <c r="BZ10" s="220"/>
      <c r="CA10" s="140"/>
      <c r="CB10" s="154"/>
      <c r="CC10" s="154"/>
      <c r="CD10" s="220"/>
      <c r="CE10" s="140"/>
      <c r="CF10" s="271"/>
      <c r="CG10" s="271"/>
      <c r="CH10" s="271"/>
      <c r="CI10" s="140"/>
      <c r="CJ10" s="154"/>
      <c r="CK10" s="154"/>
      <c r="CL10" s="154"/>
      <c r="CM10" s="140"/>
      <c r="CN10" s="271"/>
      <c r="CO10" s="271"/>
      <c r="CP10" s="271"/>
      <c r="CQ10" s="140"/>
      <c r="CR10" s="154"/>
      <c r="CS10" s="154"/>
      <c r="CT10" s="154"/>
      <c r="CU10" s="140"/>
      <c r="CV10" s="154"/>
      <c r="CW10" s="154"/>
      <c r="CX10" s="220"/>
      <c r="CY10" s="140"/>
      <c r="CZ10" s="154"/>
      <c r="DA10" s="154"/>
      <c r="DB10" s="220"/>
      <c r="DC10" s="140"/>
      <c r="DD10" s="146"/>
      <c r="DE10" s="146"/>
      <c r="DF10" s="146"/>
      <c r="DG10" s="140"/>
      <c r="DH10" s="146"/>
      <c r="DI10" s="146"/>
      <c r="DJ10" s="146"/>
      <c r="DK10" s="146"/>
      <c r="DL10" s="146"/>
      <c r="DM10" s="146"/>
      <c r="DN10" s="146"/>
      <c r="DO10" s="146"/>
      <c r="DP10" s="146"/>
      <c r="DQ10" s="146"/>
      <c r="DR10" s="146"/>
      <c r="DS10" s="140"/>
      <c r="DT10" s="154"/>
      <c r="DU10" s="154"/>
      <c r="DV10" s="154"/>
      <c r="DW10" s="140"/>
      <c r="DX10" s="220"/>
      <c r="DY10" s="220"/>
      <c r="DZ10" s="220"/>
      <c r="EA10" s="140"/>
      <c r="EB10" s="220"/>
      <c r="EC10" s="220"/>
      <c r="ED10" s="220"/>
      <c r="EE10" s="140"/>
      <c r="EF10" s="154"/>
      <c r="EG10" s="154"/>
      <c r="EH10" s="154"/>
      <c r="EI10" s="140"/>
      <c r="EJ10" s="154"/>
      <c r="EK10" s="154"/>
      <c r="EL10" s="154"/>
      <c r="EM10" s="140"/>
      <c r="EN10" s="222"/>
      <c r="EO10" s="222"/>
      <c r="EP10" s="222"/>
      <c r="EQ10" s="140"/>
      <c r="ER10" s="222"/>
      <c r="ES10" s="222"/>
      <c r="ET10" s="222"/>
      <c r="EU10" s="140"/>
      <c r="EV10" s="222"/>
      <c r="EW10" s="222"/>
      <c r="EX10" s="222"/>
      <c r="EY10" s="272"/>
      <c r="EZ10" s="222"/>
      <c r="FA10" s="222"/>
      <c r="FB10" s="222"/>
      <c r="FC10" s="273"/>
      <c r="FD10" s="223"/>
      <c r="FE10" s="223"/>
      <c r="FF10" s="276"/>
      <c r="FG10" s="156"/>
      <c r="FH10" s="156"/>
      <c r="FI10" s="156"/>
      <c r="FJ10" s="140"/>
      <c r="FK10" s="277"/>
      <c r="FL10" s="277"/>
      <c r="FM10" s="277"/>
      <c r="FN10" s="140"/>
      <c r="FO10" s="277"/>
      <c r="FP10" s="277"/>
      <c r="FQ10" s="277"/>
      <c r="FR10" s="280"/>
      <c r="FS10" s="277"/>
      <c r="FT10" s="277"/>
      <c r="FU10" s="277"/>
      <c r="FV10" s="277"/>
      <c r="FW10" s="277"/>
      <c r="FX10" s="277"/>
      <c r="FY10" s="277"/>
      <c r="FZ10" s="277"/>
      <c r="GA10" s="277"/>
      <c r="GB10" s="277"/>
      <c r="GC10" s="277"/>
      <c r="GD10" s="277"/>
      <c r="GE10" s="277"/>
      <c r="GF10" s="277"/>
      <c r="GG10" s="277"/>
      <c r="GH10" s="277"/>
      <c r="GI10" s="277"/>
      <c r="GJ10" s="277"/>
      <c r="GK10" s="277"/>
      <c r="GL10" s="277"/>
      <c r="GM10" s="277"/>
      <c r="GN10" s="277"/>
      <c r="GO10" s="277"/>
      <c r="GP10" s="277"/>
      <c r="GQ10" s="277"/>
      <c r="GR10" s="277"/>
      <c r="GS10" s="277"/>
      <c r="GT10" s="277"/>
      <c r="GU10" s="277"/>
      <c r="GV10" s="277"/>
      <c r="GW10" s="277"/>
      <c r="GX10" s="277"/>
      <c r="GY10" s="277"/>
      <c r="GZ10" s="277"/>
      <c r="HA10" s="277"/>
      <c r="HB10" s="277"/>
      <c r="HC10" s="277"/>
      <c r="HD10" s="277"/>
      <c r="HE10" s="277"/>
      <c r="HF10" s="140"/>
      <c r="HG10" s="277"/>
      <c r="HH10" s="277"/>
      <c r="HI10" s="277"/>
      <c r="HJ10" s="140"/>
      <c r="HK10" s="277"/>
      <c r="HL10" s="277"/>
      <c r="HM10" s="277"/>
      <c r="HN10" s="140"/>
      <c r="HO10" s="277"/>
      <c r="HP10" s="277"/>
      <c r="HQ10" s="277"/>
      <c r="HR10" s="277"/>
      <c r="HS10" s="277"/>
      <c r="HT10" s="277"/>
      <c r="HU10" s="277"/>
      <c r="HV10" s="277"/>
      <c r="HW10" s="277"/>
      <c r="HX10" s="277"/>
      <c r="HY10" s="277"/>
      <c r="HZ10" s="140"/>
      <c r="IA10" s="277"/>
      <c r="IB10" s="277"/>
      <c r="IC10" s="277"/>
      <c r="ID10" s="140"/>
      <c r="IE10" s="277"/>
      <c r="IF10" s="277"/>
      <c r="IG10" s="277"/>
      <c r="IH10" s="140"/>
      <c r="II10" s="277"/>
      <c r="IJ10" s="277"/>
      <c r="IK10" s="277"/>
      <c r="IL10" s="140"/>
      <c r="IM10" s="277"/>
      <c r="IN10" s="277"/>
      <c r="IO10" s="277"/>
      <c r="IP10" s="277"/>
      <c r="IQ10" s="277"/>
      <c r="IR10" s="277"/>
      <c r="IS10" s="277"/>
      <c r="IT10" s="277"/>
      <c r="IU10" s="277"/>
      <c r="IV10" s="277"/>
      <c r="IW10" s="277"/>
      <c r="IX10" s="140"/>
      <c r="IY10" s="277"/>
      <c r="IZ10" s="277"/>
      <c r="JA10" s="277"/>
      <c r="JB10" s="140"/>
      <c r="JC10" s="277"/>
      <c r="JD10" s="277"/>
      <c r="JE10" s="277"/>
      <c r="JF10" s="140"/>
      <c r="JG10" s="277"/>
      <c r="JH10" s="277"/>
      <c r="JI10" s="140"/>
      <c r="JJ10" s="277"/>
      <c r="JK10" s="277"/>
      <c r="JL10" s="140"/>
      <c r="JM10" s="277"/>
      <c r="JN10" s="277"/>
      <c r="JO10" s="140"/>
      <c r="JP10" s="277"/>
      <c r="JQ10" s="277"/>
      <c r="JR10" s="277"/>
      <c r="JS10" s="277"/>
      <c r="JT10" s="277"/>
      <c r="JU10" s="277"/>
      <c r="JV10" s="277"/>
      <c r="JW10" s="277"/>
      <c r="JX10" s="277"/>
      <c r="JY10" s="277"/>
      <c r="JZ10" s="277"/>
      <c r="KA10" s="277"/>
      <c r="KB10" s="277"/>
      <c r="KC10" s="277"/>
      <c r="KD10" s="277"/>
      <c r="KE10" s="277"/>
      <c r="KF10" s="277"/>
      <c r="KG10" s="277"/>
      <c r="KH10" s="277"/>
      <c r="KI10" s="277"/>
      <c r="KJ10" s="277"/>
      <c r="KK10" s="277"/>
      <c r="KL10" s="277"/>
      <c r="KM10" s="277"/>
      <c r="KN10" s="277"/>
      <c r="KO10" s="277"/>
      <c r="KP10" s="274"/>
      <c r="KQ10" s="253"/>
      <c r="KR10" s="253"/>
      <c r="KY10" s="141">
        <f t="shared" si="5"/>
        <v>0</v>
      </c>
      <c r="KZ10" s="141">
        <f t="shared" si="6"/>
        <v>0</v>
      </c>
    </row>
    <row r="11" spans="1:319" ht="38.25" customHeight="1" x14ac:dyDescent="0.55000000000000004">
      <c r="B11" s="314" t="s">
        <v>498</v>
      </c>
      <c r="C11" s="218"/>
      <c r="D11" s="218"/>
      <c r="E11" s="218"/>
      <c r="F11" s="218"/>
      <c r="G11" s="218"/>
      <c r="H11" s="218"/>
      <c r="I11" s="162"/>
      <c r="J11" s="142"/>
      <c r="K11" s="142"/>
      <c r="L11" s="268">
        <f t="shared" si="0"/>
        <v>7000</v>
      </c>
      <c r="M11" s="164">
        <f t="shared" si="1"/>
        <v>0</v>
      </c>
      <c r="N11" s="397"/>
      <c r="O11" s="165">
        <f t="shared" si="2"/>
        <v>0</v>
      </c>
      <c r="P11" s="165"/>
      <c r="Q11" s="165"/>
      <c r="R11" s="165" t="e">
        <f>(AM11+AU11+AY11+BC11+BG11+BK11+BO11+BS11+BW11+CA11+CE11+CI11+CM11+CQ11+CU11+CY11+DC11+DG11+DS11+DW11+EA11+EE11+EI11+EM11+EQ11+EU11+#REF!+#REF!+FJ11+FN11+#REF!+#REF!+HF11+#REF!+HJ11+HN11+HZ11+ID11+IH11+IL11+IX11+JB11+JF11+JI11+JL11+JO11)/1000*L11*(C11+D11+E11+I11)</f>
        <v>#REF!</v>
      </c>
      <c r="S11" s="165"/>
      <c r="T11" s="165">
        <f t="shared" si="3"/>
        <v>0</v>
      </c>
      <c r="U11" s="165"/>
      <c r="V11" s="165"/>
      <c r="W11" s="165"/>
      <c r="X11" s="165" t="e">
        <f>(FF11+FC11+#REF!+KP11)/4000*L11*(C11+D11+E11+I11)</f>
        <v>#REF!</v>
      </c>
      <c r="Y11" s="484"/>
      <c r="Z11" s="484"/>
      <c r="AA11" s="484"/>
      <c r="AB11" s="484"/>
      <c r="AC11" s="150">
        <f t="shared" si="7"/>
        <v>0</v>
      </c>
      <c r="AD11" s="150"/>
      <c r="AE11" s="150">
        <f t="shared" si="4"/>
        <v>0</v>
      </c>
      <c r="AF11" s="161"/>
      <c r="AG11" s="143"/>
      <c r="AH11" s="154"/>
      <c r="AI11" s="335">
        <v>30</v>
      </c>
      <c r="AJ11" s="336">
        <v>250</v>
      </c>
      <c r="AK11" s="336"/>
      <c r="AL11" s="337" t="s">
        <v>545</v>
      </c>
      <c r="AM11" s="140"/>
      <c r="AN11" s="154"/>
      <c r="AO11" s="154"/>
      <c r="AP11" s="220"/>
      <c r="AQ11" s="145"/>
      <c r="AR11" s="154"/>
      <c r="AS11" s="154"/>
      <c r="AT11" s="220"/>
      <c r="AU11" s="140"/>
      <c r="AV11" s="277"/>
      <c r="AW11" s="277"/>
      <c r="AX11" s="277"/>
      <c r="AY11" s="140"/>
      <c r="AZ11" s="277"/>
      <c r="BA11" s="277"/>
      <c r="BB11" s="277"/>
      <c r="BC11" s="140"/>
      <c r="BD11" s="277"/>
      <c r="BE11" s="277"/>
      <c r="BF11" s="277"/>
      <c r="BG11" s="140"/>
      <c r="BH11" s="277"/>
      <c r="BI11" s="277"/>
      <c r="BJ11" s="277"/>
      <c r="BK11" s="140"/>
      <c r="BL11" s="277"/>
      <c r="BM11" s="277"/>
      <c r="BN11" s="277"/>
      <c r="BO11" s="140"/>
      <c r="BP11" s="277"/>
      <c r="BQ11" s="277"/>
      <c r="BR11" s="277"/>
      <c r="BS11" s="140"/>
      <c r="BT11" s="277"/>
      <c r="BU11" s="277"/>
      <c r="BV11" s="277"/>
      <c r="BW11" s="140"/>
      <c r="BX11" s="154"/>
      <c r="BY11" s="154"/>
      <c r="BZ11" s="220"/>
      <c r="CA11" s="140"/>
      <c r="CB11" s="154"/>
      <c r="CC11" s="154"/>
      <c r="CD11" s="220"/>
      <c r="CE11" s="140"/>
      <c r="CF11" s="271"/>
      <c r="CG11" s="271"/>
      <c r="CH11" s="271"/>
      <c r="CI11" s="140"/>
      <c r="CJ11" s="154"/>
      <c r="CK11" s="154"/>
      <c r="CL11" s="154"/>
      <c r="CM11" s="140"/>
      <c r="CN11" s="271"/>
      <c r="CO11" s="271"/>
      <c r="CP11" s="271"/>
      <c r="CQ11" s="140"/>
      <c r="CR11" s="154"/>
      <c r="CS11" s="154"/>
      <c r="CT11" s="154"/>
      <c r="CU11" s="140"/>
      <c r="CV11" s="154"/>
      <c r="CW11" s="154"/>
      <c r="CX11" s="220"/>
      <c r="CY11" s="140"/>
      <c r="CZ11" s="154"/>
      <c r="DA11" s="154"/>
      <c r="DB11" s="220"/>
      <c r="DC11" s="140"/>
      <c r="DD11" s="146"/>
      <c r="DE11" s="146"/>
      <c r="DF11" s="146"/>
      <c r="DG11" s="140"/>
      <c r="DH11" s="146"/>
      <c r="DI11" s="146"/>
      <c r="DJ11" s="146"/>
      <c r="DK11" s="146"/>
      <c r="DL11" s="146"/>
      <c r="DM11" s="146"/>
      <c r="DN11" s="146"/>
      <c r="DO11" s="146"/>
      <c r="DP11" s="146"/>
      <c r="DQ11" s="146"/>
      <c r="DR11" s="146"/>
      <c r="DS11" s="140"/>
      <c r="DT11" s="154"/>
      <c r="DU11" s="154"/>
      <c r="DV11" s="154"/>
      <c r="DW11" s="140"/>
      <c r="DX11" s="220"/>
      <c r="DY11" s="220"/>
      <c r="DZ11" s="220"/>
      <c r="EA11" s="140"/>
      <c r="EB11" s="220"/>
      <c r="EC11" s="220"/>
      <c r="ED11" s="220"/>
      <c r="EE11" s="140"/>
      <c r="EF11" s="154"/>
      <c r="EG11" s="154"/>
      <c r="EH11" s="154"/>
      <c r="EI11" s="140"/>
      <c r="EJ11" s="154"/>
      <c r="EK11" s="154"/>
      <c r="EL11" s="154"/>
      <c r="EM11" s="140"/>
      <c r="EN11" s="222"/>
      <c r="EO11" s="222"/>
      <c r="EP11" s="222"/>
      <c r="EQ11" s="140"/>
      <c r="ER11" s="222"/>
      <c r="ES11" s="222"/>
      <c r="ET11" s="222"/>
      <c r="EU11" s="140"/>
      <c r="EV11" s="222"/>
      <c r="EW11" s="222"/>
      <c r="EX11" s="222"/>
      <c r="EY11" s="272"/>
      <c r="EZ11" s="222"/>
      <c r="FA11" s="222"/>
      <c r="FB11" s="222"/>
      <c r="FC11" s="273"/>
      <c r="FD11" s="223"/>
      <c r="FE11" s="223"/>
      <c r="FF11" s="276"/>
      <c r="FG11" s="156"/>
      <c r="FH11" s="156"/>
      <c r="FI11" s="156"/>
      <c r="FJ11" s="140"/>
      <c r="FK11" s="277"/>
      <c r="FL11" s="277"/>
      <c r="FM11" s="277"/>
      <c r="FN11" s="140"/>
      <c r="FO11" s="277"/>
      <c r="FP11" s="277"/>
      <c r="FQ11" s="277"/>
      <c r="FR11" s="280"/>
      <c r="FS11" s="277"/>
      <c r="FT11" s="277"/>
      <c r="FU11" s="277"/>
      <c r="FV11" s="277"/>
      <c r="FW11" s="277"/>
      <c r="FX11" s="277"/>
      <c r="FY11" s="277"/>
      <c r="FZ11" s="277"/>
      <c r="GA11" s="277"/>
      <c r="GB11" s="277"/>
      <c r="GC11" s="277"/>
      <c r="GD11" s="277"/>
      <c r="GE11" s="277"/>
      <c r="GF11" s="277"/>
      <c r="GG11" s="277"/>
      <c r="GH11" s="277"/>
      <c r="GI11" s="277"/>
      <c r="GJ11" s="277"/>
      <c r="GK11" s="277"/>
      <c r="GL11" s="277"/>
      <c r="GM11" s="277"/>
      <c r="GN11" s="277"/>
      <c r="GO11" s="277"/>
      <c r="GP11" s="277"/>
      <c r="GQ11" s="277"/>
      <c r="GR11" s="277"/>
      <c r="GS11" s="277"/>
      <c r="GT11" s="277"/>
      <c r="GU11" s="277"/>
      <c r="GV11" s="277"/>
      <c r="GW11" s="277"/>
      <c r="GX11" s="277"/>
      <c r="GY11" s="277"/>
      <c r="GZ11" s="277"/>
      <c r="HA11" s="277"/>
      <c r="HB11" s="277"/>
      <c r="HC11" s="277"/>
      <c r="HD11" s="277"/>
      <c r="HE11" s="277"/>
      <c r="HF11" s="140"/>
      <c r="HG11" s="277"/>
      <c r="HH11" s="277"/>
      <c r="HI11" s="277"/>
      <c r="HJ11" s="140"/>
      <c r="HK11" s="277"/>
      <c r="HL11" s="277"/>
      <c r="HM11" s="277"/>
      <c r="HN11" s="140"/>
      <c r="HO11" s="277"/>
      <c r="HP11" s="277"/>
      <c r="HQ11" s="277"/>
      <c r="HR11" s="277"/>
      <c r="HS11" s="277"/>
      <c r="HT11" s="277"/>
      <c r="HU11" s="277"/>
      <c r="HV11" s="277"/>
      <c r="HW11" s="277"/>
      <c r="HX11" s="277"/>
      <c r="HY11" s="277"/>
      <c r="HZ11" s="140"/>
      <c r="IA11" s="277"/>
      <c r="IB11" s="277"/>
      <c r="IC11" s="277"/>
      <c r="ID11" s="140"/>
      <c r="IE11" s="277"/>
      <c r="IF11" s="277"/>
      <c r="IG11" s="277"/>
      <c r="IH11" s="140"/>
      <c r="II11" s="277"/>
      <c r="IJ11" s="277"/>
      <c r="IK11" s="277"/>
      <c r="IL11" s="140"/>
      <c r="IM11" s="277"/>
      <c r="IN11" s="277"/>
      <c r="IO11" s="277"/>
      <c r="IP11" s="277"/>
      <c r="IQ11" s="277"/>
      <c r="IR11" s="277"/>
      <c r="IS11" s="277"/>
      <c r="IT11" s="277"/>
      <c r="IU11" s="277"/>
      <c r="IV11" s="277"/>
      <c r="IW11" s="277"/>
      <c r="IX11" s="140"/>
      <c r="IY11" s="277"/>
      <c r="IZ11" s="277"/>
      <c r="JA11" s="277"/>
      <c r="JB11" s="140"/>
      <c r="JC11" s="277"/>
      <c r="JD11" s="277"/>
      <c r="JE11" s="277"/>
      <c r="JF11" s="140"/>
      <c r="JG11" s="277"/>
      <c r="JH11" s="277"/>
      <c r="JI11" s="140"/>
      <c r="JJ11" s="277"/>
      <c r="JK11" s="277"/>
      <c r="JL11" s="140"/>
      <c r="JM11" s="277"/>
      <c r="JN11" s="277"/>
      <c r="JO11" s="140"/>
      <c r="JP11" s="277"/>
      <c r="JQ11" s="277"/>
      <c r="JR11" s="277"/>
      <c r="JS11" s="277"/>
      <c r="JT11" s="277"/>
      <c r="JU11" s="277"/>
      <c r="JV11" s="277"/>
      <c r="JW11" s="277"/>
      <c r="JX11" s="277"/>
      <c r="JY11" s="277"/>
      <c r="JZ11" s="277"/>
      <c r="KA11" s="277"/>
      <c r="KB11" s="277"/>
      <c r="KC11" s="277"/>
      <c r="KD11" s="277"/>
      <c r="KE11" s="277"/>
      <c r="KF11" s="277"/>
      <c r="KG11" s="277"/>
      <c r="KH11" s="277"/>
      <c r="KI11" s="277"/>
      <c r="KJ11" s="277"/>
      <c r="KK11" s="277"/>
      <c r="KL11" s="277"/>
      <c r="KM11" s="277"/>
      <c r="KN11" s="277"/>
      <c r="KO11" s="277"/>
      <c r="KP11" s="274"/>
      <c r="KQ11" s="253"/>
      <c r="KR11" s="253"/>
      <c r="KY11" s="141">
        <f t="shared" si="5"/>
        <v>0</v>
      </c>
      <c r="KZ11" s="141">
        <f t="shared" si="6"/>
        <v>0</v>
      </c>
    </row>
    <row r="12" spans="1:319" ht="38.25" customHeight="1" x14ac:dyDescent="0.55000000000000004">
      <c r="B12" s="314" t="s">
        <v>373</v>
      </c>
      <c r="C12" s="218"/>
      <c r="D12" s="218"/>
      <c r="E12" s="218"/>
      <c r="F12" s="218"/>
      <c r="G12" s="218"/>
      <c r="H12" s="218"/>
      <c r="I12" s="162"/>
      <c r="J12" s="142"/>
      <c r="K12" s="142"/>
      <c r="L12" s="268">
        <f t="shared" si="0"/>
        <v>7000</v>
      </c>
      <c r="M12" s="164">
        <f t="shared" si="1"/>
        <v>0</v>
      </c>
      <c r="N12" s="397"/>
      <c r="O12" s="165">
        <f t="shared" si="2"/>
        <v>0</v>
      </c>
      <c r="P12" s="165"/>
      <c r="Q12" s="165"/>
      <c r="R12" s="165" t="e">
        <f>(AM12+AU12+AY12+BC12+BG12+BK12+BO12+BS12+BW12+CA12+CE12+CI12+CM12+CQ12+CU12+CY12+DC12+DG12+DS12+DW12+EA12+EE12+EI12+EM12+EQ12+EU12+#REF!+#REF!+FJ12+FN12+#REF!+#REF!+HF12+#REF!+HJ12+HN12+HZ12+ID12+IH12+IL12+IX12+JB12+JF12+JI12+JL12+JO12)/1000*L12*(C12+D12+E12+I12)</f>
        <v>#REF!</v>
      </c>
      <c r="S12" s="165"/>
      <c r="T12" s="165">
        <f t="shared" si="3"/>
        <v>0</v>
      </c>
      <c r="U12" s="165"/>
      <c r="V12" s="165"/>
      <c r="W12" s="165"/>
      <c r="X12" s="165" t="e">
        <f>(FF12+FC12+#REF!+KP12)/4000*L12*(C12+D12+E12+I12)</f>
        <v>#REF!</v>
      </c>
      <c r="Y12" s="484"/>
      <c r="Z12" s="484"/>
      <c r="AA12" s="484"/>
      <c r="AB12" s="484"/>
      <c r="AC12" s="150">
        <f t="shared" si="7"/>
        <v>0</v>
      </c>
      <c r="AD12" s="150"/>
      <c r="AE12" s="150">
        <f t="shared" si="4"/>
        <v>0</v>
      </c>
      <c r="AF12" s="161"/>
      <c r="AG12" s="143"/>
      <c r="AH12" s="154"/>
      <c r="AI12" s="144"/>
      <c r="AJ12" s="154"/>
      <c r="AK12" s="154"/>
      <c r="AL12" s="220"/>
      <c r="AM12" s="140"/>
      <c r="AN12" s="154"/>
      <c r="AO12" s="154"/>
      <c r="AP12" s="220"/>
      <c r="AQ12" s="145"/>
      <c r="AR12" s="154"/>
      <c r="AS12" s="154"/>
      <c r="AT12" s="220"/>
      <c r="AU12" s="140"/>
      <c r="AV12" s="277"/>
      <c r="AW12" s="277"/>
      <c r="AX12" s="277"/>
      <c r="AY12" s="140"/>
      <c r="AZ12" s="277"/>
      <c r="BA12" s="277"/>
      <c r="BB12" s="277"/>
      <c r="BC12" s="140"/>
      <c r="BD12" s="277"/>
      <c r="BE12" s="277"/>
      <c r="BF12" s="277"/>
      <c r="BG12" s="140"/>
      <c r="BH12" s="277"/>
      <c r="BI12" s="277"/>
      <c r="BJ12" s="277"/>
      <c r="BK12" s="140"/>
      <c r="BL12" s="277"/>
      <c r="BM12" s="277"/>
      <c r="BN12" s="277"/>
      <c r="BO12" s="140"/>
      <c r="BP12" s="277"/>
      <c r="BQ12" s="277"/>
      <c r="BR12" s="277"/>
      <c r="BS12" s="140"/>
      <c r="BT12" s="277"/>
      <c r="BU12" s="277"/>
      <c r="BV12" s="277"/>
      <c r="BW12" s="140"/>
      <c r="BX12" s="154"/>
      <c r="BY12" s="154"/>
      <c r="BZ12" s="220"/>
      <c r="CA12" s="140"/>
      <c r="CB12" s="154"/>
      <c r="CC12" s="154"/>
      <c r="CD12" s="220"/>
      <c r="CE12" s="140"/>
      <c r="CF12" s="271"/>
      <c r="CG12" s="271"/>
      <c r="CH12" s="271"/>
      <c r="CI12" s="140"/>
      <c r="CJ12" s="154"/>
      <c r="CK12" s="154"/>
      <c r="CL12" s="154"/>
      <c r="CM12" s="140"/>
      <c r="CN12" s="271"/>
      <c r="CO12" s="271"/>
      <c r="CP12" s="271"/>
      <c r="CQ12" s="140"/>
      <c r="CR12" s="154"/>
      <c r="CS12" s="154"/>
      <c r="CT12" s="154"/>
      <c r="CU12" s="140"/>
      <c r="CV12" s="154"/>
      <c r="CW12" s="154"/>
      <c r="CX12" s="220"/>
      <c r="CY12" s="140"/>
      <c r="CZ12" s="154"/>
      <c r="DA12" s="154"/>
      <c r="DB12" s="220"/>
      <c r="DC12" s="140"/>
      <c r="DD12" s="146"/>
      <c r="DE12" s="146"/>
      <c r="DF12" s="146"/>
      <c r="DG12" s="140"/>
      <c r="DH12" s="146"/>
      <c r="DI12" s="146"/>
      <c r="DJ12" s="146"/>
      <c r="DK12" s="146"/>
      <c r="DL12" s="146"/>
      <c r="DM12" s="146"/>
      <c r="DN12" s="146"/>
      <c r="DO12" s="146"/>
      <c r="DP12" s="146"/>
      <c r="DQ12" s="146"/>
      <c r="DR12" s="146"/>
      <c r="DS12" s="140"/>
      <c r="DT12" s="154"/>
      <c r="DU12" s="154"/>
      <c r="DV12" s="154"/>
      <c r="DW12" s="140"/>
      <c r="DX12" s="220"/>
      <c r="DY12" s="220"/>
      <c r="DZ12" s="220"/>
      <c r="EA12" s="140"/>
      <c r="EB12" s="220"/>
      <c r="EC12" s="220"/>
      <c r="ED12" s="220"/>
      <c r="EE12" s="140"/>
      <c r="EF12" s="154"/>
      <c r="EG12" s="154"/>
      <c r="EH12" s="154"/>
      <c r="EI12" s="140"/>
      <c r="EJ12" s="154"/>
      <c r="EK12" s="154"/>
      <c r="EL12" s="154"/>
      <c r="EM12" s="140"/>
      <c r="EN12" s="222"/>
      <c r="EO12" s="222"/>
      <c r="EP12" s="222"/>
      <c r="EQ12" s="140"/>
      <c r="ER12" s="222"/>
      <c r="ES12" s="222"/>
      <c r="ET12" s="222"/>
      <c r="EU12" s="140"/>
      <c r="EV12" s="222"/>
      <c r="EW12" s="222"/>
      <c r="EX12" s="222"/>
      <c r="EY12" s="272"/>
      <c r="EZ12" s="222"/>
      <c r="FA12" s="222"/>
      <c r="FB12" s="222"/>
      <c r="FC12" s="273"/>
      <c r="FD12" s="223"/>
      <c r="FE12" s="223"/>
      <c r="FF12" s="276"/>
      <c r="FG12" s="156"/>
      <c r="FH12" s="156"/>
      <c r="FI12" s="156"/>
      <c r="FJ12" s="140"/>
      <c r="FK12" s="277"/>
      <c r="FL12" s="277"/>
      <c r="FM12" s="277"/>
      <c r="FN12" s="140"/>
      <c r="FO12" s="277"/>
      <c r="FP12" s="277"/>
      <c r="FQ12" s="277"/>
      <c r="FR12" s="280"/>
      <c r="FS12" s="277"/>
      <c r="FT12" s="277"/>
      <c r="FU12" s="277"/>
      <c r="FV12" s="277"/>
      <c r="FW12" s="277"/>
      <c r="FX12" s="277"/>
      <c r="FY12" s="277"/>
      <c r="FZ12" s="277"/>
      <c r="GA12" s="277"/>
      <c r="GB12" s="277"/>
      <c r="GC12" s="277"/>
      <c r="GD12" s="277"/>
      <c r="GE12" s="277"/>
      <c r="GF12" s="277"/>
      <c r="GG12" s="277"/>
      <c r="GH12" s="277"/>
      <c r="GI12" s="277"/>
      <c r="GJ12" s="277"/>
      <c r="GK12" s="277"/>
      <c r="GL12" s="277"/>
      <c r="GM12" s="277"/>
      <c r="GN12" s="277"/>
      <c r="GO12" s="277"/>
      <c r="GP12" s="277"/>
      <c r="GQ12" s="277"/>
      <c r="GR12" s="277"/>
      <c r="GS12" s="277"/>
      <c r="GT12" s="277"/>
      <c r="GU12" s="277"/>
      <c r="GV12" s="277"/>
      <c r="GW12" s="277"/>
      <c r="GX12" s="277"/>
      <c r="GY12" s="277"/>
      <c r="GZ12" s="277"/>
      <c r="HA12" s="277"/>
      <c r="HB12" s="277"/>
      <c r="HC12" s="277"/>
      <c r="HD12" s="277"/>
      <c r="HE12" s="277"/>
      <c r="HF12" s="140"/>
      <c r="HG12" s="277"/>
      <c r="HH12" s="277"/>
      <c r="HI12" s="277"/>
      <c r="HJ12" s="140"/>
      <c r="HK12" s="277"/>
      <c r="HL12" s="277"/>
      <c r="HM12" s="277"/>
      <c r="HN12" s="140"/>
      <c r="HO12" s="277"/>
      <c r="HP12" s="277"/>
      <c r="HQ12" s="277"/>
      <c r="HR12" s="277"/>
      <c r="HS12" s="277"/>
      <c r="HT12" s="277"/>
      <c r="HU12" s="277"/>
      <c r="HV12" s="277"/>
      <c r="HW12" s="277"/>
      <c r="HX12" s="277"/>
      <c r="HY12" s="277"/>
      <c r="HZ12" s="140"/>
      <c r="IA12" s="277"/>
      <c r="IB12" s="277"/>
      <c r="IC12" s="277"/>
      <c r="ID12" s="140"/>
      <c r="IE12" s="277"/>
      <c r="IF12" s="277"/>
      <c r="IG12" s="277"/>
      <c r="IH12" s="140"/>
      <c r="II12" s="277"/>
      <c r="IJ12" s="277"/>
      <c r="IK12" s="277"/>
      <c r="IL12" s="140"/>
      <c r="IM12" s="277"/>
      <c r="IN12" s="277"/>
      <c r="IO12" s="277"/>
      <c r="IP12" s="277"/>
      <c r="IQ12" s="277"/>
      <c r="IR12" s="277"/>
      <c r="IS12" s="277"/>
      <c r="IT12" s="277"/>
      <c r="IU12" s="277"/>
      <c r="IV12" s="277"/>
      <c r="IW12" s="277"/>
      <c r="IX12" s="140"/>
      <c r="IY12" s="277"/>
      <c r="IZ12" s="277"/>
      <c r="JA12" s="277"/>
      <c r="JB12" s="140"/>
      <c r="JC12" s="277"/>
      <c r="JD12" s="277"/>
      <c r="JE12" s="277"/>
      <c r="JF12" s="140"/>
      <c r="JG12" s="277"/>
      <c r="JH12" s="277"/>
      <c r="JI12" s="140"/>
      <c r="JJ12" s="277"/>
      <c r="JK12" s="277"/>
      <c r="JL12" s="140"/>
      <c r="JM12" s="277"/>
      <c r="JN12" s="277"/>
      <c r="JO12" s="140"/>
      <c r="JP12" s="277"/>
      <c r="JQ12" s="277"/>
      <c r="JR12" s="277"/>
      <c r="JS12" s="277"/>
      <c r="JT12" s="277"/>
      <c r="JU12" s="277"/>
      <c r="JV12" s="277"/>
      <c r="JW12" s="277"/>
      <c r="JX12" s="277"/>
      <c r="JY12" s="277"/>
      <c r="JZ12" s="277"/>
      <c r="KA12" s="277"/>
      <c r="KB12" s="277"/>
      <c r="KC12" s="277"/>
      <c r="KD12" s="277"/>
      <c r="KE12" s="277"/>
      <c r="KF12" s="277"/>
      <c r="KG12" s="277"/>
      <c r="KH12" s="277"/>
      <c r="KI12" s="277"/>
      <c r="KJ12" s="277"/>
      <c r="KK12" s="277"/>
      <c r="KL12" s="277"/>
      <c r="KM12" s="277"/>
      <c r="KN12" s="277"/>
      <c r="KO12" s="277"/>
      <c r="KP12" s="274"/>
      <c r="KQ12" s="253"/>
      <c r="KR12" s="253"/>
      <c r="KY12" s="141">
        <f t="shared" si="5"/>
        <v>0</v>
      </c>
      <c r="KZ12" s="141">
        <f t="shared" si="6"/>
        <v>0</v>
      </c>
    </row>
    <row r="13" spans="1:319" ht="38.25" customHeight="1" x14ac:dyDescent="0.55000000000000004">
      <c r="B13" s="314" t="s">
        <v>375</v>
      </c>
      <c r="C13" s="218"/>
      <c r="D13" s="218"/>
      <c r="E13" s="218"/>
      <c r="F13" s="218"/>
      <c r="G13" s="218"/>
      <c r="H13" s="218"/>
      <c r="I13" s="162"/>
      <c r="J13" s="142"/>
      <c r="K13" s="142"/>
      <c r="L13" s="268">
        <f t="shared" si="0"/>
        <v>7000</v>
      </c>
      <c r="M13" s="164">
        <f t="shared" si="1"/>
        <v>0</v>
      </c>
      <c r="N13" s="397"/>
      <c r="O13" s="165">
        <f t="shared" si="2"/>
        <v>0</v>
      </c>
      <c r="P13" s="165"/>
      <c r="Q13" s="165"/>
      <c r="R13" s="165" t="e">
        <f>(AM13+AU13+AY13+BC13+BG13+BK13+BO13+BS13+BW13+CA13+CE13+CI13+CM13+CQ13+CU13+CY13+DC13+DG13+DS13+DW13+EA13+EE13+EI13+EM13+EQ13+EU13+#REF!+#REF!+FJ13+FN13+#REF!+#REF!+HF13+#REF!+HJ13+HN13+HZ13+ID13+IH13+IL13+IX13+JB13+JF13+JI13+JL13+JO13)/1000*L13*(C13+D13+E13+I13)</f>
        <v>#REF!</v>
      </c>
      <c r="S13" s="165"/>
      <c r="T13" s="165">
        <f t="shared" si="3"/>
        <v>0</v>
      </c>
      <c r="U13" s="165"/>
      <c r="V13" s="165"/>
      <c r="W13" s="165"/>
      <c r="X13" s="165" t="e">
        <f>(FF13+FC13+#REF!+KP13)/4000*L13*(C13+D13+E13+I13)</f>
        <v>#REF!</v>
      </c>
      <c r="Y13" s="484"/>
      <c r="Z13" s="484"/>
      <c r="AA13" s="484"/>
      <c r="AB13" s="484"/>
      <c r="AC13" s="150">
        <f t="shared" si="7"/>
        <v>0</v>
      </c>
      <c r="AD13" s="150"/>
      <c r="AE13" s="150">
        <f t="shared" si="4"/>
        <v>0</v>
      </c>
      <c r="AF13" s="161"/>
      <c r="AG13" s="143"/>
      <c r="AH13" s="154"/>
      <c r="AI13" s="144"/>
      <c r="AJ13" s="154"/>
      <c r="AK13" s="154"/>
      <c r="AL13" s="220"/>
      <c r="AM13" s="140"/>
      <c r="AN13" s="154"/>
      <c r="AO13" s="154"/>
      <c r="AP13" s="220"/>
      <c r="AQ13" s="145"/>
      <c r="AR13" s="154"/>
      <c r="AS13" s="154"/>
      <c r="AT13" s="220"/>
      <c r="AU13" s="140"/>
      <c r="AV13" s="277"/>
      <c r="AW13" s="277"/>
      <c r="AX13" s="277"/>
      <c r="AY13" s="140"/>
      <c r="AZ13" s="277"/>
      <c r="BA13" s="277"/>
      <c r="BB13" s="277"/>
      <c r="BC13" s="140"/>
      <c r="BD13" s="277"/>
      <c r="BE13" s="277"/>
      <c r="BF13" s="277"/>
      <c r="BG13" s="140"/>
      <c r="BH13" s="277"/>
      <c r="BI13" s="277"/>
      <c r="BJ13" s="277"/>
      <c r="BK13" s="140"/>
      <c r="BL13" s="277"/>
      <c r="BM13" s="277"/>
      <c r="BN13" s="277"/>
      <c r="BO13" s="140"/>
      <c r="BP13" s="277"/>
      <c r="BQ13" s="277"/>
      <c r="BR13" s="277"/>
      <c r="BS13" s="140"/>
      <c r="BT13" s="277"/>
      <c r="BU13" s="277"/>
      <c r="BV13" s="277"/>
      <c r="BW13" s="140"/>
      <c r="BX13" s="154"/>
      <c r="BY13" s="154"/>
      <c r="BZ13" s="220"/>
      <c r="CA13" s="140"/>
      <c r="CB13" s="154"/>
      <c r="CC13" s="154"/>
      <c r="CD13" s="220"/>
      <c r="CE13" s="140"/>
      <c r="CF13" s="271"/>
      <c r="CG13" s="271"/>
      <c r="CH13" s="271"/>
      <c r="CI13" s="140"/>
      <c r="CJ13" s="154"/>
      <c r="CK13" s="154"/>
      <c r="CL13" s="154"/>
      <c r="CM13" s="140"/>
      <c r="CN13" s="271"/>
      <c r="CO13" s="271"/>
      <c r="CP13" s="271"/>
      <c r="CQ13" s="140"/>
      <c r="CR13" s="154"/>
      <c r="CS13" s="154"/>
      <c r="CT13" s="154"/>
      <c r="CU13" s="140"/>
      <c r="CV13" s="154"/>
      <c r="CW13" s="154"/>
      <c r="CX13" s="220"/>
      <c r="CY13" s="140"/>
      <c r="CZ13" s="154"/>
      <c r="DA13" s="154"/>
      <c r="DB13" s="220"/>
      <c r="DC13" s="140"/>
      <c r="DD13" s="146"/>
      <c r="DE13" s="146"/>
      <c r="DF13" s="146"/>
      <c r="DG13" s="140"/>
      <c r="DH13" s="146"/>
      <c r="DI13" s="146"/>
      <c r="DJ13" s="146"/>
      <c r="DK13" s="146"/>
      <c r="DL13" s="146"/>
      <c r="DM13" s="146"/>
      <c r="DN13" s="146"/>
      <c r="DO13" s="146"/>
      <c r="DP13" s="146"/>
      <c r="DQ13" s="146"/>
      <c r="DR13" s="146"/>
      <c r="DS13" s="140"/>
      <c r="DT13" s="154"/>
      <c r="DU13" s="154"/>
      <c r="DV13" s="154"/>
      <c r="DW13" s="140"/>
      <c r="DX13" s="220"/>
      <c r="DY13" s="220"/>
      <c r="DZ13" s="220"/>
      <c r="EA13" s="140"/>
      <c r="EB13" s="220"/>
      <c r="EC13" s="220"/>
      <c r="ED13" s="220"/>
      <c r="EE13" s="140"/>
      <c r="EF13" s="154"/>
      <c r="EG13" s="154"/>
      <c r="EH13" s="154"/>
      <c r="EI13" s="140"/>
      <c r="EJ13" s="154"/>
      <c r="EK13" s="154"/>
      <c r="EL13" s="154"/>
      <c r="EM13" s="140"/>
      <c r="EN13" s="222"/>
      <c r="EO13" s="222"/>
      <c r="EP13" s="222"/>
      <c r="EQ13" s="140"/>
      <c r="ER13" s="222"/>
      <c r="ES13" s="222"/>
      <c r="ET13" s="222"/>
      <c r="EU13" s="140"/>
      <c r="EV13" s="222"/>
      <c r="EW13" s="222"/>
      <c r="EX13" s="222"/>
      <c r="EY13" s="272"/>
      <c r="EZ13" s="222"/>
      <c r="FA13" s="222"/>
      <c r="FB13" s="222"/>
      <c r="FC13" s="273"/>
      <c r="FD13" s="223"/>
      <c r="FE13" s="223"/>
      <c r="FF13" s="276"/>
      <c r="FG13" s="156"/>
      <c r="FH13" s="156"/>
      <c r="FI13" s="156"/>
      <c r="FJ13" s="140"/>
      <c r="FK13" s="277"/>
      <c r="FL13" s="277"/>
      <c r="FM13" s="277"/>
      <c r="FN13" s="140"/>
      <c r="FO13" s="277"/>
      <c r="FP13" s="277"/>
      <c r="FQ13" s="277"/>
      <c r="FR13" s="280"/>
      <c r="FS13" s="277"/>
      <c r="FT13" s="277"/>
      <c r="FU13" s="277"/>
      <c r="FV13" s="277"/>
      <c r="FW13" s="277"/>
      <c r="FX13" s="277"/>
      <c r="FY13" s="277"/>
      <c r="FZ13" s="277"/>
      <c r="GA13" s="277"/>
      <c r="GB13" s="277"/>
      <c r="GC13" s="277"/>
      <c r="GD13" s="277"/>
      <c r="GE13" s="277"/>
      <c r="GF13" s="277"/>
      <c r="GG13" s="277"/>
      <c r="GH13" s="277"/>
      <c r="GI13" s="277"/>
      <c r="GJ13" s="277"/>
      <c r="GK13" s="277"/>
      <c r="GL13" s="277"/>
      <c r="GM13" s="277"/>
      <c r="GN13" s="277"/>
      <c r="GO13" s="277"/>
      <c r="GP13" s="277"/>
      <c r="GQ13" s="277"/>
      <c r="GR13" s="277"/>
      <c r="GS13" s="277"/>
      <c r="GT13" s="277"/>
      <c r="GU13" s="277"/>
      <c r="GV13" s="277"/>
      <c r="GW13" s="277"/>
      <c r="GX13" s="277"/>
      <c r="GY13" s="277"/>
      <c r="GZ13" s="277"/>
      <c r="HA13" s="277"/>
      <c r="HB13" s="277"/>
      <c r="HC13" s="277"/>
      <c r="HD13" s="277"/>
      <c r="HE13" s="277"/>
      <c r="HF13" s="140"/>
      <c r="HG13" s="277"/>
      <c r="HH13" s="277"/>
      <c r="HI13" s="277"/>
      <c r="HJ13" s="140"/>
      <c r="HK13" s="277"/>
      <c r="HL13" s="277"/>
      <c r="HM13" s="277"/>
      <c r="HN13" s="140"/>
      <c r="HO13" s="277"/>
      <c r="HP13" s="277"/>
      <c r="HQ13" s="277"/>
      <c r="HR13" s="277"/>
      <c r="HS13" s="277"/>
      <c r="HT13" s="277"/>
      <c r="HU13" s="277"/>
      <c r="HV13" s="277"/>
      <c r="HW13" s="277"/>
      <c r="HX13" s="277"/>
      <c r="HY13" s="277"/>
      <c r="HZ13" s="140"/>
      <c r="IA13" s="277"/>
      <c r="IB13" s="277"/>
      <c r="IC13" s="277"/>
      <c r="ID13" s="140"/>
      <c r="IE13" s="277"/>
      <c r="IF13" s="277"/>
      <c r="IG13" s="277"/>
      <c r="IH13" s="140"/>
      <c r="II13" s="277"/>
      <c r="IJ13" s="277"/>
      <c r="IK13" s="277"/>
      <c r="IL13" s="140"/>
      <c r="IM13" s="277"/>
      <c r="IN13" s="277"/>
      <c r="IO13" s="277"/>
      <c r="IP13" s="277"/>
      <c r="IQ13" s="277"/>
      <c r="IR13" s="277"/>
      <c r="IS13" s="277"/>
      <c r="IT13" s="277"/>
      <c r="IU13" s="277"/>
      <c r="IV13" s="277"/>
      <c r="IW13" s="277"/>
      <c r="IX13" s="140"/>
      <c r="IY13" s="277"/>
      <c r="IZ13" s="277"/>
      <c r="JA13" s="277"/>
      <c r="JB13" s="140"/>
      <c r="JC13" s="277"/>
      <c r="JD13" s="277"/>
      <c r="JE13" s="277"/>
      <c r="JF13" s="140"/>
      <c r="JG13" s="277"/>
      <c r="JH13" s="277"/>
      <c r="JI13" s="140"/>
      <c r="JJ13" s="277"/>
      <c r="JK13" s="277"/>
      <c r="JL13" s="140"/>
      <c r="JM13" s="277"/>
      <c r="JN13" s="277"/>
      <c r="JO13" s="140"/>
      <c r="JP13" s="277"/>
      <c r="JQ13" s="277"/>
      <c r="JR13" s="277"/>
      <c r="JS13" s="277"/>
      <c r="JT13" s="277"/>
      <c r="JU13" s="277"/>
      <c r="JV13" s="277"/>
      <c r="JW13" s="277"/>
      <c r="JX13" s="277"/>
      <c r="JY13" s="277"/>
      <c r="JZ13" s="277"/>
      <c r="KA13" s="277"/>
      <c r="KB13" s="277"/>
      <c r="KC13" s="277"/>
      <c r="KD13" s="277"/>
      <c r="KE13" s="277"/>
      <c r="KF13" s="277"/>
      <c r="KG13" s="277"/>
      <c r="KH13" s="277"/>
      <c r="KI13" s="277"/>
      <c r="KJ13" s="277"/>
      <c r="KK13" s="277"/>
      <c r="KL13" s="277"/>
      <c r="KM13" s="277"/>
      <c r="KN13" s="277"/>
      <c r="KO13" s="277"/>
      <c r="KP13" s="274"/>
      <c r="KQ13" s="253"/>
      <c r="KR13" s="253"/>
      <c r="KY13" s="141">
        <f t="shared" si="5"/>
        <v>0</v>
      </c>
      <c r="KZ13" s="141">
        <f t="shared" si="6"/>
        <v>0</v>
      </c>
    </row>
    <row r="14" spans="1:319" ht="38.25" customHeight="1" x14ac:dyDescent="0.55000000000000004">
      <c r="B14" s="314" t="s">
        <v>374</v>
      </c>
      <c r="C14" s="218"/>
      <c r="D14" s="218"/>
      <c r="E14" s="218"/>
      <c r="F14" s="218"/>
      <c r="G14" s="218"/>
      <c r="H14" s="218"/>
      <c r="I14" s="162"/>
      <c r="J14" s="142"/>
      <c r="K14" s="142"/>
      <c r="L14" s="268">
        <f t="shared" si="0"/>
        <v>7000</v>
      </c>
      <c r="M14" s="164">
        <f t="shared" si="1"/>
        <v>0</v>
      </c>
      <c r="N14" s="397"/>
      <c r="O14" s="165">
        <f t="shared" si="2"/>
        <v>0</v>
      </c>
      <c r="P14" s="165"/>
      <c r="Q14" s="165"/>
      <c r="R14" s="165" t="e">
        <f>(AM14+AU14+AY14+BC14+BG14+BK14+BO14+BS14+BW14+CA14+CE14+CI14+CM14+CQ14+CU14+CY14+DC14+DG14+DS14+DW14+EA14+EE14+EI14+EM14+EQ14+EU14+#REF!+#REF!+FJ14+FN14+#REF!+#REF!+HF14+#REF!+HJ14+HN14+HZ14+ID14+IH14+IL14+IX14+JB14+JF14+JI14+JL14+JO14)/1000*L14*(C14+D14+E14+I14)</f>
        <v>#REF!</v>
      </c>
      <c r="S14" s="165"/>
      <c r="T14" s="165">
        <f t="shared" si="3"/>
        <v>0</v>
      </c>
      <c r="U14" s="165"/>
      <c r="V14" s="165"/>
      <c r="W14" s="165"/>
      <c r="X14" s="165" t="e">
        <f>(FF14+FC14+#REF!+KP14)/4000*L14*(C14+D14+E14+I14)</f>
        <v>#REF!</v>
      </c>
      <c r="Y14" s="484"/>
      <c r="Z14" s="484"/>
      <c r="AA14" s="484"/>
      <c r="AB14" s="484"/>
      <c r="AC14" s="150">
        <f t="shared" si="7"/>
        <v>0</v>
      </c>
      <c r="AD14" s="150"/>
      <c r="AE14" s="150">
        <f t="shared" si="4"/>
        <v>0</v>
      </c>
      <c r="AF14" s="161"/>
      <c r="AG14" s="143"/>
      <c r="AH14" s="154"/>
      <c r="AI14" s="144"/>
      <c r="AJ14" s="154"/>
      <c r="AK14" s="154"/>
      <c r="AL14" s="220"/>
      <c r="AM14" s="140"/>
      <c r="AN14" s="154"/>
      <c r="AO14" s="154"/>
      <c r="AP14" s="220"/>
      <c r="AQ14" s="145"/>
      <c r="AR14" s="154"/>
      <c r="AS14" s="154"/>
      <c r="AT14" s="220"/>
      <c r="AU14" s="140"/>
      <c r="AV14" s="277"/>
      <c r="AW14" s="277"/>
      <c r="AX14" s="277"/>
      <c r="AY14" s="140"/>
      <c r="AZ14" s="277"/>
      <c r="BA14" s="277"/>
      <c r="BB14" s="277"/>
      <c r="BC14" s="140"/>
      <c r="BD14" s="277"/>
      <c r="BE14" s="277"/>
      <c r="BF14" s="277"/>
      <c r="BG14" s="140"/>
      <c r="BH14" s="277"/>
      <c r="BI14" s="277"/>
      <c r="BJ14" s="277"/>
      <c r="BK14" s="140"/>
      <c r="BL14" s="277"/>
      <c r="BM14" s="277"/>
      <c r="BN14" s="277"/>
      <c r="BO14" s="140"/>
      <c r="BP14" s="277"/>
      <c r="BQ14" s="277"/>
      <c r="BR14" s="277"/>
      <c r="BS14" s="140"/>
      <c r="BT14" s="277"/>
      <c r="BU14" s="277"/>
      <c r="BV14" s="277"/>
      <c r="BW14" s="140"/>
      <c r="BX14" s="154"/>
      <c r="BY14" s="154"/>
      <c r="BZ14" s="220"/>
      <c r="CA14" s="140"/>
      <c r="CB14" s="154"/>
      <c r="CC14" s="154"/>
      <c r="CD14" s="220"/>
      <c r="CE14" s="140"/>
      <c r="CF14" s="271"/>
      <c r="CG14" s="271"/>
      <c r="CH14" s="271"/>
      <c r="CI14" s="140"/>
      <c r="CJ14" s="154"/>
      <c r="CK14" s="154"/>
      <c r="CL14" s="154"/>
      <c r="CM14" s="140"/>
      <c r="CN14" s="271"/>
      <c r="CO14" s="271"/>
      <c r="CP14" s="271"/>
      <c r="CQ14" s="140"/>
      <c r="CR14" s="154"/>
      <c r="CS14" s="154"/>
      <c r="CT14" s="154"/>
      <c r="CU14" s="140"/>
      <c r="CV14" s="154"/>
      <c r="CW14" s="154"/>
      <c r="CX14" s="220"/>
      <c r="CY14" s="140"/>
      <c r="CZ14" s="154"/>
      <c r="DA14" s="154"/>
      <c r="DB14" s="220"/>
      <c r="DC14" s="140"/>
      <c r="DD14" s="146"/>
      <c r="DE14" s="146"/>
      <c r="DF14" s="146"/>
      <c r="DG14" s="140"/>
      <c r="DH14" s="146"/>
      <c r="DI14" s="146"/>
      <c r="DJ14" s="146"/>
      <c r="DK14" s="146"/>
      <c r="DL14" s="146"/>
      <c r="DM14" s="146"/>
      <c r="DN14" s="146"/>
      <c r="DO14" s="146"/>
      <c r="DP14" s="146"/>
      <c r="DQ14" s="146"/>
      <c r="DR14" s="146"/>
      <c r="DS14" s="140"/>
      <c r="DT14" s="154"/>
      <c r="DU14" s="154"/>
      <c r="DV14" s="154"/>
      <c r="DW14" s="140"/>
      <c r="DX14" s="220"/>
      <c r="DY14" s="220"/>
      <c r="DZ14" s="220"/>
      <c r="EA14" s="140"/>
      <c r="EB14" s="220"/>
      <c r="EC14" s="220"/>
      <c r="ED14" s="220"/>
      <c r="EE14" s="140"/>
      <c r="EF14" s="154"/>
      <c r="EG14" s="154"/>
      <c r="EH14" s="154"/>
      <c r="EI14" s="140"/>
      <c r="EJ14" s="154"/>
      <c r="EK14" s="154"/>
      <c r="EL14" s="154"/>
      <c r="EM14" s="140"/>
      <c r="EN14" s="222"/>
      <c r="EO14" s="222"/>
      <c r="EP14" s="222"/>
      <c r="EQ14" s="140"/>
      <c r="ER14" s="222"/>
      <c r="ES14" s="222"/>
      <c r="ET14" s="222"/>
      <c r="EU14" s="140"/>
      <c r="EV14" s="222"/>
      <c r="EW14" s="222"/>
      <c r="EX14" s="222"/>
      <c r="EY14" s="272"/>
      <c r="EZ14" s="222"/>
      <c r="FA14" s="222"/>
      <c r="FB14" s="222"/>
      <c r="FC14" s="273"/>
      <c r="FD14" s="223"/>
      <c r="FE14" s="223"/>
      <c r="FF14" s="276"/>
      <c r="FG14" s="156"/>
      <c r="FH14" s="156"/>
      <c r="FI14" s="156"/>
      <c r="FJ14" s="140"/>
      <c r="FK14" s="277"/>
      <c r="FL14" s="277"/>
      <c r="FM14" s="277"/>
      <c r="FN14" s="140"/>
      <c r="FO14" s="277"/>
      <c r="FP14" s="277"/>
      <c r="FQ14" s="277"/>
      <c r="FR14" s="280"/>
      <c r="FS14" s="277"/>
      <c r="FT14" s="277"/>
      <c r="FU14" s="277"/>
      <c r="FV14" s="277"/>
      <c r="FW14" s="277"/>
      <c r="FX14" s="277"/>
      <c r="FY14" s="277"/>
      <c r="FZ14" s="277"/>
      <c r="GA14" s="277"/>
      <c r="GB14" s="277"/>
      <c r="GC14" s="277"/>
      <c r="GD14" s="277"/>
      <c r="GE14" s="277"/>
      <c r="GF14" s="277"/>
      <c r="GG14" s="277"/>
      <c r="GH14" s="277"/>
      <c r="GI14" s="277"/>
      <c r="GJ14" s="277"/>
      <c r="GK14" s="277"/>
      <c r="GL14" s="277"/>
      <c r="GM14" s="277"/>
      <c r="GN14" s="277"/>
      <c r="GO14" s="277"/>
      <c r="GP14" s="277"/>
      <c r="GQ14" s="277"/>
      <c r="GR14" s="277"/>
      <c r="GS14" s="277"/>
      <c r="GT14" s="277"/>
      <c r="GU14" s="277"/>
      <c r="GV14" s="277"/>
      <c r="GW14" s="277"/>
      <c r="GX14" s="277"/>
      <c r="GY14" s="277"/>
      <c r="GZ14" s="277"/>
      <c r="HA14" s="277"/>
      <c r="HB14" s="277"/>
      <c r="HC14" s="277"/>
      <c r="HD14" s="277"/>
      <c r="HE14" s="277"/>
      <c r="HF14" s="140"/>
      <c r="HG14" s="277"/>
      <c r="HH14" s="277"/>
      <c r="HI14" s="277"/>
      <c r="HJ14" s="140"/>
      <c r="HK14" s="277"/>
      <c r="HL14" s="277"/>
      <c r="HM14" s="277"/>
      <c r="HN14" s="140"/>
      <c r="HO14" s="277"/>
      <c r="HP14" s="277"/>
      <c r="HQ14" s="277"/>
      <c r="HR14" s="277"/>
      <c r="HS14" s="277"/>
      <c r="HT14" s="277"/>
      <c r="HU14" s="277"/>
      <c r="HV14" s="277"/>
      <c r="HW14" s="277"/>
      <c r="HX14" s="277"/>
      <c r="HY14" s="277"/>
      <c r="HZ14" s="140"/>
      <c r="IA14" s="277"/>
      <c r="IB14" s="277"/>
      <c r="IC14" s="277"/>
      <c r="ID14" s="140"/>
      <c r="IE14" s="277"/>
      <c r="IF14" s="277"/>
      <c r="IG14" s="277"/>
      <c r="IH14" s="140"/>
      <c r="II14" s="277"/>
      <c r="IJ14" s="277"/>
      <c r="IK14" s="277"/>
      <c r="IL14" s="140"/>
      <c r="IM14" s="277"/>
      <c r="IN14" s="277"/>
      <c r="IO14" s="277"/>
      <c r="IP14" s="277"/>
      <c r="IQ14" s="277"/>
      <c r="IR14" s="277"/>
      <c r="IS14" s="277"/>
      <c r="IT14" s="277"/>
      <c r="IU14" s="277"/>
      <c r="IV14" s="277"/>
      <c r="IW14" s="277"/>
      <c r="IX14" s="140"/>
      <c r="IY14" s="277"/>
      <c r="IZ14" s="277"/>
      <c r="JA14" s="277"/>
      <c r="JB14" s="140"/>
      <c r="JC14" s="277"/>
      <c r="JD14" s="277"/>
      <c r="JE14" s="277"/>
      <c r="JF14" s="140"/>
      <c r="JG14" s="277"/>
      <c r="JH14" s="277"/>
      <c r="JI14" s="140"/>
      <c r="JJ14" s="277"/>
      <c r="JK14" s="277"/>
      <c r="JL14" s="140"/>
      <c r="JM14" s="277"/>
      <c r="JN14" s="277"/>
      <c r="JO14" s="140"/>
      <c r="JP14" s="277"/>
      <c r="JQ14" s="277"/>
      <c r="JR14" s="277"/>
      <c r="JS14" s="277"/>
      <c r="JT14" s="277"/>
      <c r="JU14" s="277"/>
      <c r="JV14" s="277"/>
      <c r="JW14" s="277"/>
      <c r="JX14" s="277"/>
      <c r="JY14" s="277"/>
      <c r="JZ14" s="277"/>
      <c r="KA14" s="277"/>
      <c r="KB14" s="277"/>
      <c r="KC14" s="277"/>
      <c r="KD14" s="277"/>
      <c r="KE14" s="277"/>
      <c r="KF14" s="277"/>
      <c r="KG14" s="277"/>
      <c r="KH14" s="277"/>
      <c r="KI14" s="277"/>
      <c r="KJ14" s="277"/>
      <c r="KK14" s="277"/>
      <c r="KL14" s="277"/>
      <c r="KM14" s="277"/>
      <c r="KN14" s="277"/>
      <c r="KO14" s="277"/>
      <c r="KP14" s="274"/>
      <c r="KQ14" s="253"/>
      <c r="KR14" s="253"/>
      <c r="KY14" s="141">
        <f t="shared" si="5"/>
        <v>0</v>
      </c>
      <c r="KZ14" s="141">
        <f t="shared" si="6"/>
        <v>0</v>
      </c>
    </row>
    <row r="15" spans="1:319" ht="38.25" customHeight="1" x14ac:dyDescent="0.55000000000000004">
      <c r="B15" s="314" t="s">
        <v>376</v>
      </c>
      <c r="C15" s="218"/>
      <c r="D15" s="218"/>
      <c r="E15" s="218"/>
      <c r="F15" s="218"/>
      <c r="G15" s="218"/>
      <c r="H15" s="218"/>
      <c r="I15" s="162"/>
      <c r="J15" s="142"/>
      <c r="K15" s="142"/>
      <c r="L15" s="268">
        <f t="shared" si="0"/>
        <v>7000</v>
      </c>
      <c r="M15" s="164">
        <f t="shared" si="1"/>
        <v>0</v>
      </c>
      <c r="N15" s="397"/>
      <c r="O15" s="165">
        <f t="shared" si="2"/>
        <v>0</v>
      </c>
      <c r="P15" s="165"/>
      <c r="Q15" s="165"/>
      <c r="R15" s="165" t="e">
        <f>(AM15+AU15+AY15+BC15+BG15+BK15+BO15+BS15+BW15+CA15+CE15+CI15+CM15+CQ15+CU15+CY15+DC15+DG15+DS15+DW15+EA15+EE15+EI15+EM15+EQ15+EU15+#REF!+#REF!+FJ15+FN15+#REF!+#REF!+HF15+#REF!+HJ15+HN15+HZ15+ID15+IH15+IL15+IX15+JB15+JF15+JI15+JL15+JO15)/1000*L15*(C15+D15+E15+I15)</f>
        <v>#REF!</v>
      </c>
      <c r="S15" s="165"/>
      <c r="T15" s="165">
        <f t="shared" si="3"/>
        <v>0</v>
      </c>
      <c r="U15" s="165"/>
      <c r="V15" s="165"/>
      <c r="W15" s="165"/>
      <c r="X15" s="165" t="e">
        <f>(FF15+FC15+#REF!+KP15)/4000*L15*(C15+D15+E15+I15)</f>
        <v>#REF!</v>
      </c>
      <c r="Y15" s="484"/>
      <c r="Z15" s="484"/>
      <c r="AA15" s="484"/>
      <c r="AB15" s="484"/>
      <c r="AC15" s="150">
        <f t="shared" si="7"/>
        <v>0</v>
      </c>
      <c r="AD15" s="150"/>
      <c r="AE15" s="150">
        <f t="shared" si="4"/>
        <v>0</v>
      </c>
      <c r="AF15" s="161"/>
      <c r="AG15" s="143"/>
      <c r="AH15" s="154"/>
      <c r="AI15" s="144"/>
      <c r="AJ15" s="154"/>
      <c r="AK15" s="154"/>
      <c r="AL15" s="220"/>
      <c r="AM15" s="140"/>
      <c r="AN15" s="154"/>
      <c r="AO15" s="154"/>
      <c r="AP15" s="220"/>
      <c r="AQ15" s="145"/>
      <c r="AR15" s="154"/>
      <c r="AS15" s="154"/>
      <c r="AT15" s="220"/>
      <c r="AU15" s="140"/>
      <c r="AV15" s="277"/>
      <c r="AW15" s="277"/>
      <c r="AX15" s="277"/>
      <c r="AY15" s="140"/>
      <c r="AZ15" s="277"/>
      <c r="BA15" s="277"/>
      <c r="BB15" s="277"/>
      <c r="BC15" s="140"/>
      <c r="BD15" s="277"/>
      <c r="BE15" s="277"/>
      <c r="BF15" s="277"/>
      <c r="BG15" s="140"/>
      <c r="BH15" s="277"/>
      <c r="BI15" s="277"/>
      <c r="BJ15" s="277"/>
      <c r="BK15" s="140"/>
      <c r="BL15" s="277"/>
      <c r="BM15" s="277"/>
      <c r="BN15" s="277"/>
      <c r="BO15" s="140"/>
      <c r="BP15" s="277"/>
      <c r="BQ15" s="277"/>
      <c r="BR15" s="277"/>
      <c r="BS15" s="140"/>
      <c r="BT15" s="277"/>
      <c r="BU15" s="277"/>
      <c r="BV15" s="277"/>
      <c r="BW15" s="140"/>
      <c r="BX15" s="154"/>
      <c r="BY15" s="154"/>
      <c r="BZ15" s="220"/>
      <c r="CA15" s="140"/>
      <c r="CB15" s="154"/>
      <c r="CC15" s="154"/>
      <c r="CD15" s="220"/>
      <c r="CE15" s="140"/>
      <c r="CF15" s="271"/>
      <c r="CG15" s="271"/>
      <c r="CH15" s="271"/>
      <c r="CI15" s="140"/>
      <c r="CJ15" s="154"/>
      <c r="CK15" s="154"/>
      <c r="CL15" s="154"/>
      <c r="CM15" s="140"/>
      <c r="CN15" s="271"/>
      <c r="CO15" s="271"/>
      <c r="CP15" s="271"/>
      <c r="CQ15" s="140"/>
      <c r="CR15" s="154"/>
      <c r="CS15" s="154"/>
      <c r="CT15" s="154"/>
      <c r="CU15" s="140"/>
      <c r="CV15" s="154"/>
      <c r="CW15" s="154"/>
      <c r="CX15" s="220"/>
      <c r="CY15" s="140"/>
      <c r="CZ15" s="154"/>
      <c r="DA15" s="154"/>
      <c r="DB15" s="220"/>
      <c r="DC15" s="140"/>
      <c r="DD15" s="146"/>
      <c r="DE15" s="146"/>
      <c r="DF15" s="146"/>
      <c r="DG15" s="140"/>
      <c r="DH15" s="146"/>
      <c r="DI15" s="146"/>
      <c r="DJ15" s="146"/>
      <c r="DK15" s="146"/>
      <c r="DL15" s="146"/>
      <c r="DM15" s="146"/>
      <c r="DN15" s="146"/>
      <c r="DO15" s="146"/>
      <c r="DP15" s="146"/>
      <c r="DQ15" s="146"/>
      <c r="DR15" s="146"/>
      <c r="DS15" s="140"/>
      <c r="DT15" s="154"/>
      <c r="DU15" s="154"/>
      <c r="DV15" s="154"/>
      <c r="DW15" s="140"/>
      <c r="DX15" s="220"/>
      <c r="DY15" s="220"/>
      <c r="DZ15" s="220"/>
      <c r="EA15" s="140"/>
      <c r="EB15" s="220"/>
      <c r="EC15" s="220"/>
      <c r="ED15" s="220"/>
      <c r="EE15" s="140"/>
      <c r="EF15" s="154"/>
      <c r="EG15" s="154"/>
      <c r="EH15" s="154"/>
      <c r="EI15" s="140"/>
      <c r="EJ15" s="154"/>
      <c r="EK15" s="154"/>
      <c r="EL15" s="154"/>
      <c r="EM15" s="140"/>
      <c r="EN15" s="222"/>
      <c r="EO15" s="222"/>
      <c r="EP15" s="222"/>
      <c r="EQ15" s="140"/>
      <c r="ER15" s="222"/>
      <c r="ES15" s="222"/>
      <c r="ET15" s="222"/>
      <c r="EU15" s="140"/>
      <c r="EV15" s="222"/>
      <c r="EW15" s="222"/>
      <c r="EX15" s="222"/>
      <c r="EY15" s="272"/>
      <c r="EZ15" s="222"/>
      <c r="FA15" s="222"/>
      <c r="FB15" s="222"/>
      <c r="FC15" s="273"/>
      <c r="FD15" s="223"/>
      <c r="FE15" s="223"/>
      <c r="FF15" s="276"/>
      <c r="FG15" s="156"/>
      <c r="FH15" s="156"/>
      <c r="FI15" s="156"/>
      <c r="FJ15" s="140"/>
      <c r="FK15" s="277"/>
      <c r="FL15" s="277"/>
      <c r="FM15" s="277"/>
      <c r="FN15" s="140"/>
      <c r="FO15" s="277"/>
      <c r="FP15" s="277"/>
      <c r="FQ15" s="277"/>
      <c r="FR15" s="280"/>
      <c r="FS15" s="277"/>
      <c r="FT15" s="277"/>
      <c r="FU15" s="277"/>
      <c r="FV15" s="277"/>
      <c r="FW15" s="277"/>
      <c r="FX15" s="277"/>
      <c r="FY15" s="277"/>
      <c r="FZ15" s="277"/>
      <c r="GA15" s="277"/>
      <c r="GB15" s="277"/>
      <c r="GC15" s="277"/>
      <c r="GD15" s="277"/>
      <c r="GE15" s="277"/>
      <c r="GF15" s="277"/>
      <c r="GG15" s="277"/>
      <c r="GH15" s="277"/>
      <c r="GI15" s="277"/>
      <c r="GJ15" s="277"/>
      <c r="GK15" s="277"/>
      <c r="GL15" s="277"/>
      <c r="GM15" s="277"/>
      <c r="GN15" s="277"/>
      <c r="GO15" s="277"/>
      <c r="GP15" s="277"/>
      <c r="GQ15" s="277"/>
      <c r="GR15" s="277"/>
      <c r="GS15" s="277"/>
      <c r="GT15" s="277"/>
      <c r="GU15" s="277"/>
      <c r="GV15" s="277"/>
      <c r="GW15" s="277"/>
      <c r="GX15" s="277"/>
      <c r="GY15" s="277"/>
      <c r="GZ15" s="277"/>
      <c r="HA15" s="277"/>
      <c r="HB15" s="277"/>
      <c r="HC15" s="277"/>
      <c r="HD15" s="277"/>
      <c r="HE15" s="277"/>
      <c r="HF15" s="140"/>
      <c r="HG15" s="277"/>
      <c r="HH15" s="277"/>
      <c r="HI15" s="277"/>
      <c r="HJ15" s="140"/>
      <c r="HK15" s="277"/>
      <c r="HL15" s="277"/>
      <c r="HM15" s="277"/>
      <c r="HN15" s="140"/>
      <c r="HO15" s="277"/>
      <c r="HP15" s="277"/>
      <c r="HQ15" s="277"/>
      <c r="HR15" s="277"/>
      <c r="HS15" s="277"/>
      <c r="HT15" s="277"/>
      <c r="HU15" s="277"/>
      <c r="HV15" s="277"/>
      <c r="HW15" s="277"/>
      <c r="HX15" s="277"/>
      <c r="HY15" s="277"/>
      <c r="HZ15" s="140"/>
      <c r="IA15" s="277"/>
      <c r="IB15" s="277"/>
      <c r="IC15" s="277"/>
      <c r="ID15" s="140"/>
      <c r="IE15" s="277"/>
      <c r="IF15" s="277"/>
      <c r="IG15" s="277"/>
      <c r="IH15" s="140"/>
      <c r="II15" s="277"/>
      <c r="IJ15" s="277"/>
      <c r="IK15" s="277"/>
      <c r="IL15" s="140"/>
      <c r="IM15" s="277"/>
      <c r="IN15" s="277"/>
      <c r="IO15" s="277"/>
      <c r="IP15" s="277"/>
      <c r="IQ15" s="277"/>
      <c r="IR15" s="277"/>
      <c r="IS15" s="277"/>
      <c r="IT15" s="277"/>
      <c r="IU15" s="277"/>
      <c r="IV15" s="277"/>
      <c r="IW15" s="277"/>
      <c r="IX15" s="140"/>
      <c r="IY15" s="277"/>
      <c r="IZ15" s="277"/>
      <c r="JA15" s="277"/>
      <c r="JB15" s="140"/>
      <c r="JC15" s="277"/>
      <c r="JD15" s="277"/>
      <c r="JE15" s="277"/>
      <c r="JF15" s="140"/>
      <c r="JG15" s="277"/>
      <c r="JH15" s="277"/>
      <c r="JI15" s="140"/>
      <c r="JJ15" s="277"/>
      <c r="JK15" s="277"/>
      <c r="JL15" s="140"/>
      <c r="JM15" s="277"/>
      <c r="JN15" s="277"/>
      <c r="JO15" s="140"/>
      <c r="JP15" s="277"/>
      <c r="JQ15" s="277"/>
      <c r="JR15" s="277"/>
      <c r="JS15" s="277"/>
      <c r="JT15" s="277"/>
      <c r="JU15" s="277"/>
      <c r="JV15" s="277"/>
      <c r="JW15" s="277"/>
      <c r="JX15" s="277"/>
      <c r="JY15" s="277"/>
      <c r="JZ15" s="277"/>
      <c r="KA15" s="277"/>
      <c r="KB15" s="277"/>
      <c r="KC15" s="277"/>
      <c r="KD15" s="277"/>
      <c r="KE15" s="277"/>
      <c r="KF15" s="277"/>
      <c r="KG15" s="277"/>
      <c r="KH15" s="277"/>
      <c r="KI15" s="277"/>
      <c r="KJ15" s="277"/>
      <c r="KK15" s="277"/>
      <c r="KL15" s="277"/>
      <c r="KM15" s="277"/>
      <c r="KN15" s="277"/>
      <c r="KO15" s="277"/>
      <c r="KP15" s="274"/>
      <c r="KQ15" s="253"/>
      <c r="KR15" s="253"/>
      <c r="KY15" s="141">
        <f t="shared" si="5"/>
        <v>0</v>
      </c>
      <c r="KZ15" s="141">
        <f t="shared" si="6"/>
        <v>0</v>
      </c>
    </row>
    <row r="16" spans="1:319" ht="38.25" customHeight="1" x14ac:dyDescent="0.55000000000000004">
      <c r="B16" s="314" t="s">
        <v>377</v>
      </c>
      <c r="C16" s="218"/>
      <c r="D16" s="218"/>
      <c r="E16" s="218"/>
      <c r="F16" s="218"/>
      <c r="G16" s="218"/>
      <c r="H16" s="218"/>
      <c r="I16" s="162"/>
      <c r="J16" s="142"/>
      <c r="K16" s="142"/>
      <c r="L16" s="268">
        <f t="shared" si="0"/>
        <v>7000</v>
      </c>
      <c r="M16" s="164">
        <f t="shared" si="1"/>
        <v>0</v>
      </c>
      <c r="N16" s="397"/>
      <c r="O16" s="165">
        <f t="shared" si="2"/>
        <v>0</v>
      </c>
      <c r="P16" s="165"/>
      <c r="Q16" s="165"/>
      <c r="R16" s="165" t="e">
        <f>(AM16+AU16+AY16+BC16+BG16+BK16+BO16+BS16+BW16+CA16+CE16+CI16+CM16+CQ16+CU16+CY16+DC16+DG16+DS16+DW16+EA16+EE16+EI16+EM16+EQ16+EU16+#REF!+#REF!+FJ16+FN16+#REF!+#REF!+HF16+#REF!+HJ16+HN16+HZ16+ID16+IH16+IL16+IX16+JB16+JF16+JI16+JL16+JO16)/1000*L16*(C16+D16+E16+I16)</f>
        <v>#REF!</v>
      </c>
      <c r="S16" s="165"/>
      <c r="T16" s="165">
        <f t="shared" si="3"/>
        <v>0</v>
      </c>
      <c r="U16" s="165"/>
      <c r="V16" s="165"/>
      <c r="W16" s="165"/>
      <c r="X16" s="165" t="e">
        <f>(FF16+FC16+#REF!+KP16)/4000*L16*(C16+D16+E16+I16)</f>
        <v>#REF!</v>
      </c>
      <c r="Y16" s="484"/>
      <c r="Z16" s="484"/>
      <c r="AA16" s="484"/>
      <c r="AB16" s="484"/>
      <c r="AC16" s="150">
        <f t="shared" si="7"/>
        <v>0</v>
      </c>
      <c r="AD16" s="150"/>
      <c r="AE16" s="150">
        <f t="shared" si="4"/>
        <v>0</v>
      </c>
      <c r="AF16" s="161"/>
      <c r="AG16" s="143"/>
      <c r="AH16" s="154"/>
      <c r="AI16" s="144"/>
      <c r="AJ16" s="154"/>
      <c r="AK16" s="154"/>
      <c r="AL16" s="220"/>
      <c r="AM16" s="140"/>
      <c r="AN16" s="154"/>
      <c r="AO16" s="154"/>
      <c r="AP16" s="220"/>
      <c r="AQ16" s="145"/>
      <c r="AR16" s="154"/>
      <c r="AS16" s="154"/>
      <c r="AT16" s="220"/>
      <c r="AU16" s="140"/>
      <c r="AV16" s="277"/>
      <c r="AW16" s="277"/>
      <c r="AX16" s="277"/>
      <c r="AY16" s="140"/>
      <c r="AZ16" s="277"/>
      <c r="BA16" s="277"/>
      <c r="BB16" s="277"/>
      <c r="BC16" s="140"/>
      <c r="BD16" s="277"/>
      <c r="BE16" s="277"/>
      <c r="BF16" s="277"/>
      <c r="BG16" s="140"/>
      <c r="BH16" s="277"/>
      <c r="BI16" s="277"/>
      <c r="BJ16" s="277"/>
      <c r="BK16" s="140"/>
      <c r="BL16" s="277"/>
      <c r="BM16" s="277"/>
      <c r="BN16" s="277"/>
      <c r="BO16" s="140"/>
      <c r="BP16" s="277"/>
      <c r="BQ16" s="277"/>
      <c r="BR16" s="277"/>
      <c r="BS16" s="140"/>
      <c r="BT16" s="277"/>
      <c r="BU16" s="277"/>
      <c r="BV16" s="277"/>
      <c r="BW16" s="140"/>
      <c r="BX16" s="154"/>
      <c r="BY16" s="154"/>
      <c r="BZ16" s="220"/>
      <c r="CA16" s="140"/>
      <c r="CB16" s="154"/>
      <c r="CC16" s="154"/>
      <c r="CD16" s="220"/>
      <c r="CE16" s="140"/>
      <c r="CF16" s="271"/>
      <c r="CG16" s="271"/>
      <c r="CH16" s="271"/>
      <c r="CI16" s="140"/>
      <c r="CJ16" s="154"/>
      <c r="CK16" s="154"/>
      <c r="CL16" s="154"/>
      <c r="CM16" s="140"/>
      <c r="CN16" s="271"/>
      <c r="CO16" s="271"/>
      <c r="CP16" s="271"/>
      <c r="CQ16" s="140"/>
      <c r="CR16" s="154"/>
      <c r="CS16" s="154"/>
      <c r="CT16" s="154"/>
      <c r="CU16" s="140"/>
      <c r="CV16" s="154"/>
      <c r="CW16" s="154"/>
      <c r="CX16" s="220"/>
      <c r="CY16" s="140"/>
      <c r="CZ16" s="154"/>
      <c r="DA16" s="154"/>
      <c r="DB16" s="220"/>
      <c r="DC16" s="140"/>
      <c r="DD16" s="146"/>
      <c r="DE16" s="146"/>
      <c r="DF16" s="146"/>
      <c r="DG16" s="140"/>
      <c r="DH16" s="146"/>
      <c r="DI16" s="146"/>
      <c r="DJ16" s="146"/>
      <c r="DK16" s="146"/>
      <c r="DL16" s="146"/>
      <c r="DM16" s="146"/>
      <c r="DN16" s="146"/>
      <c r="DO16" s="146"/>
      <c r="DP16" s="146"/>
      <c r="DQ16" s="146"/>
      <c r="DR16" s="146"/>
      <c r="DS16" s="140"/>
      <c r="DT16" s="154"/>
      <c r="DU16" s="154"/>
      <c r="DV16" s="154"/>
      <c r="DW16" s="140"/>
      <c r="DX16" s="220"/>
      <c r="DY16" s="220"/>
      <c r="DZ16" s="220"/>
      <c r="EA16" s="140"/>
      <c r="EB16" s="220"/>
      <c r="EC16" s="220"/>
      <c r="ED16" s="220"/>
      <c r="EE16" s="140"/>
      <c r="EF16" s="154"/>
      <c r="EG16" s="154"/>
      <c r="EH16" s="154"/>
      <c r="EI16" s="140"/>
      <c r="EJ16" s="154"/>
      <c r="EK16" s="154"/>
      <c r="EL16" s="154"/>
      <c r="EM16" s="140"/>
      <c r="EN16" s="222"/>
      <c r="EO16" s="222"/>
      <c r="EP16" s="222"/>
      <c r="EQ16" s="140"/>
      <c r="ER16" s="222"/>
      <c r="ES16" s="222"/>
      <c r="ET16" s="222"/>
      <c r="EU16" s="140"/>
      <c r="EV16" s="222"/>
      <c r="EW16" s="222"/>
      <c r="EX16" s="222"/>
      <c r="EY16" s="272"/>
      <c r="EZ16" s="222"/>
      <c r="FA16" s="222"/>
      <c r="FB16" s="222"/>
      <c r="FC16" s="273"/>
      <c r="FD16" s="223"/>
      <c r="FE16" s="223"/>
      <c r="FF16" s="276"/>
      <c r="FG16" s="156"/>
      <c r="FH16" s="156"/>
      <c r="FI16" s="156"/>
      <c r="FJ16" s="140"/>
      <c r="FK16" s="277"/>
      <c r="FL16" s="277"/>
      <c r="FM16" s="277"/>
      <c r="FN16" s="140"/>
      <c r="FO16" s="277"/>
      <c r="FP16" s="277"/>
      <c r="FQ16" s="277"/>
      <c r="FR16" s="280"/>
      <c r="FS16" s="277"/>
      <c r="FT16" s="277"/>
      <c r="FU16" s="277"/>
      <c r="FV16" s="277"/>
      <c r="FW16" s="277"/>
      <c r="FX16" s="277"/>
      <c r="FY16" s="277"/>
      <c r="FZ16" s="277"/>
      <c r="GA16" s="277"/>
      <c r="GB16" s="277"/>
      <c r="GC16" s="277"/>
      <c r="GD16" s="277"/>
      <c r="GE16" s="277"/>
      <c r="GF16" s="277"/>
      <c r="GG16" s="277"/>
      <c r="GH16" s="277"/>
      <c r="GI16" s="277"/>
      <c r="GJ16" s="277"/>
      <c r="GK16" s="277"/>
      <c r="GL16" s="277"/>
      <c r="GM16" s="277"/>
      <c r="GN16" s="277"/>
      <c r="GO16" s="277"/>
      <c r="GP16" s="277"/>
      <c r="GQ16" s="277"/>
      <c r="GR16" s="277"/>
      <c r="GS16" s="277"/>
      <c r="GT16" s="277"/>
      <c r="GU16" s="277"/>
      <c r="GV16" s="277"/>
      <c r="GW16" s="277"/>
      <c r="GX16" s="277"/>
      <c r="GY16" s="277"/>
      <c r="GZ16" s="277"/>
      <c r="HA16" s="277"/>
      <c r="HB16" s="277"/>
      <c r="HC16" s="277"/>
      <c r="HD16" s="277"/>
      <c r="HE16" s="277"/>
      <c r="HF16" s="140"/>
      <c r="HG16" s="277"/>
      <c r="HH16" s="277"/>
      <c r="HI16" s="277"/>
      <c r="HJ16" s="140"/>
      <c r="HK16" s="277"/>
      <c r="HL16" s="277"/>
      <c r="HM16" s="277"/>
      <c r="HN16" s="140"/>
      <c r="HO16" s="277"/>
      <c r="HP16" s="277"/>
      <c r="HQ16" s="277"/>
      <c r="HR16" s="277"/>
      <c r="HS16" s="277"/>
      <c r="HT16" s="277"/>
      <c r="HU16" s="277"/>
      <c r="HV16" s="277"/>
      <c r="HW16" s="277"/>
      <c r="HX16" s="277"/>
      <c r="HY16" s="277"/>
      <c r="HZ16" s="140"/>
      <c r="IA16" s="277"/>
      <c r="IB16" s="277"/>
      <c r="IC16" s="277"/>
      <c r="ID16" s="140"/>
      <c r="IE16" s="277"/>
      <c r="IF16" s="277"/>
      <c r="IG16" s="277"/>
      <c r="IH16" s="140"/>
      <c r="II16" s="277"/>
      <c r="IJ16" s="277"/>
      <c r="IK16" s="277"/>
      <c r="IL16" s="140"/>
      <c r="IM16" s="277"/>
      <c r="IN16" s="277"/>
      <c r="IO16" s="277"/>
      <c r="IP16" s="277"/>
      <c r="IQ16" s="277"/>
      <c r="IR16" s="277"/>
      <c r="IS16" s="277"/>
      <c r="IT16" s="277"/>
      <c r="IU16" s="277"/>
      <c r="IV16" s="277"/>
      <c r="IW16" s="277"/>
      <c r="IX16" s="140"/>
      <c r="IY16" s="277"/>
      <c r="IZ16" s="277"/>
      <c r="JA16" s="277"/>
      <c r="JB16" s="140"/>
      <c r="JC16" s="277"/>
      <c r="JD16" s="277"/>
      <c r="JE16" s="277"/>
      <c r="JF16" s="140"/>
      <c r="JG16" s="277"/>
      <c r="JH16" s="277"/>
      <c r="JI16" s="140"/>
      <c r="JJ16" s="277"/>
      <c r="JK16" s="277"/>
      <c r="JL16" s="140"/>
      <c r="JM16" s="277"/>
      <c r="JN16" s="277"/>
      <c r="JO16" s="140"/>
      <c r="JP16" s="277"/>
      <c r="JQ16" s="277"/>
      <c r="JR16" s="277"/>
      <c r="JS16" s="277"/>
      <c r="JT16" s="277"/>
      <c r="JU16" s="277"/>
      <c r="JV16" s="277"/>
      <c r="JW16" s="277"/>
      <c r="JX16" s="277"/>
      <c r="JY16" s="277"/>
      <c r="JZ16" s="277"/>
      <c r="KA16" s="277"/>
      <c r="KB16" s="277"/>
      <c r="KC16" s="277"/>
      <c r="KD16" s="277"/>
      <c r="KE16" s="277"/>
      <c r="KF16" s="277"/>
      <c r="KG16" s="277"/>
      <c r="KH16" s="277"/>
      <c r="KI16" s="277"/>
      <c r="KJ16" s="277"/>
      <c r="KK16" s="277"/>
      <c r="KL16" s="277"/>
      <c r="KM16" s="277"/>
      <c r="KN16" s="277"/>
      <c r="KO16" s="277"/>
      <c r="KP16" s="274"/>
      <c r="KQ16" s="253"/>
      <c r="KR16" s="253"/>
      <c r="KY16" s="141">
        <f t="shared" si="5"/>
        <v>0</v>
      </c>
      <c r="KZ16" s="141">
        <f t="shared" si="6"/>
        <v>0</v>
      </c>
    </row>
    <row r="17" spans="1:319" ht="38.25" customHeight="1" x14ac:dyDescent="0.55000000000000004">
      <c r="B17" s="314" t="s">
        <v>377</v>
      </c>
      <c r="C17" s="218"/>
      <c r="D17" s="218"/>
      <c r="E17" s="218"/>
      <c r="F17" s="218"/>
      <c r="G17" s="218"/>
      <c r="H17" s="218"/>
      <c r="I17" s="162"/>
      <c r="J17" s="142"/>
      <c r="K17" s="142"/>
      <c r="L17" s="268">
        <f t="shared" si="0"/>
        <v>7000</v>
      </c>
      <c r="M17" s="164">
        <f t="shared" si="1"/>
        <v>0</v>
      </c>
      <c r="N17" s="397"/>
      <c r="O17" s="165">
        <f t="shared" si="2"/>
        <v>0</v>
      </c>
      <c r="P17" s="165"/>
      <c r="Q17" s="165"/>
      <c r="R17" s="165" t="e">
        <f>(AM17+AU17+AY17+BC17+BG17+BK17+BO17+BS17+BW17+CA17+CE17+CI17+CM17+CQ17+CU17+CY17+DC17+DG17+DS17+DW17+EA17+EE17+EI17+EM17+EQ17+EU17+#REF!+#REF!+FJ17+FN17+#REF!+#REF!+HF17+#REF!+HJ17+HN17+HZ17+ID17+IH17+IL17+IX17+JB17+JF17+JI17+JL17+JO17)/1000*L17*(C17+D17+E17+I17)</f>
        <v>#REF!</v>
      </c>
      <c r="S17" s="165"/>
      <c r="T17" s="165">
        <f t="shared" si="3"/>
        <v>0</v>
      </c>
      <c r="U17" s="165"/>
      <c r="V17" s="165"/>
      <c r="W17" s="165"/>
      <c r="X17" s="165" t="e">
        <f>(FF17+FC17+#REF!+KP17)/4000*L17*(C17+D17+E17+I17)</f>
        <v>#REF!</v>
      </c>
      <c r="Y17" s="484"/>
      <c r="Z17" s="484"/>
      <c r="AA17" s="484"/>
      <c r="AB17" s="484"/>
      <c r="AC17" s="150">
        <f t="shared" si="7"/>
        <v>0</v>
      </c>
      <c r="AD17" s="150"/>
      <c r="AE17" s="150">
        <f t="shared" si="4"/>
        <v>0</v>
      </c>
      <c r="AF17" s="161"/>
      <c r="AG17" s="143"/>
      <c r="AH17" s="154"/>
      <c r="AI17" s="144"/>
      <c r="AJ17" s="154"/>
      <c r="AK17" s="154"/>
      <c r="AL17" s="220"/>
      <c r="AM17" s="140"/>
      <c r="AN17" s="154"/>
      <c r="AO17" s="154"/>
      <c r="AP17" s="220"/>
      <c r="AQ17" s="145"/>
      <c r="AR17" s="154"/>
      <c r="AS17" s="154"/>
      <c r="AT17" s="220"/>
      <c r="AU17" s="140"/>
      <c r="AV17" s="277"/>
      <c r="AW17" s="277"/>
      <c r="AX17" s="277"/>
      <c r="AY17" s="140"/>
      <c r="AZ17" s="277"/>
      <c r="BA17" s="277"/>
      <c r="BB17" s="277"/>
      <c r="BC17" s="140"/>
      <c r="BD17" s="277"/>
      <c r="BE17" s="277"/>
      <c r="BF17" s="277"/>
      <c r="BG17" s="140"/>
      <c r="BH17" s="277"/>
      <c r="BI17" s="277"/>
      <c r="BJ17" s="277"/>
      <c r="BK17" s="140"/>
      <c r="BL17" s="277"/>
      <c r="BM17" s="277"/>
      <c r="BN17" s="277"/>
      <c r="BO17" s="140"/>
      <c r="BP17" s="277"/>
      <c r="BQ17" s="277"/>
      <c r="BR17" s="277"/>
      <c r="BS17" s="140"/>
      <c r="BT17" s="277"/>
      <c r="BU17" s="277"/>
      <c r="BV17" s="277"/>
      <c r="BW17" s="140"/>
      <c r="BX17" s="154"/>
      <c r="BY17" s="154"/>
      <c r="BZ17" s="220"/>
      <c r="CA17" s="140"/>
      <c r="CB17" s="154"/>
      <c r="CC17" s="154"/>
      <c r="CD17" s="220"/>
      <c r="CE17" s="140"/>
      <c r="CF17" s="271"/>
      <c r="CG17" s="271"/>
      <c r="CH17" s="271"/>
      <c r="CI17" s="140"/>
      <c r="CJ17" s="154"/>
      <c r="CK17" s="154"/>
      <c r="CL17" s="154"/>
      <c r="CM17" s="140"/>
      <c r="CN17" s="271"/>
      <c r="CO17" s="271"/>
      <c r="CP17" s="271"/>
      <c r="CQ17" s="140"/>
      <c r="CR17" s="154"/>
      <c r="CS17" s="154"/>
      <c r="CT17" s="154"/>
      <c r="CU17" s="140"/>
      <c r="CV17" s="154"/>
      <c r="CW17" s="154"/>
      <c r="CX17" s="220"/>
      <c r="CY17" s="140"/>
      <c r="CZ17" s="154"/>
      <c r="DA17" s="154"/>
      <c r="DB17" s="220"/>
      <c r="DC17" s="140"/>
      <c r="DD17" s="146"/>
      <c r="DE17" s="146"/>
      <c r="DF17" s="146"/>
      <c r="DG17" s="140"/>
      <c r="DH17" s="146"/>
      <c r="DI17" s="146"/>
      <c r="DJ17" s="146"/>
      <c r="DK17" s="146"/>
      <c r="DL17" s="146"/>
      <c r="DM17" s="146"/>
      <c r="DN17" s="146"/>
      <c r="DO17" s="146"/>
      <c r="DP17" s="146"/>
      <c r="DQ17" s="146"/>
      <c r="DR17" s="146"/>
      <c r="DS17" s="140"/>
      <c r="DT17" s="154"/>
      <c r="DU17" s="154"/>
      <c r="DV17" s="154"/>
      <c r="DW17" s="140"/>
      <c r="DX17" s="220"/>
      <c r="DY17" s="220"/>
      <c r="DZ17" s="220"/>
      <c r="EA17" s="140"/>
      <c r="EB17" s="220"/>
      <c r="EC17" s="220"/>
      <c r="ED17" s="220"/>
      <c r="EE17" s="140"/>
      <c r="EF17" s="154"/>
      <c r="EG17" s="154"/>
      <c r="EH17" s="154"/>
      <c r="EI17" s="140"/>
      <c r="EJ17" s="154"/>
      <c r="EK17" s="154"/>
      <c r="EL17" s="154"/>
      <c r="EM17" s="140"/>
      <c r="EN17" s="222"/>
      <c r="EO17" s="222"/>
      <c r="EP17" s="222"/>
      <c r="EQ17" s="140"/>
      <c r="ER17" s="222"/>
      <c r="ES17" s="222"/>
      <c r="ET17" s="222"/>
      <c r="EU17" s="140"/>
      <c r="EV17" s="222"/>
      <c r="EW17" s="222"/>
      <c r="EX17" s="222"/>
      <c r="EY17" s="272"/>
      <c r="EZ17" s="222"/>
      <c r="FA17" s="222"/>
      <c r="FB17" s="222"/>
      <c r="FC17" s="273"/>
      <c r="FD17" s="223"/>
      <c r="FE17" s="223"/>
      <c r="FF17" s="276"/>
      <c r="FG17" s="156"/>
      <c r="FH17" s="156"/>
      <c r="FI17" s="156"/>
      <c r="FJ17" s="140"/>
      <c r="FK17" s="277"/>
      <c r="FL17" s="277"/>
      <c r="FM17" s="277"/>
      <c r="FN17" s="140"/>
      <c r="FO17" s="277"/>
      <c r="FP17" s="277"/>
      <c r="FQ17" s="277"/>
      <c r="FR17" s="280"/>
      <c r="FS17" s="277"/>
      <c r="FT17" s="277"/>
      <c r="FU17" s="277"/>
      <c r="FV17" s="277"/>
      <c r="FW17" s="277"/>
      <c r="FX17" s="277"/>
      <c r="FY17" s="277"/>
      <c r="FZ17" s="277"/>
      <c r="GA17" s="277"/>
      <c r="GB17" s="277"/>
      <c r="GC17" s="277"/>
      <c r="GD17" s="277"/>
      <c r="GE17" s="277"/>
      <c r="GF17" s="277"/>
      <c r="GG17" s="277"/>
      <c r="GH17" s="277"/>
      <c r="GI17" s="277"/>
      <c r="GJ17" s="277"/>
      <c r="GK17" s="277"/>
      <c r="GL17" s="277"/>
      <c r="GM17" s="277"/>
      <c r="GN17" s="277"/>
      <c r="GO17" s="277"/>
      <c r="GP17" s="277"/>
      <c r="GQ17" s="277"/>
      <c r="GR17" s="277"/>
      <c r="GS17" s="277"/>
      <c r="GT17" s="277"/>
      <c r="GU17" s="277"/>
      <c r="GV17" s="277"/>
      <c r="GW17" s="277"/>
      <c r="GX17" s="277"/>
      <c r="GY17" s="277"/>
      <c r="GZ17" s="277"/>
      <c r="HA17" s="277"/>
      <c r="HB17" s="277"/>
      <c r="HC17" s="277"/>
      <c r="HD17" s="277"/>
      <c r="HE17" s="277"/>
      <c r="HF17" s="140"/>
      <c r="HG17" s="277"/>
      <c r="HH17" s="277"/>
      <c r="HI17" s="277"/>
      <c r="HJ17" s="140"/>
      <c r="HK17" s="277"/>
      <c r="HL17" s="277"/>
      <c r="HM17" s="277"/>
      <c r="HN17" s="140"/>
      <c r="HO17" s="277"/>
      <c r="HP17" s="277"/>
      <c r="HQ17" s="277"/>
      <c r="HR17" s="277"/>
      <c r="HS17" s="277"/>
      <c r="HT17" s="277"/>
      <c r="HU17" s="277"/>
      <c r="HV17" s="277"/>
      <c r="HW17" s="277"/>
      <c r="HX17" s="277"/>
      <c r="HY17" s="277"/>
      <c r="HZ17" s="140"/>
      <c r="IA17" s="277"/>
      <c r="IB17" s="277"/>
      <c r="IC17" s="277"/>
      <c r="ID17" s="140"/>
      <c r="IE17" s="277"/>
      <c r="IF17" s="277"/>
      <c r="IG17" s="277"/>
      <c r="IH17" s="140"/>
      <c r="II17" s="277"/>
      <c r="IJ17" s="277"/>
      <c r="IK17" s="277"/>
      <c r="IL17" s="140"/>
      <c r="IM17" s="277"/>
      <c r="IN17" s="277"/>
      <c r="IO17" s="277"/>
      <c r="IP17" s="277"/>
      <c r="IQ17" s="277"/>
      <c r="IR17" s="277"/>
      <c r="IS17" s="277"/>
      <c r="IT17" s="277"/>
      <c r="IU17" s="277"/>
      <c r="IV17" s="277"/>
      <c r="IW17" s="277"/>
      <c r="IX17" s="140"/>
      <c r="IY17" s="277"/>
      <c r="IZ17" s="277"/>
      <c r="JA17" s="277"/>
      <c r="JB17" s="140"/>
      <c r="JC17" s="277"/>
      <c r="JD17" s="277"/>
      <c r="JE17" s="277"/>
      <c r="JF17" s="140"/>
      <c r="JG17" s="277"/>
      <c r="JH17" s="277"/>
      <c r="JI17" s="140"/>
      <c r="JJ17" s="277"/>
      <c r="JK17" s="277"/>
      <c r="JL17" s="140"/>
      <c r="JM17" s="277"/>
      <c r="JN17" s="277"/>
      <c r="JO17" s="140"/>
      <c r="JP17" s="277"/>
      <c r="JQ17" s="277"/>
      <c r="JR17" s="277"/>
      <c r="JS17" s="277"/>
      <c r="JT17" s="277"/>
      <c r="JU17" s="277"/>
      <c r="JV17" s="277"/>
      <c r="JW17" s="277"/>
      <c r="JX17" s="277"/>
      <c r="JY17" s="277"/>
      <c r="JZ17" s="277"/>
      <c r="KA17" s="277"/>
      <c r="KB17" s="277"/>
      <c r="KC17" s="277"/>
      <c r="KD17" s="277"/>
      <c r="KE17" s="277"/>
      <c r="KF17" s="277"/>
      <c r="KG17" s="277"/>
      <c r="KH17" s="277"/>
      <c r="KI17" s="277"/>
      <c r="KJ17" s="277"/>
      <c r="KK17" s="277"/>
      <c r="KL17" s="277"/>
      <c r="KM17" s="277"/>
      <c r="KN17" s="277"/>
      <c r="KO17" s="277"/>
      <c r="KP17" s="274"/>
      <c r="KQ17" s="253"/>
      <c r="KR17" s="253"/>
      <c r="KY17" s="141">
        <f t="shared" si="5"/>
        <v>0</v>
      </c>
      <c r="KZ17" s="141">
        <f t="shared" si="6"/>
        <v>0</v>
      </c>
    </row>
    <row r="18" spans="1:319" ht="38.25" customHeight="1" x14ac:dyDescent="0.55000000000000004">
      <c r="B18" s="314" t="s">
        <v>378</v>
      </c>
      <c r="C18" s="218"/>
      <c r="D18" s="218"/>
      <c r="E18" s="218"/>
      <c r="F18" s="218"/>
      <c r="G18" s="218"/>
      <c r="H18" s="218"/>
      <c r="I18" s="162"/>
      <c r="J18" s="142"/>
      <c r="K18" s="142"/>
      <c r="L18" s="268">
        <f t="shared" si="0"/>
        <v>7000</v>
      </c>
      <c r="M18" s="164">
        <f t="shared" si="1"/>
        <v>0</v>
      </c>
      <c r="N18" s="397"/>
      <c r="O18" s="165">
        <f t="shared" si="2"/>
        <v>0</v>
      </c>
      <c r="P18" s="165"/>
      <c r="Q18" s="165"/>
      <c r="R18" s="165" t="e">
        <f>(AM18+AU18+AY18+BC18+BG18+BK18+BO18+BS18+BW18+CA18+CE18+CI18+CM18+CQ18+CU18+CY18+DC18+DG18+DS18+DW18+EA18+EE18+EI18+EM18+EQ18+EU18+#REF!+#REF!+FJ18+FN18+#REF!+#REF!+HF18+#REF!+HJ18+HN18+HZ18+ID18+IH18+IL18+IX18+JB18+JF18+JI18+JL18+JO18)/1000*L18*(C18+D18+E18+I18)</f>
        <v>#REF!</v>
      </c>
      <c r="S18" s="165"/>
      <c r="T18" s="165">
        <f t="shared" si="3"/>
        <v>0</v>
      </c>
      <c r="U18" s="165"/>
      <c r="V18" s="165"/>
      <c r="W18" s="165"/>
      <c r="X18" s="165" t="e">
        <f>(FF18+FC18+#REF!+KP18)/4000*L18*(C18+D18+E18+I18)</f>
        <v>#REF!</v>
      </c>
      <c r="Y18" s="484"/>
      <c r="Z18" s="484"/>
      <c r="AA18" s="484"/>
      <c r="AB18" s="484"/>
      <c r="AC18" s="150">
        <f t="shared" si="7"/>
        <v>0</v>
      </c>
      <c r="AD18" s="150"/>
      <c r="AE18" s="150">
        <f t="shared" si="4"/>
        <v>0</v>
      </c>
      <c r="AF18" s="161"/>
      <c r="AG18" s="143"/>
      <c r="AH18" s="154"/>
      <c r="AI18" s="144"/>
      <c r="AJ18" s="154"/>
      <c r="AK18" s="154"/>
      <c r="AL18" s="220"/>
      <c r="AM18" s="140"/>
      <c r="AN18" s="154"/>
      <c r="AO18" s="154"/>
      <c r="AP18" s="220"/>
      <c r="AQ18" s="145"/>
      <c r="AR18" s="154"/>
      <c r="AS18" s="154"/>
      <c r="AT18" s="220"/>
      <c r="AU18" s="140"/>
      <c r="AV18" s="277"/>
      <c r="AW18" s="277"/>
      <c r="AX18" s="277"/>
      <c r="AY18" s="140"/>
      <c r="AZ18" s="277"/>
      <c r="BA18" s="277"/>
      <c r="BB18" s="277"/>
      <c r="BC18" s="140"/>
      <c r="BD18" s="277"/>
      <c r="BE18" s="277"/>
      <c r="BF18" s="277"/>
      <c r="BG18" s="140"/>
      <c r="BH18" s="277"/>
      <c r="BI18" s="277"/>
      <c r="BJ18" s="277"/>
      <c r="BK18" s="140"/>
      <c r="BL18" s="277"/>
      <c r="BM18" s="277"/>
      <c r="BN18" s="277"/>
      <c r="BO18" s="140"/>
      <c r="BP18" s="277"/>
      <c r="BQ18" s="277"/>
      <c r="BR18" s="277"/>
      <c r="BS18" s="140"/>
      <c r="BT18" s="277"/>
      <c r="BU18" s="277"/>
      <c r="BV18" s="277"/>
      <c r="BW18" s="140"/>
      <c r="BX18" s="154"/>
      <c r="BY18" s="154"/>
      <c r="BZ18" s="220"/>
      <c r="CA18" s="140"/>
      <c r="CB18" s="154"/>
      <c r="CC18" s="154"/>
      <c r="CD18" s="220"/>
      <c r="CE18" s="140"/>
      <c r="CF18" s="271"/>
      <c r="CG18" s="271"/>
      <c r="CH18" s="271"/>
      <c r="CI18" s="140"/>
      <c r="CJ18" s="154"/>
      <c r="CK18" s="154"/>
      <c r="CL18" s="154"/>
      <c r="CM18" s="140"/>
      <c r="CN18" s="271"/>
      <c r="CO18" s="271"/>
      <c r="CP18" s="271"/>
      <c r="CQ18" s="140"/>
      <c r="CR18" s="154"/>
      <c r="CS18" s="154"/>
      <c r="CT18" s="154"/>
      <c r="CU18" s="140"/>
      <c r="CV18" s="154"/>
      <c r="CW18" s="154"/>
      <c r="CX18" s="220"/>
      <c r="CY18" s="140"/>
      <c r="CZ18" s="154"/>
      <c r="DA18" s="154"/>
      <c r="DB18" s="220"/>
      <c r="DC18" s="140"/>
      <c r="DD18" s="146"/>
      <c r="DE18" s="146"/>
      <c r="DF18" s="146"/>
      <c r="DG18" s="140"/>
      <c r="DH18" s="146"/>
      <c r="DI18" s="146"/>
      <c r="DJ18" s="146"/>
      <c r="DK18" s="146"/>
      <c r="DL18" s="146"/>
      <c r="DM18" s="146"/>
      <c r="DN18" s="146"/>
      <c r="DO18" s="146"/>
      <c r="DP18" s="146"/>
      <c r="DQ18" s="146"/>
      <c r="DR18" s="146"/>
      <c r="DS18" s="140"/>
      <c r="DT18" s="154"/>
      <c r="DU18" s="154"/>
      <c r="DV18" s="154"/>
      <c r="DW18" s="140"/>
      <c r="DX18" s="220"/>
      <c r="DY18" s="220"/>
      <c r="DZ18" s="220"/>
      <c r="EA18" s="140"/>
      <c r="EB18" s="220"/>
      <c r="EC18" s="220"/>
      <c r="ED18" s="220"/>
      <c r="EE18" s="140"/>
      <c r="EF18" s="154"/>
      <c r="EG18" s="154"/>
      <c r="EH18" s="154"/>
      <c r="EI18" s="140"/>
      <c r="EJ18" s="154"/>
      <c r="EK18" s="154"/>
      <c r="EL18" s="154"/>
      <c r="EM18" s="140"/>
      <c r="EN18" s="222"/>
      <c r="EO18" s="222"/>
      <c r="EP18" s="222"/>
      <c r="EQ18" s="140"/>
      <c r="ER18" s="222"/>
      <c r="ES18" s="222"/>
      <c r="ET18" s="222"/>
      <c r="EU18" s="140"/>
      <c r="EV18" s="222"/>
      <c r="EW18" s="222"/>
      <c r="EX18" s="222"/>
      <c r="EY18" s="272"/>
      <c r="EZ18" s="222"/>
      <c r="FA18" s="222"/>
      <c r="FB18" s="222"/>
      <c r="FC18" s="273"/>
      <c r="FD18" s="223"/>
      <c r="FE18" s="223"/>
      <c r="FF18" s="276"/>
      <c r="FG18" s="156"/>
      <c r="FH18" s="156"/>
      <c r="FI18" s="156"/>
      <c r="FJ18" s="140"/>
      <c r="FK18" s="277"/>
      <c r="FL18" s="277"/>
      <c r="FM18" s="277"/>
      <c r="FN18" s="140"/>
      <c r="FO18" s="277"/>
      <c r="FP18" s="277"/>
      <c r="FQ18" s="277"/>
      <c r="FR18" s="280"/>
      <c r="FS18" s="277"/>
      <c r="FT18" s="277"/>
      <c r="FU18" s="277"/>
      <c r="FV18" s="277"/>
      <c r="FW18" s="277"/>
      <c r="FX18" s="277"/>
      <c r="FY18" s="277"/>
      <c r="FZ18" s="277"/>
      <c r="GA18" s="277"/>
      <c r="GB18" s="277"/>
      <c r="GC18" s="277"/>
      <c r="GD18" s="277"/>
      <c r="GE18" s="277"/>
      <c r="GF18" s="277"/>
      <c r="GG18" s="277"/>
      <c r="GH18" s="277"/>
      <c r="GI18" s="277"/>
      <c r="GJ18" s="277"/>
      <c r="GK18" s="277"/>
      <c r="GL18" s="277"/>
      <c r="GM18" s="277"/>
      <c r="GN18" s="277"/>
      <c r="GO18" s="277"/>
      <c r="GP18" s="277"/>
      <c r="GQ18" s="277"/>
      <c r="GR18" s="277"/>
      <c r="GS18" s="277"/>
      <c r="GT18" s="277"/>
      <c r="GU18" s="277"/>
      <c r="GV18" s="277"/>
      <c r="GW18" s="277"/>
      <c r="GX18" s="277"/>
      <c r="GY18" s="277"/>
      <c r="GZ18" s="277"/>
      <c r="HA18" s="277"/>
      <c r="HB18" s="277"/>
      <c r="HC18" s="277"/>
      <c r="HD18" s="277"/>
      <c r="HE18" s="277"/>
      <c r="HF18" s="140"/>
      <c r="HG18" s="277"/>
      <c r="HH18" s="277"/>
      <c r="HI18" s="277"/>
      <c r="HJ18" s="140"/>
      <c r="HK18" s="277"/>
      <c r="HL18" s="277"/>
      <c r="HM18" s="277"/>
      <c r="HN18" s="140"/>
      <c r="HO18" s="277"/>
      <c r="HP18" s="277"/>
      <c r="HQ18" s="277"/>
      <c r="HR18" s="277"/>
      <c r="HS18" s="277"/>
      <c r="HT18" s="277"/>
      <c r="HU18" s="277"/>
      <c r="HV18" s="277"/>
      <c r="HW18" s="277"/>
      <c r="HX18" s="277"/>
      <c r="HY18" s="277"/>
      <c r="HZ18" s="140"/>
      <c r="IA18" s="277"/>
      <c r="IB18" s="277"/>
      <c r="IC18" s="277"/>
      <c r="ID18" s="140"/>
      <c r="IE18" s="277"/>
      <c r="IF18" s="277"/>
      <c r="IG18" s="277"/>
      <c r="IH18" s="140"/>
      <c r="II18" s="277"/>
      <c r="IJ18" s="277"/>
      <c r="IK18" s="277"/>
      <c r="IL18" s="140"/>
      <c r="IM18" s="277"/>
      <c r="IN18" s="277"/>
      <c r="IO18" s="277"/>
      <c r="IP18" s="277"/>
      <c r="IQ18" s="277"/>
      <c r="IR18" s="277"/>
      <c r="IS18" s="277"/>
      <c r="IT18" s="277"/>
      <c r="IU18" s="277"/>
      <c r="IV18" s="277"/>
      <c r="IW18" s="277"/>
      <c r="IX18" s="140"/>
      <c r="IY18" s="277"/>
      <c r="IZ18" s="277"/>
      <c r="JA18" s="277"/>
      <c r="JB18" s="140"/>
      <c r="JC18" s="277"/>
      <c r="JD18" s="277"/>
      <c r="JE18" s="277"/>
      <c r="JF18" s="140"/>
      <c r="JG18" s="277"/>
      <c r="JH18" s="277"/>
      <c r="JI18" s="140"/>
      <c r="JJ18" s="277"/>
      <c r="JK18" s="277"/>
      <c r="JL18" s="140"/>
      <c r="JM18" s="277"/>
      <c r="JN18" s="277"/>
      <c r="JO18" s="140"/>
      <c r="JP18" s="277"/>
      <c r="JQ18" s="277"/>
      <c r="JR18" s="277"/>
      <c r="JS18" s="277"/>
      <c r="JT18" s="277"/>
      <c r="JU18" s="277"/>
      <c r="JV18" s="277"/>
      <c r="JW18" s="277"/>
      <c r="JX18" s="277"/>
      <c r="JY18" s="277"/>
      <c r="JZ18" s="277"/>
      <c r="KA18" s="277"/>
      <c r="KB18" s="277"/>
      <c r="KC18" s="277"/>
      <c r="KD18" s="277"/>
      <c r="KE18" s="277"/>
      <c r="KF18" s="277"/>
      <c r="KG18" s="277"/>
      <c r="KH18" s="277"/>
      <c r="KI18" s="277"/>
      <c r="KJ18" s="277"/>
      <c r="KK18" s="277"/>
      <c r="KL18" s="277"/>
      <c r="KM18" s="277"/>
      <c r="KN18" s="277"/>
      <c r="KO18" s="277"/>
      <c r="KP18" s="274"/>
      <c r="KQ18" s="253"/>
      <c r="KR18" s="253"/>
      <c r="KY18" s="141">
        <f t="shared" si="5"/>
        <v>0</v>
      </c>
      <c r="KZ18" s="141">
        <f t="shared" si="6"/>
        <v>0</v>
      </c>
    </row>
    <row r="19" spans="1:319" ht="38.25" customHeight="1" x14ac:dyDescent="0.55000000000000004">
      <c r="B19" s="314" t="s">
        <v>379</v>
      </c>
      <c r="C19" s="218"/>
      <c r="D19" s="218"/>
      <c r="E19" s="218"/>
      <c r="F19" s="218"/>
      <c r="G19" s="218"/>
      <c r="H19" s="218"/>
      <c r="I19" s="162"/>
      <c r="J19" s="142"/>
      <c r="K19" s="142"/>
      <c r="L19" s="268">
        <f t="shared" si="0"/>
        <v>7000</v>
      </c>
      <c r="M19" s="164">
        <f t="shared" si="1"/>
        <v>0</v>
      </c>
      <c r="N19" s="397"/>
      <c r="O19" s="165">
        <f t="shared" si="2"/>
        <v>0</v>
      </c>
      <c r="P19" s="165"/>
      <c r="Q19" s="165"/>
      <c r="R19" s="165" t="e">
        <f>(AM19+AU19+AY19+BC19+BG19+BK19+BO19+BS19+BW19+CA19+CE19+CI19+CM19+CQ19+CU19+CY19+DC19+DG19+DS19+DW19+EA19+EE19+EI19+EM19+EQ19+EU19+#REF!+#REF!+FJ19+FN19+#REF!+#REF!+HF19+#REF!+HJ19+HN19+HZ19+ID19+IH19+IL19+IX19+JB19+JF19+JI19+JL19+JO19)/1000*L19*(C19+D19+E19+I19)</f>
        <v>#REF!</v>
      </c>
      <c r="S19" s="165"/>
      <c r="T19" s="165">
        <f t="shared" si="3"/>
        <v>0</v>
      </c>
      <c r="U19" s="165"/>
      <c r="V19" s="165"/>
      <c r="W19" s="165"/>
      <c r="X19" s="165" t="e">
        <f>(FF19+FC19+#REF!+KP19)/4000*L19*(C19+D19+E19+I19)</f>
        <v>#REF!</v>
      </c>
      <c r="Y19" s="484"/>
      <c r="Z19" s="484"/>
      <c r="AA19" s="484"/>
      <c r="AB19" s="484"/>
      <c r="AC19" s="150">
        <f t="shared" si="7"/>
        <v>0</v>
      </c>
      <c r="AD19" s="150"/>
      <c r="AE19" s="150">
        <f t="shared" si="4"/>
        <v>0</v>
      </c>
      <c r="AF19" s="161"/>
      <c r="AG19" s="143"/>
      <c r="AH19" s="154"/>
      <c r="AI19" s="144"/>
      <c r="AJ19" s="154"/>
      <c r="AK19" s="154"/>
      <c r="AL19" s="220"/>
      <c r="AM19" s="140"/>
      <c r="AN19" s="154"/>
      <c r="AO19" s="154"/>
      <c r="AP19" s="220"/>
      <c r="AQ19" s="145"/>
      <c r="AR19" s="154"/>
      <c r="AS19" s="154"/>
      <c r="AT19" s="220"/>
      <c r="AU19" s="140"/>
      <c r="AV19" s="277"/>
      <c r="AW19" s="277"/>
      <c r="AX19" s="277"/>
      <c r="AY19" s="140"/>
      <c r="AZ19" s="277"/>
      <c r="BA19" s="277"/>
      <c r="BB19" s="277"/>
      <c r="BC19" s="140"/>
      <c r="BD19" s="277"/>
      <c r="BE19" s="277"/>
      <c r="BF19" s="277"/>
      <c r="BG19" s="140"/>
      <c r="BH19" s="277"/>
      <c r="BI19" s="277"/>
      <c r="BJ19" s="277"/>
      <c r="BK19" s="140"/>
      <c r="BL19" s="277"/>
      <c r="BM19" s="277"/>
      <c r="BN19" s="277"/>
      <c r="BO19" s="140"/>
      <c r="BP19" s="277"/>
      <c r="BQ19" s="277"/>
      <c r="BR19" s="277"/>
      <c r="BS19" s="140"/>
      <c r="BT19" s="277"/>
      <c r="BU19" s="277"/>
      <c r="BV19" s="277"/>
      <c r="BW19" s="140"/>
      <c r="BX19" s="154"/>
      <c r="BY19" s="154"/>
      <c r="BZ19" s="220"/>
      <c r="CA19" s="140"/>
      <c r="CB19" s="154"/>
      <c r="CC19" s="154"/>
      <c r="CD19" s="220"/>
      <c r="CE19" s="140"/>
      <c r="CF19" s="271"/>
      <c r="CG19" s="271"/>
      <c r="CH19" s="271"/>
      <c r="CI19" s="140"/>
      <c r="CJ19" s="154"/>
      <c r="CK19" s="154"/>
      <c r="CL19" s="154"/>
      <c r="CM19" s="140"/>
      <c r="CN19" s="271"/>
      <c r="CO19" s="271"/>
      <c r="CP19" s="271"/>
      <c r="CQ19" s="140"/>
      <c r="CR19" s="154"/>
      <c r="CS19" s="154"/>
      <c r="CT19" s="154"/>
      <c r="CU19" s="140"/>
      <c r="CV19" s="154"/>
      <c r="CW19" s="154"/>
      <c r="CX19" s="220"/>
      <c r="CY19" s="140"/>
      <c r="CZ19" s="154"/>
      <c r="DA19" s="154"/>
      <c r="DB19" s="220"/>
      <c r="DC19" s="140"/>
      <c r="DD19" s="146"/>
      <c r="DE19" s="146"/>
      <c r="DF19" s="146"/>
      <c r="DG19" s="140"/>
      <c r="DH19" s="146"/>
      <c r="DI19" s="146"/>
      <c r="DJ19" s="146"/>
      <c r="DK19" s="146"/>
      <c r="DL19" s="146"/>
      <c r="DM19" s="146"/>
      <c r="DN19" s="146"/>
      <c r="DO19" s="146"/>
      <c r="DP19" s="146"/>
      <c r="DQ19" s="146"/>
      <c r="DR19" s="146"/>
      <c r="DS19" s="140"/>
      <c r="DT19" s="154"/>
      <c r="DU19" s="154"/>
      <c r="DV19" s="154"/>
      <c r="DW19" s="140"/>
      <c r="DX19" s="220"/>
      <c r="DY19" s="220"/>
      <c r="DZ19" s="220"/>
      <c r="EA19" s="140"/>
      <c r="EB19" s="220"/>
      <c r="EC19" s="220"/>
      <c r="ED19" s="220"/>
      <c r="EE19" s="140"/>
      <c r="EF19" s="154"/>
      <c r="EG19" s="154"/>
      <c r="EH19" s="154"/>
      <c r="EI19" s="140"/>
      <c r="EJ19" s="154"/>
      <c r="EK19" s="154"/>
      <c r="EL19" s="154"/>
      <c r="EM19" s="140"/>
      <c r="EN19" s="222"/>
      <c r="EO19" s="222"/>
      <c r="EP19" s="222"/>
      <c r="EQ19" s="140"/>
      <c r="ER19" s="222"/>
      <c r="ES19" s="222"/>
      <c r="ET19" s="222"/>
      <c r="EU19" s="140"/>
      <c r="EV19" s="222"/>
      <c r="EW19" s="222"/>
      <c r="EX19" s="222"/>
      <c r="EY19" s="272"/>
      <c r="EZ19" s="222"/>
      <c r="FA19" s="222"/>
      <c r="FB19" s="222"/>
      <c r="FC19" s="273"/>
      <c r="FD19" s="223"/>
      <c r="FE19" s="223"/>
      <c r="FF19" s="276"/>
      <c r="FG19" s="156"/>
      <c r="FH19" s="156"/>
      <c r="FI19" s="156"/>
      <c r="FJ19" s="140"/>
      <c r="FK19" s="277"/>
      <c r="FL19" s="277"/>
      <c r="FM19" s="277"/>
      <c r="FN19" s="140"/>
      <c r="FO19" s="277"/>
      <c r="FP19" s="277"/>
      <c r="FQ19" s="277"/>
      <c r="FR19" s="280"/>
      <c r="FS19" s="277"/>
      <c r="FT19" s="277"/>
      <c r="FU19" s="277"/>
      <c r="FV19" s="277"/>
      <c r="FW19" s="277"/>
      <c r="FX19" s="277"/>
      <c r="FY19" s="277"/>
      <c r="FZ19" s="277"/>
      <c r="GA19" s="277"/>
      <c r="GB19" s="277"/>
      <c r="GC19" s="277"/>
      <c r="GD19" s="277"/>
      <c r="GE19" s="277"/>
      <c r="GF19" s="277"/>
      <c r="GG19" s="277"/>
      <c r="GH19" s="277"/>
      <c r="GI19" s="277"/>
      <c r="GJ19" s="277"/>
      <c r="GK19" s="277"/>
      <c r="GL19" s="277"/>
      <c r="GM19" s="277"/>
      <c r="GN19" s="277"/>
      <c r="GO19" s="277"/>
      <c r="GP19" s="277"/>
      <c r="GQ19" s="277"/>
      <c r="GR19" s="277"/>
      <c r="GS19" s="277"/>
      <c r="GT19" s="277"/>
      <c r="GU19" s="277"/>
      <c r="GV19" s="277"/>
      <c r="GW19" s="277"/>
      <c r="GX19" s="277"/>
      <c r="GY19" s="277"/>
      <c r="GZ19" s="277"/>
      <c r="HA19" s="277"/>
      <c r="HB19" s="277"/>
      <c r="HC19" s="277"/>
      <c r="HD19" s="277"/>
      <c r="HE19" s="277"/>
      <c r="HF19" s="140"/>
      <c r="HG19" s="277"/>
      <c r="HH19" s="277"/>
      <c r="HI19" s="277"/>
      <c r="HJ19" s="140"/>
      <c r="HK19" s="277"/>
      <c r="HL19" s="277"/>
      <c r="HM19" s="277"/>
      <c r="HN19" s="140"/>
      <c r="HO19" s="277"/>
      <c r="HP19" s="277"/>
      <c r="HQ19" s="277"/>
      <c r="HR19" s="277"/>
      <c r="HS19" s="277"/>
      <c r="HT19" s="277"/>
      <c r="HU19" s="277"/>
      <c r="HV19" s="277"/>
      <c r="HW19" s="277"/>
      <c r="HX19" s="277"/>
      <c r="HY19" s="277"/>
      <c r="HZ19" s="140"/>
      <c r="IA19" s="277"/>
      <c r="IB19" s="277"/>
      <c r="IC19" s="277"/>
      <c r="ID19" s="140"/>
      <c r="IE19" s="277"/>
      <c r="IF19" s="277"/>
      <c r="IG19" s="277"/>
      <c r="IH19" s="140"/>
      <c r="II19" s="277"/>
      <c r="IJ19" s="277"/>
      <c r="IK19" s="277"/>
      <c r="IL19" s="140"/>
      <c r="IM19" s="277"/>
      <c r="IN19" s="277"/>
      <c r="IO19" s="277"/>
      <c r="IP19" s="277"/>
      <c r="IQ19" s="277"/>
      <c r="IR19" s="277"/>
      <c r="IS19" s="277"/>
      <c r="IT19" s="277"/>
      <c r="IU19" s="277"/>
      <c r="IV19" s="277"/>
      <c r="IW19" s="277"/>
      <c r="IX19" s="140"/>
      <c r="IY19" s="277"/>
      <c r="IZ19" s="277"/>
      <c r="JA19" s="277"/>
      <c r="JB19" s="140"/>
      <c r="JC19" s="277"/>
      <c r="JD19" s="277"/>
      <c r="JE19" s="277"/>
      <c r="JF19" s="140"/>
      <c r="JG19" s="277"/>
      <c r="JH19" s="277"/>
      <c r="JI19" s="140"/>
      <c r="JJ19" s="277"/>
      <c r="JK19" s="277"/>
      <c r="JL19" s="140"/>
      <c r="JM19" s="277"/>
      <c r="JN19" s="277"/>
      <c r="JO19" s="140"/>
      <c r="JP19" s="277"/>
      <c r="JQ19" s="277"/>
      <c r="JR19" s="277"/>
      <c r="JS19" s="277"/>
      <c r="JT19" s="277"/>
      <c r="JU19" s="277"/>
      <c r="JV19" s="277"/>
      <c r="JW19" s="277"/>
      <c r="JX19" s="277"/>
      <c r="JY19" s="277"/>
      <c r="JZ19" s="277"/>
      <c r="KA19" s="277"/>
      <c r="KB19" s="277"/>
      <c r="KC19" s="277"/>
      <c r="KD19" s="277"/>
      <c r="KE19" s="277"/>
      <c r="KF19" s="277"/>
      <c r="KG19" s="277"/>
      <c r="KH19" s="277"/>
      <c r="KI19" s="277"/>
      <c r="KJ19" s="277"/>
      <c r="KK19" s="277"/>
      <c r="KL19" s="277"/>
      <c r="KM19" s="277"/>
      <c r="KN19" s="277"/>
      <c r="KO19" s="277"/>
      <c r="KP19" s="274"/>
      <c r="KQ19" s="253"/>
      <c r="KR19" s="253"/>
      <c r="KY19" s="141">
        <f t="shared" si="5"/>
        <v>0</v>
      </c>
      <c r="KZ19" s="141">
        <f t="shared" si="6"/>
        <v>0</v>
      </c>
    </row>
    <row r="20" spans="1:319" ht="38.25" customHeight="1" x14ac:dyDescent="0.55000000000000004">
      <c r="B20" s="314" t="s">
        <v>380</v>
      </c>
      <c r="C20" s="218"/>
      <c r="D20" s="218"/>
      <c r="E20" s="218"/>
      <c r="F20" s="218"/>
      <c r="G20" s="218"/>
      <c r="H20" s="218"/>
      <c r="I20" s="162"/>
      <c r="J20" s="142"/>
      <c r="K20" s="142"/>
      <c r="L20" s="268">
        <f t="shared" si="0"/>
        <v>7000</v>
      </c>
      <c r="M20" s="164">
        <f t="shared" si="1"/>
        <v>0</v>
      </c>
      <c r="N20" s="397"/>
      <c r="O20" s="165">
        <f t="shared" si="2"/>
        <v>0</v>
      </c>
      <c r="P20" s="165"/>
      <c r="Q20" s="165"/>
      <c r="R20" s="165" t="e">
        <f>(AM20+AU20+AY20+BC20+BG20+BK20+BO20+BS20+BW20+CA20+CE20+CI20+CM20+CQ20+CU20+CY20+DC20+DG20+DS20+DW20+EA20+EE20+EI20+EM20+EQ20+EU20+#REF!+#REF!+FJ20+FN20+#REF!+#REF!+HF20+#REF!+HJ20+HN20+HZ20+ID20+IH20+IL20+IX20+JB20+JF20+JI20+JL20+JO20)/1000*L20*(C20+D20+E20+I20)</f>
        <v>#REF!</v>
      </c>
      <c r="S20" s="165"/>
      <c r="T20" s="165">
        <f t="shared" si="3"/>
        <v>0</v>
      </c>
      <c r="U20" s="165"/>
      <c r="V20" s="165"/>
      <c r="W20" s="165"/>
      <c r="X20" s="165" t="e">
        <f>(FF20+FC20+#REF!+KP20)/4000*L20*(C20+D20+E20+I20)</f>
        <v>#REF!</v>
      </c>
      <c r="Y20" s="484"/>
      <c r="Z20" s="484"/>
      <c r="AA20" s="484"/>
      <c r="AB20" s="484"/>
      <c r="AC20" s="150">
        <f t="shared" si="7"/>
        <v>0</v>
      </c>
      <c r="AD20" s="150"/>
      <c r="AE20" s="150">
        <f t="shared" si="4"/>
        <v>0</v>
      </c>
      <c r="AF20" s="161"/>
      <c r="AG20" s="143"/>
      <c r="AH20" s="154"/>
      <c r="AI20" s="144"/>
      <c r="AJ20" s="154"/>
      <c r="AK20" s="154"/>
      <c r="AL20" s="220"/>
      <c r="AM20" s="140"/>
      <c r="AN20" s="154"/>
      <c r="AO20" s="154"/>
      <c r="AP20" s="220"/>
      <c r="AQ20" s="145"/>
      <c r="AR20" s="154"/>
      <c r="AS20" s="154"/>
      <c r="AT20" s="220"/>
      <c r="AU20" s="140"/>
      <c r="AV20" s="277"/>
      <c r="AW20" s="277"/>
      <c r="AX20" s="277"/>
      <c r="AY20" s="140"/>
      <c r="AZ20" s="277"/>
      <c r="BA20" s="277"/>
      <c r="BB20" s="277"/>
      <c r="BC20" s="140"/>
      <c r="BD20" s="277"/>
      <c r="BE20" s="277"/>
      <c r="BF20" s="277"/>
      <c r="BG20" s="140"/>
      <c r="BH20" s="277"/>
      <c r="BI20" s="277"/>
      <c r="BJ20" s="277"/>
      <c r="BK20" s="140"/>
      <c r="BL20" s="277"/>
      <c r="BM20" s="277"/>
      <c r="BN20" s="277"/>
      <c r="BO20" s="140"/>
      <c r="BP20" s="277"/>
      <c r="BQ20" s="277"/>
      <c r="BR20" s="277"/>
      <c r="BS20" s="140"/>
      <c r="BT20" s="277"/>
      <c r="BU20" s="277"/>
      <c r="BV20" s="277"/>
      <c r="BW20" s="140"/>
      <c r="BX20" s="154"/>
      <c r="BY20" s="154"/>
      <c r="BZ20" s="220"/>
      <c r="CA20" s="140"/>
      <c r="CB20" s="154"/>
      <c r="CC20" s="154"/>
      <c r="CD20" s="220"/>
      <c r="CE20" s="140"/>
      <c r="CF20" s="271"/>
      <c r="CG20" s="271"/>
      <c r="CH20" s="271"/>
      <c r="CI20" s="140"/>
      <c r="CJ20" s="154"/>
      <c r="CK20" s="154"/>
      <c r="CL20" s="154"/>
      <c r="CM20" s="140"/>
      <c r="CN20" s="271"/>
      <c r="CO20" s="271"/>
      <c r="CP20" s="271"/>
      <c r="CQ20" s="140"/>
      <c r="CR20" s="154"/>
      <c r="CS20" s="154"/>
      <c r="CT20" s="154"/>
      <c r="CU20" s="140"/>
      <c r="CV20" s="154"/>
      <c r="CW20" s="154"/>
      <c r="CX20" s="220"/>
      <c r="CY20" s="140"/>
      <c r="CZ20" s="154"/>
      <c r="DA20" s="154"/>
      <c r="DB20" s="220"/>
      <c r="DC20" s="140"/>
      <c r="DD20" s="146"/>
      <c r="DE20" s="146"/>
      <c r="DF20" s="146"/>
      <c r="DG20" s="140"/>
      <c r="DH20" s="146"/>
      <c r="DI20" s="146"/>
      <c r="DJ20" s="146"/>
      <c r="DK20" s="146"/>
      <c r="DL20" s="146"/>
      <c r="DM20" s="146"/>
      <c r="DN20" s="146"/>
      <c r="DO20" s="146"/>
      <c r="DP20" s="146"/>
      <c r="DQ20" s="146"/>
      <c r="DR20" s="146"/>
      <c r="DS20" s="140"/>
      <c r="DT20" s="154"/>
      <c r="DU20" s="154"/>
      <c r="DV20" s="154"/>
      <c r="DW20" s="140"/>
      <c r="DX20" s="220"/>
      <c r="DY20" s="220"/>
      <c r="DZ20" s="220"/>
      <c r="EA20" s="140"/>
      <c r="EB20" s="220"/>
      <c r="EC20" s="220"/>
      <c r="ED20" s="220"/>
      <c r="EE20" s="140"/>
      <c r="EF20" s="154"/>
      <c r="EG20" s="154"/>
      <c r="EH20" s="154"/>
      <c r="EI20" s="140"/>
      <c r="EJ20" s="154"/>
      <c r="EK20" s="154"/>
      <c r="EL20" s="154"/>
      <c r="EM20" s="140"/>
      <c r="EN20" s="222"/>
      <c r="EO20" s="222"/>
      <c r="EP20" s="222"/>
      <c r="EQ20" s="140"/>
      <c r="ER20" s="222"/>
      <c r="ES20" s="222"/>
      <c r="ET20" s="222"/>
      <c r="EU20" s="140"/>
      <c r="EV20" s="222"/>
      <c r="EW20" s="222"/>
      <c r="EX20" s="222"/>
      <c r="EY20" s="272"/>
      <c r="EZ20" s="222"/>
      <c r="FA20" s="222"/>
      <c r="FB20" s="222"/>
      <c r="FC20" s="273"/>
      <c r="FD20" s="223"/>
      <c r="FE20" s="223"/>
      <c r="FF20" s="276"/>
      <c r="FG20" s="156"/>
      <c r="FH20" s="156"/>
      <c r="FI20" s="156"/>
      <c r="FJ20" s="140"/>
      <c r="FK20" s="277"/>
      <c r="FL20" s="277"/>
      <c r="FM20" s="277"/>
      <c r="FN20" s="140"/>
      <c r="FO20" s="277"/>
      <c r="FP20" s="277"/>
      <c r="FQ20" s="277"/>
      <c r="FR20" s="280"/>
      <c r="FS20" s="277"/>
      <c r="FT20" s="277"/>
      <c r="FU20" s="277"/>
      <c r="FV20" s="277"/>
      <c r="FW20" s="277"/>
      <c r="FX20" s="277"/>
      <c r="FY20" s="277"/>
      <c r="FZ20" s="277"/>
      <c r="GA20" s="277"/>
      <c r="GB20" s="277"/>
      <c r="GC20" s="277"/>
      <c r="GD20" s="277"/>
      <c r="GE20" s="277"/>
      <c r="GF20" s="277"/>
      <c r="GG20" s="277"/>
      <c r="GH20" s="277"/>
      <c r="GI20" s="277"/>
      <c r="GJ20" s="277"/>
      <c r="GK20" s="277"/>
      <c r="GL20" s="277"/>
      <c r="GM20" s="277"/>
      <c r="GN20" s="277"/>
      <c r="GO20" s="277"/>
      <c r="GP20" s="277"/>
      <c r="GQ20" s="277"/>
      <c r="GR20" s="277"/>
      <c r="GS20" s="277"/>
      <c r="GT20" s="277"/>
      <c r="GU20" s="277"/>
      <c r="GV20" s="277"/>
      <c r="GW20" s="277"/>
      <c r="GX20" s="277"/>
      <c r="GY20" s="277"/>
      <c r="GZ20" s="277"/>
      <c r="HA20" s="277"/>
      <c r="HB20" s="277"/>
      <c r="HC20" s="277"/>
      <c r="HD20" s="277"/>
      <c r="HE20" s="277"/>
      <c r="HF20" s="140"/>
      <c r="HG20" s="277"/>
      <c r="HH20" s="277"/>
      <c r="HI20" s="277"/>
      <c r="HJ20" s="140"/>
      <c r="HK20" s="277"/>
      <c r="HL20" s="277"/>
      <c r="HM20" s="277"/>
      <c r="HN20" s="140"/>
      <c r="HO20" s="277"/>
      <c r="HP20" s="277"/>
      <c r="HQ20" s="277"/>
      <c r="HR20" s="277"/>
      <c r="HS20" s="277"/>
      <c r="HT20" s="277"/>
      <c r="HU20" s="277"/>
      <c r="HV20" s="277"/>
      <c r="HW20" s="277"/>
      <c r="HX20" s="277"/>
      <c r="HY20" s="277"/>
      <c r="HZ20" s="140"/>
      <c r="IA20" s="277"/>
      <c r="IB20" s="277"/>
      <c r="IC20" s="277"/>
      <c r="ID20" s="140"/>
      <c r="IE20" s="277"/>
      <c r="IF20" s="277"/>
      <c r="IG20" s="277"/>
      <c r="IH20" s="140"/>
      <c r="II20" s="277"/>
      <c r="IJ20" s="277"/>
      <c r="IK20" s="277"/>
      <c r="IL20" s="140"/>
      <c r="IM20" s="277"/>
      <c r="IN20" s="277"/>
      <c r="IO20" s="277"/>
      <c r="IP20" s="277"/>
      <c r="IQ20" s="277"/>
      <c r="IR20" s="277"/>
      <c r="IS20" s="277"/>
      <c r="IT20" s="277"/>
      <c r="IU20" s="277"/>
      <c r="IV20" s="277"/>
      <c r="IW20" s="277"/>
      <c r="IX20" s="140"/>
      <c r="IY20" s="277"/>
      <c r="IZ20" s="277"/>
      <c r="JA20" s="277"/>
      <c r="JB20" s="140"/>
      <c r="JC20" s="277"/>
      <c r="JD20" s="277"/>
      <c r="JE20" s="277"/>
      <c r="JF20" s="140"/>
      <c r="JG20" s="277"/>
      <c r="JH20" s="277"/>
      <c r="JI20" s="140"/>
      <c r="JJ20" s="277"/>
      <c r="JK20" s="277"/>
      <c r="JL20" s="140"/>
      <c r="JM20" s="277"/>
      <c r="JN20" s="277"/>
      <c r="JO20" s="140"/>
      <c r="JP20" s="277"/>
      <c r="JQ20" s="277"/>
      <c r="JR20" s="277"/>
      <c r="JS20" s="277"/>
      <c r="JT20" s="277"/>
      <c r="JU20" s="277"/>
      <c r="JV20" s="277"/>
      <c r="JW20" s="277"/>
      <c r="JX20" s="277"/>
      <c r="JY20" s="277"/>
      <c r="JZ20" s="277"/>
      <c r="KA20" s="277"/>
      <c r="KB20" s="277"/>
      <c r="KC20" s="277"/>
      <c r="KD20" s="277"/>
      <c r="KE20" s="277"/>
      <c r="KF20" s="277"/>
      <c r="KG20" s="277"/>
      <c r="KH20" s="277"/>
      <c r="KI20" s="277"/>
      <c r="KJ20" s="277"/>
      <c r="KK20" s="277"/>
      <c r="KL20" s="277"/>
      <c r="KM20" s="277"/>
      <c r="KN20" s="277"/>
      <c r="KO20" s="277"/>
      <c r="KP20" s="274"/>
      <c r="KQ20" s="253"/>
      <c r="KR20" s="253"/>
      <c r="KY20" s="141">
        <f t="shared" si="5"/>
        <v>0</v>
      </c>
      <c r="KZ20" s="141">
        <f t="shared" si="6"/>
        <v>0</v>
      </c>
    </row>
    <row r="21" spans="1:319" ht="38.25" customHeight="1" x14ac:dyDescent="0.55000000000000004">
      <c r="B21" s="314" t="s">
        <v>381</v>
      </c>
      <c r="C21" s="218"/>
      <c r="D21" s="218"/>
      <c r="E21" s="218"/>
      <c r="F21" s="218"/>
      <c r="G21" s="218"/>
      <c r="H21" s="218"/>
      <c r="I21" s="162"/>
      <c r="J21" s="142"/>
      <c r="K21" s="142"/>
      <c r="L21" s="268">
        <f t="shared" si="0"/>
        <v>7000</v>
      </c>
      <c r="M21" s="164">
        <f t="shared" si="1"/>
        <v>0</v>
      </c>
      <c r="N21" s="397"/>
      <c r="O21" s="165">
        <f t="shared" si="2"/>
        <v>0</v>
      </c>
      <c r="P21" s="165"/>
      <c r="Q21" s="165"/>
      <c r="R21" s="165" t="e">
        <f>(AM21+AU21+AY21+BC21+BG21+BK21+BO21+BS21+BW21+CA21+CE21+CI21+CM21+CQ21+CU21+CY21+DC21+DG21+DS21+DW21+EA21+EE21+EI21+EM21+EQ21+EU21+#REF!+#REF!+FJ21+FN21+#REF!+#REF!+HF21+#REF!+HJ21+HN21+HZ21+ID21+IH21+IL21+IX21+JB21+JF21+JI21+JL21+JO21)/1000*L21*(C21+D21+E21+I21)</f>
        <v>#REF!</v>
      </c>
      <c r="S21" s="165"/>
      <c r="T21" s="165">
        <f t="shared" si="3"/>
        <v>0</v>
      </c>
      <c r="U21" s="165"/>
      <c r="V21" s="165"/>
      <c r="W21" s="165"/>
      <c r="X21" s="165" t="e">
        <f>(FF21+FC21+#REF!+KP21)/4000*L21*(C21+D21+E21+I21)</f>
        <v>#REF!</v>
      </c>
      <c r="Y21" s="484"/>
      <c r="Z21" s="484"/>
      <c r="AA21" s="484"/>
      <c r="AB21" s="484"/>
      <c r="AC21" s="150">
        <f t="shared" si="7"/>
        <v>0</v>
      </c>
      <c r="AD21" s="150"/>
      <c r="AE21" s="150">
        <f t="shared" si="4"/>
        <v>0</v>
      </c>
      <c r="AF21" s="161"/>
      <c r="AG21" s="143"/>
      <c r="AH21" s="154"/>
      <c r="AI21" s="144"/>
      <c r="AJ21" s="154"/>
      <c r="AK21" s="154"/>
      <c r="AL21" s="220"/>
      <c r="AM21" s="140"/>
      <c r="AN21" s="154"/>
      <c r="AO21" s="154"/>
      <c r="AP21" s="220"/>
      <c r="AQ21" s="145"/>
      <c r="AR21" s="154"/>
      <c r="AS21" s="154"/>
      <c r="AT21" s="220"/>
      <c r="AU21" s="140"/>
      <c r="AV21" s="277"/>
      <c r="AW21" s="277"/>
      <c r="AX21" s="277"/>
      <c r="AY21" s="140"/>
      <c r="AZ21" s="277"/>
      <c r="BA21" s="277"/>
      <c r="BB21" s="277"/>
      <c r="BC21" s="140"/>
      <c r="BD21" s="277"/>
      <c r="BE21" s="277"/>
      <c r="BF21" s="277"/>
      <c r="BG21" s="140"/>
      <c r="BH21" s="277"/>
      <c r="BI21" s="277"/>
      <c r="BJ21" s="277"/>
      <c r="BK21" s="140"/>
      <c r="BL21" s="277"/>
      <c r="BM21" s="277"/>
      <c r="BN21" s="277"/>
      <c r="BO21" s="140"/>
      <c r="BP21" s="277"/>
      <c r="BQ21" s="277"/>
      <c r="BR21" s="277"/>
      <c r="BS21" s="140"/>
      <c r="BT21" s="277"/>
      <c r="BU21" s="277"/>
      <c r="BV21" s="277"/>
      <c r="BW21" s="140"/>
      <c r="BX21" s="154"/>
      <c r="BY21" s="154"/>
      <c r="BZ21" s="220"/>
      <c r="CA21" s="140"/>
      <c r="CB21" s="154"/>
      <c r="CC21" s="154"/>
      <c r="CD21" s="220"/>
      <c r="CE21" s="140"/>
      <c r="CF21" s="271"/>
      <c r="CG21" s="271"/>
      <c r="CH21" s="271"/>
      <c r="CI21" s="140"/>
      <c r="CJ21" s="154"/>
      <c r="CK21" s="154"/>
      <c r="CL21" s="154"/>
      <c r="CM21" s="140"/>
      <c r="CN21" s="271"/>
      <c r="CO21" s="271"/>
      <c r="CP21" s="271"/>
      <c r="CQ21" s="140"/>
      <c r="CR21" s="154"/>
      <c r="CS21" s="154"/>
      <c r="CT21" s="154"/>
      <c r="CU21" s="140"/>
      <c r="CV21" s="154"/>
      <c r="CW21" s="154"/>
      <c r="CX21" s="220"/>
      <c r="CY21" s="140"/>
      <c r="CZ21" s="154"/>
      <c r="DA21" s="154"/>
      <c r="DB21" s="220"/>
      <c r="DC21" s="140"/>
      <c r="DD21" s="146"/>
      <c r="DE21" s="146"/>
      <c r="DF21" s="146"/>
      <c r="DG21" s="140"/>
      <c r="DH21" s="146"/>
      <c r="DI21" s="146"/>
      <c r="DJ21" s="146"/>
      <c r="DK21" s="146"/>
      <c r="DL21" s="146"/>
      <c r="DM21" s="146"/>
      <c r="DN21" s="146"/>
      <c r="DO21" s="146"/>
      <c r="DP21" s="146"/>
      <c r="DQ21" s="146"/>
      <c r="DR21" s="146"/>
      <c r="DS21" s="140"/>
      <c r="DT21" s="154"/>
      <c r="DU21" s="154"/>
      <c r="DV21" s="154"/>
      <c r="DW21" s="140"/>
      <c r="DX21" s="220"/>
      <c r="DY21" s="220"/>
      <c r="DZ21" s="220"/>
      <c r="EA21" s="140"/>
      <c r="EB21" s="220"/>
      <c r="EC21" s="220"/>
      <c r="ED21" s="220"/>
      <c r="EE21" s="140"/>
      <c r="EF21" s="154"/>
      <c r="EG21" s="154"/>
      <c r="EH21" s="154"/>
      <c r="EI21" s="140"/>
      <c r="EJ21" s="154"/>
      <c r="EK21" s="154"/>
      <c r="EL21" s="154"/>
      <c r="EM21" s="140"/>
      <c r="EN21" s="222"/>
      <c r="EO21" s="222"/>
      <c r="EP21" s="222"/>
      <c r="EQ21" s="140"/>
      <c r="ER21" s="222"/>
      <c r="ES21" s="222"/>
      <c r="ET21" s="222"/>
      <c r="EU21" s="140"/>
      <c r="EV21" s="222"/>
      <c r="EW21" s="222"/>
      <c r="EX21" s="222"/>
      <c r="EY21" s="272"/>
      <c r="EZ21" s="222"/>
      <c r="FA21" s="222"/>
      <c r="FB21" s="222"/>
      <c r="FC21" s="273"/>
      <c r="FD21" s="223"/>
      <c r="FE21" s="223"/>
      <c r="FF21" s="276"/>
      <c r="FG21" s="156"/>
      <c r="FH21" s="156"/>
      <c r="FI21" s="156"/>
      <c r="FJ21" s="140"/>
      <c r="FK21" s="277"/>
      <c r="FL21" s="277"/>
      <c r="FM21" s="277"/>
      <c r="FN21" s="140"/>
      <c r="FO21" s="277"/>
      <c r="FP21" s="277"/>
      <c r="FQ21" s="277"/>
      <c r="FR21" s="280"/>
      <c r="FS21" s="277"/>
      <c r="FT21" s="277"/>
      <c r="FU21" s="277"/>
      <c r="FV21" s="277"/>
      <c r="FW21" s="277"/>
      <c r="FX21" s="277"/>
      <c r="FY21" s="277"/>
      <c r="FZ21" s="277"/>
      <c r="GA21" s="277"/>
      <c r="GB21" s="277"/>
      <c r="GC21" s="277"/>
      <c r="GD21" s="277"/>
      <c r="GE21" s="277"/>
      <c r="GF21" s="277"/>
      <c r="GG21" s="277"/>
      <c r="GH21" s="277"/>
      <c r="GI21" s="277"/>
      <c r="GJ21" s="277"/>
      <c r="GK21" s="277"/>
      <c r="GL21" s="277"/>
      <c r="GM21" s="277"/>
      <c r="GN21" s="277"/>
      <c r="GO21" s="277"/>
      <c r="GP21" s="277"/>
      <c r="GQ21" s="277"/>
      <c r="GR21" s="277"/>
      <c r="GS21" s="277"/>
      <c r="GT21" s="277"/>
      <c r="GU21" s="277"/>
      <c r="GV21" s="277"/>
      <c r="GW21" s="277"/>
      <c r="GX21" s="277"/>
      <c r="GY21" s="277"/>
      <c r="GZ21" s="277"/>
      <c r="HA21" s="277"/>
      <c r="HB21" s="277"/>
      <c r="HC21" s="277"/>
      <c r="HD21" s="277"/>
      <c r="HE21" s="277"/>
      <c r="HF21" s="140"/>
      <c r="HG21" s="277"/>
      <c r="HH21" s="277"/>
      <c r="HI21" s="277"/>
      <c r="HJ21" s="140"/>
      <c r="HK21" s="277"/>
      <c r="HL21" s="277"/>
      <c r="HM21" s="277"/>
      <c r="HN21" s="140"/>
      <c r="HO21" s="277"/>
      <c r="HP21" s="277"/>
      <c r="HQ21" s="277"/>
      <c r="HR21" s="277"/>
      <c r="HS21" s="277"/>
      <c r="HT21" s="277"/>
      <c r="HU21" s="277"/>
      <c r="HV21" s="277"/>
      <c r="HW21" s="277"/>
      <c r="HX21" s="277"/>
      <c r="HY21" s="277"/>
      <c r="HZ21" s="140"/>
      <c r="IA21" s="277"/>
      <c r="IB21" s="277"/>
      <c r="IC21" s="277"/>
      <c r="ID21" s="140"/>
      <c r="IE21" s="277"/>
      <c r="IF21" s="277"/>
      <c r="IG21" s="277"/>
      <c r="IH21" s="140"/>
      <c r="II21" s="277"/>
      <c r="IJ21" s="277"/>
      <c r="IK21" s="277"/>
      <c r="IL21" s="140"/>
      <c r="IM21" s="277"/>
      <c r="IN21" s="277"/>
      <c r="IO21" s="277"/>
      <c r="IP21" s="277"/>
      <c r="IQ21" s="277"/>
      <c r="IR21" s="277"/>
      <c r="IS21" s="277"/>
      <c r="IT21" s="277"/>
      <c r="IU21" s="277"/>
      <c r="IV21" s="277"/>
      <c r="IW21" s="277"/>
      <c r="IX21" s="140"/>
      <c r="IY21" s="277"/>
      <c r="IZ21" s="277"/>
      <c r="JA21" s="277"/>
      <c r="JB21" s="140"/>
      <c r="JC21" s="277"/>
      <c r="JD21" s="277"/>
      <c r="JE21" s="277"/>
      <c r="JF21" s="140"/>
      <c r="JG21" s="277"/>
      <c r="JH21" s="277"/>
      <c r="JI21" s="140"/>
      <c r="JJ21" s="277"/>
      <c r="JK21" s="277"/>
      <c r="JL21" s="140"/>
      <c r="JM21" s="277"/>
      <c r="JN21" s="277"/>
      <c r="JO21" s="140"/>
      <c r="JP21" s="277"/>
      <c r="JQ21" s="277"/>
      <c r="JR21" s="277"/>
      <c r="JS21" s="277"/>
      <c r="JT21" s="277"/>
      <c r="JU21" s="277"/>
      <c r="JV21" s="277"/>
      <c r="JW21" s="277"/>
      <c r="JX21" s="277"/>
      <c r="JY21" s="277"/>
      <c r="JZ21" s="277"/>
      <c r="KA21" s="277"/>
      <c r="KB21" s="277"/>
      <c r="KC21" s="277"/>
      <c r="KD21" s="277"/>
      <c r="KE21" s="277"/>
      <c r="KF21" s="277"/>
      <c r="KG21" s="277"/>
      <c r="KH21" s="277"/>
      <c r="KI21" s="277"/>
      <c r="KJ21" s="277"/>
      <c r="KK21" s="277"/>
      <c r="KL21" s="277"/>
      <c r="KM21" s="277"/>
      <c r="KN21" s="277"/>
      <c r="KO21" s="277"/>
      <c r="KP21" s="274"/>
      <c r="KQ21" s="253"/>
      <c r="KR21" s="253"/>
      <c r="KY21" s="141">
        <f t="shared" si="5"/>
        <v>0</v>
      </c>
      <c r="KZ21" s="141">
        <f t="shared" si="6"/>
        <v>0</v>
      </c>
    </row>
    <row r="22" spans="1:319" ht="38.25" customHeight="1" x14ac:dyDescent="0.55000000000000004">
      <c r="B22" s="314" t="s">
        <v>383</v>
      </c>
      <c r="C22" s="218"/>
      <c r="D22" s="218"/>
      <c r="E22" s="218"/>
      <c r="F22" s="218"/>
      <c r="G22" s="218"/>
      <c r="H22" s="218"/>
      <c r="I22" s="162"/>
      <c r="J22" s="142"/>
      <c r="K22" s="142"/>
      <c r="L22" s="268">
        <f t="shared" si="0"/>
        <v>7000</v>
      </c>
      <c r="M22" s="164">
        <f t="shared" si="1"/>
        <v>0</v>
      </c>
      <c r="N22" s="397"/>
      <c r="O22" s="165">
        <f t="shared" si="2"/>
        <v>0</v>
      </c>
      <c r="P22" s="165"/>
      <c r="Q22" s="165"/>
      <c r="R22" s="165" t="e">
        <f>(AM22+AU22+AY22+BC22+BG22+BK22+BO22+BS22+BW22+CA22+CE22+CI22+CM22+CQ22+CU22+CY22+DC22+DG22+DS22+DW22+EA22+EE22+EI22+EM22+EQ22+EU22+#REF!+#REF!+FJ22+FN22+#REF!+#REF!+HF22+#REF!+HJ22+HN22+HZ22+ID22+IH22+IL22+IX22+JB22+JF22+JI22+JL22+JO22)/1000*L22*(C22+D22+E22+I22)</f>
        <v>#REF!</v>
      </c>
      <c r="S22" s="165"/>
      <c r="T22" s="165">
        <f t="shared" si="3"/>
        <v>0</v>
      </c>
      <c r="U22" s="165"/>
      <c r="V22" s="165"/>
      <c r="W22" s="165"/>
      <c r="X22" s="165" t="e">
        <f>(FF22+FC22+#REF!+KP22)/4000*L22*(C22+D22+E22+I22)</f>
        <v>#REF!</v>
      </c>
      <c r="Y22" s="484"/>
      <c r="Z22" s="484"/>
      <c r="AA22" s="484"/>
      <c r="AB22" s="484"/>
      <c r="AC22" s="150">
        <f t="shared" si="7"/>
        <v>0</v>
      </c>
      <c r="AD22" s="150"/>
      <c r="AE22" s="150">
        <f t="shared" si="4"/>
        <v>0</v>
      </c>
      <c r="AF22" s="161"/>
      <c r="AG22" s="143"/>
      <c r="AH22" s="154"/>
      <c r="AI22" s="144"/>
      <c r="AJ22" s="154"/>
      <c r="AK22" s="154"/>
      <c r="AL22" s="220"/>
      <c r="AM22" s="140"/>
      <c r="AN22" s="154"/>
      <c r="AO22" s="154"/>
      <c r="AP22" s="220"/>
      <c r="AQ22" s="145"/>
      <c r="AR22" s="154"/>
      <c r="AS22" s="154"/>
      <c r="AT22" s="220"/>
      <c r="AU22" s="140"/>
      <c r="AV22" s="277"/>
      <c r="AW22" s="277"/>
      <c r="AX22" s="277"/>
      <c r="AY22" s="140"/>
      <c r="AZ22" s="277"/>
      <c r="BA22" s="277"/>
      <c r="BB22" s="277"/>
      <c r="BC22" s="140"/>
      <c r="BD22" s="277"/>
      <c r="BE22" s="277"/>
      <c r="BF22" s="277"/>
      <c r="BG22" s="140"/>
      <c r="BH22" s="277"/>
      <c r="BI22" s="277"/>
      <c r="BJ22" s="277"/>
      <c r="BK22" s="140"/>
      <c r="BL22" s="277"/>
      <c r="BM22" s="277"/>
      <c r="BN22" s="277"/>
      <c r="BO22" s="140"/>
      <c r="BP22" s="277"/>
      <c r="BQ22" s="277"/>
      <c r="BR22" s="277"/>
      <c r="BS22" s="140"/>
      <c r="BT22" s="277"/>
      <c r="BU22" s="277"/>
      <c r="BV22" s="277"/>
      <c r="BW22" s="140"/>
      <c r="BX22" s="154"/>
      <c r="BY22" s="154"/>
      <c r="BZ22" s="220"/>
      <c r="CA22" s="140"/>
      <c r="CB22" s="154"/>
      <c r="CC22" s="154"/>
      <c r="CD22" s="220"/>
      <c r="CE22" s="140"/>
      <c r="CF22" s="271"/>
      <c r="CG22" s="271"/>
      <c r="CH22" s="271"/>
      <c r="CI22" s="140"/>
      <c r="CJ22" s="154"/>
      <c r="CK22" s="154"/>
      <c r="CL22" s="154"/>
      <c r="CM22" s="140"/>
      <c r="CN22" s="271"/>
      <c r="CO22" s="271"/>
      <c r="CP22" s="271"/>
      <c r="CQ22" s="140"/>
      <c r="CR22" s="154"/>
      <c r="CS22" s="154"/>
      <c r="CT22" s="154"/>
      <c r="CU22" s="140"/>
      <c r="CV22" s="154"/>
      <c r="CW22" s="154"/>
      <c r="CX22" s="220"/>
      <c r="CY22" s="140"/>
      <c r="CZ22" s="154"/>
      <c r="DA22" s="154"/>
      <c r="DB22" s="220"/>
      <c r="DC22" s="140"/>
      <c r="DD22" s="146"/>
      <c r="DE22" s="146"/>
      <c r="DF22" s="146"/>
      <c r="DG22" s="140"/>
      <c r="DH22" s="146"/>
      <c r="DI22" s="146"/>
      <c r="DJ22" s="146"/>
      <c r="DK22" s="146"/>
      <c r="DL22" s="146"/>
      <c r="DM22" s="146"/>
      <c r="DN22" s="146"/>
      <c r="DO22" s="146"/>
      <c r="DP22" s="146"/>
      <c r="DQ22" s="146"/>
      <c r="DR22" s="146"/>
      <c r="DS22" s="140"/>
      <c r="DT22" s="154"/>
      <c r="DU22" s="154"/>
      <c r="DV22" s="154"/>
      <c r="DW22" s="140"/>
      <c r="DX22" s="220"/>
      <c r="DY22" s="220"/>
      <c r="DZ22" s="220"/>
      <c r="EA22" s="140"/>
      <c r="EB22" s="220"/>
      <c r="EC22" s="220"/>
      <c r="ED22" s="220"/>
      <c r="EE22" s="140"/>
      <c r="EF22" s="154"/>
      <c r="EG22" s="154"/>
      <c r="EH22" s="154"/>
      <c r="EI22" s="140"/>
      <c r="EJ22" s="154"/>
      <c r="EK22" s="154"/>
      <c r="EL22" s="154"/>
      <c r="EM22" s="140"/>
      <c r="EN22" s="222"/>
      <c r="EO22" s="222"/>
      <c r="EP22" s="222"/>
      <c r="EQ22" s="140"/>
      <c r="ER22" s="222"/>
      <c r="ES22" s="222"/>
      <c r="ET22" s="222"/>
      <c r="EU22" s="140"/>
      <c r="EV22" s="222"/>
      <c r="EW22" s="222"/>
      <c r="EX22" s="222"/>
      <c r="EY22" s="272"/>
      <c r="EZ22" s="222"/>
      <c r="FA22" s="222"/>
      <c r="FB22" s="222"/>
      <c r="FC22" s="273"/>
      <c r="FD22" s="223"/>
      <c r="FE22" s="223"/>
      <c r="FF22" s="276"/>
      <c r="FG22" s="156"/>
      <c r="FH22" s="156"/>
      <c r="FI22" s="156"/>
      <c r="FJ22" s="140"/>
      <c r="FK22" s="277"/>
      <c r="FL22" s="277"/>
      <c r="FM22" s="277"/>
      <c r="FN22" s="140"/>
      <c r="FO22" s="277"/>
      <c r="FP22" s="277"/>
      <c r="FQ22" s="277"/>
      <c r="FR22" s="280"/>
      <c r="FS22" s="277"/>
      <c r="FT22" s="277"/>
      <c r="FU22" s="277"/>
      <c r="FV22" s="277"/>
      <c r="FW22" s="277"/>
      <c r="FX22" s="277"/>
      <c r="FY22" s="277"/>
      <c r="FZ22" s="277"/>
      <c r="GA22" s="277"/>
      <c r="GB22" s="277"/>
      <c r="GC22" s="277"/>
      <c r="GD22" s="277"/>
      <c r="GE22" s="277"/>
      <c r="GF22" s="277"/>
      <c r="GG22" s="277"/>
      <c r="GH22" s="277"/>
      <c r="GI22" s="277"/>
      <c r="GJ22" s="277"/>
      <c r="GK22" s="277"/>
      <c r="GL22" s="277"/>
      <c r="GM22" s="277"/>
      <c r="GN22" s="277"/>
      <c r="GO22" s="277"/>
      <c r="GP22" s="277"/>
      <c r="GQ22" s="277"/>
      <c r="GR22" s="277"/>
      <c r="GS22" s="277"/>
      <c r="GT22" s="277"/>
      <c r="GU22" s="277"/>
      <c r="GV22" s="277"/>
      <c r="GW22" s="277"/>
      <c r="GX22" s="277"/>
      <c r="GY22" s="277"/>
      <c r="GZ22" s="277"/>
      <c r="HA22" s="277"/>
      <c r="HB22" s="277"/>
      <c r="HC22" s="277"/>
      <c r="HD22" s="277"/>
      <c r="HE22" s="277"/>
      <c r="HF22" s="140"/>
      <c r="HG22" s="277"/>
      <c r="HH22" s="277"/>
      <c r="HI22" s="277"/>
      <c r="HJ22" s="140"/>
      <c r="HK22" s="277"/>
      <c r="HL22" s="277"/>
      <c r="HM22" s="277"/>
      <c r="HN22" s="140"/>
      <c r="HO22" s="277"/>
      <c r="HP22" s="277"/>
      <c r="HQ22" s="277"/>
      <c r="HR22" s="277"/>
      <c r="HS22" s="277"/>
      <c r="HT22" s="277"/>
      <c r="HU22" s="277"/>
      <c r="HV22" s="277"/>
      <c r="HW22" s="277"/>
      <c r="HX22" s="277"/>
      <c r="HY22" s="277"/>
      <c r="HZ22" s="140"/>
      <c r="IA22" s="277"/>
      <c r="IB22" s="277"/>
      <c r="IC22" s="277"/>
      <c r="ID22" s="140"/>
      <c r="IE22" s="277"/>
      <c r="IF22" s="277"/>
      <c r="IG22" s="277"/>
      <c r="IH22" s="140"/>
      <c r="II22" s="277"/>
      <c r="IJ22" s="277"/>
      <c r="IK22" s="277"/>
      <c r="IL22" s="140"/>
      <c r="IM22" s="277"/>
      <c r="IN22" s="277"/>
      <c r="IO22" s="277"/>
      <c r="IP22" s="277"/>
      <c r="IQ22" s="277"/>
      <c r="IR22" s="277"/>
      <c r="IS22" s="277"/>
      <c r="IT22" s="277"/>
      <c r="IU22" s="277"/>
      <c r="IV22" s="277"/>
      <c r="IW22" s="277"/>
      <c r="IX22" s="140"/>
      <c r="IY22" s="277"/>
      <c r="IZ22" s="277"/>
      <c r="JA22" s="277"/>
      <c r="JB22" s="140"/>
      <c r="JC22" s="277"/>
      <c r="JD22" s="277"/>
      <c r="JE22" s="277"/>
      <c r="JF22" s="140"/>
      <c r="JG22" s="277"/>
      <c r="JH22" s="277"/>
      <c r="JI22" s="140"/>
      <c r="JJ22" s="277"/>
      <c r="JK22" s="277"/>
      <c r="JL22" s="140"/>
      <c r="JM22" s="277"/>
      <c r="JN22" s="277"/>
      <c r="JO22" s="140"/>
      <c r="JP22" s="277"/>
      <c r="JQ22" s="277"/>
      <c r="JR22" s="277"/>
      <c r="JS22" s="277"/>
      <c r="JT22" s="277"/>
      <c r="JU22" s="277"/>
      <c r="JV22" s="277"/>
      <c r="JW22" s="277"/>
      <c r="JX22" s="277"/>
      <c r="JY22" s="277"/>
      <c r="JZ22" s="277"/>
      <c r="KA22" s="277"/>
      <c r="KB22" s="277"/>
      <c r="KC22" s="277"/>
      <c r="KD22" s="277"/>
      <c r="KE22" s="277"/>
      <c r="KF22" s="277"/>
      <c r="KG22" s="277"/>
      <c r="KH22" s="277"/>
      <c r="KI22" s="277"/>
      <c r="KJ22" s="277"/>
      <c r="KK22" s="277"/>
      <c r="KL22" s="277"/>
      <c r="KM22" s="277"/>
      <c r="KN22" s="277"/>
      <c r="KO22" s="277"/>
      <c r="KP22" s="274"/>
      <c r="KQ22" s="253"/>
      <c r="KR22" s="253"/>
      <c r="KY22" s="141">
        <f t="shared" si="5"/>
        <v>0</v>
      </c>
      <c r="KZ22" s="141">
        <f t="shared" si="6"/>
        <v>0</v>
      </c>
    </row>
    <row r="23" spans="1:319" ht="38.25" customHeight="1" x14ac:dyDescent="0.55000000000000004">
      <c r="B23" s="314" t="s">
        <v>382</v>
      </c>
      <c r="C23" s="218"/>
      <c r="D23" s="218"/>
      <c r="E23" s="218"/>
      <c r="F23" s="218"/>
      <c r="G23" s="218"/>
      <c r="H23" s="218"/>
      <c r="I23" s="162"/>
      <c r="J23" s="142"/>
      <c r="K23" s="142"/>
      <c r="L23" s="268">
        <f t="shared" si="0"/>
        <v>7000</v>
      </c>
      <c r="M23" s="164">
        <f t="shared" si="1"/>
        <v>0</v>
      </c>
      <c r="N23" s="397"/>
      <c r="O23" s="165">
        <f t="shared" si="2"/>
        <v>0</v>
      </c>
      <c r="P23" s="165"/>
      <c r="Q23" s="165"/>
      <c r="R23" s="165" t="e">
        <f>(AM23+AU23+AY23+BC23+BG23+BK23+BO23+BS23+BW23+CA23+CE23+CI23+CM23+CQ23+CU23+CY23+DC23+DG23+DS23+DW23+EA23+EE23+EI23+EM23+EQ23+EU23+#REF!+#REF!+FJ23+FN23+#REF!+#REF!+HF23+#REF!+HJ23+HN23+HZ23+ID23+IH23+IL23+IX23+JB23+JF23+JI23+JL23+JO23)/1000*L23*(C23+D23+E23+I23)</f>
        <v>#REF!</v>
      </c>
      <c r="S23" s="165"/>
      <c r="T23" s="165">
        <f t="shared" si="3"/>
        <v>0</v>
      </c>
      <c r="U23" s="165"/>
      <c r="V23" s="165"/>
      <c r="W23" s="165"/>
      <c r="X23" s="165" t="e">
        <f>(FF23+FC23+#REF!+KP23)/4000*L23*(C23+D23+E23+I23)</f>
        <v>#REF!</v>
      </c>
      <c r="Y23" s="484"/>
      <c r="Z23" s="484"/>
      <c r="AA23" s="484"/>
      <c r="AB23" s="484"/>
      <c r="AC23" s="150">
        <f t="shared" si="7"/>
        <v>0</v>
      </c>
      <c r="AD23" s="150"/>
      <c r="AE23" s="150">
        <f t="shared" si="4"/>
        <v>0</v>
      </c>
      <c r="AF23" s="161"/>
      <c r="AG23" s="143"/>
      <c r="AH23" s="154"/>
      <c r="AI23" s="144"/>
      <c r="AJ23" s="154"/>
      <c r="AK23" s="154"/>
      <c r="AL23" s="220"/>
      <c r="AM23" s="140"/>
      <c r="AN23" s="154"/>
      <c r="AO23" s="154"/>
      <c r="AP23" s="220"/>
      <c r="AQ23" s="145"/>
      <c r="AR23" s="154"/>
      <c r="AS23" s="154"/>
      <c r="AT23" s="220"/>
      <c r="AU23" s="140"/>
      <c r="AV23" s="277"/>
      <c r="AW23" s="277"/>
      <c r="AX23" s="277"/>
      <c r="AY23" s="140"/>
      <c r="AZ23" s="277"/>
      <c r="BA23" s="277"/>
      <c r="BB23" s="277"/>
      <c r="BC23" s="140"/>
      <c r="BD23" s="277"/>
      <c r="BE23" s="277"/>
      <c r="BF23" s="277"/>
      <c r="BG23" s="140"/>
      <c r="BH23" s="277"/>
      <c r="BI23" s="277"/>
      <c r="BJ23" s="277"/>
      <c r="BK23" s="140"/>
      <c r="BL23" s="277"/>
      <c r="BM23" s="277"/>
      <c r="BN23" s="277"/>
      <c r="BO23" s="140"/>
      <c r="BP23" s="277"/>
      <c r="BQ23" s="277"/>
      <c r="BR23" s="277"/>
      <c r="BS23" s="140"/>
      <c r="BT23" s="277"/>
      <c r="BU23" s="277"/>
      <c r="BV23" s="277"/>
      <c r="BW23" s="140"/>
      <c r="BX23" s="154"/>
      <c r="BY23" s="154"/>
      <c r="BZ23" s="220"/>
      <c r="CA23" s="140"/>
      <c r="CB23" s="154"/>
      <c r="CC23" s="154"/>
      <c r="CD23" s="220"/>
      <c r="CE23" s="140"/>
      <c r="CF23" s="271"/>
      <c r="CG23" s="271"/>
      <c r="CH23" s="271"/>
      <c r="CI23" s="140"/>
      <c r="CJ23" s="154"/>
      <c r="CK23" s="154"/>
      <c r="CL23" s="154"/>
      <c r="CM23" s="140"/>
      <c r="CN23" s="271"/>
      <c r="CO23" s="271"/>
      <c r="CP23" s="271"/>
      <c r="CQ23" s="140"/>
      <c r="CR23" s="154"/>
      <c r="CS23" s="154"/>
      <c r="CT23" s="154"/>
      <c r="CU23" s="140"/>
      <c r="CV23" s="154"/>
      <c r="CW23" s="154"/>
      <c r="CX23" s="220"/>
      <c r="CY23" s="140"/>
      <c r="CZ23" s="154"/>
      <c r="DA23" s="154"/>
      <c r="DB23" s="220"/>
      <c r="DC23" s="140"/>
      <c r="DD23" s="146"/>
      <c r="DE23" s="146"/>
      <c r="DF23" s="146"/>
      <c r="DG23" s="140"/>
      <c r="DH23" s="146"/>
      <c r="DI23" s="146"/>
      <c r="DJ23" s="146"/>
      <c r="DK23" s="146"/>
      <c r="DL23" s="146"/>
      <c r="DM23" s="146"/>
      <c r="DN23" s="146"/>
      <c r="DO23" s="146"/>
      <c r="DP23" s="146"/>
      <c r="DQ23" s="146"/>
      <c r="DR23" s="146"/>
      <c r="DS23" s="140"/>
      <c r="DT23" s="154"/>
      <c r="DU23" s="154"/>
      <c r="DV23" s="154"/>
      <c r="DW23" s="140"/>
      <c r="DX23" s="220"/>
      <c r="DY23" s="220"/>
      <c r="DZ23" s="220"/>
      <c r="EA23" s="140"/>
      <c r="EB23" s="220"/>
      <c r="EC23" s="220"/>
      <c r="ED23" s="220"/>
      <c r="EE23" s="140"/>
      <c r="EF23" s="154"/>
      <c r="EG23" s="154"/>
      <c r="EH23" s="154"/>
      <c r="EI23" s="140"/>
      <c r="EJ23" s="154"/>
      <c r="EK23" s="154"/>
      <c r="EL23" s="154"/>
      <c r="EM23" s="140"/>
      <c r="EN23" s="222"/>
      <c r="EO23" s="222"/>
      <c r="EP23" s="222"/>
      <c r="EQ23" s="140"/>
      <c r="ER23" s="222"/>
      <c r="ES23" s="222"/>
      <c r="ET23" s="222"/>
      <c r="EU23" s="140"/>
      <c r="EV23" s="222"/>
      <c r="EW23" s="222"/>
      <c r="EX23" s="222"/>
      <c r="EY23" s="272"/>
      <c r="EZ23" s="222"/>
      <c r="FA23" s="222"/>
      <c r="FB23" s="222"/>
      <c r="FC23" s="273"/>
      <c r="FD23" s="223"/>
      <c r="FE23" s="223"/>
      <c r="FF23" s="276"/>
      <c r="FG23" s="156"/>
      <c r="FH23" s="156"/>
      <c r="FI23" s="156"/>
      <c r="FJ23" s="140"/>
      <c r="FK23" s="277"/>
      <c r="FL23" s="277"/>
      <c r="FM23" s="277"/>
      <c r="FN23" s="140"/>
      <c r="FO23" s="277"/>
      <c r="FP23" s="277"/>
      <c r="FQ23" s="277"/>
      <c r="FR23" s="280"/>
      <c r="FS23" s="277"/>
      <c r="FT23" s="277"/>
      <c r="FU23" s="277"/>
      <c r="FV23" s="277"/>
      <c r="FW23" s="277"/>
      <c r="FX23" s="277"/>
      <c r="FY23" s="277"/>
      <c r="FZ23" s="277"/>
      <c r="GA23" s="277"/>
      <c r="GB23" s="277"/>
      <c r="GC23" s="277"/>
      <c r="GD23" s="277"/>
      <c r="GE23" s="277"/>
      <c r="GF23" s="277"/>
      <c r="GG23" s="277"/>
      <c r="GH23" s="277"/>
      <c r="GI23" s="277"/>
      <c r="GJ23" s="277"/>
      <c r="GK23" s="277"/>
      <c r="GL23" s="277"/>
      <c r="GM23" s="277"/>
      <c r="GN23" s="277"/>
      <c r="GO23" s="277"/>
      <c r="GP23" s="277"/>
      <c r="GQ23" s="277"/>
      <c r="GR23" s="277"/>
      <c r="GS23" s="277"/>
      <c r="GT23" s="277"/>
      <c r="GU23" s="277"/>
      <c r="GV23" s="277"/>
      <c r="GW23" s="277"/>
      <c r="GX23" s="277"/>
      <c r="GY23" s="277"/>
      <c r="GZ23" s="277"/>
      <c r="HA23" s="277"/>
      <c r="HB23" s="277"/>
      <c r="HC23" s="277"/>
      <c r="HD23" s="277"/>
      <c r="HE23" s="277"/>
      <c r="HF23" s="140"/>
      <c r="HG23" s="277"/>
      <c r="HH23" s="277"/>
      <c r="HI23" s="277"/>
      <c r="HJ23" s="140"/>
      <c r="HK23" s="277"/>
      <c r="HL23" s="277"/>
      <c r="HM23" s="277"/>
      <c r="HN23" s="140"/>
      <c r="HO23" s="277"/>
      <c r="HP23" s="277"/>
      <c r="HQ23" s="277"/>
      <c r="HR23" s="277"/>
      <c r="HS23" s="277"/>
      <c r="HT23" s="277"/>
      <c r="HU23" s="277"/>
      <c r="HV23" s="277"/>
      <c r="HW23" s="277"/>
      <c r="HX23" s="277"/>
      <c r="HY23" s="277"/>
      <c r="HZ23" s="140"/>
      <c r="IA23" s="277"/>
      <c r="IB23" s="277"/>
      <c r="IC23" s="277"/>
      <c r="ID23" s="140"/>
      <c r="IE23" s="277"/>
      <c r="IF23" s="277"/>
      <c r="IG23" s="277"/>
      <c r="IH23" s="140"/>
      <c r="II23" s="277"/>
      <c r="IJ23" s="277"/>
      <c r="IK23" s="277"/>
      <c r="IL23" s="140"/>
      <c r="IM23" s="277"/>
      <c r="IN23" s="277"/>
      <c r="IO23" s="277"/>
      <c r="IP23" s="277"/>
      <c r="IQ23" s="277"/>
      <c r="IR23" s="277"/>
      <c r="IS23" s="277"/>
      <c r="IT23" s="277"/>
      <c r="IU23" s="277"/>
      <c r="IV23" s="277"/>
      <c r="IW23" s="277"/>
      <c r="IX23" s="140"/>
      <c r="IY23" s="277"/>
      <c r="IZ23" s="277"/>
      <c r="JA23" s="277"/>
      <c r="JB23" s="140"/>
      <c r="JC23" s="277"/>
      <c r="JD23" s="277"/>
      <c r="JE23" s="277"/>
      <c r="JF23" s="140"/>
      <c r="JG23" s="277"/>
      <c r="JH23" s="277"/>
      <c r="JI23" s="140"/>
      <c r="JJ23" s="277"/>
      <c r="JK23" s="277"/>
      <c r="JL23" s="140"/>
      <c r="JM23" s="277"/>
      <c r="JN23" s="277"/>
      <c r="JO23" s="140"/>
      <c r="JP23" s="277"/>
      <c r="JQ23" s="277"/>
      <c r="JR23" s="277"/>
      <c r="JS23" s="277"/>
      <c r="JT23" s="277"/>
      <c r="JU23" s="277"/>
      <c r="JV23" s="277"/>
      <c r="JW23" s="277"/>
      <c r="JX23" s="277"/>
      <c r="JY23" s="277"/>
      <c r="JZ23" s="277"/>
      <c r="KA23" s="277"/>
      <c r="KB23" s="277"/>
      <c r="KC23" s="277"/>
      <c r="KD23" s="277"/>
      <c r="KE23" s="277"/>
      <c r="KF23" s="277"/>
      <c r="KG23" s="277"/>
      <c r="KH23" s="277"/>
      <c r="KI23" s="277"/>
      <c r="KJ23" s="277"/>
      <c r="KK23" s="277"/>
      <c r="KL23" s="277"/>
      <c r="KM23" s="277"/>
      <c r="KN23" s="277"/>
      <c r="KO23" s="277"/>
      <c r="KP23" s="274"/>
      <c r="KQ23" s="253"/>
      <c r="KR23" s="253"/>
      <c r="KY23" s="141">
        <f t="shared" si="5"/>
        <v>0</v>
      </c>
      <c r="KZ23" s="141">
        <f t="shared" si="6"/>
        <v>0</v>
      </c>
    </row>
    <row r="24" spans="1:319" ht="38.25" customHeight="1" x14ac:dyDescent="0.55000000000000004">
      <c r="B24" s="314" t="s">
        <v>384</v>
      </c>
      <c r="C24" s="218"/>
      <c r="D24" s="218"/>
      <c r="E24" s="218"/>
      <c r="F24" s="218"/>
      <c r="G24" s="218"/>
      <c r="H24" s="218"/>
      <c r="I24" s="162"/>
      <c r="J24" s="142"/>
      <c r="K24" s="142"/>
      <c r="L24" s="268">
        <f t="shared" si="0"/>
        <v>7000</v>
      </c>
      <c r="M24" s="164">
        <f t="shared" si="1"/>
        <v>0</v>
      </c>
      <c r="N24" s="397"/>
      <c r="O24" s="165">
        <f t="shared" si="2"/>
        <v>0</v>
      </c>
      <c r="P24" s="165"/>
      <c r="Q24" s="165"/>
      <c r="R24" s="165" t="e">
        <f>(AM24+AU24+AY24+BC24+BG24+BK24+BO24+BS24+BW24+CA24+CE24+CI24+CM24+CQ24+CU24+CY24+DC24+DG24+DS24+DW24+EA24+EE24+EI24+EM24+EQ24+EU24+#REF!+#REF!+FJ24+FN24+#REF!+#REF!+HF24+#REF!+HJ24+HN24+HZ24+ID24+IH24+IL24+IX24+JB24+JF24+JI24+JL24+JO24)/1000*L24*(C24+D24+E24+I24)</f>
        <v>#REF!</v>
      </c>
      <c r="S24" s="165"/>
      <c r="T24" s="165">
        <f t="shared" si="3"/>
        <v>0</v>
      </c>
      <c r="U24" s="165"/>
      <c r="V24" s="165"/>
      <c r="W24" s="165"/>
      <c r="X24" s="165" t="e">
        <f>(FF24+FC24+#REF!+KP24)/4000*L24*(C24+D24+E24+I24)</f>
        <v>#REF!</v>
      </c>
      <c r="Y24" s="484"/>
      <c r="Z24" s="484"/>
      <c r="AA24" s="484"/>
      <c r="AB24" s="484"/>
      <c r="AC24" s="150">
        <f t="shared" si="7"/>
        <v>0</v>
      </c>
      <c r="AD24" s="150"/>
      <c r="AE24" s="150">
        <f t="shared" si="4"/>
        <v>0</v>
      </c>
      <c r="AF24" s="161"/>
      <c r="AG24" s="143"/>
      <c r="AH24" s="154"/>
      <c r="AI24" s="335">
        <v>12</v>
      </c>
      <c r="AJ24" s="336">
        <v>250</v>
      </c>
      <c r="AK24" s="336"/>
      <c r="AL24" s="337" t="s">
        <v>545</v>
      </c>
      <c r="AM24" s="140"/>
      <c r="AN24" s="154"/>
      <c r="AO24" s="154"/>
      <c r="AP24" s="220"/>
      <c r="AQ24" s="145"/>
      <c r="AR24" s="154"/>
      <c r="AS24" s="154"/>
      <c r="AT24" s="220"/>
      <c r="AU24" s="140"/>
      <c r="AV24" s="277"/>
      <c r="AW24" s="277"/>
      <c r="AX24" s="277"/>
      <c r="AY24" s="140"/>
      <c r="AZ24" s="277"/>
      <c r="BA24" s="277"/>
      <c r="BB24" s="277"/>
      <c r="BC24" s="140"/>
      <c r="BD24" s="277"/>
      <c r="BE24" s="277"/>
      <c r="BF24" s="277"/>
      <c r="BG24" s="140"/>
      <c r="BH24" s="277"/>
      <c r="BI24" s="277"/>
      <c r="BJ24" s="277"/>
      <c r="BK24" s="140"/>
      <c r="BL24" s="277"/>
      <c r="BM24" s="277"/>
      <c r="BN24" s="277"/>
      <c r="BO24" s="140"/>
      <c r="BP24" s="277"/>
      <c r="BQ24" s="277"/>
      <c r="BR24" s="277"/>
      <c r="BS24" s="140"/>
      <c r="BT24" s="277"/>
      <c r="BU24" s="277"/>
      <c r="BV24" s="277"/>
      <c r="BW24" s="140"/>
      <c r="BX24" s="154"/>
      <c r="BY24" s="154"/>
      <c r="BZ24" s="220"/>
      <c r="CA24" s="140"/>
      <c r="CB24" s="154"/>
      <c r="CC24" s="154"/>
      <c r="CD24" s="220"/>
      <c r="CE24" s="140"/>
      <c r="CF24" s="271"/>
      <c r="CG24" s="271"/>
      <c r="CH24" s="271"/>
      <c r="CI24" s="140"/>
      <c r="CJ24" s="154"/>
      <c r="CK24" s="154"/>
      <c r="CL24" s="154"/>
      <c r="CM24" s="140"/>
      <c r="CN24" s="271"/>
      <c r="CO24" s="271"/>
      <c r="CP24" s="271"/>
      <c r="CQ24" s="140"/>
      <c r="CR24" s="154"/>
      <c r="CS24" s="154"/>
      <c r="CT24" s="154"/>
      <c r="CU24" s="140"/>
      <c r="CV24" s="154"/>
      <c r="CW24" s="154"/>
      <c r="CX24" s="220"/>
      <c r="CY24" s="140"/>
      <c r="CZ24" s="154"/>
      <c r="DA24" s="154"/>
      <c r="DB24" s="220"/>
      <c r="DC24" s="140"/>
      <c r="DD24" s="146"/>
      <c r="DE24" s="146"/>
      <c r="DF24" s="146"/>
      <c r="DG24" s="140"/>
      <c r="DH24" s="146"/>
      <c r="DI24" s="146"/>
      <c r="DJ24" s="146"/>
      <c r="DK24" s="146"/>
      <c r="DL24" s="146"/>
      <c r="DM24" s="146"/>
      <c r="DN24" s="146"/>
      <c r="DO24" s="146"/>
      <c r="DP24" s="146"/>
      <c r="DQ24" s="146"/>
      <c r="DR24" s="146"/>
      <c r="DS24" s="140"/>
      <c r="DT24" s="154"/>
      <c r="DU24" s="154"/>
      <c r="DV24" s="154"/>
      <c r="DW24" s="140"/>
      <c r="DX24" s="220"/>
      <c r="DY24" s="220"/>
      <c r="DZ24" s="220"/>
      <c r="EA24" s="140"/>
      <c r="EB24" s="220"/>
      <c r="EC24" s="220"/>
      <c r="ED24" s="220"/>
      <c r="EE24" s="140"/>
      <c r="EF24" s="154"/>
      <c r="EG24" s="154"/>
      <c r="EH24" s="154"/>
      <c r="EI24" s="140"/>
      <c r="EJ24" s="154"/>
      <c r="EK24" s="154"/>
      <c r="EL24" s="154"/>
      <c r="EM24" s="140"/>
      <c r="EN24" s="222"/>
      <c r="EO24" s="222"/>
      <c r="EP24" s="222"/>
      <c r="EQ24" s="140"/>
      <c r="ER24" s="222"/>
      <c r="ES24" s="222"/>
      <c r="ET24" s="222"/>
      <c r="EU24" s="140"/>
      <c r="EV24" s="222"/>
      <c r="EW24" s="222"/>
      <c r="EX24" s="222"/>
      <c r="EY24" s="272"/>
      <c r="EZ24" s="222"/>
      <c r="FA24" s="222"/>
      <c r="FB24" s="222"/>
      <c r="FC24" s="273"/>
      <c r="FD24" s="223"/>
      <c r="FE24" s="223"/>
      <c r="FF24" s="276"/>
      <c r="FG24" s="156"/>
      <c r="FH24" s="156"/>
      <c r="FI24" s="156"/>
      <c r="FJ24" s="140"/>
      <c r="FK24" s="277"/>
      <c r="FL24" s="277"/>
      <c r="FM24" s="277"/>
      <c r="FN24" s="140"/>
      <c r="FO24" s="277"/>
      <c r="FP24" s="277"/>
      <c r="FQ24" s="277"/>
      <c r="FR24" s="280"/>
      <c r="FS24" s="277"/>
      <c r="FT24" s="277"/>
      <c r="FU24" s="277"/>
      <c r="FV24" s="277"/>
      <c r="FW24" s="277"/>
      <c r="FX24" s="277"/>
      <c r="FY24" s="277"/>
      <c r="FZ24" s="277"/>
      <c r="GA24" s="277"/>
      <c r="GB24" s="277"/>
      <c r="GC24" s="277"/>
      <c r="GD24" s="277"/>
      <c r="GE24" s="277"/>
      <c r="GF24" s="277"/>
      <c r="GG24" s="277"/>
      <c r="GH24" s="277"/>
      <c r="GI24" s="277"/>
      <c r="GJ24" s="277"/>
      <c r="GK24" s="277"/>
      <c r="GL24" s="277"/>
      <c r="GM24" s="277"/>
      <c r="GN24" s="277"/>
      <c r="GO24" s="277"/>
      <c r="GP24" s="277"/>
      <c r="GQ24" s="277"/>
      <c r="GR24" s="277"/>
      <c r="GS24" s="277"/>
      <c r="GT24" s="277"/>
      <c r="GU24" s="277"/>
      <c r="GV24" s="277"/>
      <c r="GW24" s="277"/>
      <c r="GX24" s="277"/>
      <c r="GY24" s="277"/>
      <c r="GZ24" s="277"/>
      <c r="HA24" s="277"/>
      <c r="HB24" s="277"/>
      <c r="HC24" s="277"/>
      <c r="HD24" s="277"/>
      <c r="HE24" s="277"/>
      <c r="HF24" s="140"/>
      <c r="HG24" s="277"/>
      <c r="HH24" s="277"/>
      <c r="HI24" s="277"/>
      <c r="HJ24" s="140"/>
      <c r="HK24" s="277"/>
      <c r="HL24" s="277"/>
      <c r="HM24" s="277"/>
      <c r="HN24" s="140"/>
      <c r="HO24" s="277"/>
      <c r="HP24" s="277"/>
      <c r="HQ24" s="277"/>
      <c r="HR24" s="277"/>
      <c r="HS24" s="277"/>
      <c r="HT24" s="277"/>
      <c r="HU24" s="277"/>
      <c r="HV24" s="277"/>
      <c r="HW24" s="277"/>
      <c r="HX24" s="277"/>
      <c r="HY24" s="277"/>
      <c r="HZ24" s="140"/>
      <c r="IA24" s="277"/>
      <c r="IB24" s="277"/>
      <c r="IC24" s="277"/>
      <c r="ID24" s="140"/>
      <c r="IE24" s="277"/>
      <c r="IF24" s="277"/>
      <c r="IG24" s="277"/>
      <c r="IH24" s="140"/>
      <c r="II24" s="277"/>
      <c r="IJ24" s="277"/>
      <c r="IK24" s="277"/>
      <c r="IL24" s="140"/>
      <c r="IM24" s="277"/>
      <c r="IN24" s="277"/>
      <c r="IO24" s="277"/>
      <c r="IP24" s="277"/>
      <c r="IQ24" s="277"/>
      <c r="IR24" s="277"/>
      <c r="IS24" s="277"/>
      <c r="IT24" s="277"/>
      <c r="IU24" s="277"/>
      <c r="IV24" s="277"/>
      <c r="IW24" s="277"/>
      <c r="IX24" s="140"/>
      <c r="IY24" s="277"/>
      <c r="IZ24" s="277"/>
      <c r="JA24" s="277"/>
      <c r="JB24" s="140"/>
      <c r="JC24" s="277"/>
      <c r="JD24" s="277"/>
      <c r="JE24" s="277"/>
      <c r="JF24" s="140"/>
      <c r="JG24" s="277"/>
      <c r="JH24" s="277"/>
      <c r="JI24" s="140"/>
      <c r="JJ24" s="277"/>
      <c r="JK24" s="277"/>
      <c r="JL24" s="140"/>
      <c r="JM24" s="277"/>
      <c r="JN24" s="277"/>
      <c r="JO24" s="140"/>
      <c r="JP24" s="277"/>
      <c r="JQ24" s="277"/>
      <c r="JR24" s="277"/>
      <c r="JS24" s="277"/>
      <c r="JT24" s="277"/>
      <c r="JU24" s="277"/>
      <c r="JV24" s="277"/>
      <c r="JW24" s="277"/>
      <c r="JX24" s="277"/>
      <c r="JY24" s="277"/>
      <c r="JZ24" s="277"/>
      <c r="KA24" s="277"/>
      <c r="KB24" s="277"/>
      <c r="KC24" s="277"/>
      <c r="KD24" s="277"/>
      <c r="KE24" s="277"/>
      <c r="KF24" s="277"/>
      <c r="KG24" s="277"/>
      <c r="KH24" s="277"/>
      <c r="KI24" s="277"/>
      <c r="KJ24" s="277"/>
      <c r="KK24" s="277"/>
      <c r="KL24" s="277"/>
      <c r="KM24" s="277"/>
      <c r="KN24" s="277"/>
      <c r="KO24" s="277"/>
      <c r="KP24" s="274"/>
      <c r="KQ24" s="253"/>
      <c r="KR24" s="253"/>
      <c r="KY24" s="141">
        <f t="shared" si="5"/>
        <v>0</v>
      </c>
      <c r="KZ24" s="141">
        <f t="shared" si="6"/>
        <v>0</v>
      </c>
    </row>
    <row r="25" spans="1:319" ht="38.25" customHeight="1" x14ac:dyDescent="0.55000000000000004">
      <c r="B25" s="314" t="s">
        <v>385</v>
      </c>
      <c r="C25" s="218"/>
      <c r="D25" s="218"/>
      <c r="E25" s="218"/>
      <c r="F25" s="218"/>
      <c r="G25" s="218"/>
      <c r="H25" s="218"/>
      <c r="I25" s="162"/>
      <c r="J25" s="142"/>
      <c r="K25" s="142"/>
      <c r="L25" s="268">
        <f t="shared" si="0"/>
        <v>7000</v>
      </c>
      <c r="M25" s="164">
        <f t="shared" si="1"/>
        <v>0</v>
      </c>
      <c r="N25" s="397"/>
      <c r="O25" s="165">
        <f t="shared" si="2"/>
        <v>0</v>
      </c>
      <c r="P25" s="165"/>
      <c r="Q25" s="165"/>
      <c r="R25" s="165" t="e">
        <f>(AM25+AU25+AY25+BC25+BG25+BK25+BO25+BS25+BW25+CA25+CE25+CI25+CM25+CQ25+CU25+CY25+DC25+DG25+DS25+DW25+EA25+EE25+EI25+EM25+EQ25+EU25+#REF!+#REF!+FJ25+FN25+#REF!+#REF!+HF25+#REF!+HJ25+HN25+HZ25+ID25+IH25+IL25+IX25+JB25+JF25+JI25+JL25+JO25)/1000*L25*(C25+D25+E25+I25)</f>
        <v>#REF!</v>
      </c>
      <c r="S25" s="165"/>
      <c r="T25" s="165">
        <f t="shared" si="3"/>
        <v>0</v>
      </c>
      <c r="U25" s="165"/>
      <c r="V25" s="165"/>
      <c r="W25" s="165"/>
      <c r="X25" s="165" t="e">
        <f>(FF25+FC25+#REF!+KP25)/4000*L25*(C25+D25+E25+I25)</f>
        <v>#REF!</v>
      </c>
      <c r="Y25" s="484"/>
      <c r="Z25" s="484"/>
      <c r="AA25" s="484"/>
      <c r="AB25" s="484"/>
      <c r="AC25" s="150">
        <f t="shared" si="7"/>
        <v>0</v>
      </c>
      <c r="AD25" s="150"/>
      <c r="AE25" s="150">
        <f t="shared" si="4"/>
        <v>0</v>
      </c>
      <c r="AF25" s="161"/>
      <c r="AG25" s="143"/>
      <c r="AH25" s="154"/>
      <c r="AI25" s="335">
        <v>20</v>
      </c>
      <c r="AJ25" s="336">
        <v>250</v>
      </c>
      <c r="AK25" s="336"/>
      <c r="AL25" s="337" t="s">
        <v>545</v>
      </c>
      <c r="AM25" s="140"/>
      <c r="AN25" s="154"/>
      <c r="AO25" s="154"/>
      <c r="AP25" s="220"/>
      <c r="AQ25" s="145"/>
      <c r="AR25" s="154"/>
      <c r="AS25" s="154"/>
      <c r="AT25" s="220"/>
      <c r="AU25" s="140"/>
      <c r="AV25" s="277"/>
      <c r="AW25" s="277"/>
      <c r="AX25" s="277"/>
      <c r="AY25" s="140"/>
      <c r="AZ25" s="277"/>
      <c r="BA25" s="277"/>
      <c r="BB25" s="277"/>
      <c r="BC25" s="140"/>
      <c r="BD25" s="277"/>
      <c r="BE25" s="277"/>
      <c r="BF25" s="277"/>
      <c r="BG25" s="140"/>
      <c r="BH25" s="277"/>
      <c r="BI25" s="277"/>
      <c r="BJ25" s="277"/>
      <c r="BK25" s="140"/>
      <c r="BL25" s="277"/>
      <c r="BM25" s="277"/>
      <c r="BN25" s="277"/>
      <c r="BO25" s="140"/>
      <c r="BP25" s="277"/>
      <c r="BQ25" s="277"/>
      <c r="BR25" s="277"/>
      <c r="BS25" s="140"/>
      <c r="BT25" s="277"/>
      <c r="BU25" s="277"/>
      <c r="BV25" s="277"/>
      <c r="BW25" s="140"/>
      <c r="BX25" s="154"/>
      <c r="BY25" s="154"/>
      <c r="BZ25" s="220"/>
      <c r="CA25" s="140"/>
      <c r="CB25" s="154"/>
      <c r="CC25" s="154"/>
      <c r="CD25" s="220"/>
      <c r="CE25" s="140"/>
      <c r="CF25" s="271"/>
      <c r="CG25" s="271"/>
      <c r="CH25" s="271"/>
      <c r="CI25" s="140"/>
      <c r="CJ25" s="154"/>
      <c r="CK25" s="154"/>
      <c r="CL25" s="154"/>
      <c r="CM25" s="140"/>
      <c r="CN25" s="271"/>
      <c r="CO25" s="271"/>
      <c r="CP25" s="271"/>
      <c r="CQ25" s="140"/>
      <c r="CR25" s="154"/>
      <c r="CS25" s="154"/>
      <c r="CT25" s="154"/>
      <c r="CU25" s="140"/>
      <c r="CV25" s="154"/>
      <c r="CW25" s="154"/>
      <c r="CX25" s="220"/>
      <c r="CY25" s="140"/>
      <c r="CZ25" s="154"/>
      <c r="DA25" s="154"/>
      <c r="DB25" s="220"/>
      <c r="DC25" s="140"/>
      <c r="DD25" s="146"/>
      <c r="DE25" s="146"/>
      <c r="DF25" s="146"/>
      <c r="DG25" s="140"/>
      <c r="DH25" s="146"/>
      <c r="DI25" s="146"/>
      <c r="DJ25" s="146"/>
      <c r="DK25" s="146"/>
      <c r="DL25" s="146"/>
      <c r="DM25" s="146"/>
      <c r="DN25" s="146"/>
      <c r="DO25" s="146"/>
      <c r="DP25" s="146"/>
      <c r="DQ25" s="146"/>
      <c r="DR25" s="146"/>
      <c r="DS25" s="140"/>
      <c r="DT25" s="154"/>
      <c r="DU25" s="154"/>
      <c r="DV25" s="154"/>
      <c r="DW25" s="140"/>
      <c r="DX25" s="220"/>
      <c r="DY25" s="220"/>
      <c r="DZ25" s="220"/>
      <c r="EA25" s="140"/>
      <c r="EB25" s="220"/>
      <c r="EC25" s="220"/>
      <c r="ED25" s="220"/>
      <c r="EE25" s="140"/>
      <c r="EF25" s="154"/>
      <c r="EG25" s="154"/>
      <c r="EH25" s="154"/>
      <c r="EI25" s="140"/>
      <c r="EJ25" s="154"/>
      <c r="EK25" s="154"/>
      <c r="EL25" s="154"/>
      <c r="EM25" s="140"/>
      <c r="EN25" s="222"/>
      <c r="EO25" s="222"/>
      <c r="EP25" s="222"/>
      <c r="EQ25" s="140"/>
      <c r="ER25" s="222"/>
      <c r="ES25" s="222"/>
      <c r="ET25" s="222"/>
      <c r="EU25" s="140"/>
      <c r="EV25" s="222"/>
      <c r="EW25" s="222"/>
      <c r="EX25" s="222"/>
      <c r="EY25" s="272"/>
      <c r="EZ25" s="222"/>
      <c r="FA25" s="222"/>
      <c r="FB25" s="222"/>
      <c r="FC25" s="273"/>
      <c r="FD25" s="223"/>
      <c r="FE25" s="223"/>
      <c r="FF25" s="276"/>
      <c r="FG25" s="156"/>
      <c r="FH25" s="156"/>
      <c r="FI25" s="156"/>
      <c r="FJ25" s="140"/>
      <c r="FK25" s="277"/>
      <c r="FL25" s="277"/>
      <c r="FM25" s="277"/>
      <c r="FN25" s="140"/>
      <c r="FO25" s="277"/>
      <c r="FP25" s="277"/>
      <c r="FQ25" s="277"/>
      <c r="FR25" s="280"/>
      <c r="FS25" s="277"/>
      <c r="FT25" s="277"/>
      <c r="FU25" s="277"/>
      <c r="FV25" s="277"/>
      <c r="FW25" s="277"/>
      <c r="FX25" s="277"/>
      <c r="FY25" s="277"/>
      <c r="FZ25" s="277"/>
      <c r="GA25" s="277"/>
      <c r="GB25" s="277"/>
      <c r="GC25" s="277"/>
      <c r="GD25" s="277"/>
      <c r="GE25" s="277"/>
      <c r="GF25" s="277"/>
      <c r="GG25" s="277"/>
      <c r="GH25" s="277"/>
      <c r="GI25" s="277"/>
      <c r="GJ25" s="277"/>
      <c r="GK25" s="277"/>
      <c r="GL25" s="277"/>
      <c r="GM25" s="277"/>
      <c r="GN25" s="277"/>
      <c r="GO25" s="277"/>
      <c r="GP25" s="277"/>
      <c r="GQ25" s="277"/>
      <c r="GR25" s="277"/>
      <c r="GS25" s="277"/>
      <c r="GT25" s="277"/>
      <c r="GU25" s="277"/>
      <c r="GV25" s="277"/>
      <c r="GW25" s="277"/>
      <c r="GX25" s="277"/>
      <c r="GY25" s="277"/>
      <c r="GZ25" s="277"/>
      <c r="HA25" s="277"/>
      <c r="HB25" s="277"/>
      <c r="HC25" s="277"/>
      <c r="HD25" s="277"/>
      <c r="HE25" s="277"/>
      <c r="HF25" s="140"/>
      <c r="HG25" s="277"/>
      <c r="HH25" s="277"/>
      <c r="HI25" s="277"/>
      <c r="HJ25" s="140"/>
      <c r="HK25" s="277"/>
      <c r="HL25" s="277"/>
      <c r="HM25" s="277"/>
      <c r="HN25" s="140"/>
      <c r="HO25" s="277"/>
      <c r="HP25" s="277"/>
      <c r="HQ25" s="277"/>
      <c r="HR25" s="277"/>
      <c r="HS25" s="277"/>
      <c r="HT25" s="277"/>
      <c r="HU25" s="277"/>
      <c r="HV25" s="277"/>
      <c r="HW25" s="277"/>
      <c r="HX25" s="277"/>
      <c r="HY25" s="277"/>
      <c r="HZ25" s="140"/>
      <c r="IA25" s="277"/>
      <c r="IB25" s="277"/>
      <c r="IC25" s="277"/>
      <c r="ID25" s="140"/>
      <c r="IE25" s="277"/>
      <c r="IF25" s="277"/>
      <c r="IG25" s="277"/>
      <c r="IH25" s="140"/>
      <c r="II25" s="277"/>
      <c r="IJ25" s="277"/>
      <c r="IK25" s="277"/>
      <c r="IL25" s="140"/>
      <c r="IM25" s="277"/>
      <c r="IN25" s="277"/>
      <c r="IO25" s="277"/>
      <c r="IP25" s="277"/>
      <c r="IQ25" s="277"/>
      <c r="IR25" s="277"/>
      <c r="IS25" s="277"/>
      <c r="IT25" s="277"/>
      <c r="IU25" s="277"/>
      <c r="IV25" s="277"/>
      <c r="IW25" s="277"/>
      <c r="IX25" s="140"/>
      <c r="IY25" s="277"/>
      <c r="IZ25" s="277"/>
      <c r="JA25" s="277"/>
      <c r="JB25" s="140"/>
      <c r="JC25" s="277"/>
      <c r="JD25" s="277"/>
      <c r="JE25" s="277"/>
      <c r="JF25" s="140"/>
      <c r="JG25" s="277"/>
      <c r="JH25" s="277"/>
      <c r="JI25" s="140"/>
      <c r="JJ25" s="277"/>
      <c r="JK25" s="277"/>
      <c r="JL25" s="140"/>
      <c r="JM25" s="277"/>
      <c r="JN25" s="277"/>
      <c r="JO25" s="140"/>
      <c r="JP25" s="277"/>
      <c r="JQ25" s="277"/>
      <c r="JR25" s="277"/>
      <c r="JS25" s="277"/>
      <c r="JT25" s="277"/>
      <c r="JU25" s="277"/>
      <c r="JV25" s="277"/>
      <c r="JW25" s="277"/>
      <c r="JX25" s="277"/>
      <c r="JY25" s="277"/>
      <c r="JZ25" s="277"/>
      <c r="KA25" s="277"/>
      <c r="KB25" s="277"/>
      <c r="KC25" s="277"/>
      <c r="KD25" s="277"/>
      <c r="KE25" s="277"/>
      <c r="KF25" s="277"/>
      <c r="KG25" s="277"/>
      <c r="KH25" s="277"/>
      <c r="KI25" s="277"/>
      <c r="KJ25" s="277"/>
      <c r="KK25" s="277"/>
      <c r="KL25" s="277"/>
      <c r="KM25" s="277"/>
      <c r="KN25" s="277"/>
      <c r="KO25" s="277"/>
      <c r="KP25" s="274"/>
      <c r="KQ25" s="253"/>
      <c r="KR25" s="253"/>
      <c r="KY25" s="141">
        <f t="shared" si="5"/>
        <v>0</v>
      </c>
      <c r="KZ25" s="141">
        <f t="shared" si="6"/>
        <v>0</v>
      </c>
    </row>
    <row r="26" spans="1:319" ht="38.25" customHeight="1" x14ac:dyDescent="0.55000000000000004">
      <c r="B26" s="314" t="s">
        <v>476</v>
      </c>
      <c r="C26" s="218"/>
      <c r="D26" s="218"/>
      <c r="E26" s="218"/>
      <c r="F26" s="218"/>
      <c r="G26" s="218"/>
      <c r="H26" s="218"/>
      <c r="I26" s="162"/>
      <c r="J26" s="142"/>
      <c r="K26" s="142"/>
      <c r="L26" s="268">
        <f t="shared" si="0"/>
        <v>7000</v>
      </c>
      <c r="M26" s="164">
        <f t="shared" si="1"/>
        <v>0</v>
      </c>
      <c r="N26" s="397"/>
      <c r="O26" s="165">
        <f t="shared" si="2"/>
        <v>0</v>
      </c>
      <c r="P26" s="165"/>
      <c r="Q26" s="165"/>
      <c r="R26" s="165" t="e">
        <f>(AM26+AU26+AY26+BC26+BG26+BK26+BO26+BS26+BW26+CA26+CE26+CI26+CM26+CQ26+CU26+CY26+DC26+DG26+DS26+DW26+EA26+EE26+EI26+EM26+EQ26+EU26+#REF!+#REF!+FJ26+FN26+#REF!+#REF!+HF26+#REF!+HJ26+HN26+HZ26+ID26+IH26+IL26+IX26+JB26+JF26+JI26+JL26+JO26)/1000*L26*(C26+D26+E26+I26)</f>
        <v>#REF!</v>
      </c>
      <c r="S26" s="165"/>
      <c r="T26" s="165">
        <f t="shared" si="3"/>
        <v>0</v>
      </c>
      <c r="U26" s="165"/>
      <c r="V26" s="165"/>
      <c r="W26" s="165"/>
      <c r="X26" s="165" t="e">
        <f>(FF26+FC26+#REF!+KP26)/4000*L26*(C26+D26+E26+I26)</f>
        <v>#REF!</v>
      </c>
      <c r="Y26" s="484"/>
      <c r="Z26" s="484"/>
      <c r="AA26" s="484"/>
      <c r="AB26" s="484"/>
      <c r="AC26" s="150">
        <f t="shared" si="7"/>
        <v>0</v>
      </c>
      <c r="AD26" s="150"/>
      <c r="AE26" s="150">
        <f t="shared" si="4"/>
        <v>0</v>
      </c>
      <c r="AF26" s="161"/>
      <c r="AG26" s="143"/>
      <c r="AH26" s="154"/>
      <c r="AI26" s="335">
        <v>20</v>
      </c>
      <c r="AJ26" s="336">
        <v>250</v>
      </c>
      <c r="AK26" s="336"/>
      <c r="AL26" s="337" t="s">
        <v>545</v>
      </c>
      <c r="AM26" s="140"/>
      <c r="AN26" s="154"/>
      <c r="AO26" s="154"/>
      <c r="AP26" s="220"/>
      <c r="AQ26" s="145"/>
      <c r="AR26" s="154"/>
      <c r="AS26" s="154"/>
      <c r="AT26" s="220"/>
      <c r="AU26" s="140"/>
      <c r="AV26" s="277"/>
      <c r="AW26" s="277"/>
      <c r="AX26" s="277"/>
      <c r="AY26" s="140"/>
      <c r="AZ26" s="277"/>
      <c r="BA26" s="277"/>
      <c r="BB26" s="277"/>
      <c r="BC26" s="140"/>
      <c r="BD26" s="277"/>
      <c r="BE26" s="277"/>
      <c r="BF26" s="277"/>
      <c r="BG26" s="140"/>
      <c r="BH26" s="277"/>
      <c r="BI26" s="277"/>
      <c r="BJ26" s="277"/>
      <c r="BK26" s="140"/>
      <c r="BL26" s="277"/>
      <c r="BM26" s="277"/>
      <c r="BN26" s="277"/>
      <c r="BO26" s="140"/>
      <c r="BP26" s="277"/>
      <c r="BQ26" s="277"/>
      <c r="BR26" s="277"/>
      <c r="BS26" s="140"/>
      <c r="BT26" s="277"/>
      <c r="BU26" s="277"/>
      <c r="BV26" s="277"/>
      <c r="BW26" s="140"/>
      <c r="BX26" s="154"/>
      <c r="BY26" s="154"/>
      <c r="BZ26" s="220"/>
      <c r="CA26" s="140"/>
      <c r="CB26" s="154"/>
      <c r="CC26" s="154"/>
      <c r="CD26" s="220"/>
      <c r="CE26" s="140"/>
      <c r="CF26" s="271"/>
      <c r="CG26" s="271"/>
      <c r="CH26" s="271"/>
      <c r="CI26" s="140"/>
      <c r="CJ26" s="154"/>
      <c r="CK26" s="154"/>
      <c r="CL26" s="154"/>
      <c r="CM26" s="140"/>
      <c r="CN26" s="271"/>
      <c r="CO26" s="271"/>
      <c r="CP26" s="271"/>
      <c r="CQ26" s="140"/>
      <c r="CR26" s="154"/>
      <c r="CS26" s="154"/>
      <c r="CT26" s="154"/>
      <c r="CU26" s="140"/>
      <c r="CV26" s="154"/>
      <c r="CW26" s="154"/>
      <c r="CX26" s="220"/>
      <c r="CY26" s="140"/>
      <c r="CZ26" s="154"/>
      <c r="DA26" s="154"/>
      <c r="DB26" s="220"/>
      <c r="DC26" s="140"/>
      <c r="DD26" s="146"/>
      <c r="DE26" s="146"/>
      <c r="DF26" s="146"/>
      <c r="DG26" s="140"/>
      <c r="DH26" s="146"/>
      <c r="DI26" s="146"/>
      <c r="DJ26" s="146"/>
      <c r="DK26" s="146"/>
      <c r="DL26" s="146"/>
      <c r="DM26" s="146"/>
      <c r="DN26" s="146"/>
      <c r="DO26" s="146"/>
      <c r="DP26" s="146"/>
      <c r="DQ26" s="146"/>
      <c r="DR26" s="146"/>
      <c r="DS26" s="140"/>
      <c r="DT26" s="154"/>
      <c r="DU26" s="154"/>
      <c r="DV26" s="154"/>
      <c r="DW26" s="140"/>
      <c r="DX26" s="220"/>
      <c r="DY26" s="220"/>
      <c r="DZ26" s="220"/>
      <c r="EA26" s="140"/>
      <c r="EB26" s="220"/>
      <c r="EC26" s="220"/>
      <c r="ED26" s="220"/>
      <c r="EE26" s="140"/>
      <c r="EF26" s="154"/>
      <c r="EG26" s="154"/>
      <c r="EH26" s="154"/>
      <c r="EI26" s="140"/>
      <c r="EJ26" s="154"/>
      <c r="EK26" s="154"/>
      <c r="EL26" s="154"/>
      <c r="EM26" s="140"/>
      <c r="EN26" s="222"/>
      <c r="EO26" s="222"/>
      <c r="EP26" s="222"/>
      <c r="EQ26" s="140"/>
      <c r="ER26" s="222"/>
      <c r="ES26" s="222"/>
      <c r="ET26" s="222"/>
      <c r="EU26" s="140"/>
      <c r="EV26" s="222"/>
      <c r="EW26" s="222"/>
      <c r="EX26" s="222"/>
      <c r="EY26" s="272"/>
      <c r="EZ26" s="222"/>
      <c r="FA26" s="222"/>
      <c r="FB26" s="222"/>
      <c r="FC26" s="273"/>
      <c r="FD26" s="223"/>
      <c r="FE26" s="223"/>
      <c r="FF26" s="276"/>
      <c r="FG26" s="156"/>
      <c r="FH26" s="156"/>
      <c r="FI26" s="156"/>
      <c r="FJ26" s="140"/>
      <c r="FK26" s="277"/>
      <c r="FL26" s="277"/>
      <c r="FM26" s="277"/>
      <c r="FN26" s="140"/>
      <c r="FO26" s="277"/>
      <c r="FP26" s="277"/>
      <c r="FQ26" s="277"/>
      <c r="FR26" s="280"/>
      <c r="FS26" s="277"/>
      <c r="FT26" s="277"/>
      <c r="FU26" s="277"/>
      <c r="FV26" s="277"/>
      <c r="FW26" s="277"/>
      <c r="FX26" s="277"/>
      <c r="FY26" s="277"/>
      <c r="FZ26" s="277"/>
      <c r="GA26" s="277"/>
      <c r="GB26" s="277"/>
      <c r="GC26" s="277"/>
      <c r="GD26" s="277"/>
      <c r="GE26" s="277"/>
      <c r="GF26" s="277"/>
      <c r="GG26" s="277"/>
      <c r="GH26" s="277"/>
      <c r="GI26" s="277"/>
      <c r="GJ26" s="277"/>
      <c r="GK26" s="277"/>
      <c r="GL26" s="277"/>
      <c r="GM26" s="277"/>
      <c r="GN26" s="277"/>
      <c r="GO26" s="277"/>
      <c r="GP26" s="277"/>
      <c r="GQ26" s="277"/>
      <c r="GR26" s="277"/>
      <c r="GS26" s="277"/>
      <c r="GT26" s="277"/>
      <c r="GU26" s="277"/>
      <c r="GV26" s="277"/>
      <c r="GW26" s="277"/>
      <c r="GX26" s="277"/>
      <c r="GY26" s="277"/>
      <c r="GZ26" s="277"/>
      <c r="HA26" s="277"/>
      <c r="HB26" s="277"/>
      <c r="HC26" s="277"/>
      <c r="HD26" s="277"/>
      <c r="HE26" s="277"/>
      <c r="HF26" s="140"/>
      <c r="HG26" s="277"/>
      <c r="HH26" s="277"/>
      <c r="HI26" s="277"/>
      <c r="HJ26" s="140"/>
      <c r="HK26" s="277"/>
      <c r="HL26" s="277"/>
      <c r="HM26" s="277"/>
      <c r="HN26" s="140"/>
      <c r="HO26" s="277"/>
      <c r="HP26" s="277"/>
      <c r="HQ26" s="277"/>
      <c r="HR26" s="277"/>
      <c r="HS26" s="277"/>
      <c r="HT26" s="277"/>
      <c r="HU26" s="277"/>
      <c r="HV26" s="277"/>
      <c r="HW26" s="277"/>
      <c r="HX26" s="277"/>
      <c r="HY26" s="277"/>
      <c r="HZ26" s="140"/>
      <c r="IA26" s="277"/>
      <c r="IB26" s="277"/>
      <c r="IC26" s="277"/>
      <c r="ID26" s="140"/>
      <c r="IE26" s="277"/>
      <c r="IF26" s="277"/>
      <c r="IG26" s="277"/>
      <c r="IH26" s="140"/>
      <c r="II26" s="277"/>
      <c r="IJ26" s="277"/>
      <c r="IK26" s="277"/>
      <c r="IL26" s="140"/>
      <c r="IM26" s="277"/>
      <c r="IN26" s="277"/>
      <c r="IO26" s="277"/>
      <c r="IP26" s="277"/>
      <c r="IQ26" s="277"/>
      <c r="IR26" s="277"/>
      <c r="IS26" s="277"/>
      <c r="IT26" s="277"/>
      <c r="IU26" s="277"/>
      <c r="IV26" s="277"/>
      <c r="IW26" s="277"/>
      <c r="IX26" s="140"/>
      <c r="IY26" s="277"/>
      <c r="IZ26" s="277"/>
      <c r="JA26" s="277"/>
      <c r="JB26" s="140"/>
      <c r="JC26" s="277"/>
      <c r="JD26" s="277"/>
      <c r="JE26" s="277"/>
      <c r="JF26" s="140"/>
      <c r="JG26" s="277"/>
      <c r="JH26" s="277"/>
      <c r="JI26" s="140"/>
      <c r="JJ26" s="277"/>
      <c r="JK26" s="277"/>
      <c r="JL26" s="140"/>
      <c r="JM26" s="277"/>
      <c r="JN26" s="277"/>
      <c r="JO26" s="140"/>
      <c r="JP26" s="277"/>
      <c r="JQ26" s="277"/>
      <c r="JR26" s="277"/>
      <c r="JS26" s="277"/>
      <c r="JT26" s="277"/>
      <c r="JU26" s="277"/>
      <c r="JV26" s="277"/>
      <c r="JW26" s="277"/>
      <c r="JX26" s="277"/>
      <c r="JY26" s="277"/>
      <c r="JZ26" s="277"/>
      <c r="KA26" s="277"/>
      <c r="KB26" s="277"/>
      <c r="KC26" s="277"/>
      <c r="KD26" s="277"/>
      <c r="KE26" s="277"/>
      <c r="KF26" s="277"/>
      <c r="KG26" s="277"/>
      <c r="KH26" s="277"/>
      <c r="KI26" s="277"/>
      <c r="KJ26" s="277"/>
      <c r="KK26" s="277"/>
      <c r="KL26" s="277"/>
      <c r="KM26" s="277"/>
      <c r="KN26" s="277"/>
      <c r="KO26" s="277"/>
      <c r="KP26" s="274"/>
      <c r="KQ26" s="253"/>
      <c r="KR26" s="253"/>
      <c r="KY26" s="141">
        <f t="shared" si="5"/>
        <v>0</v>
      </c>
      <c r="KZ26" s="141">
        <f t="shared" si="6"/>
        <v>0</v>
      </c>
    </row>
    <row r="27" spans="1:319" ht="38.25" customHeight="1" x14ac:dyDescent="0.55000000000000004">
      <c r="B27" s="314" t="s">
        <v>386</v>
      </c>
      <c r="C27" s="218"/>
      <c r="D27" s="218"/>
      <c r="E27" s="218"/>
      <c r="F27" s="218"/>
      <c r="G27" s="218"/>
      <c r="H27" s="218"/>
      <c r="I27" s="162"/>
      <c r="J27" s="142"/>
      <c r="K27" s="142"/>
      <c r="L27" s="268">
        <f t="shared" si="0"/>
        <v>7000</v>
      </c>
      <c r="M27" s="164">
        <f t="shared" si="1"/>
        <v>0</v>
      </c>
      <c r="N27" s="397"/>
      <c r="O27" s="165">
        <f t="shared" si="2"/>
        <v>0</v>
      </c>
      <c r="P27" s="165"/>
      <c r="Q27" s="165"/>
      <c r="R27" s="165" t="e">
        <f>(AM27+AU27+AY27+BC27+BG27+BK27+BO27+BS27+BW27+CA27+CE27+CI27+CM27+CQ27+CU27+CY27+DC27+DG27+DS27+DW27+EA27+EE27+EI27+EM27+EQ27+EU27+#REF!+#REF!+FJ27+FN27+#REF!+#REF!+HF27+#REF!+HJ27+HN27+HZ27+ID27+IH27+IL27+IX27+JB27+JF27+JI27+JL27+JO27)/1000*L27*(C27+D27+E27+I27)</f>
        <v>#REF!</v>
      </c>
      <c r="S27" s="165"/>
      <c r="T27" s="165">
        <f t="shared" si="3"/>
        <v>0</v>
      </c>
      <c r="U27" s="165"/>
      <c r="V27" s="165"/>
      <c r="W27" s="165"/>
      <c r="X27" s="165" t="e">
        <f>(FF27+FC27+#REF!+KP27)/4000*L27*(C27+D27+E27+I27)</f>
        <v>#REF!</v>
      </c>
      <c r="Y27" s="484"/>
      <c r="Z27" s="484"/>
      <c r="AA27" s="484"/>
      <c r="AB27" s="484"/>
      <c r="AC27" s="150">
        <f t="shared" si="7"/>
        <v>0</v>
      </c>
      <c r="AD27" s="150"/>
      <c r="AE27" s="150">
        <f t="shared" si="4"/>
        <v>0</v>
      </c>
      <c r="AF27" s="161"/>
      <c r="AG27" s="143"/>
      <c r="AH27" s="154"/>
      <c r="AI27" s="335">
        <v>10</v>
      </c>
      <c r="AJ27" s="336">
        <v>250</v>
      </c>
      <c r="AK27" s="336"/>
      <c r="AL27" s="337" t="s">
        <v>545</v>
      </c>
      <c r="AM27" s="140"/>
      <c r="AN27" s="154"/>
      <c r="AO27" s="154"/>
      <c r="AP27" s="220"/>
      <c r="AQ27" s="145"/>
      <c r="AR27" s="154"/>
      <c r="AS27" s="154"/>
      <c r="AT27" s="220"/>
      <c r="AU27" s="140"/>
      <c r="AV27" s="277"/>
      <c r="AW27" s="277"/>
      <c r="AX27" s="277"/>
      <c r="AY27" s="140"/>
      <c r="AZ27" s="277"/>
      <c r="BA27" s="277"/>
      <c r="BB27" s="277"/>
      <c r="BC27" s="140"/>
      <c r="BD27" s="277"/>
      <c r="BE27" s="277"/>
      <c r="BF27" s="277"/>
      <c r="BG27" s="140"/>
      <c r="BH27" s="277"/>
      <c r="BI27" s="277"/>
      <c r="BJ27" s="277"/>
      <c r="BK27" s="140"/>
      <c r="BL27" s="277"/>
      <c r="BM27" s="277"/>
      <c r="BN27" s="277"/>
      <c r="BO27" s="140"/>
      <c r="BP27" s="277"/>
      <c r="BQ27" s="277"/>
      <c r="BR27" s="277"/>
      <c r="BS27" s="140"/>
      <c r="BT27" s="277"/>
      <c r="BU27" s="277"/>
      <c r="BV27" s="277"/>
      <c r="BW27" s="140"/>
      <c r="BX27" s="154"/>
      <c r="BY27" s="154"/>
      <c r="BZ27" s="220"/>
      <c r="CA27" s="140"/>
      <c r="CB27" s="154"/>
      <c r="CC27" s="154"/>
      <c r="CD27" s="220"/>
      <c r="CE27" s="140"/>
      <c r="CF27" s="271"/>
      <c r="CG27" s="271"/>
      <c r="CH27" s="271"/>
      <c r="CI27" s="140"/>
      <c r="CJ27" s="154"/>
      <c r="CK27" s="154"/>
      <c r="CL27" s="154"/>
      <c r="CM27" s="140"/>
      <c r="CN27" s="271"/>
      <c r="CO27" s="271"/>
      <c r="CP27" s="271"/>
      <c r="CQ27" s="140"/>
      <c r="CR27" s="154"/>
      <c r="CS27" s="154"/>
      <c r="CT27" s="154"/>
      <c r="CU27" s="140"/>
      <c r="CV27" s="154"/>
      <c r="CW27" s="154"/>
      <c r="CX27" s="220"/>
      <c r="CY27" s="140"/>
      <c r="CZ27" s="154"/>
      <c r="DA27" s="154"/>
      <c r="DB27" s="220"/>
      <c r="DC27" s="140"/>
      <c r="DD27" s="146"/>
      <c r="DE27" s="146"/>
      <c r="DF27" s="146"/>
      <c r="DG27" s="140"/>
      <c r="DH27" s="146"/>
      <c r="DI27" s="146"/>
      <c r="DJ27" s="146"/>
      <c r="DK27" s="146"/>
      <c r="DL27" s="146"/>
      <c r="DM27" s="146"/>
      <c r="DN27" s="146"/>
      <c r="DO27" s="146"/>
      <c r="DP27" s="146"/>
      <c r="DQ27" s="146"/>
      <c r="DR27" s="146"/>
      <c r="DS27" s="140"/>
      <c r="DT27" s="154"/>
      <c r="DU27" s="154"/>
      <c r="DV27" s="154"/>
      <c r="DW27" s="140"/>
      <c r="DX27" s="220"/>
      <c r="DY27" s="220"/>
      <c r="DZ27" s="220"/>
      <c r="EA27" s="140"/>
      <c r="EB27" s="220"/>
      <c r="EC27" s="220"/>
      <c r="ED27" s="220"/>
      <c r="EE27" s="140"/>
      <c r="EF27" s="154"/>
      <c r="EG27" s="154"/>
      <c r="EH27" s="154"/>
      <c r="EI27" s="140"/>
      <c r="EJ27" s="154"/>
      <c r="EK27" s="154"/>
      <c r="EL27" s="154"/>
      <c r="EM27" s="140"/>
      <c r="EN27" s="222"/>
      <c r="EO27" s="222"/>
      <c r="EP27" s="222"/>
      <c r="EQ27" s="140"/>
      <c r="ER27" s="222"/>
      <c r="ES27" s="222"/>
      <c r="ET27" s="222"/>
      <c r="EU27" s="140"/>
      <c r="EV27" s="222"/>
      <c r="EW27" s="222"/>
      <c r="EX27" s="222"/>
      <c r="EY27" s="272"/>
      <c r="EZ27" s="222"/>
      <c r="FA27" s="222"/>
      <c r="FB27" s="222"/>
      <c r="FC27" s="273"/>
      <c r="FD27" s="223"/>
      <c r="FE27" s="223"/>
      <c r="FF27" s="276"/>
      <c r="FG27" s="156"/>
      <c r="FH27" s="156"/>
      <c r="FI27" s="156"/>
      <c r="FJ27" s="140"/>
      <c r="FK27" s="277"/>
      <c r="FL27" s="277"/>
      <c r="FM27" s="277"/>
      <c r="FN27" s="140"/>
      <c r="FO27" s="277"/>
      <c r="FP27" s="277"/>
      <c r="FQ27" s="277"/>
      <c r="FR27" s="280"/>
      <c r="FS27" s="277"/>
      <c r="FT27" s="277"/>
      <c r="FU27" s="277"/>
      <c r="FV27" s="277"/>
      <c r="FW27" s="277"/>
      <c r="FX27" s="277"/>
      <c r="FY27" s="277"/>
      <c r="FZ27" s="277"/>
      <c r="GA27" s="277"/>
      <c r="GB27" s="277"/>
      <c r="GC27" s="277"/>
      <c r="GD27" s="277"/>
      <c r="GE27" s="277"/>
      <c r="GF27" s="277"/>
      <c r="GG27" s="277"/>
      <c r="GH27" s="277"/>
      <c r="GI27" s="277"/>
      <c r="GJ27" s="277"/>
      <c r="GK27" s="277"/>
      <c r="GL27" s="277"/>
      <c r="GM27" s="277"/>
      <c r="GN27" s="277"/>
      <c r="GO27" s="277"/>
      <c r="GP27" s="277"/>
      <c r="GQ27" s="277"/>
      <c r="GR27" s="277"/>
      <c r="GS27" s="277"/>
      <c r="GT27" s="277"/>
      <c r="GU27" s="277"/>
      <c r="GV27" s="277"/>
      <c r="GW27" s="277"/>
      <c r="GX27" s="277"/>
      <c r="GY27" s="277"/>
      <c r="GZ27" s="277"/>
      <c r="HA27" s="277"/>
      <c r="HB27" s="277"/>
      <c r="HC27" s="277"/>
      <c r="HD27" s="277"/>
      <c r="HE27" s="277"/>
      <c r="HF27" s="140"/>
      <c r="HG27" s="277"/>
      <c r="HH27" s="277"/>
      <c r="HI27" s="277"/>
      <c r="HJ27" s="140"/>
      <c r="HK27" s="277"/>
      <c r="HL27" s="277"/>
      <c r="HM27" s="277"/>
      <c r="HN27" s="140"/>
      <c r="HO27" s="277"/>
      <c r="HP27" s="277"/>
      <c r="HQ27" s="277"/>
      <c r="HR27" s="277"/>
      <c r="HS27" s="277"/>
      <c r="HT27" s="277"/>
      <c r="HU27" s="277"/>
      <c r="HV27" s="277"/>
      <c r="HW27" s="277"/>
      <c r="HX27" s="277"/>
      <c r="HY27" s="277"/>
      <c r="HZ27" s="140"/>
      <c r="IA27" s="277"/>
      <c r="IB27" s="277"/>
      <c r="IC27" s="277"/>
      <c r="ID27" s="140"/>
      <c r="IE27" s="277"/>
      <c r="IF27" s="277"/>
      <c r="IG27" s="277"/>
      <c r="IH27" s="140"/>
      <c r="II27" s="277"/>
      <c r="IJ27" s="277"/>
      <c r="IK27" s="277"/>
      <c r="IL27" s="140"/>
      <c r="IM27" s="277"/>
      <c r="IN27" s="277"/>
      <c r="IO27" s="277"/>
      <c r="IP27" s="277"/>
      <c r="IQ27" s="277"/>
      <c r="IR27" s="277"/>
      <c r="IS27" s="277"/>
      <c r="IT27" s="277"/>
      <c r="IU27" s="277"/>
      <c r="IV27" s="277"/>
      <c r="IW27" s="277"/>
      <c r="IX27" s="140"/>
      <c r="IY27" s="277"/>
      <c r="IZ27" s="277"/>
      <c r="JA27" s="277"/>
      <c r="JB27" s="140"/>
      <c r="JC27" s="277"/>
      <c r="JD27" s="277"/>
      <c r="JE27" s="277"/>
      <c r="JF27" s="140"/>
      <c r="JG27" s="277"/>
      <c r="JH27" s="277"/>
      <c r="JI27" s="140"/>
      <c r="JJ27" s="277"/>
      <c r="JK27" s="277"/>
      <c r="JL27" s="140"/>
      <c r="JM27" s="277"/>
      <c r="JN27" s="277"/>
      <c r="JO27" s="140"/>
      <c r="JP27" s="277"/>
      <c r="JQ27" s="277"/>
      <c r="JR27" s="277"/>
      <c r="JS27" s="277"/>
      <c r="JT27" s="277"/>
      <c r="JU27" s="277"/>
      <c r="JV27" s="277"/>
      <c r="JW27" s="277"/>
      <c r="JX27" s="277"/>
      <c r="JY27" s="277"/>
      <c r="JZ27" s="277"/>
      <c r="KA27" s="277"/>
      <c r="KB27" s="277"/>
      <c r="KC27" s="277"/>
      <c r="KD27" s="277"/>
      <c r="KE27" s="277"/>
      <c r="KF27" s="277"/>
      <c r="KG27" s="277"/>
      <c r="KH27" s="277"/>
      <c r="KI27" s="277"/>
      <c r="KJ27" s="277"/>
      <c r="KK27" s="277"/>
      <c r="KL27" s="277"/>
      <c r="KM27" s="277"/>
      <c r="KN27" s="277"/>
      <c r="KO27" s="277"/>
      <c r="KP27" s="274"/>
      <c r="KQ27" s="253"/>
      <c r="KR27" s="253"/>
      <c r="KY27" s="141">
        <f t="shared" si="5"/>
        <v>0</v>
      </c>
      <c r="KZ27" s="141">
        <f t="shared" si="6"/>
        <v>0</v>
      </c>
    </row>
    <row r="28" spans="1:319" ht="38.25" customHeight="1" x14ac:dyDescent="0.55000000000000004">
      <c r="B28" s="314" t="s">
        <v>387</v>
      </c>
      <c r="C28" s="218"/>
      <c r="D28" s="218"/>
      <c r="E28" s="218"/>
      <c r="F28" s="218"/>
      <c r="G28" s="218"/>
      <c r="H28" s="218"/>
      <c r="I28" s="162"/>
      <c r="J28" s="142"/>
      <c r="K28" s="142"/>
      <c r="L28" s="268">
        <f t="shared" si="0"/>
        <v>7000</v>
      </c>
      <c r="M28" s="164">
        <f t="shared" si="1"/>
        <v>0</v>
      </c>
      <c r="N28" s="397"/>
      <c r="O28" s="165">
        <f t="shared" si="2"/>
        <v>0</v>
      </c>
      <c r="P28" s="165"/>
      <c r="Q28" s="165"/>
      <c r="R28" s="165" t="e">
        <f>(AM28+AU28+AY28+BC28+BG28+BK28+BO28+BS28+BW28+CA28+CE28+CI28+CM28+CQ28+CU28+CY28+DC28+DG28+DS28+DW28+EA28+EE28+EI28+EM28+EQ28+EU28+#REF!+#REF!+FJ28+FN28+#REF!+#REF!+HF28+#REF!+HJ28+HN28+HZ28+ID28+IH28+IL28+IX28+JB28+JF28+JI28+JL28+JO28)/1000*L28*(C28+D28+E28+I28)</f>
        <v>#REF!</v>
      </c>
      <c r="S28" s="165"/>
      <c r="T28" s="165">
        <f t="shared" si="3"/>
        <v>0</v>
      </c>
      <c r="U28" s="165"/>
      <c r="V28" s="165"/>
      <c r="W28" s="165"/>
      <c r="X28" s="165" t="e">
        <f>(FF28+FC28+#REF!+KP28)/4000*L28*(C28+D28+E28+I28)</f>
        <v>#REF!</v>
      </c>
      <c r="Y28" s="484"/>
      <c r="Z28" s="484"/>
      <c r="AA28" s="484"/>
      <c r="AB28" s="484"/>
      <c r="AC28" s="150">
        <f t="shared" si="7"/>
        <v>0</v>
      </c>
      <c r="AD28" s="150"/>
      <c r="AE28" s="150">
        <f t="shared" si="4"/>
        <v>0</v>
      </c>
      <c r="AF28" s="161"/>
      <c r="AG28" s="143"/>
      <c r="AH28" s="154"/>
      <c r="AI28" s="335">
        <v>10</v>
      </c>
      <c r="AJ28" s="336">
        <v>250</v>
      </c>
      <c r="AK28" s="336"/>
      <c r="AL28" s="337" t="s">
        <v>545</v>
      </c>
      <c r="AM28" s="140"/>
      <c r="AN28" s="154"/>
      <c r="AO28" s="154"/>
      <c r="AP28" s="220"/>
      <c r="AQ28" s="145"/>
      <c r="AR28" s="154"/>
      <c r="AS28" s="154"/>
      <c r="AT28" s="220"/>
      <c r="AU28" s="140"/>
      <c r="AV28" s="277"/>
      <c r="AW28" s="277"/>
      <c r="AX28" s="277"/>
      <c r="AY28" s="140"/>
      <c r="AZ28" s="277"/>
      <c r="BA28" s="277"/>
      <c r="BB28" s="277"/>
      <c r="BC28" s="140"/>
      <c r="BD28" s="277"/>
      <c r="BE28" s="277"/>
      <c r="BF28" s="277"/>
      <c r="BG28" s="140"/>
      <c r="BH28" s="277"/>
      <c r="BI28" s="277"/>
      <c r="BJ28" s="277"/>
      <c r="BK28" s="140"/>
      <c r="BL28" s="277"/>
      <c r="BM28" s="277"/>
      <c r="BN28" s="277"/>
      <c r="BO28" s="140"/>
      <c r="BP28" s="277"/>
      <c r="BQ28" s="277"/>
      <c r="BR28" s="277"/>
      <c r="BS28" s="140"/>
      <c r="BT28" s="277"/>
      <c r="BU28" s="277"/>
      <c r="BV28" s="277"/>
      <c r="BW28" s="140"/>
      <c r="BX28" s="154"/>
      <c r="BY28" s="154"/>
      <c r="BZ28" s="220"/>
      <c r="CA28" s="140"/>
      <c r="CB28" s="154"/>
      <c r="CC28" s="154"/>
      <c r="CD28" s="220"/>
      <c r="CE28" s="140"/>
      <c r="CF28" s="271"/>
      <c r="CG28" s="271"/>
      <c r="CH28" s="271"/>
      <c r="CI28" s="140"/>
      <c r="CJ28" s="154"/>
      <c r="CK28" s="154"/>
      <c r="CL28" s="154"/>
      <c r="CM28" s="140"/>
      <c r="CN28" s="271"/>
      <c r="CO28" s="271"/>
      <c r="CP28" s="271"/>
      <c r="CQ28" s="140"/>
      <c r="CR28" s="154"/>
      <c r="CS28" s="154"/>
      <c r="CT28" s="154"/>
      <c r="CU28" s="140"/>
      <c r="CV28" s="154"/>
      <c r="CW28" s="154"/>
      <c r="CX28" s="220"/>
      <c r="CY28" s="140"/>
      <c r="CZ28" s="154"/>
      <c r="DA28" s="154"/>
      <c r="DB28" s="220"/>
      <c r="DC28" s="140"/>
      <c r="DD28" s="146"/>
      <c r="DE28" s="146"/>
      <c r="DF28" s="146"/>
      <c r="DG28" s="140"/>
      <c r="DH28" s="146"/>
      <c r="DI28" s="146"/>
      <c r="DJ28" s="146"/>
      <c r="DK28" s="146"/>
      <c r="DL28" s="146"/>
      <c r="DM28" s="146"/>
      <c r="DN28" s="146"/>
      <c r="DO28" s="146"/>
      <c r="DP28" s="146"/>
      <c r="DQ28" s="146"/>
      <c r="DR28" s="146"/>
      <c r="DS28" s="140"/>
      <c r="DT28" s="154"/>
      <c r="DU28" s="154"/>
      <c r="DV28" s="154"/>
      <c r="DW28" s="140"/>
      <c r="DX28" s="220"/>
      <c r="DY28" s="220"/>
      <c r="DZ28" s="220"/>
      <c r="EA28" s="140"/>
      <c r="EB28" s="220"/>
      <c r="EC28" s="220"/>
      <c r="ED28" s="220"/>
      <c r="EE28" s="140"/>
      <c r="EF28" s="154"/>
      <c r="EG28" s="154"/>
      <c r="EH28" s="154"/>
      <c r="EI28" s="140"/>
      <c r="EJ28" s="154"/>
      <c r="EK28" s="154"/>
      <c r="EL28" s="154"/>
      <c r="EM28" s="140"/>
      <c r="EN28" s="222"/>
      <c r="EO28" s="222"/>
      <c r="EP28" s="222"/>
      <c r="EQ28" s="140"/>
      <c r="ER28" s="222"/>
      <c r="ES28" s="222"/>
      <c r="ET28" s="222"/>
      <c r="EU28" s="140"/>
      <c r="EV28" s="222"/>
      <c r="EW28" s="222"/>
      <c r="EX28" s="222"/>
      <c r="EY28" s="272"/>
      <c r="EZ28" s="222"/>
      <c r="FA28" s="222"/>
      <c r="FB28" s="222"/>
      <c r="FC28" s="273"/>
      <c r="FD28" s="223"/>
      <c r="FE28" s="223"/>
      <c r="FF28" s="276"/>
      <c r="FG28" s="156"/>
      <c r="FH28" s="156"/>
      <c r="FI28" s="156"/>
      <c r="FJ28" s="140"/>
      <c r="FK28" s="277"/>
      <c r="FL28" s="277"/>
      <c r="FM28" s="277"/>
      <c r="FN28" s="140"/>
      <c r="FO28" s="277"/>
      <c r="FP28" s="277"/>
      <c r="FQ28" s="277"/>
      <c r="FR28" s="280"/>
      <c r="FS28" s="277"/>
      <c r="FT28" s="277"/>
      <c r="FU28" s="277"/>
      <c r="FV28" s="277"/>
      <c r="FW28" s="277"/>
      <c r="FX28" s="277"/>
      <c r="FY28" s="277"/>
      <c r="FZ28" s="277"/>
      <c r="GA28" s="277"/>
      <c r="GB28" s="277"/>
      <c r="GC28" s="277"/>
      <c r="GD28" s="277"/>
      <c r="GE28" s="277"/>
      <c r="GF28" s="277"/>
      <c r="GG28" s="277"/>
      <c r="GH28" s="277"/>
      <c r="GI28" s="277"/>
      <c r="GJ28" s="277"/>
      <c r="GK28" s="277"/>
      <c r="GL28" s="277"/>
      <c r="GM28" s="277"/>
      <c r="GN28" s="277"/>
      <c r="GO28" s="277"/>
      <c r="GP28" s="277"/>
      <c r="GQ28" s="277"/>
      <c r="GR28" s="277"/>
      <c r="GS28" s="277"/>
      <c r="GT28" s="277"/>
      <c r="GU28" s="277"/>
      <c r="GV28" s="277"/>
      <c r="GW28" s="277"/>
      <c r="GX28" s="277"/>
      <c r="GY28" s="277"/>
      <c r="GZ28" s="277"/>
      <c r="HA28" s="277"/>
      <c r="HB28" s="277"/>
      <c r="HC28" s="277"/>
      <c r="HD28" s="277"/>
      <c r="HE28" s="277"/>
      <c r="HF28" s="140"/>
      <c r="HG28" s="277"/>
      <c r="HH28" s="277"/>
      <c r="HI28" s="277"/>
      <c r="HJ28" s="140"/>
      <c r="HK28" s="277"/>
      <c r="HL28" s="277"/>
      <c r="HM28" s="277"/>
      <c r="HN28" s="140"/>
      <c r="HO28" s="277"/>
      <c r="HP28" s="277"/>
      <c r="HQ28" s="277"/>
      <c r="HR28" s="277"/>
      <c r="HS28" s="277"/>
      <c r="HT28" s="277"/>
      <c r="HU28" s="277"/>
      <c r="HV28" s="277"/>
      <c r="HW28" s="277"/>
      <c r="HX28" s="277"/>
      <c r="HY28" s="277"/>
      <c r="HZ28" s="140"/>
      <c r="IA28" s="277"/>
      <c r="IB28" s="277"/>
      <c r="IC28" s="277"/>
      <c r="ID28" s="140"/>
      <c r="IE28" s="277"/>
      <c r="IF28" s="277"/>
      <c r="IG28" s="277"/>
      <c r="IH28" s="140"/>
      <c r="II28" s="277"/>
      <c r="IJ28" s="277"/>
      <c r="IK28" s="277"/>
      <c r="IL28" s="140"/>
      <c r="IM28" s="277"/>
      <c r="IN28" s="277"/>
      <c r="IO28" s="277"/>
      <c r="IP28" s="277"/>
      <c r="IQ28" s="277"/>
      <c r="IR28" s="277"/>
      <c r="IS28" s="277"/>
      <c r="IT28" s="277"/>
      <c r="IU28" s="277"/>
      <c r="IV28" s="277"/>
      <c r="IW28" s="277"/>
      <c r="IX28" s="140"/>
      <c r="IY28" s="277"/>
      <c r="IZ28" s="277"/>
      <c r="JA28" s="277"/>
      <c r="JB28" s="140"/>
      <c r="JC28" s="277"/>
      <c r="JD28" s="277"/>
      <c r="JE28" s="277"/>
      <c r="JF28" s="140"/>
      <c r="JG28" s="277"/>
      <c r="JH28" s="277"/>
      <c r="JI28" s="140"/>
      <c r="JJ28" s="277"/>
      <c r="JK28" s="277"/>
      <c r="JL28" s="140"/>
      <c r="JM28" s="277"/>
      <c r="JN28" s="277"/>
      <c r="JO28" s="140"/>
      <c r="JP28" s="277"/>
      <c r="JQ28" s="277"/>
      <c r="JR28" s="277"/>
      <c r="JS28" s="277"/>
      <c r="JT28" s="277"/>
      <c r="JU28" s="277"/>
      <c r="JV28" s="277"/>
      <c r="JW28" s="277"/>
      <c r="JX28" s="277"/>
      <c r="JY28" s="277"/>
      <c r="JZ28" s="277"/>
      <c r="KA28" s="277"/>
      <c r="KB28" s="277"/>
      <c r="KC28" s="277"/>
      <c r="KD28" s="277"/>
      <c r="KE28" s="277"/>
      <c r="KF28" s="277"/>
      <c r="KG28" s="277"/>
      <c r="KH28" s="277"/>
      <c r="KI28" s="277"/>
      <c r="KJ28" s="277"/>
      <c r="KK28" s="277"/>
      <c r="KL28" s="277"/>
      <c r="KM28" s="277"/>
      <c r="KN28" s="277"/>
      <c r="KO28" s="277"/>
      <c r="KP28" s="274"/>
      <c r="KQ28" s="253"/>
      <c r="KR28" s="253"/>
      <c r="KY28" s="141">
        <f t="shared" si="5"/>
        <v>0</v>
      </c>
      <c r="KZ28" s="141">
        <f t="shared" si="6"/>
        <v>0</v>
      </c>
    </row>
    <row r="29" spans="1:319" ht="38.25" customHeight="1" x14ac:dyDescent="0.55000000000000004">
      <c r="B29" s="314" t="s">
        <v>388</v>
      </c>
      <c r="C29" s="218"/>
      <c r="D29" s="218"/>
      <c r="E29" s="218"/>
      <c r="F29" s="218"/>
      <c r="G29" s="218"/>
      <c r="H29" s="218"/>
      <c r="I29" s="162"/>
      <c r="J29" s="142"/>
      <c r="K29" s="142"/>
      <c r="L29" s="268">
        <f t="shared" si="0"/>
        <v>7000</v>
      </c>
      <c r="M29" s="164">
        <f t="shared" si="1"/>
        <v>0</v>
      </c>
      <c r="N29" s="397"/>
      <c r="O29" s="165">
        <f t="shared" si="2"/>
        <v>0</v>
      </c>
      <c r="P29" s="165"/>
      <c r="Q29" s="165"/>
      <c r="R29" s="165" t="e">
        <f>(AM29+AU29+AY29+BC29+BG29+BK29+BO29+BS29+BW29+CA29+CE29+CI29+CM29+CQ29+CU29+CY29+DC29+DG29+DS29+DW29+EA29+EE29+EI29+EM29+EQ29+EU29+#REF!+#REF!+FJ29+FN29+#REF!+#REF!+HF29+#REF!+HJ29+HN29+HZ29+ID29+IH29+IL29+IX29+JB29+JF29+JI29+JL29+JO29)/1000*L29*(C29+D29+E29+I29)</f>
        <v>#REF!</v>
      </c>
      <c r="S29" s="165"/>
      <c r="T29" s="165">
        <f t="shared" si="3"/>
        <v>0</v>
      </c>
      <c r="U29" s="165"/>
      <c r="V29" s="165"/>
      <c r="W29" s="165"/>
      <c r="X29" s="165" t="e">
        <f>(FF29+FC29+#REF!+KP29)/4000*L29*(C29+D29+E29+I29)</f>
        <v>#REF!</v>
      </c>
      <c r="Y29" s="484"/>
      <c r="Z29" s="484"/>
      <c r="AA29" s="484"/>
      <c r="AB29" s="484"/>
      <c r="AC29" s="150">
        <f t="shared" si="7"/>
        <v>0</v>
      </c>
      <c r="AD29" s="150"/>
      <c r="AE29" s="150">
        <f t="shared" si="4"/>
        <v>0</v>
      </c>
      <c r="AF29" s="161">
        <v>145</v>
      </c>
      <c r="AG29" s="143">
        <v>18</v>
      </c>
      <c r="AH29" s="154"/>
      <c r="AI29" s="144">
        <v>8</v>
      </c>
      <c r="AJ29" s="154"/>
      <c r="AK29" s="154"/>
      <c r="AL29" s="220"/>
      <c r="AM29" s="140"/>
      <c r="AN29" s="154"/>
      <c r="AO29" s="154"/>
      <c r="AP29" s="220"/>
      <c r="AQ29" s="145">
        <v>206</v>
      </c>
      <c r="AR29" s="154"/>
      <c r="AS29" s="154"/>
      <c r="AT29" s="220"/>
      <c r="AU29" s="140"/>
      <c r="AV29" s="277"/>
      <c r="AW29" s="277"/>
      <c r="AX29" s="277"/>
      <c r="AY29" s="140"/>
      <c r="AZ29" s="277"/>
      <c r="BA29" s="277"/>
      <c r="BB29" s="277"/>
      <c r="BC29" s="140"/>
      <c r="BD29" s="277"/>
      <c r="BE29" s="277"/>
      <c r="BF29" s="277"/>
      <c r="BG29" s="140"/>
      <c r="BH29" s="277"/>
      <c r="BI29" s="277"/>
      <c r="BJ29" s="277"/>
      <c r="BK29" s="140"/>
      <c r="BL29" s="277"/>
      <c r="BM29" s="277"/>
      <c r="BN29" s="277"/>
      <c r="BO29" s="140"/>
      <c r="BP29" s="277"/>
      <c r="BQ29" s="277"/>
      <c r="BR29" s="277"/>
      <c r="BS29" s="140"/>
      <c r="BT29" s="277"/>
      <c r="BU29" s="277"/>
      <c r="BV29" s="277"/>
      <c r="BW29" s="140"/>
      <c r="BX29" s="154"/>
      <c r="BY29" s="154"/>
      <c r="BZ29" s="220"/>
      <c r="CA29" s="140"/>
      <c r="CB29" s="154"/>
      <c r="CC29" s="154"/>
      <c r="CD29" s="220"/>
      <c r="CE29" s="140"/>
      <c r="CF29" s="271"/>
      <c r="CG29" s="271"/>
      <c r="CH29" s="271"/>
      <c r="CI29" s="140"/>
      <c r="CJ29" s="154"/>
      <c r="CK29" s="154"/>
      <c r="CL29" s="154"/>
      <c r="CM29" s="140"/>
      <c r="CN29" s="271"/>
      <c r="CO29" s="271"/>
      <c r="CP29" s="271"/>
      <c r="CQ29" s="140"/>
      <c r="CR29" s="154"/>
      <c r="CS29" s="154"/>
      <c r="CT29" s="154"/>
      <c r="CU29" s="140"/>
      <c r="CV29" s="154"/>
      <c r="CW29" s="154"/>
      <c r="CX29" s="220"/>
      <c r="CY29" s="140"/>
      <c r="CZ29" s="154"/>
      <c r="DA29" s="154"/>
      <c r="DB29" s="220"/>
      <c r="DC29" s="140"/>
      <c r="DD29" s="146"/>
      <c r="DE29" s="146"/>
      <c r="DF29" s="146"/>
      <c r="DG29" s="140"/>
      <c r="DH29" s="146"/>
      <c r="DI29" s="146"/>
      <c r="DJ29" s="146"/>
      <c r="DK29" s="146"/>
      <c r="DL29" s="146"/>
      <c r="DM29" s="146"/>
      <c r="DN29" s="146"/>
      <c r="DO29" s="146"/>
      <c r="DP29" s="146"/>
      <c r="DQ29" s="146"/>
      <c r="DR29" s="146"/>
      <c r="DS29" s="140"/>
      <c r="DT29" s="154"/>
      <c r="DU29" s="154"/>
      <c r="DV29" s="154"/>
      <c r="DW29" s="140"/>
      <c r="DX29" s="220"/>
      <c r="DY29" s="220"/>
      <c r="DZ29" s="220"/>
      <c r="EA29" s="140"/>
      <c r="EB29" s="220"/>
      <c r="EC29" s="220"/>
      <c r="ED29" s="220"/>
      <c r="EE29" s="140"/>
      <c r="EF29" s="154"/>
      <c r="EG29" s="154"/>
      <c r="EH29" s="154"/>
      <c r="EI29" s="140"/>
      <c r="EJ29" s="154"/>
      <c r="EK29" s="154"/>
      <c r="EL29" s="154"/>
      <c r="EM29" s="140"/>
      <c r="EN29" s="222"/>
      <c r="EO29" s="222"/>
      <c r="EP29" s="222"/>
      <c r="EQ29" s="140"/>
      <c r="ER29" s="222"/>
      <c r="ES29" s="222"/>
      <c r="ET29" s="222"/>
      <c r="EU29" s="140"/>
      <c r="EV29" s="222"/>
      <c r="EW29" s="222"/>
      <c r="EX29" s="222"/>
      <c r="EY29" s="272"/>
      <c r="EZ29" s="222"/>
      <c r="FA29" s="222"/>
      <c r="FB29" s="222"/>
      <c r="FC29" s="273"/>
      <c r="FD29" s="223"/>
      <c r="FE29" s="223"/>
      <c r="FF29" s="276"/>
      <c r="FG29" s="156"/>
      <c r="FH29" s="156"/>
      <c r="FI29" s="156"/>
      <c r="FJ29" s="140"/>
      <c r="FK29" s="277"/>
      <c r="FL29" s="277"/>
      <c r="FM29" s="277"/>
      <c r="FN29" s="140"/>
      <c r="FO29" s="277"/>
      <c r="FP29" s="277"/>
      <c r="FQ29" s="277"/>
      <c r="FR29" s="280"/>
      <c r="FS29" s="277"/>
      <c r="FT29" s="277"/>
      <c r="FU29" s="277"/>
      <c r="FV29" s="277"/>
      <c r="FW29" s="277"/>
      <c r="FX29" s="277"/>
      <c r="FY29" s="277"/>
      <c r="FZ29" s="277"/>
      <c r="GA29" s="277"/>
      <c r="GB29" s="277"/>
      <c r="GC29" s="277"/>
      <c r="GD29" s="277"/>
      <c r="GE29" s="277"/>
      <c r="GF29" s="277"/>
      <c r="GG29" s="277"/>
      <c r="GH29" s="277"/>
      <c r="GI29" s="277"/>
      <c r="GJ29" s="277"/>
      <c r="GK29" s="277"/>
      <c r="GL29" s="277"/>
      <c r="GM29" s="277"/>
      <c r="GN29" s="277"/>
      <c r="GO29" s="277"/>
      <c r="GP29" s="277"/>
      <c r="GQ29" s="277"/>
      <c r="GR29" s="277"/>
      <c r="GS29" s="277"/>
      <c r="GT29" s="277"/>
      <c r="GU29" s="277"/>
      <c r="GV29" s="277"/>
      <c r="GW29" s="277"/>
      <c r="GX29" s="277"/>
      <c r="GY29" s="277"/>
      <c r="GZ29" s="277"/>
      <c r="HA29" s="277"/>
      <c r="HB29" s="277"/>
      <c r="HC29" s="277"/>
      <c r="HD29" s="277"/>
      <c r="HE29" s="277"/>
      <c r="HF29" s="140"/>
      <c r="HG29" s="277"/>
      <c r="HH29" s="277"/>
      <c r="HI29" s="277"/>
      <c r="HJ29" s="140"/>
      <c r="HK29" s="277"/>
      <c r="HL29" s="277"/>
      <c r="HM29" s="277"/>
      <c r="HN29" s="140"/>
      <c r="HO29" s="277"/>
      <c r="HP29" s="277"/>
      <c r="HQ29" s="277"/>
      <c r="HR29" s="277"/>
      <c r="HS29" s="277"/>
      <c r="HT29" s="277"/>
      <c r="HU29" s="277"/>
      <c r="HV29" s="277"/>
      <c r="HW29" s="277"/>
      <c r="HX29" s="277"/>
      <c r="HY29" s="277"/>
      <c r="HZ29" s="140"/>
      <c r="IA29" s="277"/>
      <c r="IB29" s="277"/>
      <c r="IC29" s="277"/>
      <c r="ID29" s="140"/>
      <c r="IE29" s="277"/>
      <c r="IF29" s="277"/>
      <c r="IG29" s="277"/>
      <c r="IH29" s="140"/>
      <c r="II29" s="277"/>
      <c r="IJ29" s="277"/>
      <c r="IK29" s="277"/>
      <c r="IL29" s="140"/>
      <c r="IM29" s="277"/>
      <c r="IN29" s="277"/>
      <c r="IO29" s="277"/>
      <c r="IP29" s="277"/>
      <c r="IQ29" s="277"/>
      <c r="IR29" s="277"/>
      <c r="IS29" s="277"/>
      <c r="IT29" s="277"/>
      <c r="IU29" s="277"/>
      <c r="IV29" s="277"/>
      <c r="IW29" s="277"/>
      <c r="IX29" s="140"/>
      <c r="IY29" s="277"/>
      <c r="IZ29" s="277"/>
      <c r="JA29" s="277"/>
      <c r="JB29" s="140"/>
      <c r="JC29" s="277"/>
      <c r="JD29" s="277"/>
      <c r="JE29" s="277"/>
      <c r="JF29" s="140"/>
      <c r="JG29" s="277"/>
      <c r="JH29" s="277"/>
      <c r="JI29" s="140"/>
      <c r="JJ29" s="277"/>
      <c r="JK29" s="277"/>
      <c r="JL29" s="140"/>
      <c r="JM29" s="277"/>
      <c r="JN29" s="277"/>
      <c r="JO29" s="140"/>
      <c r="JP29" s="277"/>
      <c r="JQ29" s="277"/>
      <c r="JR29" s="277"/>
      <c r="JS29" s="277"/>
      <c r="JT29" s="277"/>
      <c r="JU29" s="277"/>
      <c r="JV29" s="277"/>
      <c r="JW29" s="277"/>
      <c r="JX29" s="277"/>
      <c r="JY29" s="277"/>
      <c r="JZ29" s="277"/>
      <c r="KA29" s="277"/>
      <c r="KB29" s="277"/>
      <c r="KC29" s="277"/>
      <c r="KD29" s="277"/>
      <c r="KE29" s="277"/>
      <c r="KF29" s="277"/>
      <c r="KG29" s="277"/>
      <c r="KH29" s="277"/>
      <c r="KI29" s="277"/>
      <c r="KJ29" s="277"/>
      <c r="KK29" s="277"/>
      <c r="KL29" s="277"/>
      <c r="KM29" s="277"/>
      <c r="KN29" s="277"/>
      <c r="KO29" s="277"/>
      <c r="KP29" s="274"/>
      <c r="KQ29" s="253"/>
      <c r="KR29" s="253"/>
      <c r="KY29" s="141">
        <f t="shared" si="5"/>
        <v>0</v>
      </c>
      <c r="KZ29" s="141">
        <f t="shared" si="6"/>
        <v>0</v>
      </c>
    </row>
    <row r="30" spans="1:319" ht="38.25" customHeight="1" x14ac:dyDescent="0.55000000000000004">
      <c r="B30" s="314" t="s">
        <v>389</v>
      </c>
      <c r="C30" s="218"/>
      <c r="D30" s="218"/>
      <c r="E30" s="218"/>
      <c r="F30" s="218"/>
      <c r="G30" s="218"/>
      <c r="H30" s="218"/>
      <c r="I30" s="162"/>
      <c r="J30" s="142"/>
      <c r="K30" s="142"/>
      <c r="L30" s="268">
        <f t="shared" si="0"/>
        <v>7000</v>
      </c>
      <c r="M30" s="164">
        <f t="shared" si="1"/>
        <v>0</v>
      </c>
      <c r="N30" s="397"/>
      <c r="O30" s="165">
        <f t="shared" si="2"/>
        <v>0</v>
      </c>
      <c r="P30" s="165"/>
      <c r="Q30" s="165"/>
      <c r="R30" s="165" t="e">
        <f>(AM30+AU30+AY30+BC30+BG30+BK30+BO30+BS30+BW30+CA30+CE30+CI30+CM30+CQ30+CU30+CY30+DC30+DG30+DS30+DW30+EA30+EE30+EI30+EM30+EQ30+EU30+#REF!+#REF!+FJ30+FN30+#REF!+#REF!+HF30+#REF!+HJ30+HN30+HZ30+ID30+IH30+IL30+IX30+JB30+JF30+JI30+JL30+JO30)/1000*L30*(C30+D30+E30+I30)</f>
        <v>#REF!</v>
      </c>
      <c r="S30" s="165"/>
      <c r="T30" s="165">
        <f t="shared" si="3"/>
        <v>0</v>
      </c>
      <c r="U30" s="165"/>
      <c r="V30" s="165"/>
      <c r="W30" s="165"/>
      <c r="X30" s="165" t="e">
        <f>(FF30+FC30+#REF!+KP30)/4000*L30*(C30+D30+E30+I30)</f>
        <v>#REF!</v>
      </c>
      <c r="Y30" s="484"/>
      <c r="Z30" s="484"/>
      <c r="AA30" s="484"/>
      <c r="AB30" s="484"/>
      <c r="AC30" s="150">
        <f t="shared" si="7"/>
        <v>0</v>
      </c>
      <c r="AD30" s="150"/>
      <c r="AE30" s="150">
        <f t="shared" si="4"/>
        <v>0</v>
      </c>
      <c r="AF30" s="161"/>
      <c r="AG30" s="143"/>
      <c r="AH30" s="154"/>
      <c r="AI30" s="335">
        <v>10</v>
      </c>
      <c r="AJ30" s="336">
        <v>250</v>
      </c>
      <c r="AK30" s="336"/>
      <c r="AL30" s="337" t="s">
        <v>545</v>
      </c>
      <c r="AM30" s="140"/>
      <c r="AN30" s="154"/>
      <c r="AO30" s="154"/>
      <c r="AP30" s="220"/>
      <c r="AQ30" s="145"/>
      <c r="AR30" s="154"/>
      <c r="AS30" s="154"/>
      <c r="AT30" s="220"/>
      <c r="AU30" s="140"/>
      <c r="AV30" s="277"/>
      <c r="AW30" s="277"/>
      <c r="AX30" s="277"/>
      <c r="AY30" s="140"/>
      <c r="AZ30" s="277"/>
      <c r="BA30" s="277"/>
      <c r="BB30" s="277"/>
      <c r="BC30" s="140"/>
      <c r="BD30" s="277"/>
      <c r="BE30" s="277"/>
      <c r="BF30" s="277"/>
      <c r="BG30" s="140"/>
      <c r="BH30" s="277"/>
      <c r="BI30" s="277"/>
      <c r="BJ30" s="277"/>
      <c r="BK30" s="140"/>
      <c r="BL30" s="277"/>
      <c r="BM30" s="277"/>
      <c r="BN30" s="277"/>
      <c r="BO30" s="140"/>
      <c r="BP30" s="277"/>
      <c r="BQ30" s="277"/>
      <c r="BR30" s="277"/>
      <c r="BS30" s="140"/>
      <c r="BT30" s="277"/>
      <c r="BU30" s="277"/>
      <c r="BV30" s="277"/>
      <c r="BW30" s="140"/>
      <c r="BX30" s="154"/>
      <c r="BY30" s="154"/>
      <c r="BZ30" s="220"/>
      <c r="CA30" s="140"/>
      <c r="CB30" s="154"/>
      <c r="CC30" s="154"/>
      <c r="CD30" s="220"/>
      <c r="CE30" s="140"/>
      <c r="CF30" s="271"/>
      <c r="CG30" s="271"/>
      <c r="CH30" s="271"/>
      <c r="CI30" s="140"/>
      <c r="CJ30" s="154"/>
      <c r="CK30" s="154"/>
      <c r="CL30" s="154"/>
      <c r="CM30" s="140"/>
      <c r="CN30" s="271"/>
      <c r="CO30" s="271"/>
      <c r="CP30" s="271"/>
      <c r="CQ30" s="140"/>
      <c r="CR30" s="154"/>
      <c r="CS30" s="154"/>
      <c r="CT30" s="154"/>
      <c r="CU30" s="140"/>
      <c r="CV30" s="154"/>
      <c r="CW30" s="154"/>
      <c r="CX30" s="220"/>
      <c r="CY30" s="140"/>
      <c r="CZ30" s="154"/>
      <c r="DA30" s="154"/>
      <c r="DB30" s="220"/>
      <c r="DC30" s="140"/>
      <c r="DD30" s="146"/>
      <c r="DE30" s="146"/>
      <c r="DF30" s="146"/>
      <c r="DG30" s="140"/>
      <c r="DH30" s="146"/>
      <c r="DI30" s="146"/>
      <c r="DJ30" s="146"/>
      <c r="DK30" s="146"/>
      <c r="DL30" s="146"/>
      <c r="DM30" s="146"/>
      <c r="DN30" s="146"/>
      <c r="DO30" s="146"/>
      <c r="DP30" s="146"/>
      <c r="DQ30" s="146"/>
      <c r="DR30" s="146"/>
      <c r="DS30" s="140"/>
      <c r="DT30" s="154"/>
      <c r="DU30" s="154"/>
      <c r="DV30" s="154"/>
      <c r="DW30" s="140"/>
      <c r="DX30" s="220"/>
      <c r="DY30" s="220"/>
      <c r="DZ30" s="220"/>
      <c r="EA30" s="140"/>
      <c r="EB30" s="220"/>
      <c r="EC30" s="220"/>
      <c r="ED30" s="220"/>
      <c r="EE30" s="140"/>
      <c r="EF30" s="154"/>
      <c r="EG30" s="154"/>
      <c r="EH30" s="154"/>
      <c r="EI30" s="140"/>
      <c r="EJ30" s="154"/>
      <c r="EK30" s="154"/>
      <c r="EL30" s="154"/>
      <c r="EM30" s="140"/>
      <c r="EN30" s="222"/>
      <c r="EO30" s="222"/>
      <c r="EP30" s="222"/>
      <c r="EQ30" s="140"/>
      <c r="ER30" s="222"/>
      <c r="ES30" s="222"/>
      <c r="ET30" s="222"/>
      <c r="EU30" s="140"/>
      <c r="EV30" s="222"/>
      <c r="EW30" s="222"/>
      <c r="EX30" s="222"/>
      <c r="EY30" s="272"/>
      <c r="EZ30" s="222"/>
      <c r="FA30" s="222"/>
      <c r="FB30" s="222"/>
      <c r="FC30" s="273"/>
      <c r="FD30" s="223"/>
      <c r="FE30" s="223"/>
      <c r="FF30" s="276"/>
      <c r="FG30" s="156"/>
      <c r="FH30" s="156"/>
      <c r="FI30" s="156"/>
      <c r="FJ30" s="140"/>
      <c r="FK30" s="277"/>
      <c r="FL30" s="277"/>
      <c r="FM30" s="277"/>
      <c r="FN30" s="140"/>
      <c r="FO30" s="277"/>
      <c r="FP30" s="277"/>
      <c r="FQ30" s="277"/>
      <c r="FR30" s="280"/>
      <c r="FS30" s="277"/>
      <c r="FT30" s="277"/>
      <c r="FU30" s="277"/>
      <c r="FV30" s="277"/>
      <c r="FW30" s="277"/>
      <c r="FX30" s="277"/>
      <c r="FY30" s="277"/>
      <c r="FZ30" s="277"/>
      <c r="GA30" s="277"/>
      <c r="GB30" s="277"/>
      <c r="GC30" s="277"/>
      <c r="GD30" s="277"/>
      <c r="GE30" s="277"/>
      <c r="GF30" s="277"/>
      <c r="GG30" s="277"/>
      <c r="GH30" s="277"/>
      <c r="GI30" s="277"/>
      <c r="GJ30" s="277"/>
      <c r="GK30" s="277"/>
      <c r="GL30" s="277"/>
      <c r="GM30" s="277"/>
      <c r="GN30" s="277"/>
      <c r="GO30" s="277"/>
      <c r="GP30" s="277"/>
      <c r="GQ30" s="277"/>
      <c r="GR30" s="277"/>
      <c r="GS30" s="277"/>
      <c r="GT30" s="277"/>
      <c r="GU30" s="277"/>
      <c r="GV30" s="277"/>
      <c r="GW30" s="277"/>
      <c r="GX30" s="277"/>
      <c r="GY30" s="277"/>
      <c r="GZ30" s="277"/>
      <c r="HA30" s="277"/>
      <c r="HB30" s="277"/>
      <c r="HC30" s="277"/>
      <c r="HD30" s="277"/>
      <c r="HE30" s="277"/>
      <c r="HF30" s="140"/>
      <c r="HG30" s="277"/>
      <c r="HH30" s="277"/>
      <c r="HI30" s="277"/>
      <c r="HJ30" s="140"/>
      <c r="HK30" s="277"/>
      <c r="HL30" s="277"/>
      <c r="HM30" s="277"/>
      <c r="HN30" s="140"/>
      <c r="HO30" s="277"/>
      <c r="HP30" s="277"/>
      <c r="HQ30" s="277"/>
      <c r="HR30" s="277"/>
      <c r="HS30" s="277"/>
      <c r="HT30" s="277"/>
      <c r="HU30" s="277"/>
      <c r="HV30" s="277"/>
      <c r="HW30" s="277"/>
      <c r="HX30" s="277"/>
      <c r="HY30" s="277"/>
      <c r="HZ30" s="140"/>
      <c r="IA30" s="277"/>
      <c r="IB30" s="277"/>
      <c r="IC30" s="277"/>
      <c r="ID30" s="140"/>
      <c r="IE30" s="277"/>
      <c r="IF30" s="277"/>
      <c r="IG30" s="277"/>
      <c r="IH30" s="140"/>
      <c r="II30" s="277"/>
      <c r="IJ30" s="277"/>
      <c r="IK30" s="277"/>
      <c r="IL30" s="140"/>
      <c r="IM30" s="277"/>
      <c r="IN30" s="277"/>
      <c r="IO30" s="277"/>
      <c r="IP30" s="277"/>
      <c r="IQ30" s="277"/>
      <c r="IR30" s="277"/>
      <c r="IS30" s="277"/>
      <c r="IT30" s="277"/>
      <c r="IU30" s="277"/>
      <c r="IV30" s="277"/>
      <c r="IW30" s="277"/>
      <c r="IX30" s="140"/>
      <c r="IY30" s="277"/>
      <c r="IZ30" s="277"/>
      <c r="JA30" s="277"/>
      <c r="JB30" s="140"/>
      <c r="JC30" s="277"/>
      <c r="JD30" s="277"/>
      <c r="JE30" s="277"/>
      <c r="JF30" s="140"/>
      <c r="JG30" s="277"/>
      <c r="JH30" s="277"/>
      <c r="JI30" s="140"/>
      <c r="JJ30" s="277"/>
      <c r="JK30" s="277"/>
      <c r="JL30" s="140"/>
      <c r="JM30" s="277"/>
      <c r="JN30" s="277"/>
      <c r="JO30" s="140"/>
      <c r="JP30" s="277"/>
      <c r="JQ30" s="277"/>
      <c r="JR30" s="277"/>
      <c r="JS30" s="277"/>
      <c r="JT30" s="277"/>
      <c r="JU30" s="277"/>
      <c r="JV30" s="277"/>
      <c r="JW30" s="277"/>
      <c r="JX30" s="277"/>
      <c r="JY30" s="277"/>
      <c r="JZ30" s="277"/>
      <c r="KA30" s="277"/>
      <c r="KB30" s="277"/>
      <c r="KC30" s="277"/>
      <c r="KD30" s="277"/>
      <c r="KE30" s="277"/>
      <c r="KF30" s="277"/>
      <c r="KG30" s="277"/>
      <c r="KH30" s="277"/>
      <c r="KI30" s="277"/>
      <c r="KJ30" s="277"/>
      <c r="KK30" s="277"/>
      <c r="KL30" s="277"/>
      <c r="KM30" s="277"/>
      <c r="KN30" s="277"/>
      <c r="KO30" s="277"/>
      <c r="KP30" s="274"/>
      <c r="KQ30" s="253"/>
      <c r="KR30" s="253"/>
      <c r="KY30" s="141">
        <f t="shared" si="5"/>
        <v>0</v>
      </c>
      <c r="KZ30" s="141">
        <f t="shared" si="6"/>
        <v>0</v>
      </c>
    </row>
    <row r="31" spans="1:319" ht="38.25" customHeight="1" x14ac:dyDescent="0.55000000000000004">
      <c r="B31" s="315" t="s">
        <v>390</v>
      </c>
      <c r="C31" s="159"/>
      <c r="D31" s="159"/>
      <c r="E31" s="159"/>
      <c r="F31" s="159"/>
      <c r="G31" s="159"/>
      <c r="H31" s="159"/>
      <c r="I31" s="142" cm="1">
        <f t="array" ref="I31">SUMPRODUCT(($AI$2:$KV$2&lt;&gt;"")*($AI31:$KV31&lt;&gt;""))</f>
        <v>1</v>
      </c>
      <c r="J31" s="142">
        <f>I31*C31</f>
        <v>0</v>
      </c>
      <c r="K31" s="142">
        <f>($L$1/$K$2)*J31</f>
        <v>0</v>
      </c>
      <c r="L31" s="268">
        <f t="shared" si="0"/>
        <v>7000</v>
      </c>
      <c r="M31" s="164">
        <f t="shared" ref="M31:M62" si="8">IFERROR(IF(N(AJ31)=0,0,(AI31/AJ31)*L31*(C31+D31+E31+I31)),0)</f>
        <v>700</v>
      </c>
      <c r="N31" s="397"/>
      <c r="O31" s="165">
        <f>IFERROR(IF(N(AR31)=0,0,(AQ31/AR31)*L31*(C31+D31+E31+I31)),0)</f>
        <v>0</v>
      </c>
      <c r="P31" s="165"/>
      <c r="Q31" s="165"/>
      <c r="R31" s="165">
        <f>(IFERROR(AM31/AN31,0)+IFERROR(AU31/AV31,0)+IFERROR(AY31/AZ31,0)+IFERROR(BC31/BD31,0)+IFERROR(BG31/BH31,0)+IFERROR(BK31/BL31,0)+IFERROR(BO31/BP31,0)+IFERROR(BS31/BT31,0)+IFERROR(BW31/BX31,0)+IFERROR(CA31/CB31,0)+IFERROR(CE31/CF31,0)+IFERROR(CI31/CJ31,0)+IFERROR(CM31/CN31,0)+IFERROR(CQ31/CR31,0)+IFERROR(CU31/CV31,0)+IFERROR(CY31/CZ31,0)+IFERROR(DC31/DD31,0)+IFERROR(DG31/DH31,0)+IFERROR(DS31/DT31,0)+IFERROR(DW31/DX31,0)+IFERROR(EA31/EB31,0)+IFERROR(EE31/EF31,0)+IFERROR(EI31/EJ31,0)+IFERROR(EM31/EN31,0)+IFERROR(EQ31/ER31,0)+IFERROR(EU31/EV31,0)+IFERROR(#REF!/#REF!,0)+IFERROR(#REF!/#REF!,0)+IFERROR(FJ31/FK31,0)+IFERROR(FN31/FO31,0)+IFERROR(#REF!/#REF!,0)+IFERROR(#REF!/#REF!,0)+IFERROR(HF31/HG31,0)+IFERROR(#REF!/#REF!,0)+IFERROR(HJ31/HK31,0)+IFERROR(HN31/HO31,0)+IFERROR(HZ31/IA31,0)+IFERROR(ID31/IE31,0)+IFERROR(IH31/II31,0)+IFERROR(IL31/IM31,0)+IFERROR(IX31/IY31,0)+IFERROR(JB31/JC31,0)+IFERROR(JF31/JG31,0)+IFERROR(JI31/JJ31,0)+IFERROR(JL31/JM31,0)+IFERROR(JO31/JP31,0))*L31*(C31+D31+E31+I31)</f>
        <v>0</v>
      </c>
      <c r="S31" s="165"/>
      <c r="T31" s="165">
        <f t="shared" ref="T31:T62" si="9">IFERROR(IF(N(FS31)=0,0,(FR31/FS31)*L31*(C31+D31+E31+I31)),0)</f>
        <v>0</v>
      </c>
      <c r="U31" s="165"/>
      <c r="V31" s="165"/>
      <c r="W31" s="165"/>
      <c r="X31" s="165">
        <f>(IFERROR(FF31/FG31,0)+IFERROR(FC31/FD31,0)+IFERROR(#REF!/#REF!,0)+IFERROR(KP31/KQ31,0))*L31*(C31+D31+E31+I31)</f>
        <v>0</v>
      </c>
      <c r="Y31" s="484"/>
      <c r="Z31" s="484"/>
      <c r="AA31" s="484"/>
      <c r="AB31" s="484"/>
      <c r="AC31" s="150">
        <f>IFERROR(IF(N(AH31)=0,0,(AG31/AH31)*L31*(C31+D31+E31+I31)),0)</f>
        <v>0</v>
      </c>
      <c r="AD31" s="150"/>
      <c r="AE31" s="150">
        <f t="shared" ref="AE31:AE62" si="10">IFERROR(IF(N(EZ31)=0,0,(EY31/EZ31)*L31*(C31+D31+E31+I31)),0)</f>
        <v>0</v>
      </c>
      <c r="AF31" s="161"/>
      <c r="AG31" s="143"/>
      <c r="AH31" s="154"/>
      <c r="AI31" s="342">
        <v>25</v>
      </c>
      <c r="AJ31" s="342">
        <v>250</v>
      </c>
      <c r="AK31" s="342"/>
      <c r="AL31" s="343" t="s">
        <v>545</v>
      </c>
      <c r="AM31" s="140"/>
      <c r="AN31" s="154"/>
      <c r="AO31" s="154"/>
      <c r="AP31" s="220"/>
      <c r="AQ31" s="145"/>
      <c r="AR31" s="154"/>
      <c r="AS31" s="154"/>
      <c r="AT31" s="220"/>
      <c r="AU31" s="140"/>
      <c r="AV31" s="277"/>
      <c r="AW31" s="277"/>
      <c r="AX31" s="277"/>
      <c r="AY31" s="140"/>
      <c r="AZ31" s="277"/>
      <c r="BA31" s="277"/>
      <c r="BB31" s="277"/>
      <c r="BC31" s="140"/>
      <c r="BD31" s="277"/>
      <c r="BE31" s="277"/>
      <c r="BF31" s="277"/>
      <c r="BG31" s="140"/>
      <c r="BH31" s="277"/>
      <c r="BI31" s="277"/>
      <c r="BJ31" s="277"/>
      <c r="BK31" s="140"/>
      <c r="BL31" s="277"/>
      <c r="BM31" s="277"/>
      <c r="BN31" s="277"/>
      <c r="BO31" s="140"/>
      <c r="BP31" s="277"/>
      <c r="BQ31" s="277"/>
      <c r="BR31" s="277"/>
      <c r="BS31" s="140"/>
      <c r="BT31" s="277"/>
      <c r="BU31" s="277"/>
      <c r="BV31" s="277"/>
      <c r="BW31" s="140"/>
      <c r="BX31" s="154"/>
      <c r="BY31" s="154"/>
      <c r="BZ31" s="220"/>
      <c r="CA31" s="140"/>
      <c r="CB31" s="154"/>
      <c r="CC31" s="154"/>
      <c r="CD31" s="220"/>
      <c r="CE31" s="140"/>
      <c r="CF31" s="271"/>
      <c r="CG31" s="271"/>
      <c r="CH31" s="271"/>
      <c r="CI31" s="140"/>
      <c r="CJ31" s="154"/>
      <c r="CK31" s="154"/>
      <c r="CL31" s="154"/>
      <c r="CM31" s="140"/>
      <c r="CN31" s="271"/>
      <c r="CO31" s="271"/>
      <c r="CP31" s="271"/>
      <c r="CQ31" s="140"/>
      <c r="CR31" s="154"/>
      <c r="CS31" s="154"/>
      <c r="CT31" s="154"/>
      <c r="CU31" s="140"/>
      <c r="CV31" s="154"/>
      <c r="CW31" s="154"/>
      <c r="CX31" s="220"/>
      <c r="CY31" s="140"/>
      <c r="CZ31" s="154"/>
      <c r="DA31" s="154"/>
      <c r="DB31" s="220"/>
      <c r="DC31" s="140"/>
      <c r="DD31" s="146"/>
      <c r="DE31" s="146"/>
      <c r="DF31" s="146"/>
      <c r="DG31" s="140"/>
      <c r="DH31" s="146"/>
      <c r="DI31" s="146"/>
      <c r="DJ31" s="146"/>
      <c r="DK31" s="146"/>
      <c r="DL31" s="146"/>
      <c r="DM31" s="146"/>
      <c r="DN31" s="146"/>
      <c r="DO31" s="146"/>
      <c r="DP31" s="146"/>
      <c r="DQ31" s="146"/>
      <c r="DR31" s="146"/>
      <c r="DS31" s="140"/>
      <c r="DT31" s="154"/>
      <c r="DU31" s="154"/>
      <c r="DV31" s="154"/>
      <c r="DW31" s="140"/>
      <c r="DX31" s="220"/>
      <c r="DY31" s="220"/>
      <c r="DZ31" s="220"/>
      <c r="EA31" s="140"/>
      <c r="EB31" s="220"/>
      <c r="EC31" s="220"/>
      <c r="ED31" s="220"/>
      <c r="EE31" s="140"/>
      <c r="EF31" s="154"/>
      <c r="EG31" s="154"/>
      <c r="EH31" s="154"/>
      <c r="EI31" s="140"/>
      <c r="EJ31" s="154"/>
      <c r="EK31" s="154"/>
      <c r="EL31" s="154"/>
      <c r="EM31" s="140"/>
      <c r="EN31" s="269"/>
      <c r="EO31" s="269"/>
      <c r="EP31" s="269"/>
      <c r="EQ31" s="140"/>
      <c r="ER31" s="269"/>
      <c r="ES31" s="269"/>
      <c r="ET31" s="269"/>
      <c r="EU31" s="140"/>
      <c r="EV31" s="222"/>
      <c r="EW31" s="222"/>
      <c r="EX31" s="222"/>
      <c r="EY31" s="344"/>
      <c r="EZ31" s="222"/>
      <c r="FA31" s="222"/>
      <c r="FB31" s="222"/>
      <c r="FC31" s="273"/>
      <c r="FD31" s="223"/>
      <c r="FE31" s="223"/>
      <c r="FF31" s="276"/>
      <c r="FG31" s="156"/>
      <c r="FH31" s="156"/>
      <c r="FI31" s="156"/>
      <c r="FJ31" s="140"/>
      <c r="FK31" s="277"/>
      <c r="FL31" s="277"/>
      <c r="FM31" s="277"/>
      <c r="FN31" s="140"/>
      <c r="FO31" s="277"/>
      <c r="FP31" s="277"/>
      <c r="FQ31" s="277"/>
      <c r="FR31" s="280"/>
      <c r="FS31" s="277"/>
      <c r="FT31" s="277"/>
      <c r="FU31" s="277"/>
      <c r="FV31" s="277"/>
      <c r="FW31" s="277"/>
      <c r="FX31" s="277"/>
      <c r="FY31" s="277"/>
      <c r="FZ31" s="277"/>
      <c r="GA31" s="277"/>
      <c r="GB31" s="277"/>
      <c r="GC31" s="277"/>
      <c r="GD31" s="277"/>
      <c r="GE31" s="277"/>
      <c r="GF31" s="277"/>
      <c r="GG31" s="277"/>
      <c r="GH31" s="277"/>
      <c r="GI31" s="277"/>
      <c r="GJ31" s="277"/>
      <c r="GK31" s="277"/>
      <c r="GL31" s="277"/>
      <c r="GM31" s="277"/>
      <c r="GN31" s="277"/>
      <c r="GO31" s="277"/>
      <c r="GP31" s="277"/>
      <c r="GQ31" s="277"/>
      <c r="GR31" s="277"/>
      <c r="GS31" s="277"/>
      <c r="GT31" s="277"/>
      <c r="GU31" s="277"/>
      <c r="GV31" s="277"/>
      <c r="GW31" s="277"/>
      <c r="GX31" s="277"/>
      <c r="GY31" s="277"/>
      <c r="GZ31" s="277"/>
      <c r="HA31" s="277"/>
      <c r="HB31" s="277"/>
      <c r="HC31" s="277"/>
      <c r="HD31" s="277"/>
      <c r="HE31" s="277"/>
      <c r="HF31" s="140"/>
      <c r="HG31" s="277"/>
      <c r="HH31" s="277"/>
      <c r="HI31" s="277"/>
      <c r="HJ31" s="140"/>
      <c r="HK31" s="277"/>
      <c r="HL31" s="277"/>
      <c r="HM31" s="277"/>
      <c r="HN31" s="140"/>
      <c r="HO31" s="277"/>
      <c r="HP31" s="277"/>
      <c r="HQ31" s="277"/>
      <c r="HR31" s="277"/>
      <c r="HS31" s="277"/>
      <c r="HT31" s="277"/>
      <c r="HU31" s="277"/>
      <c r="HV31" s="277"/>
      <c r="HW31" s="277"/>
      <c r="HX31" s="277"/>
      <c r="HY31" s="277"/>
      <c r="HZ31" s="140"/>
      <c r="IA31" s="277"/>
      <c r="IB31" s="277"/>
      <c r="IC31" s="277"/>
      <c r="ID31" s="140"/>
      <c r="IE31" s="277"/>
      <c r="IF31" s="277"/>
      <c r="IG31" s="277"/>
      <c r="IH31" s="140"/>
      <c r="II31" s="277"/>
      <c r="IJ31" s="277"/>
      <c r="IK31" s="277"/>
      <c r="IL31" s="140"/>
      <c r="IM31" s="277"/>
      <c r="IN31" s="277"/>
      <c r="IO31" s="277"/>
      <c r="IP31" s="277"/>
      <c r="IQ31" s="277"/>
      <c r="IR31" s="277"/>
      <c r="IS31" s="277"/>
      <c r="IT31" s="277"/>
      <c r="IU31" s="277"/>
      <c r="IV31" s="277"/>
      <c r="IW31" s="277"/>
      <c r="IX31" s="140"/>
      <c r="IY31" s="277"/>
      <c r="IZ31" s="277"/>
      <c r="JA31" s="277"/>
      <c r="JB31" s="140"/>
      <c r="JC31" s="277"/>
      <c r="JD31" s="277"/>
      <c r="JE31" s="277"/>
      <c r="JF31" s="140"/>
      <c r="JG31" s="277"/>
      <c r="JH31" s="277"/>
      <c r="JI31" s="140"/>
      <c r="JJ31" s="277"/>
      <c r="JK31" s="277"/>
      <c r="JL31" s="140"/>
      <c r="JM31" s="277"/>
      <c r="JN31" s="277"/>
      <c r="JO31" s="140"/>
      <c r="JP31" s="277"/>
      <c r="JQ31" s="277"/>
      <c r="JR31" s="277"/>
      <c r="JS31" s="277"/>
      <c r="JT31" s="277"/>
      <c r="JU31" s="277"/>
      <c r="JV31" s="277"/>
      <c r="JW31" s="277"/>
      <c r="JX31" s="277"/>
      <c r="JY31" s="277"/>
      <c r="JZ31" s="277"/>
      <c r="KA31" s="277"/>
      <c r="KB31" s="277"/>
      <c r="KC31" s="277"/>
      <c r="KD31" s="277"/>
      <c r="KE31" s="277"/>
      <c r="KF31" s="277"/>
      <c r="KG31" s="277"/>
      <c r="KH31" s="277"/>
      <c r="KI31" s="277"/>
      <c r="KJ31" s="277"/>
      <c r="KK31" s="277"/>
      <c r="KL31" s="277"/>
      <c r="KM31" s="277"/>
      <c r="KN31" s="277"/>
      <c r="KO31" s="277"/>
      <c r="KP31" s="274"/>
      <c r="KQ31" s="253"/>
      <c r="KR31" s="253"/>
      <c r="KY31" s="141">
        <f t="shared" ref="KY31:KY62" si="11">IFERROR(IF(N(KT31)=0,0,(KS31/KT31)*L31*(C31+D31+E31+I31)),0)</f>
        <v>0</v>
      </c>
      <c r="KZ31" s="141">
        <f t="shared" ref="KZ31:KZ62" si="12">IFERROR(IF(N(KW31)=0,0,(KV31/KW31)*L31*(C31+D31+E31+I31)),0)</f>
        <v>0</v>
      </c>
      <c r="LB31" s="141">
        <f t="shared" ref="LB31:LB62" si="13">(N(AI31)&gt;0)*(AL31&lt;&gt;"")</f>
        <v>1</v>
      </c>
      <c r="LC31" s="141">
        <f t="shared" ref="LC31:LC62" si="14">(N(AM31)&gt;0)*(AP31&lt;&gt;"")</f>
        <v>0</v>
      </c>
      <c r="LD31" s="141">
        <f t="shared" ref="LD31:LD62" si="15">(N(AQ31)&gt;0)*(AT31&lt;&gt;"")</f>
        <v>0</v>
      </c>
      <c r="LE31" s="141" t="e">
        <f>((N(AU31)&gt;0)*(AX31&lt;&gt;"")+(N(AY31)&gt;0)*(BB31&lt;&gt;"")+(N(BC31)&gt;0)*(BF31&lt;&gt;"")+(N(BG31)&gt;0)*(BJ31&lt;&gt;"")+(N(BK31)&gt;0)*(BN31&lt;&gt;"")+(N(BO31)&gt;0)*(BR31&lt;&gt;"")+(N(BS31)&gt;0)*(BV31&lt;&gt;"")+(N(BW31)&gt;0)*(BZ31&lt;&gt;"")+(N(CA31)&gt;0)*(CD31&lt;&gt;"")+(N(CE31)&gt;0)*(CH31&lt;&gt;"")+(N(CI31)&gt;0)*(CL31&lt;&gt;"")+(N(CM31)&gt;0)*(CP31&lt;&gt;"")+(N(CQ31)&gt;0)*(CT31&lt;&gt;"")+(N(CU31)&gt;0)*(CX31&lt;&gt;"")+(N(CY31)&gt;0)*(DB31&lt;&gt;"")+(N(DC31)&gt;0)*(DF31&lt;&gt;"")+(N(DG31)&gt;0)*(DJ31&lt;&gt;"")+(N(DS31)&gt;0)*(DV31&lt;&gt;"")+(N(DW31)&gt;0)*(DZ31&lt;&gt;"")+(N(EA31)&gt;0)*(ED31&lt;&gt;"")+(N(EE31)&gt;0)*(EH31&lt;&gt;"")+(N(EI31)&gt;0)*(EL31&lt;&gt;"")+(N(EM31)&gt;0)*(EP31&lt;&gt;"")+(N(EQ31)&gt;0)*(ET31&lt;&gt;"")+(N(EU31)&gt;0)*(EX31&lt;&gt;"")+(N(#REF!)&gt;0)*(#REF!&lt;&gt;"")+(N(#REF!)&gt;0)*(#REF!&lt;&gt;"")+(N(FJ31)&gt;0)*(FM31&lt;&gt;"")+(N(FN31)&gt;0)*(FQ31&lt;&gt;"")+(N(#REF!)&gt;0)*(#REF!&lt;&gt;"")+(N(#REF!)&gt;0)*(#REF!&lt;&gt;"")+(N(HF31)&gt;0)*(HI31&lt;&gt;"")+(N(#REF!)&gt;0)*(#REF!&lt;&gt;"")+(N(HJ31)&gt;0)*(HM31&lt;&gt;"")+(N(HN31)&gt;0)*(HQ31&lt;&gt;"")+(N(HZ31)&gt;0)*(IC31&lt;&gt;"")+(N(ID31)&gt;0)*(IG31&lt;&gt;"")+(N(IH31)&gt;0)*(IK31&lt;&gt;"")+(N(IL31)&gt;0)*(IO31&lt;&gt;"")+(N(IX31)&gt;0)*(JA31&lt;&gt;"")+(N(JB31)&gt;0)*(JE31&lt;&gt;"")+(N(JF31)&gt;0)*(JH31&lt;&gt;"")+(N(JI31)&gt;0)*(JK31&lt;&gt;"")+(N(JL31)&gt;0)*(JN31&lt;&gt;"")+(N(JO31)&gt;0)*(JQ31&lt;&gt;""))</f>
        <v>#REF!</v>
      </c>
      <c r="LF31" s="141">
        <f>(N(EY31)&gt;0)*(FB31&lt;&gt;"")</f>
        <v>0</v>
      </c>
      <c r="LG31" s="141">
        <f t="shared" ref="LG31:LG62" si="16">(N(AG31)&gt;0)*(N(AH31)&gt;0)</f>
        <v>0</v>
      </c>
    </row>
    <row r="32" spans="1:319" ht="38.25" customHeight="1" x14ac:dyDescent="0.55000000000000004">
      <c r="A32" s="141" t="s">
        <v>199</v>
      </c>
      <c r="B32" s="505" t="s">
        <v>168</v>
      </c>
      <c r="C32" s="218">
        <v>3</v>
      </c>
      <c r="D32" s="396">
        <v>3</v>
      </c>
      <c r="E32" s="396">
        <v>3</v>
      </c>
      <c r="F32" s="218"/>
      <c r="G32" s="218"/>
      <c r="H32" s="218"/>
      <c r="I32" s="162" cm="1">
        <f t="array" ref="I32">SUMPRODUCT(($AI$2:$KV$2&lt;&gt;"")*($AI32:$KV32&lt;&gt;""))</f>
        <v>8</v>
      </c>
      <c r="J32" s="142">
        <f t="shared" ref="J32:J95" si="17">I32*C32</f>
        <v>24</v>
      </c>
      <c r="K32" s="142">
        <f t="shared" ref="K32:K95" si="18">($L$1/$K$2)*J32</f>
        <v>336</v>
      </c>
      <c r="L32" s="268">
        <f t="shared" si="0"/>
        <v>7000</v>
      </c>
      <c r="M32" s="164">
        <f t="shared" si="8"/>
        <v>7140</v>
      </c>
      <c r="N32" s="397"/>
      <c r="O32" s="165">
        <f t="shared" ref="O32:O95" si="19">IFERROR(IF(N(AR32)=0,0,(AQ32/AR32)*L32*(C32+D32+E32+I32)),0)</f>
        <v>1090.8333333333335</v>
      </c>
      <c r="P32" s="165"/>
      <c r="Q32" s="165"/>
      <c r="R32" s="165">
        <f>(IFERROR(AM32/AN32,0)+IFERROR(AU32/AV32,0)+IFERROR(AY32/AZ32,0)+IFERROR(BC32/BD32,0)+IFERROR(BG32/BH32,0)+IFERROR(BK32/BL32,0)+IFERROR(BO32/BP32,0)+IFERROR(BS32/BT32,0)+IFERROR(BW32/BX32,0)+IFERROR(CA32/CB32,0)+IFERROR(CE32/CF32,0)+IFERROR(CI32/CJ32,0)+IFERROR(CM32/CN32,0)+IFERROR(CQ32/CR32,0)+IFERROR(CU32/CV32,0)+IFERROR(CY32/CZ32,0)+IFERROR(DC32/DD32,0)+IFERROR(DG32/DH32,0)+IFERROR(DS32/DT32,0)+IFERROR(DW32/DX32,0)+IFERROR(EA32/EB32,0)+IFERROR(EE32/EF32,0)+IFERROR(EI32/EJ32,0)+IFERROR(EM32/EN32,0)+IFERROR(EQ32/ER32,0)+IFERROR(EU32/EV32,0)+IFERROR(#REF!/#REF!,0)+IFERROR(#REF!/#REF!,0)+IFERROR(FJ32/FK32,0)+IFERROR(FN32/FO32,0)+IFERROR(#REF!/#REF!,0)+IFERROR(#REF!/#REF!,0)+IFERROR(HF32/HG32,0)+IFERROR(#REF!/#REF!,0)+IFERROR(HJ32/HK32,0)+IFERROR(HN32/HO32,0)+IFERROR(HZ32/IA32,0)+IFERROR(ID32/IE32,0)+IFERROR(IH32/II32,0)+IFERROR(IL32/IM32,0)+IFERROR(IX32/IY32,0)+IFERROR(JB32/JC32,0)+IFERROR(JF32/JG32,0)+IFERROR(JI32/JJ32,0)+IFERROR(JL32/JM32,0)+IFERROR(JO32/JP32,0))*L32*(C32+D32+E32+I32)</f>
        <v>18326.000000000004</v>
      </c>
      <c r="S32" s="165"/>
      <c r="T32" s="165">
        <f t="shared" si="9"/>
        <v>0</v>
      </c>
      <c r="U32" s="165"/>
      <c r="V32" s="165"/>
      <c r="W32" s="165"/>
      <c r="X32" s="165">
        <f>(IFERROR(FF32/FG32,0)+IFERROR(FC32/FD32,0)+IFERROR(#REF!/#REF!,0)+IFERROR(KP32/KQ32,0))*L32*(C32+D32+E32+I32)</f>
        <v>0</v>
      </c>
      <c r="Y32" s="484"/>
      <c r="Z32" s="484"/>
      <c r="AA32" s="484"/>
      <c r="AB32" s="484"/>
      <c r="AC32" s="150">
        <f t="shared" ref="AC32:AC95" si="20">IFERROR(IF(N(AH32)=0,0,(AG32/AH32)*L32*(C32+D32+E32+I32)),0)</f>
        <v>396.66666666666669</v>
      </c>
      <c r="AD32" s="150"/>
      <c r="AE32" s="150">
        <f t="shared" si="10"/>
        <v>0</v>
      </c>
      <c r="AF32" s="161">
        <v>305</v>
      </c>
      <c r="AG32" s="143">
        <v>40</v>
      </c>
      <c r="AH32" s="154">
        <v>12000</v>
      </c>
      <c r="AI32" s="144">
        <v>30</v>
      </c>
      <c r="AJ32" s="154">
        <v>500</v>
      </c>
      <c r="AK32" s="489" t="s">
        <v>81</v>
      </c>
      <c r="AL32" s="497" t="s">
        <v>1103</v>
      </c>
      <c r="AM32" s="490">
        <v>70</v>
      </c>
      <c r="AN32" s="154">
        <v>1000</v>
      </c>
      <c r="AO32" s="490" t="s">
        <v>82</v>
      </c>
      <c r="AP32" s="497" t="s">
        <v>1104</v>
      </c>
      <c r="AQ32" s="490">
        <v>55</v>
      </c>
      <c r="AR32" s="154">
        <v>6000</v>
      </c>
      <c r="AS32" s="490" t="s">
        <v>82</v>
      </c>
      <c r="AT32" s="497" t="s">
        <v>1104</v>
      </c>
      <c r="AU32" s="140"/>
      <c r="AV32" s="277"/>
      <c r="AW32" s="277"/>
      <c r="AX32" s="277"/>
      <c r="AY32" s="140"/>
      <c r="AZ32" s="277"/>
      <c r="BA32" s="277"/>
      <c r="BB32" s="277"/>
      <c r="BC32" s="140"/>
      <c r="BD32" s="277"/>
      <c r="BE32" s="277"/>
      <c r="BF32" s="277"/>
      <c r="BG32" s="140"/>
      <c r="BH32" s="277"/>
      <c r="BI32" s="277"/>
      <c r="BJ32" s="277"/>
      <c r="BK32" s="140"/>
      <c r="BL32" s="277"/>
      <c r="BM32" s="277"/>
      <c r="BN32" s="277"/>
      <c r="BO32" s="140"/>
      <c r="BP32" s="277"/>
      <c r="BQ32" s="277"/>
      <c r="BR32" s="277"/>
      <c r="BS32" s="140"/>
      <c r="BT32" s="277"/>
      <c r="BU32" s="277"/>
      <c r="BV32" s="277"/>
      <c r="BW32" s="490">
        <v>0.5</v>
      </c>
      <c r="BX32" s="154">
        <v>2000</v>
      </c>
      <c r="BY32" s="490" t="s">
        <v>82</v>
      </c>
      <c r="BZ32" s="497" t="s">
        <v>525</v>
      </c>
      <c r="CA32" s="490">
        <v>0.5</v>
      </c>
      <c r="CB32" s="154">
        <v>2000</v>
      </c>
      <c r="CC32" s="490" t="s">
        <v>82</v>
      </c>
      <c r="CD32" s="497" t="s">
        <v>525</v>
      </c>
      <c r="CE32" s="140"/>
      <c r="CF32" s="271"/>
      <c r="CG32" s="271"/>
      <c r="CH32" s="271"/>
      <c r="CI32" s="140"/>
      <c r="CJ32" s="154"/>
      <c r="CK32" s="154"/>
      <c r="CL32" s="154"/>
      <c r="CM32" s="140"/>
      <c r="CN32" s="271"/>
      <c r="CO32" s="271"/>
      <c r="CP32" s="271"/>
      <c r="CQ32" s="140"/>
      <c r="CR32" s="154"/>
      <c r="CS32" s="154"/>
      <c r="CT32" s="154"/>
      <c r="CU32" s="140"/>
      <c r="CV32" s="154"/>
      <c r="CW32" s="154"/>
      <c r="CX32" s="220"/>
      <c r="CY32" s="140"/>
      <c r="CZ32" s="154"/>
      <c r="DA32" s="154"/>
      <c r="DB32" s="220"/>
      <c r="DC32" s="490">
        <v>80</v>
      </c>
      <c r="DD32" s="154">
        <v>2000</v>
      </c>
      <c r="DE32" s="490" t="s">
        <v>82</v>
      </c>
      <c r="DF32" s="277" t="s">
        <v>536</v>
      </c>
      <c r="DG32" s="490">
        <v>80</v>
      </c>
      <c r="DH32" s="154">
        <v>2000</v>
      </c>
      <c r="DI32" s="490" t="s">
        <v>82</v>
      </c>
      <c r="DJ32" s="277" t="s">
        <v>536</v>
      </c>
      <c r="DK32" s="277"/>
      <c r="DL32" s="277"/>
      <c r="DM32" s="277"/>
      <c r="DN32" s="277"/>
      <c r="DO32" s="277"/>
      <c r="DP32" s="277"/>
      <c r="DQ32" s="277"/>
      <c r="DR32" s="277"/>
      <c r="DS32" s="140"/>
      <c r="DT32" s="154"/>
      <c r="DU32" s="154"/>
      <c r="DV32" s="154"/>
      <c r="DW32" s="140"/>
      <c r="DX32" s="220"/>
      <c r="DY32" s="220"/>
      <c r="DZ32" s="220"/>
      <c r="EA32" s="140"/>
      <c r="EB32" s="220"/>
      <c r="EC32" s="220"/>
      <c r="ED32" s="220"/>
      <c r="EE32" s="140"/>
      <c r="EF32" s="154"/>
      <c r="EG32" s="154"/>
      <c r="EH32" s="154"/>
      <c r="EI32" s="140"/>
      <c r="EJ32" s="154"/>
      <c r="EK32" s="154"/>
      <c r="EL32" s="154"/>
      <c r="EM32" s="140"/>
      <c r="EN32" s="222"/>
      <c r="EO32" s="222"/>
      <c r="EP32" s="222"/>
      <c r="EQ32" s="140"/>
      <c r="ER32" s="222"/>
      <c r="ES32" s="222"/>
      <c r="ET32" s="222"/>
      <c r="EU32" s="140"/>
      <c r="EV32" s="222"/>
      <c r="EW32" s="222"/>
      <c r="EX32" s="222"/>
      <c r="EY32" s="344"/>
      <c r="EZ32" s="222"/>
      <c r="FA32" s="222"/>
      <c r="FB32" s="222"/>
      <c r="FC32" s="273"/>
      <c r="FD32" s="223"/>
      <c r="FE32" s="223"/>
      <c r="FF32" s="276"/>
      <c r="FG32" s="156"/>
      <c r="FH32" s="156"/>
      <c r="FI32" s="156"/>
      <c r="FJ32" s="140"/>
      <c r="FK32" s="277"/>
      <c r="FL32" s="277"/>
      <c r="FM32" s="277"/>
      <c r="FN32" s="140"/>
      <c r="FO32" s="277"/>
      <c r="FP32" s="277"/>
      <c r="FQ32" s="277"/>
      <c r="FR32" s="280"/>
      <c r="FS32" s="277"/>
      <c r="FT32" s="277"/>
      <c r="FU32" s="277"/>
      <c r="FV32" s="277"/>
      <c r="FW32" s="277"/>
      <c r="FX32" s="277"/>
      <c r="FY32" s="277"/>
      <c r="FZ32" s="277"/>
      <c r="GA32" s="277"/>
      <c r="GB32" s="277"/>
      <c r="GC32" s="277"/>
      <c r="GD32" s="277"/>
      <c r="GE32" s="277"/>
      <c r="GF32" s="277"/>
      <c r="GG32" s="277"/>
      <c r="GH32" s="277"/>
      <c r="GI32" s="277"/>
      <c r="GJ32" s="277"/>
      <c r="GK32" s="277"/>
      <c r="GL32" s="277"/>
      <c r="GM32" s="277"/>
      <c r="GN32" s="277"/>
      <c r="GO32" s="277"/>
      <c r="GP32" s="277"/>
      <c r="GQ32" s="277"/>
      <c r="GR32" s="277"/>
      <c r="GS32" s="277"/>
      <c r="GT32" s="277"/>
      <c r="GU32" s="277"/>
      <c r="GV32" s="277"/>
      <c r="GW32" s="277"/>
      <c r="GX32" s="277"/>
      <c r="GY32" s="277"/>
      <c r="GZ32" s="277"/>
      <c r="HA32" s="277"/>
      <c r="HB32" s="277"/>
      <c r="HC32" s="277"/>
      <c r="HD32" s="277"/>
      <c r="HE32" s="277"/>
      <c r="HF32" s="493">
        <v>7</v>
      </c>
      <c r="HG32" s="277">
        <v>2000</v>
      </c>
      <c r="HH32" s="493" t="s">
        <v>345</v>
      </c>
      <c r="HI32" s="277" t="s">
        <v>345</v>
      </c>
      <c r="HJ32" s="140"/>
      <c r="HK32" s="277"/>
      <c r="HL32" s="277"/>
      <c r="HM32" s="277"/>
      <c r="HN32" s="140"/>
      <c r="HO32" s="277"/>
      <c r="HP32" s="277"/>
      <c r="HQ32" s="277"/>
      <c r="HR32" s="277"/>
      <c r="HS32" s="277"/>
      <c r="HT32" s="277"/>
      <c r="HU32" s="277"/>
      <c r="HV32" s="277"/>
      <c r="HW32" s="277"/>
      <c r="HX32" s="277"/>
      <c r="HY32" s="277"/>
      <c r="HZ32" s="140"/>
      <c r="IA32" s="277"/>
      <c r="IB32" s="277"/>
      <c r="IC32" s="277"/>
      <c r="ID32" s="140"/>
      <c r="IE32" s="277"/>
      <c r="IF32" s="277"/>
      <c r="IG32" s="277"/>
      <c r="IH32" s="140"/>
      <c r="II32" s="277"/>
      <c r="IJ32" s="277"/>
      <c r="IK32" s="277"/>
      <c r="IL32" s="140"/>
      <c r="IM32" s="277"/>
      <c r="IN32" s="277"/>
      <c r="IO32" s="277"/>
      <c r="IP32" s="277"/>
      <c r="IQ32" s="277"/>
      <c r="IR32" s="277"/>
      <c r="IS32" s="277"/>
      <c r="IT32" s="277"/>
      <c r="IU32" s="277"/>
      <c r="IV32" s="277"/>
      <c r="IW32" s="277"/>
      <c r="IX32" s="140"/>
      <c r="IY32" s="277"/>
      <c r="IZ32" s="277"/>
      <c r="JA32" s="277"/>
      <c r="JB32" s="140"/>
      <c r="JC32" s="277"/>
      <c r="JD32" s="277"/>
      <c r="JE32" s="277"/>
      <c r="JF32" s="140"/>
      <c r="JG32" s="277"/>
      <c r="JH32" s="277"/>
      <c r="JI32" s="140"/>
      <c r="JJ32" s="277"/>
      <c r="JK32" s="277"/>
      <c r="JL32" s="140"/>
      <c r="JM32" s="277"/>
      <c r="JN32" s="277"/>
      <c r="JO32" s="140"/>
      <c r="JP32" s="277"/>
      <c r="JQ32" s="277"/>
      <c r="JR32" s="277"/>
      <c r="JS32" s="277"/>
      <c r="JT32" s="277"/>
      <c r="JU32" s="277"/>
      <c r="JV32" s="277"/>
      <c r="JW32" s="277"/>
      <c r="JX32" s="277"/>
      <c r="JY32" s="277"/>
      <c r="JZ32" s="277"/>
      <c r="KA32" s="277"/>
      <c r="KB32" s="277"/>
      <c r="KC32" s="277"/>
      <c r="KD32" s="277"/>
      <c r="KE32" s="277"/>
      <c r="KF32" s="277"/>
      <c r="KG32" s="277"/>
      <c r="KH32" s="277"/>
      <c r="KI32" s="277"/>
      <c r="KJ32" s="277"/>
      <c r="KK32" s="277"/>
      <c r="KL32" s="277"/>
      <c r="KM32" s="277"/>
      <c r="KN32" s="277"/>
      <c r="KO32" s="277"/>
      <c r="KP32" s="274"/>
      <c r="KQ32" s="253"/>
      <c r="KR32" s="253"/>
      <c r="KY32" s="141">
        <f t="shared" si="11"/>
        <v>0</v>
      </c>
      <c r="KZ32" s="141">
        <f t="shared" si="12"/>
        <v>0</v>
      </c>
      <c r="LB32" s="141">
        <f t="shared" si="13"/>
        <v>1</v>
      </c>
      <c r="LC32" s="141">
        <f t="shared" si="14"/>
        <v>1</v>
      </c>
      <c r="LD32" s="141">
        <f t="shared" si="15"/>
        <v>1</v>
      </c>
      <c r="LE32" s="141" t="e">
        <f>((N(AU32)&gt;0)*(AX32&lt;&gt;"")+(N(AY32)&gt;0)*(BB32&lt;&gt;"")+(N(BC32)&gt;0)*(BF32&lt;&gt;"")+(N(BG32)&gt;0)*(BJ32&lt;&gt;"")+(N(BK32)&gt;0)*(BN32&lt;&gt;"")+(N(BO32)&gt;0)*(BR32&lt;&gt;"")+(N(BS32)&gt;0)*(BV32&lt;&gt;"")+(N(BW32)&gt;0)*(BZ32&lt;&gt;"")+(N(CA32)&gt;0)*(CD32&lt;&gt;"")+(N(CE32)&gt;0)*(CH32&lt;&gt;"")+(N(CI32)&gt;0)*(CL32&lt;&gt;"")+(N(CM32)&gt;0)*(CP32&lt;&gt;"")+(N(CQ32)&gt;0)*(CT32&lt;&gt;"")+(N(CU32)&gt;0)*(CX32&lt;&gt;"")+(N(CY32)&gt;0)*(DB32&lt;&gt;"")+(N(DC32)&gt;0)*(DF32&lt;&gt;"")+(N(DG32)&gt;0)*(DJ32&lt;&gt;"")+(N(DS32)&gt;0)*(DV32&lt;&gt;"")+(N(DW32)&gt;0)*(DZ32&lt;&gt;"")+(N(EA32)&gt;0)*(ED32&lt;&gt;"")+(N(EE32)&gt;0)*(EH32&lt;&gt;"")+(N(EI32)&gt;0)*(EL32&lt;&gt;"")+(N(EM32)&gt;0)*(EP32&lt;&gt;"")+(N(EQ32)&gt;0)*(ET32&lt;&gt;"")+(N(EU32)&gt;0)*(EX32&lt;&gt;"")+(N(#REF!)&gt;0)*(#REF!&lt;&gt;"")+(N(#REF!)&gt;0)*(#REF!&lt;&gt;"")+(N(FJ32)&gt;0)*(FM32&lt;&gt;"")+(N(FN32)&gt;0)*(FQ32&lt;&gt;"")+(N(#REF!)&gt;0)*(#REF!&lt;&gt;"")+(N(#REF!)&gt;0)*(#REF!&lt;&gt;"")+(N(HF32)&gt;0)*(HI32&lt;&gt;"")+(N(#REF!)&gt;0)*(#REF!&lt;&gt;"")+(N(HJ32)&gt;0)*(HM32&lt;&gt;"")+(N(HN32)&gt;0)*(HQ32&lt;&gt;"")+(N(HZ32)&gt;0)*(IC32&lt;&gt;"")+(N(ID32)&gt;0)*(IG32&lt;&gt;"")+(N(IH32)&gt;0)*(IK32&lt;&gt;"")+(N(IL32)&gt;0)*(IO32&lt;&gt;"")+(N(IX32)&gt;0)*(JA32&lt;&gt;"")+(N(JB32)&gt;0)*(JE32&lt;&gt;"")+(N(JF32)&gt;0)*(JH32&lt;&gt;"")+(N(JI32)&gt;0)*(JK32&lt;&gt;"")+(N(JL32)&gt;0)*(JN32&lt;&gt;"")+(N(JO32)&gt;0)*(JQ32&lt;&gt;""))</f>
        <v>#REF!</v>
      </c>
      <c r="LF32" s="141">
        <f t="shared" ref="LF32:LF95" si="21">(N(EY32)&gt;0)*(FB32&lt;&gt;"")</f>
        <v>0</v>
      </c>
      <c r="LG32" s="141">
        <f t="shared" si="16"/>
        <v>1</v>
      </c>
    </row>
    <row r="33" spans="1:319" ht="38.25" customHeight="1" x14ac:dyDescent="0.55000000000000004">
      <c r="B33" s="314" t="s">
        <v>391</v>
      </c>
      <c r="C33" s="218"/>
      <c r="D33" s="218"/>
      <c r="E33" s="218"/>
      <c r="F33" s="218"/>
      <c r="G33" s="218"/>
      <c r="H33" s="218"/>
      <c r="I33" s="162" cm="1">
        <f t="array" ref="I33">SUMPRODUCT(($AI$2:$KV$2&lt;&gt;"")*($AI33:$KV33&lt;&gt;""))</f>
        <v>1</v>
      </c>
      <c r="J33" s="142">
        <f t="shared" si="17"/>
        <v>0</v>
      </c>
      <c r="K33" s="142">
        <f t="shared" si="18"/>
        <v>0</v>
      </c>
      <c r="L33" s="268">
        <f t="shared" si="0"/>
        <v>7000</v>
      </c>
      <c r="M33" s="164">
        <f t="shared" si="8"/>
        <v>840</v>
      </c>
      <c r="N33" s="397"/>
      <c r="O33" s="165">
        <f t="shared" si="19"/>
        <v>0</v>
      </c>
      <c r="P33" s="165"/>
      <c r="Q33" s="165"/>
      <c r="R33" s="165">
        <f>(IFERROR(AM33/AN33,0)+IFERROR(AU33/AV33,0)+IFERROR(AY33/AZ33,0)+IFERROR(BC33/BD33,0)+IFERROR(BG33/BH33,0)+IFERROR(BK33/BL33,0)+IFERROR(BO33/BP33,0)+IFERROR(BS33/BT33,0)+IFERROR(BW33/BX33,0)+IFERROR(CA33/CB33,0)+IFERROR(CE33/CF33,0)+IFERROR(CI33/CJ33,0)+IFERROR(CM33/CN33,0)+IFERROR(CQ33/CR33,0)+IFERROR(CU33/CV33,0)+IFERROR(CY33/CZ33,0)+IFERROR(DC33/DD33,0)+IFERROR(DG33/DH33,0)+IFERROR(DS33/DT33,0)+IFERROR(DW33/DX33,0)+IFERROR(EA33/EB33,0)+IFERROR(EE33/EF33,0)+IFERROR(EI33/EJ33,0)+IFERROR(EM33/EN33,0)+IFERROR(EQ33/ER33,0)+IFERROR(EU33/EV33,0)+IFERROR(#REF!/#REF!,0)+IFERROR(#REF!/#REF!,0)+IFERROR(FJ33/FK33,0)+IFERROR(FN33/FO33,0)+IFERROR(#REF!/#REF!,0)+IFERROR(#REF!/#REF!,0)+IFERROR(HF33/HG33,0)+IFERROR(#REF!/#REF!,0)+IFERROR(HJ33/HK33,0)+IFERROR(HN33/HO33,0)+IFERROR(HZ33/IA33,0)+IFERROR(ID33/IE33,0)+IFERROR(IH33/II33,0)+IFERROR(IL33/IM33,0)+IFERROR(IX33/IY33,0)+IFERROR(JB33/JC33,0)+IFERROR(JF33/JG33,0)+IFERROR(JI33/JJ33,0)+IFERROR(JL33/JM33,0)+IFERROR(JO33/JP33,0))*L33*(C33+D33+E33+I33)</f>
        <v>0</v>
      </c>
      <c r="S33" s="165"/>
      <c r="T33" s="165">
        <f t="shared" si="9"/>
        <v>0</v>
      </c>
      <c r="U33" s="165"/>
      <c r="V33" s="165"/>
      <c r="W33" s="165"/>
      <c r="X33" s="165">
        <f>(IFERROR(FF33/FG33,0)+IFERROR(FC33/FD33,0)+IFERROR(#REF!/#REF!,0)+IFERROR(KP33/KQ33,0))*L33*(C33+D33+E33+I33)</f>
        <v>0</v>
      </c>
      <c r="Y33" s="484"/>
      <c r="Z33" s="484"/>
      <c r="AA33" s="484"/>
      <c r="AB33" s="484"/>
      <c r="AC33" s="150">
        <f t="shared" si="20"/>
        <v>0</v>
      </c>
      <c r="AD33" s="150"/>
      <c r="AE33" s="150">
        <f t="shared" si="10"/>
        <v>0</v>
      </c>
      <c r="AF33" s="161"/>
      <c r="AG33" s="143"/>
      <c r="AH33" s="154"/>
      <c r="AI33" s="342">
        <v>30</v>
      </c>
      <c r="AJ33" s="342">
        <v>250</v>
      </c>
      <c r="AK33" s="342"/>
      <c r="AL33" s="343" t="s">
        <v>545</v>
      </c>
      <c r="AM33" s="140"/>
      <c r="AN33" s="154"/>
      <c r="AO33" s="154"/>
      <c r="AP33" s="220"/>
      <c r="AQ33" s="145"/>
      <c r="AR33" s="154"/>
      <c r="AS33" s="154"/>
      <c r="AT33" s="220"/>
      <c r="AU33" s="140"/>
      <c r="AV33" s="277"/>
      <c r="AW33" s="277"/>
      <c r="AX33" s="277"/>
      <c r="AY33" s="140"/>
      <c r="AZ33" s="277"/>
      <c r="BA33" s="277"/>
      <c r="BB33" s="277"/>
      <c r="BC33" s="140"/>
      <c r="BD33" s="277"/>
      <c r="BE33" s="277"/>
      <c r="BF33" s="277"/>
      <c r="BG33" s="140"/>
      <c r="BH33" s="277"/>
      <c r="BI33" s="277"/>
      <c r="BJ33" s="277"/>
      <c r="BK33" s="140"/>
      <c r="BL33" s="277"/>
      <c r="BM33" s="277"/>
      <c r="BN33" s="277"/>
      <c r="BO33" s="140"/>
      <c r="BP33" s="277"/>
      <c r="BQ33" s="277"/>
      <c r="BR33" s="277"/>
      <c r="BS33" s="140"/>
      <c r="BT33" s="277"/>
      <c r="BU33" s="277"/>
      <c r="BV33" s="277"/>
      <c r="BW33" s="140"/>
      <c r="BX33" s="154"/>
      <c r="BY33" s="154"/>
      <c r="BZ33" s="220"/>
      <c r="CA33" s="140"/>
      <c r="CB33" s="154"/>
      <c r="CC33" s="154"/>
      <c r="CD33" s="220"/>
      <c r="CE33" s="140"/>
      <c r="CF33" s="271"/>
      <c r="CG33" s="271"/>
      <c r="CH33" s="271"/>
      <c r="CI33" s="140"/>
      <c r="CJ33" s="154"/>
      <c r="CK33" s="154"/>
      <c r="CL33" s="154"/>
      <c r="CM33" s="140"/>
      <c r="CN33" s="271"/>
      <c r="CO33" s="271"/>
      <c r="CP33" s="271"/>
      <c r="CQ33" s="140"/>
      <c r="CR33" s="154"/>
      <c r="CS33" s="154"/>
      <c r="CT33" s="154"/>
      <c r="CU33" s="140"/>
      <c r="CV33" s="154"/>
      <c r="CW33" s="154"/>
      <c r="CX33" s="220"/>
      <c r="CY33" s="140"/>
      <c r="CZ33" s="154"/>
      <c r="DA33" s="154"/>
      <c r="DB33" s="220"/>
      <c r="DC33" s="140"/>
      <c r="DD33" s="146"/>
      <c r="DE33" s="146"/>
      <c r="DF33" s="146"/>
      <c r="DG33" s="140"/>
      <c r="DH33" s="146"/>
      <c r="DI33" s="146"/>
      <c r="DJ33" s="146"/>
      <c r="DK33" s="146"/>
      <c r="DL33" s="146"/>
      <c r="DM33" s="146"/>
      <c r="DN33" s="146"/>
      <c r="DO33" s="146"/>
      <c r="DP33" s="146"/>
      <c r="DQ33" s="146"/>
      <c r="DR33" s="146"/>
      <c r="DS33" s="140"/>
      <c r="DT33" s="154"/>
      <c r="DU33" s="154"/>
      <c r="DV33" s="154"/>
      <c r="DW33" s="140"/>
      <c r="DX33" s="220"/>
      <c r="DY33" s="220"/>
      <c r="DZ33" s="220"/>
      <c r="EA33" s="140"/>
      <c r="EB33" s="220"/>
      <c r="EC33" s="220"/>
      <c r="ED33" s="220"/>
      <c r="EE33" s="140"/>
      <c r="EF33" s="154"/>
      <c r="EG33" s="154"/>
      <c r="EH33" s="154"/>
      <c r="EI33" s="140"/>
      <c r="EJ33" s="154"/>
      <c r="EK33" s="154"/>
      <c r="EL33" s="154"/>
      <c r="EM33" s="140"/>
      <c r="EN33" s="222"/>
      <c r="EO33" s="222"/>
      <c r="EP33" s="222"/>
      <c r="EQ33" s="140"/>
      <c r="ER33" s="222"/>
      <c r="ES33" s="222"/>
      <c r="ET33" s="222"/>
      <c r="EU33" s="140"/>
      <c r="EV33" s="222"/>
      <c r="EW33" s="222"/>
      <c r="EX33" s="222"/>
      <c r="EY33" s="344"/>
      <c r="EZ33" s="222"/>
      <c r="FA33" s="222"/>
      <c r="FB33" s="222"/>
      <c r="FC33" s="273"/>
      <c r="FD33" s="223"/>
      <c r="FE33" s="223"/>
      <c r="FF33" s="276"/>
      <c r="FG33" s="156"/>
      <c r="FH33" s="156"/>
      <c r="FI33" s="156"/>
      <c r="FJ33" s="140"/>
      <c r="FK33" s="277"/>
      <c r="FL33" s="277"/>
      <c r="FM33" s="277"/>
      <c r="FN33" s="140"/>
      <c r="FO33" s="277"/>
      <c r="FP33" s="277"/>
      <c r="FQ33" s="277"/>
      <c r="FR33" s="280"/>
      <c r="FS33" s="277"/>
      <c r="FT33" s="277"/>
      <c r="FU33" s="277"/>
      <c r="FV33" s="277"/>
      <c r="FW33" s="277"/>
      <c r="FX33" s="277"/>
      <c r="FY33" s="277"/>
      <c r="FZ33" s="277"/>
      <c r="GA33" s="277"/>
      <c r="GB33" s="277"/>
      <c r="GC33" s="277"/>
      <c r="GD33" s="277"/>
      <c r="GE33" s="277"/>
      <c r="GF33" s="277"/>
      <c r="GG33" s="277"/>
      <c r="GH33" s="277"/>
      <c r="GI33" s="277"/>
      <c r="GJ33" s="277"/>
      <c r="GK33" s="277"/>
      <c r="GL33" s="277"/>
      <c r="GM33" s="277"/>
      <c r="GN33" s="277"/>
      <c r="GO33" s="277"/>
      <c r="GP33" s="277"/>
      <c r="GQ33" s="277"/>
      <c r="GR33" s="277"/>
      <c r="GS33" s="277"/>
      <c r="GT33" s="277"/>
      <c r="GU33" s="277"/>
      <c r="GV33" s="277"/>
      <c r="GW33" s="277"/>
      <c r="GX33" s="277"/>
      <c r="GY33" s="277"/>
      <c r="GZ33" s="277"/>
      <c r="HA33" s="277"/>
      <c r="HB33" s="277"/>
      <c r="HC33" s="277"/>
      <c r="HD33" s="277"/>
      <c r="HE33" s="277"/>
      <c r="HF33" s="140"/>
      <c r="HG33" s="277"/>
      <c r="HH33" s="277"/>
      <c r="HI33" s="277"/>
      <c r="HJ33" s="140"/>
      <c r="HK33" s="277"/>
      <c r="HL33" s="277"/>
      <c r="HM33" s="277"/>
      <c r="HN33" s="140"/>
      <c r="HO33" s="277"/>
      <c r="HP33" s="277"/>
      <c r="HQ33" s="277"/>
      <c r="HR33" s="277"/>
      <c r="HS33" s="277"/>
      <c r="HT33" s="277"/>
      <c r="HU33" s="277"/>
      <c r="HV33" s="277"/>
      <c r="HW33" s="277"/>
      <c r="HX33" s="277"/>
      <c r="HY33" s="277"/>
      <c r="HZ33" s="140"/>
      <c r="IA33" s="277"/>
      <c r="IB33" s="277"/>
      <c r="IC33" s="277"/>
      <c r="ID33" s="140"/>
      <c r="IE33" s="277"/>
      <c r="IF33" s="277"/>
      <c r="IG33" s="277"/>
      <c r="IH33" s="140"/>
      <c r="II33" s="277"/>
      <c r="IJ33" s="277"/>
      <c r="IK33" s="277"/>
      <c r="IL33" s="140"/>
      <c r="IM33" s="277"/>
      <c r="IN33" s="277"/>
      <c r="IO33" s="277"/>
      <c r="IP33" s="277"/>
      <c r="IQ33" s="277"/>
      <c r="IR33" s="277"/>
      <c r="IS33" s="277"/>
      <c r="IT33" s="277"/>
      <c r="IU33" s="277"/>
      <c r="IV33" s="277"/>
      <c r="IW33" s="277"/>
      <c r="IX33" s="140"/>
      <c r="IY33" s="277"/>
      <c r="IZ33" s="277"/>
      <c r="JA33" s="277"/>
      <c r="JB33" s="140"/>
      <c r="JC33" s="277"/>
      <c r="JD33" s="277"/>
      <c r="JE33" s="277"/>
      <c r="JF33" s="140"/>
      <c r="JG33" s="277"/>
      <c r="JH33" s="277"/>
      <c r="JI33" s="140"/>
      <c r="JJ33" s="277"/>
      <c r="JK33" s="277"/>
      <c r="JL33" s="140"/>
      <c r="JM33" s="277"/>
      <c r="JN33" s="277"/>
      <c r="JO33" s="140"/>
      <c r="JP33" s="277"/>
      <c r="JQ33" s="277"/>
      <c r="JR33" s="277"/>
      <c r="JS33" s="277"/>
      <c r="JT33" s="277"/>
      <c r="JU33" s="277"/>
      <c r="JV33" s="277"/>
      <c r="JW33" s="277"/>
      <c r="JX33" s="277"/>
      <c r="JY33" s="277"/>
      <c r="JZ33" s="277"/>
      <c r="KA33" s="277"/>
      <c r="KB33" s="277"/>
      <c r="KC33" s="277"/>
      <c r="KD33" s="277"/>
      <c r="KE33" s="277"/>
      <c r="KF33" s="277"/>
      <c r="KG33" s="277"/>
      <c r="KH33" s="277"/>
      <c r="KI33" s="277"/>
      <c r="KJ33" s="277"/>
      <c r="KK33" s="277"/>
      <c r="KL33" s="277"/>
      <c r="KM33" s="277"/>
      <c r="KN33" s="277"/>
      <c r="KO33" s="277"/>
      <c r="KP33" s="274"/>
      <c r="KQ33" s="253"/>
      <c r="KR33" s="253"/>
      <c r="KY33" s="141">
        <f t="shared" si="11"/>
        <v>0</v>
      </c>
      <c r="KZ33" s="141">
        <f t="shared" si="12"/>
        <v>0</v>
      </c>
      <c r="LB33" s="141">
        <f t="shared" si="13"/>
        <v>1</v>
      </c>
      <c r="LC33" s="141">
        <f t="shared" si="14"/>
        <v>0</v>
      </c>
      <c r="LD33" s="141">
        <f t="shared" si="15"/>
        <v>0</v>
      </c>
      <c r="LE33" s="141" t="e">
        <f>((N(AU33)&gt;0)*(AX33&lt;&gt;"")+(N(AY33)&gt;0)*(BB33&lt;&gt;"")+(N(BC33)&gt;0)*(BF33&lt;&gt;"")+(N(BG33)&gt;0)*(BJ33&lt;&gt;"")+(N(BK33)&gt;0)*(BN33&lt;&gt;"")+(N(BO33)&gt;0)*(BR33&lt;&gt;"")+(N(BS33)&gt;0)*(BV33&lt;&gt;"")+(N(BW33)&gt;0)*(BZ33&lt;&gt;"")+(N(CA33)&gt;0)*(CD33&lt;&gt;"")+(N(CE33)&gt;0)*(CH33&lt;&gt;"")+(N(CI33)&gt;0)*(CL33&lt;&gt;"")+(N(CM33)&gt;0)*(CP33&lt;&gt;"")+(N(CQ33)&gt;0)*(CT33&lt;&gt;"")+(N(CU33)&gt;0)*(CX33&lt;&gt;"")+(N(CY33)&gt;0)*(DB33&lt;&gt;"")+(N(DC33)&gt;0)*(DF33&lt;&gt;"")+(N(DG33)&gt;0)*(DJ33&lt;&gt;"")+(N(DS33)&gt;0)*(DV33&lt;&gt;"")+(N(DW33)&gt;0)*(DZ33&lt;&gt;"")+(N(EA33)&gt;0)*(ED33&lt;&gt;"")+(N(EE33)&gt;0)*(EH33&lt;&gt;"")+(N(EI33)&gt;0)*(EL33&lt;&gt;"")+(N(EM33)&gt;0)*(EP33&lt;&gt;"")+(N(EQ33)&gt;0)*(ET33&lt;&gt;"")+(N(EU33)&gt;0)*(EX33&lt;&gt;"")+(N(#REF!)&gt;0)*(#REF!&lt;&gt;"")+(N(#REF!)&gt;0)*(#REF!&lt;&gt;"")+(N(FJ33)&gt;0)*(FM33&lt;&gt;"")+(N(FN33)&gt;0)*(FQ33&lt;&gt;"")+(N(#REF!)&gt;0)*(#REF!&lt;&gt;"")+(N(#REF!)&gt;0)*(#REF!&lt;&gt;"")+(N(HF33)&gt;0)*(HI33&lt;&gt;"")+(N(#REF!)&gt;0)*(#REF!&lt;&gt;"")+(N(HJ33)&gt;0)*(HM33&lt;&gt;"")+(N(HN33)&gt;0)*(HQ33&lt;&gt;"")+(N(HZ33)&gt;0)*(IC33&lt;&gt;"")+(N(ID33)&gt;0)*(IG33&lt;&gt;"")+(N(IH33)&gt;0)*(IK33&lt;&gt;"")+(N(IL33)&gt;0)*(IO33&lt;&gt;"")+(N(IX33)&gt;0)*(JA33&lt;&gt;"")+(N(JB33)&gt;0)*(JE33&lt;&gt;"")+(N(JF33)&gt;0)*(JH33&lt;&gt;"")+(N(JI33)&gt;0)*(JK33&lt;&gt;"")+(N(JL33)&gt;0)*(JN33&lt;&gt;"")+(N(JO33)&gt;0)*(JQ33&lt;&gt;""))</f>
        <v>#REF!</v>
      </c>
      <c r="LF33" s="141">
        <f t="shared" si="21"/>
        <v>0</v>
      </c>
      <c r="LG33" s="141">
        <f t="shared" si="16"/>
        <v>0</v>
      </c>
    </row>
    <row r="34" spans="1:319" ht="38.25" customHeight="1" x14ac:dyDescent="0.55000000000000004">
      <c r="B34" s="314" t="s">
        <v>392</v>
      </c>
      <c r="C34" s="218"/>
      <c r="D34" s="218"/>
      <c r="E34" s="218"/>
      <c r="F34" s="218"/>
      <c r="G34" s="218"/>
      <c r="H34" s="218"/>
      <c r="I34" s="162" cm="1">
        <f t="array" ref="I34">SUMPRODUCT(($AI$2:$KV$2&lt;&gt;"")*($AI34:$KV34&lt;&gt;""))</f>
        <v>0</v>
      </c>
      <c r="J34" s="142">
        <f t="shared" si="17"/>
        <v>0</v>
      </c>
      <c r="K34" s="142">
        <f t="shared" si="18"/>
        <v>0</v>
      </c>
      <c r="L34" s="268">
        <f t="shared" si="0"/>
        <v>7000</v>
      </c>
      <c r="M34" s="164">
        <f t="shared" si="8"/>
        <v>0</v>
      </c>
      <c r="N34" s="397"/>
      <c r="O34" s="165">
        <f t="shared" si="19"/>
        <v>0</v>
      </c>
      <c r="P34" s="165"/>
      <c r="Q34" s="165"/>
      <c r="R34" s="165">
        <f>(IFERROR(AM34/AN34,0)+IFERROR(AU34/AV34,0)+IFERROR(AY34/AZ34,0)+IFERROR(BC34/BD34,0)+IFERROR(BG34/BH34,0)+IFERROR(BK34/BL34,0)+IFERROR(BO34/BP34,0)+IFERROR(BS34/BT34,0)+IFERROR(BW34/BX34,0)+IFERROR(CA34/CB34,0)+IFERROR(CE34/CF34,0)+IFERROR(CI34/CJ34,0)+IFERROR(CM34/CN34,0)+IFERROR(CQ34/CR34,0)+IFERROR(CU34/CV34,0)+IFERROR(CY34/CZ34,0)+IFERROR(DC34/DD34,0)+IFERROR(DG34/DH34,0)+IFERROR(DS34/DT34,0)+IFERROR(DW34/DX34,0)+IFERROR(EA34/EB34,0)+IFERROR(EE34/EF34,0)+IFERROR(EI34/EJ34,0)+IFERROR(EM34/EN34,0)+IFERROR(EQ34/ER34,0)+IFERROR(EU34/EV34,0)+IFERROR(#REF!/#REF!,0)+IFERROR(#REF!/#REF!,0)+IFERROR(FJ34/FK34,0)+IFERROR(FN34/FO34,0)+IFERROR(#REF!/#REF!,0)+IFERROR(#REF!/#REF!,0)+IFERROR(HF34/HG34,0)+IFERROR(#REF!/#REF!,0)+IFERROR(HJ34/HK34,0)+IFERROR(HN34/HO34,0)+IFERROR(HZ34/IA34,0)+IFERROR(ID34/IE34,0)+IFERROR(IH34/II34,0)+IFERROR(IL34/IM34,0)+IFERROR(IX34/IY34,0)+IFERROR(JB34/JC34,0)+IFERROR(JF34/JG34,0)+IFERROR(JI34/JJ34,0)+IFERROR(JL34/JM34,0)+IFERROR(JO34/JP34,0))*L34*(C34+D34+E34+I34)</f>
        <v>0</v>
      </c>
      <c r="S34" s="165"/>
      <c r="T34" s="165">
        <f t="shared" si="9"/>
        <v>0</v>
      </c>
      <c r="U34" s="165"/>
      <c r="V34" s="165"/>
      <c r="W34" s="165"/>
      <c r="X34" s="165">
        <f>(IFERROR(FF34/FG34,0)+IFERROR(FC34/FD34,0)+IFERROR(#REF!/#REF!,0)+IFERROR(KP34/KQ34,0))*L34*(C34+D34+E34+I34)</f>
        <v>0</v>
      </c>
      <c r="Y34" s="484"/>
      <c r="Z34" s="484"/>
      <c r="AA34" s="484"/>
      <c r="AB34" s="484"/>
      <c r="AC34" s="150">
        <f t="shared" si="20"/>
        <v>0</v>
      </c>
      <c r="AD34" s="150"/>
      <c r="AE34" s="150">
        <f t="shared" si="10"/>
        <v>0</v>
      </c>
      <c r="AF34" s="161"/>
      <c r="AG34" s="143"/>
      <c r="AH34" s="154"/>
      <c r="AI34" s="144"/>
      <c r="AJ34" s="154"/>
      <c r="AK34" s="154"/>
      <c r="AL34" s="220"/>
      <c r="AM34" s="140"/>
      <c r="AN34" s="154"/>
      <c r="AO34" s="154"/>
      <c r="AP34" s="220"/>
      <c r="AQ34" s="145"/>
      <c r="AR34" s="154"/>
      <c r="AS34" s="154"/>
      <c r="AT34" s="220"/>
      <c r="AU34" s="140"/>
      <c r="AV34" s="277"/>
      <c r="AW34" s="277"/>
      <c r="AX34" s="277"/>
      <c r="AY34" s="140"/>
      <c r="AZ34" s="277"/>
      <c r="BA34" s="277"/>
      <c r="BB34" s="277"/>
      <c r="BC34" s="140"/>
      <c r="BD34" s="277"/>
      <c r="BE34" s="277"/>
      <c r="BF34" s="277"/>
      <c r="BG34" s="140"/>
      <c r="BH34" s="277"/>
      <c r="BI34" s="277"/>
      <c r="BJ34" s="277"/>
      <c r="BK34" s="140"/>
      <c r="BL34" s="277"/>
      <c r="BM34" s="277"/>
      <c r="BN34" s="277"/>
      <c r="BO34" s="140"/>
      <c r="BP34" s="277"/>
      <c r="BQ34" s="277"/>
      <c r="BR34" s="277"/>
      <c r="BS34" s="140"/>
      <c r="BT34" s="277"/>
      <c r="BU34" s="277"/>
      <c r="BV34" s="277"/>
      <c r="BW34" s="140"/>
      <c r="BX34" s="154"/>
      <c r="BY34" s="154"/>
      <c r="BZ34" s="220"/>
      <c r="CA34" s="140"/>
      <c r="CB34" s="154"/>
      <c r="CC34" s="154"/>
      <c r="CD34" s="220"/>
      <c r="CE34" s="140"/>
      <c r="CF34" s="271"/>
      <c r="CG34" s="271"/>
      <c r="CH34" s="271"/>
      <c r="CI34" s="140"/>
      <c r="CJ34" s="154"/>
      <c r="CK34" s="154"/>
      <c r="CL34" s="154"/>
      <c r="CM34" s="140"/>
      <c r="CN34" s="271"/>
      <c r="CO34" s="271"/>
      <c r="CP34" s="271"/>
      <c r="CQ34" s="140"/>
      <c r="CR34" s="154"/>
      <c r="CS34" s="154"/>
      <c r="CT34" s="154"/>
      <c r="CU34" s="140"/>
      <c r="CV34" s="154"/>
      <c r="CW34" s="154"/>
      <c r="CX34" s="220"/>
      <c r="CY34" s="140"/>
      <c r="CZ34" s="154"/>
      <c r="DA34" s="154"/>
      <c r="DB34" s="220"/>
      <c r="DC34" s="140"/>
      <c r="DD34" s="146"/>
      <c r="DE34" s="146"/>
      <c r="DF34" s="146"/>
      <c r="DG34" s="140"/>
      <c r="DH34" s="146"/>
      <c r="DI34" s="146"/>
      <c r="DJ34" s="146"/>
      <c r="DK34" s="146"/>
      <c r="DL34" s="146"/>
      <c r="DM34" s="146"/>
      <c r="DN34" s="146"/>
      <c r="DO34" s="146"/>
      <c r="DP34" s="146"/>
      <c r="DQ34" s="146"/>
      <c r="DR34" s="146"/>
      <c r="DS34" s="140"/>
      <c r="DT34" s="154"/>
      <c r="DU34" s="154"/>
      <c r="DV34" s="154"/>
      <c r="DW34" s="140"/>
      <c r="DX34" s="220"/>
      <c r="DY34" s="220"/>
      <c r="DZ34" s="220"/>
      <c r="EA34" s="140"/>
      <c r="EB34" s="220"/>
      <c r="EC34" s="220"/>
      <c r="ED34" s="220"/>
      <c r="EE34" s="140"/>
      <c r="EF34" s="154"/>
      <c r="EG34" s="154"/>
      <c r="EH34" s="154"/>
      <c r="EI34" s="140"/>
      <c r="EJ34" s="154"/>
      <c r="EK34" s="154"/>
      <c r="EL34" s="154"/>
      <c r="EM34" s="140"/>
      <c r="EN34" s="222"/>
      <c r="EO34" s="222"/>
      <c r="EP34" s="222"/>
      <c r="EQ34" s="140"/>
      <c r="ER34" s="222"/>
      <c r="ES34" s="222"/>
      <c r="ET34" s="222"/>
      <c r="EU34" s="140"/>
      <c r="EV34" s="222"/>
      <c r="EW34" s="222"/>
      <c r="EX34" s="222"/>
      <c r="EY34" s="344"/>
      <c r="EZ34" s="222"/>
      <c r="FA34" s="222"/>
      <c r="FB34" s="222"/>
      <c r="FC34" s="273"/>
      <c r="FD34" s="223"/>
      <c r="FE34" s="223"/>
      <c r="FF34" s="276"/>
      <c r="FG34" s="156"/>
      <c r="FH34" s="156"/>
      <c r="FI34" s="156"/>
      <c r="FJ34" s="140"/>
      <c r="FK34" s="277"/>
      <c r="FL34" s="277"/>
      <c r="FM34" s="277"/>
      <c r="FN34" s="140"/>
      <c r="FO34" s="277"/>
      <c r="FP34" s="277"/>
      <c r="FQ34" s="277"/>
      <c r="FR34" s="280"/>
      <c r="FS34" s="277"/>
      <c r="FT34" s="277"/>
      <c r="FU34" s="277"/>
      <c r="FV34" s="277"/>
      <c r="FW34" s="277"/>
      <c r="FX34" s="277"/>
      <c r="FY34" s="277"/>
      <c r="FZ34" s="277"/>
      <c r="GA34" s="277"/>
      <c r="GB34" s="277"/>
      <c r="GC34" s="277"/>
      <c r="GD34" s="277"/>
      <c r="GE34" s="277"/>
      <c r="GF34" s="277"/>
      <c r="GG34" s="277"/>
      <c r="GH34" s="277"/>
      <c r="GI34" s="277"/>
      <c r="GJ34" s="277"/>
      <c r="GK34" s="277"/>
      <c r="GL34" s="277"/>
      <c r="GM34" s="277"/>
      <c r="GN34" s="277"/>
      <c r="GO34" s="277"/>
      <c r="GP34" s="277"/>
      <c r="GQ34" s="277"/>
      <c r="GR34" s="277"/>
      <c r="GS34" s="277"/>
      <c r="GT34" s="277"/>
      <c r="GU34" s="277"/>
      <c r="GV34" s="277"/>
      <c r="GW34" s="277"/>
      <c r="GX34" s="277"/>
      <c r="GY34" s="277"/>
      <c r="GZ34" s="277"/>
      <c r="HA34" s="277"/>
      <c r="HB34" s="277"/>
      <c r="HC34" s="277"/>
      <c r="HD34" s="277"/>
      <c r="HE34" s="277"/>
      <c r="HF34" s="140"/>
      <c r="HG34" s="277"/>
      <c r="HH34" s="277"/>
      <c r="HI34" s="277"/>
      <c r="HJ34" s="140"/>
      <c r="HK34" s="277"/>
      <c r="HL34" s="277"/>
      <c r="HM34" s="277"/>
      <c r="HN34" s="140"/>
      <c r="HO34" s="277"/>
      <c r="HP34" s="277"/>
      <c r="HQ34" s="277"/>
      <c r="HR34" s="277"/>
      <c r="HS34" s="277"/>
      <c r="HT34" s="277"/>
      <c r="HU34" s="277"/>
      <c r="HV34" s="277"/>
      <c r="HW34" s="277"/>
      <c r="HX34" s="277"/>
      <c r="HY34" s="277"/>
      <c r="HZ34" s="140"/>
      <c r="IA34" s="277"/>
      <c r="IB34" s="277"/>
      <c r="IC34" s="277"/>
      <c r="ID34" s="140"/>
      <c r="IE34" s="277"/>
      <c r="IF34" s="277"/>
      <c r="IG34" s="277"/>
      <c r="IH34" s="140"/>
      <c r="II34" s="277"/>
      <c r="IJ34" s="277"/>
      <c r="IK34" s="277"/>
      <c r="IL34" s="140"/>
      <c r="IM34" s="277"/>
      <c r="IN34" s="277"/>
      <c r="IO34" s="277"/>
      <c r="IP34" s="277"/>
      <c r="IQ34" s="277"/>
      <c r="IR34" s="277"/>
      <c r="IS34" s="277"/>
      <c r="IT34" s="277"/>
      <c r="IU34" s="277"/>
      <c r="IV34" s="277"/>
      <c r="IW34" s="277"/>
      <c r="IX34" s="140"/>
      <c r="IY34" s="277"/>
      <c r="IZ34" s="277"/>
      <c r="JA34" s="277"/>
      <c r="JB34" s="140"/>
      <c r="JC34" s="277"/>
      <c r="JD34" s="277"/>
      <c r="JE34" s="277"/>
      <c r="JF34" s="140"/>
      <c r="JG34" s="277"/>
      <c r="JH34" s="277"/>
      <c r="JI34" s="140"/>
      <c r="JJ34" s="277"/>
      <c r="JK34" s="277"/>
      <c r="JL34" s="140"/>
      <c r="JM34" s="277"/>
      <c r="JN34" s="277"/>
      <c r="JO34" s="140"/>
      <c r="JP34" s="277"/>
      <c r="JQ34" s="277"/>
      <c r="JR34" s="277"/>
      <c r="JS34" s="277"/>
      <c r="JT34" s="277"/>
      <c r="JU34" s="277"/>
      <c r="JV34" s="277"/>
      <c r="JW34" s="277"/>
      <c r="JX34" s="277"/>
      <c r="JY34" s="277"/>
      <c r="JZ34" s="277"/>
      <c r="KA34" s="277"/>
      <c r="KB34" s="277"/>
      <c r="KC34" s="277"/>
      <c r="KD34" s="277"/>
      <c r="KE34" s="277"/>
      <c r="KF34" s="277"/>
      <c r="KG34" s="277"/>
      <c r="KH34" s="277"/>
      <c r="KI34" s="277"/>
      <c r="KJ34" s="277"/>
      <c r="KK34" s="277"/>
      <c r="KL34" s="277"/>
      <c r="KM34" s="277"/>
      <c r="KN34" s="277"/>
      <c r="KO34" s="277"/>
      <c r="KP34" s="274"/>
      <c r="KQ34" s="253"/>
      <c r="KR34" s="253"/>
      <c r="KY34" s="141">
        <f t="shared" si="11"/>
        <v>0</v>
      </c>
      <c r="KZ34" s="141">
        <f t="shared" si="12"/>
        <v>0</v>
      </c>
      <c r="LB34" s="141">
        <f t="shared" si="13"/>
        <v>0</v>
      </c>
      <c r="LC34" s="141">
        <f t="shared" si="14"/>
        <v>0</v>
      </c>
      <c r="LD34" s="141">
        <f t="shared" si="15"/>
        <v>0</v>
      </c>
      <c r="LE34" s="141" t="e">
        <f>((N(AU34)&gt;0)*(AX34&lt;&gt;"")+(N(AY34)&gt;0)*(BB34&lt;&gt;"")+(N(BC34)&gt;0)*(BF34&lt;&gt;"")+(N(BG34)&gt;0)*(BJ34&lt;&gt;"")+(N(BK34)&gt;0)*(BN34&lt;&gt;"")+(N(BO34)&gt;0)*(BR34&lt;&gt;"")+(N(BS34)&gt;0)*(BV34&lt;&gt;"")+(N(BW34)&gt;0)*(BZ34&lt;&gt;"")+(N(CA34)&gt;0)*(CD34&lt;&gt;"")+(N(CE34)&gt;0)*(CH34&lt;&gt;"")+(N(CI34)&gt;0)*(CL34&lt;&gt;"")+(N(CM34)&gt;0)*(CP34&lt;&gt;"")+(N(CQ34)&gt;0)*(CT34&lt;&gt;"")+(N(CU34)&gt;0)*(CX34&lt;&gt;"")+(N(CY34)&gt;0)*(DB34&lt;&gt;"")+(N(DC34)&gt;0)*(DF34&lt;&gt;"")+(N(DG34)&gt;0)*(DJ34&lt;&gt;"")+(N(DS34)&gt;0)*(DV34&lt;&gt;"")+(N(DW34)&gt;0)*(DZ34&lt;&gt;"")+(N(EA34)&gt;0)*(ED34&lt;&gt;"")+(N(EE34)&gt;0)*(EH34&lt;&gt;"")+(N(EI34)&gt;0)*(EL34&lt;&gt;"")+(N(EM34)&gt;0)*(EP34&lt;&gt;"")+(N(EQ34)&gt;0)*(ET34&lt;&gt;"")+(N(EU34)&gt;0)*(EX34&lt;&gt;"")+(N(#REF!)&gt;0)*(#REF!&lt;&gt;"")+(N(#REF!)&gt;0)*(#REF!&lt;&gt;"")+(N(FJ34)&gt;0)*(FM34&lt;&gt;"")+(N(FN34)&gt;0)*(FQ34&lt;&gt;"")+(N(#REF!)&gt;0)*(#REF!&lt;&gt;"")+(N(#REF!)&gt;0)*(#REF!&lt;&gt;"")+(N(HF34)&gt;0)*(HI34&lt;&gt;"")+(N(#REF!)&gt;0)*(#REF!&lt;&gt;"")+(N(HJ34)&gt;0)*(HM34&lt;&gt;"")+(N(HN34)&gt;0)*(HQ34&lt;&gt;"")+(N(HZ34)&gt;0)*(IC34&lt;&gt;"")+(N(ID34)&gt;0)*(IG34&lt;&gt;"")+(N(IH34)&gt;0)*(IK34&lt;&gt;"")+(N(IL34)&gt;0)*(IO34&lt;&gt;"")+(N(IX34)&gt;0)*(JA34&lt;&gt;"")+(N(JB34)&gt;0)*(JE34&lt;&gt;"")+(N(JF34)&gt;0)*(JH34&lt;&gt;"")+(N(JI34)&gt;0)*(JK34&lt;&gt;"")+(N(JL34)&gt;0)*(JN34&lt;&gt;"")+(N(JO34)&gt;0)*(JQ34&lt;&gt;""))</f>
        <v>#REF!</v>
      </c>
      <c r="LF34" s="141">
        <f t="shared" si="21"/>
        <v>0</v>
      </c>
      <c r="LG34" s="141">
        <f t="shared" si="16"/>
        <v>0</v>
      </c>
    </row>
    <row r="35" spans="1:319" ht="38.25" customHeight="1" x14ac:dyDescent="0.55000000000000004">
      <c r="B35" s="314" t="s">
        <v>393</v>
      </c>
      <c r="C35" s="218"/>
      <c r="D35" s="218"/>
      <c r="E35" s="218"/>
      <c r="F35" s="218"/>
      <c r="G35" s="218"/>
      <c r="H35" s="218"/>
      <c r="I35" s="162" cm="1">
        <f t="array" ref="I35">SUMPRODUCT(($AI$2:$KV$2&lt;&gt;"")*($AI35:$KV35&lt;&gt;""))</f>
        <v>0</v>
      </c>
      <c r="J35" s="142">
        <f t="shared" si="17"/>
        <v>0</v>
      </c>
      <c r="K35" s="142">
        <f t="shared" si="18"/>
        <v>0</v>
      </c>
      <c r="L35" s="268">
        <f t="shared" si="0"/>
        <v>7000</v>
      </c>
      <c r="M35" s="164">
        <f t="shared" si="8"/>
        <v>0</v>
      </c>
      <c r="N35" s="397"/>
      <c r="O35" s="165">
        <f t="shared" si="19"/>
        <v>0</v>
      </c>
      <c r="P35" s="165"/>
      <c r="Q35" s="165"/>
      <c r="R35" s="165">
        <f>(IFERROR(AM35/AN35,0)+IFERROR(AU35/AV35,0)+IFERROR(AY35/AZ35,0)+IFERROR(BC35/BD35,0)+IFERROR(BG35/BH35,0)+IFERROR(BK35/BL35,0)+IFERROR(BO35/BP35,0)+IFERROR(BS35/BT35,0)+IFERROR(BW35/BX35,0)+IFERROR(CA35/CB35,0)+IFERROR(CE35/CF35,0)+IFERROR(CI35/CJ35,0)+IFERROR(CM35/CN35,0)+IFERROR(CQ35/CR35,0)+IFERROR(CU35/CV35,0)+IFERROR(CY35/CZ35,0)+IFERROR(DC35/DD35,0)+IFERROR(DG35/DH35,0)+IFERROR(DS35/DT35,0)+IFERROR(DW35/DX35,0)+IFERROR(EA35/EB35,0)+IFERROR(EE35/EF35,0)+IFERROR(EI35/EJ35,0)+IFERROR(EM35/EN35,0)+IFERROR(EQ35/ER35,0)+IFERROR(EU35/EV35,0)+IFERROR(#REF!/#REF!,0)+IFERROR(#REF!/#REF!,0)+IFERROR(FJ35/FK35,0)+IFERROR(FN35/FO35,0)+IFERROR(#REF!/#REF!,0)+IFERROR(#REF!/#REF!,0)+IFERROR(HF35/HG35,0)+IFERROR(#REF!/#REF!,0)+IFERROR(HJ35/HK35,0)+IFERROR(HN35/HO35,0)+IFERROR(HZ35/IA35,0)+IFERROR(ID35/IE35,0)+IFERROR(IH35/II35,0)+IFERROR(IL35/IM35,0)+IFERROR(IX35/IY35,0)+IFERROR(JB35/JC35,0)+IFERROR(JF35/JG35,0)+IFERROR(JI35/JJ35,0)+IFERROR(JL35/JM35,0)+IFERROR(JO35/JP35,0))*L35*(C35+D35+E35+I35)</f>
        <v>0</v>
      </c>
      <c r="S35" s="165"/>
      <c r="T35" s="165">
        <f t="shared" si="9"/>
        <v>0</v>
      </c>
      <c r="U35" s="165"/>
      <c r="V35" s="165"/>
      <c r="W35" s="165"/>
      <c r="X35" s="165">
        <f>(IFERROR(FF35/FG35,0)+IFERROR(FC35/FD35,0)+IFERROR(#REF!/#REF!,0)+IFERROR(KP35/KQ35,0))*L35*(C35+D35+E35+I35)</f>
        <v>0</v>
      </c>
      <c r="Y35" s="484"/>
      <c r="Z35" s="484"/>
      <c r="AA35" s="484"/>
      <c r="AB35" s="484"/>
      <c r="AC35" s="150">
        <f t="shared" si="20"/>
        <v>0</v>
      </c>
      <c r="AD35" s="150"/>
      <c r="AE35" s="150">
        <f t="shared" si="10"/>
        <v>0</v>
      </c>
      <c r="AF35" s="161"/>
      <c r="AG35" s="143"/>
      <c r="AH35" s="154"/>
      <c r="AI35" s="144"/>
      <c r="AJ35" s="154"/>
      <c r="AK35" s="154"/>
      <c r="AL35" s="220"/>
      <c r="AM35" s="140"/>
      <c r="AN35" s="154"/>
      <c r="AO35" s="154"/>
      <c r="AP35" s="220"/>
      <c r="AQ35" s="145"/>
      <c r="AR35" s="154"/>
      <c r="AS35" s="154"/>
      <c r="AT35" s="220"/>
      <c r="AU35" s="140"/>
      <c r="AV35" s="277"/>
      <c r="AW35" s="277"/>
      <c r="AX35" s="277"/>
      <c r="AY35" s="140"/>
      <c r="AZ35" s="277"/>
      <c r="BA35" s="277"/>
      <c r="BB35" s="277"/>
      <c r="BC35" s="140"/>
      <c r="BD35" s="277"/>
      <c r="BE35" s="277"/>
      <c r="BF35" s="277"/>
      <c r="BG35" s="140"/>
      <c r="BH35" s="277"/>
      <c r="BI35" s="277"/>
      <c r="BJ35" s="277"/>
      <c r="BK35" s="140"/>
      <c r="BL35" s="277"/>
      <c r="BM35" s="277"/>
      <c r="BN35" s="277"/>
      <c r="BO35" s="140"/>
      <c r="BP35" s="277"/>
      <c r="BQ35" s="277"/>
      <c r="BR35" s="277"/>
      <c r="BS35" s="140"/>
      <c r="BT35" s="277"/>
      <c r="BU35" s="277"/>
      <c r="BV35" s="277"/>
      <c r="BW35" s="140"/>
      <c r="BX35" s="154"/>
      <c r="BY35" s="154"/>
      <c r="BZ35" s="220"/>
      <c r="CA35" s="140"/>
      <c r="CB35" s="154"/>
      <c r="CC35" s="154"/>
      <c r="CD35" s="220"/>
      <c r="CE35" s="140"/>
      <c r="CF35" s="271"/>
      <c r="CG35" s="271"/>
      <c r="CH35" s="271"/>
      <c r="CI35" s="140"/>
      <c r="CJ35" s="154"/>
      <c r="CK35" s="154"/>
      <c r="CL35" s="154"/>
      <c r="CM35" s="140"/>
      <c r="CN35" s="271"/>
      <c r="CO35" s="271"/>
      <c r="CP35" s="271"/>
      <c r="CQ35" s="140"/>
      <c r="CR35" s="154"/>
      <c r="CS35" s="154"/>
      <c r="CT35" s="154"/>
      <c r="CU35" s="140"/>
      <c r="CV35" s="154"/>
      <c r="CW35" s="154"/>
      <c r="CX35" s="220"/>
      <c r="CY35" s="140"/>
      <c r="CZ35" s="154"/>
      <c r="DA35" s="154"/>
      <c r="DB35" s="220"/>
      <c r="DC35" s="140"/>
      <c r="DD35" s="146"/>
      <c r="DE35" s="146"/>
      <c r="DF35" s="146"/>
      <c r="DG35" s="140"/>
      <c r="DH35" s="146"/>
      <c r="DI35" s="146"/>
      <c r="DJ35" s="146"/>
      <c r="DK35" s="146"/>
      <c r="DL35" s="146"/>
      <c r="DM35" s="146"/>
      <c r="DN35" s="146"/>
      <c r="DO35" s="146"/>
      <c r="DP35" s="146"/>
      <c r="DQ35" s="146"/>
      <c r="DR35" s="146"/>
      <c r="DS35" s="140"/>
      <c r="DT35" s="154"/>
      <c r="DU35" s="154"/>
      <c r="DV35" s="154"/>
      <c r="DW35" s="140"/>
      <c r="DX35" s="220"/>
      <c r="DY35" s="220"/>
      <c r="DZ35" s="220"/>
      <c r="EA35" s="140"/>
      <c r="EB35" s="220"/>
      <c r="EC35" s="220"/>
      <c r="ED35" s="220"/>
      <c r="EE35" s="140"/>
      <c r="EF35" s="154"/>
      <c r="EG35" s="154"/>
      <c r="EH35" s="154"/>
      <c r="EI35" s="140"/>
      <c r="EJ35" s="154"/>
      <c r="EK35" s="154"/>
      <c r="EL35" s="154"/>
      <c r="EM35" s="140"/>
      <c r="EN35" s="222"/>
      <c r="EO35" s="222"/>
      <c r="EP35" s="222"/>
      <c r="EQ35" s="140"/>
      <c r="ER35" s="222"/>
      <c r="ES35" s="222"/>
      <c r="ET35" s="222"/>
      <c r="EU35" s="140"/>
      <c r="EV35" s="222"/>
      <c r="EW35" s="222"/>
      <c r="EX35" s="222"/>
      <c r="EY35" s="344"/>
      <c r="EZ35" s="222"/>
      <c r="FA35" s="222"/>
      <c r="FB35" s="222"/>
      <c r="FC35" s="273"/>
      <c r="FD35" s="223"/>
      <c r="FE35" s="223"/>
      <c r="FF35" s="276"/>
      <c r="FG35" s="156"/>
      <c r="FH35" s="156"/>
      <c r="FI35" s="156"/>
      <c r="FJ35" s="140"/>
      <c r="FK35" s="277"/>
      <c r="FL35" s="277"/>
      <c r="FM35" s="277"/>
      <c r="FN35" s="140"/>
      <c r="FO35" s="277"/>
      <c r="FP35" s="277"/>
      <c r="FQ35" s="277"/>
      <c r="FR35" s="280"/>
      <c r="FS35" s="277"/>
      <c r="FT35" s="277"/>
      <c r="FU35" s="277"/>
      <c r="FV35" s="277"/>
      <c r="FW35" s="277"/>
      <c r="FX35" s="277"/>
      <c r="FY35" s="277"/>
      <c r="FZ35" s="277"/>
      <c r="GA35" s="277"/>
      <c r="GB35" s="277"/>
      <c r="GC35" s="277"/>
      <c r="GD35" s="277"/>
      <c r="GE35" s="277"/>
      <c r="GF35" s="277"/>
      <c r="GG35" s="277"/>
      <c r="GH35" s="277"/>
      <c r="GI35" s="277"/>
      <c r="GJ35" s="277"/>
      <c r="GK35" s="277"/>
      <c r="GL35" s="277"/>
      <c r="GM35" s="277"/>
      <c r="GN35" s="277"/>
      <c r="GO35" s="277"/>
      <c r="GP35" s="277"/>
      <c r="GQ35" s="277"/>
      <c r="GR35" s="277"/>
      <c r="GS35" s="277"/>
      <c r="GT35" s="277"/>
      <c r="GU35" s="277"/>
      <c r="GV35" s="277"/>
      <c r="GW35" s="277"/>
      <c r="GX35" s="277"/>
      <c r="GY35" s="277"/>
      <c r="GZ35" s="277"/>
      <c r="HA35" s="277"/>
      <c r="HB35" s="277"/>
      <c r="HC35" s="277"/>
      <c r="HD35" s="277"/>
      <c r="HE35" s="277"/>
      <c r="HF35" s="140"/>
      <c r="HG35" s="277"/>
      <c r="HH35" s="277"/>
      <c r="HI35" s="277"/>
      <c r="HJ35" s="140"/>
      <c r="HK35" s="277"/>
      <c r="HL35" s="277"/>
      <c r="HM35" s="277"/>
      <c r="HN35" s="140"/>
      <c r="HO35" s="277"/>
      <c r="HP35" s="277"/>
      <c r="HQ35" s="277"/>
      <c r="HR35" s="277"/>
      <c r="HS35" s="277"/>
      <c r="HT35" s="277"/>
      <c r="HU35" s="277"/>
      <c r="HV35" s="277"/>
      <c r="HW35" s="277"/>
      <c r="HX35" s="277"/>
      <c r="HY35" s="277"/>
      <c r="HZ35" s="140"/>
      <c r="IA35" s="277"/>
      <c r="IB35" s="277"/>
      <c r="IC35" s="277"/>
      <c r="ID35" s="140"/>
      <c r="IE35" s="277"/>
      <c r="IF35" s="277"/>
      <c r="IG35" s="277"/>
      <c r="IH35" s="140"/>
      <c r="II35" s="277"/>
      <c r="IJ35" s="277"/>
      <c r="IK35" s="277"/>
      <c r="IL35" s="140"/>
      <c r="IM35" s="277"/>
      <c r="IN35" s="277"/>
      <c r="IO35" s="277"/>
      <c r="IP35" s="277"/>
      <c r="IQ35" s="277"/>
      <c r="IR35" s="277"/>
      <c r="IS35" s="277"/>
      <c r="IT35" s="277"/>
      <c r="IU35" s="277"/>
      <c r="IV35" s="277"/>
      <c r="IW35" s="277"/>
      <c r="IX35" s="140"/>
      <c r="IY35" s="277"/>
      <c r="IZ35" s="277"/>
      <c r="JA35" s="277"/>
      <c r="JB35" s="140"/>
      <c r="JC35" s="277"/>
      <c r="JD35" s="277"/>
      <c r="JE35" s="277"/>
      <c r="JF35" s="140"/>
      <c r="JG35" s="277"/>
      <c r="JH35" s="277"/>
      <c r="JI35" s="140"/>
      <c r="JJ35" s="277"/>
      <c r="JK35" s="277"/>
      <c r="JL35" s="140"/>
      <c r="JM35" s="277"/>
      <c r="JN35" s="277"/>
      <c r="JO35" s="140"/>
      <c r="JP35" s="277"/>
      <c r="JQ35" s="277"/>
      <c r="JR35" s="277"/>
      <c r="JS35" s="277"/>
      <c r="JT35" s="277"/>
      <c r="JU35" s="277"/>
      <c r="JV35" s="277"/>
      <c r="JW35" s="277"/>
      <c r="JX35" s="277"/>
      <c r="JY35" s="277"/>
      <c r="JZ35" s="277"/>
      <c r="KA35" s="277"/>
      <c r="KB35" s="277"/>
      <c r="KC35" s="277"/>
      <c r="KD35" s="277"/>
      <c r="KE35" s="277"/>
      <c r="KF35" s="277"/>
      <c r="KG35" s="277"/>
      <c r="KH35" s="277"/>
      <c r="KI35" s="277"/>
      <c r="KJ35" s="277"/>
      <c r="KK35" s="277"/>
      <c r="KL35" s="277"/>
      <c r="KM35" s="277"/>
      <c r="KN35" s="277"/>
      <c r="KO35" s="277"/>
      <c r="KP35" s="274"/>
      <c r="KQ35" s="253"/>
      <c r="KR35" s="253"/>
      <c r="KY35" s="141">
        <f t="shared" si="11"/>
        <v>0</v>
      </c>
      <c r="KZ35" s="141">
        <f t="shared" si="12"/>
        <v>0</v>
      </c>
      <c r="LB35" s="141">
        <f t="shared" si="13"/>
        <v>0</v>
      </c>
      <c r="LC35" s="141">
        <f t="shared" si="14"/>
        <v>0</v>
      </c>
      <c r="LD35" s="141">
        <f t="shared" si="15"/>
        <v>0</v>
      </c>
      <c r="LE35" s="141" t="e">
        <f>((N(AU35)&gt;0)*(AX35&lt;&gt;"")+(N(AY35)&gt;0)*(BB35&lt;&gt;"")+(N(BC35)&gt;0)*(BF35&lt;&gt;"")+(N(BG35)&gt;0)*(BJ35&lt;&gt;"")+(N(BK35)&gt;0)*(BN35&lt;&gt;"")+(N(BO35)&gt;0)*(BR35&lt;&gt;"")+(N(BS35)&gt;0)*(BV35&lt;&gt;"")+(N(BW35)&gt;0)*(BZ35&lt;&gt;"")+(N(CA35)&gt;0)*(CD35&lt;&gt;"")+(N(CE35)&gt;0)*(CH35&lt;&gt;"")+(N(CI35)&gt;0)*(CL35&lt;&gt;"")+(N(CM35)&gt;0)*(CP35&lt;&gt;"")+(N(CQ35)&gt;0)*(CT35&lt;&gt;"")+(N(CU35)&gt;0)*(CX35&lt;&gt;"")+(N(CY35)&gt;0)*(DB35&lt;&gt;"")+(N(DC35)&gt;0)*(DF35&lt;&gt;"")+(N(DG35)&gt;0)*(DJ35&lt;&gt;"")+(N(DS35)&gt;0)*(DV35&lt;&gt;"")+(N(DW35)&gt;0)*(DZ35&lt;&gt;"")+(N(EA35)&gt;0)*(ED35&lt;&gt;"")+(N(EE35)&gt;0)*(EH35&lt;&gt;"")+(N(EI35)&gt;0)*(EL35&lt;&gt;"")+(N(EM35)&gt;0)*(EP35&lt;&gt;"")+(N(EQ35)&gt;0)*(ET35&lt;&gt;"")+(N(EU35)&gt;0)*(EX35&lt;&gt;"")+(N(#REF!)&gt;0)*(#REF!&lt;&gt;"")+(N(#REF!)&gt;0)*(#REF!&lt;&gt;"")+(N(FJ35)&gt;0)*(FM35&lt;&gt;"")+(N(FN35)&gt;0)*(FQ35&lt;&gt;"")+(N(#REF!)&gt;0)*(#REF!&lt;&gt;"")+(N(#REF!)&gt;0)*(#REF!&lt;&gt;"")+(N(HF35)&gt;0)*(HI35&lt;&gt;"")+(N(#REF!)&gt;0)*(#REF!&lt;&gt;"")+(N(HJ35)&gt;0)*(HM35&lt;&gt;"")+(N(HN35)&gt;0)*(HQ35&lt;&gt;"")+(N(HZ35)&gt;0)*(IC35&lt;&gt;"")+(N(ID35)&gt;0)*(IG35&lt;&gt;"")+(N(IH35)&gt;0)*(IK35&lt;&gt;"")+(N(IL35)&gt;0)*(IO35&lt;&gt;"")+(N(IX35)&gt;0)*(JA35&lt;&gt;"")+(N(JB35)&gt;0)*(JE35&lt;&gt;"")+(N(JF35)&gt;0)*(JH35&lt;&gt;"")+(N(JI35)&gt;0)*(JK35&lt;&gt;"")+(N(JL35)&gt;0)*(JN35&lt;&gt;"")+(N(JO35)&gt;0)*(JQ35&lt;&gt;""))</f>
        <v>#REF!</v>
      </c>
      <c r="LF35" s="141">
        <f t="shared" si="21"/>
        <v>0</v>
      </c>
      <c r="LG35" s="141">
        <f t="shared" si="16"/>
        <v>0</v>
      </c>
    </row>
    <row r="36" spans="1:319" ht="38.25" customHeight="1" x14ac:dyDescent="0.55000000000000004">
      <c r="B36" s="314" t="s">
        <v>394</v>
      </c>
      <c r="C36" s="218"/>
      <c r="D36" s="218"/>
      <c r="E36" s="218"/>
      <c r="F36" s="218"/>
      <c r="G36" s="218"/>
      <c r="H36" s="218"/>
      <c r="I36" s="162" cm="1">
        <f t="array" ref="I36">SUMPRODUCT(($AI$2:$KV$2&lt;&gt;"")*($AI36:$KV36&lt;&gt;""))</f>
        <v>1</v>
      </c>
      <c r="J36" s="142">
        <f t="shared" si="17"/>
        <v>0</v>
      </c>
      <c r="K36" s="142">
        <f t="shared" si="18"/>
        <v>0</v>
      </c>
      <c r="L36" s="268">
        <f t="shared" si="0"/>
        <v>7000</v>
      </c>
      <c r="M36" s="164">
        <f t="shared" si="8"/>
        <v>0</v>
      </c>
      <c r="N36" s="397"/>
      <c r="O36" s="165">
        <f t="shared" si="19"/>
        <v>0</v>
      </c>
      <c r="P36" s="165"/>
      <c r="Q36" s="165"/>
      <c r="R36" s="165">
        <f>(IFERROR(AM36/AN36,0)+IFERROR(AU36/AV36,0)+IFERROR(AY36/AZ36,0)+IFERROR(BC36/BD36,0)+IFERROR(BG36/BH36,0)+IFERROR(BK36/BL36,0)+IFERROR(BO36/BP36,0)+IFERROR(BS36/BT36,0)+IFERROR(BW36/BX36,0)+IFERROR(CA36/CB36,0)+IFERROR(CE36/CF36,0)+IFERROR(CI36/CJ36,0)+IFERROR(CM36/CN36,0)+IFERROR(CQ36/CR36,0)+IFERROR(CU36/CV36,0)+IFERROR(CY36/CZ36,0)+IFERROR(DC36/DD36,0)+IFERROR(DG36/DH36,0)+IFERROR(DS36/DT36,0)+IFERROR(DW36/DX36,0)+IFERROR(EA36/EB36,0)+IFERROR(EE36/EF36,0)+IFERROR(EI36/EJ36,0)+IFERROR(EM36/EN36,0)+IFERROR(EQ36/ER36,0)+IFERROR(EU36/EV36,0)+IFERROR(#REF!/#REF!,0)+IFERROR(#REF!/#REF!,0)+IFERROR(FJ36/FK36,0)+IFERROR(FN36/FO36,0)+IFERROR(#REF!/#REF!,0)+IFERROR(#REF!/#REF!,0)+IFERROR(HF36/HG36,0)+IFERROR(#REF!/#REF!,0)+IFERROR(HJ36/HK36,0)+IFERROR(HN36/HO36,0)+IFERROR(HZ36/IA36,0)+IFERROR(ID36/IE36,0)+IFERROR(IH36/II36,0)+IFERROR(IL36/IM36,0)+IFERROR(IX36/IY36,0)+IFERROR(JB36/JC36,0)+IFERROR(JF36/JG36,0)+IFERROR(JI36/JJ36,0)+IFERROR(JL36/JM36,0)+IFERROR(JO36/JP36,0))*L36*(C36+D36+E36+I36)</f>
        <v>0</v>
      </c>
      <c r="S36" s="165"/>
      <c r="T36" s="165">
        <f t="shared" si="9"/>
        <v>0</v>
      </c>
      <c r="U36" s="165"/>
      <c r="V36" s="165"/>
      <c r="W36" s="165"/>
      <c r="X36" s="165">
        <f>(IFERROR(FF36/FG36,0)+IFERROR(FC36/FD36,0)+IFERROR(#REF!/#REF!,0)+IFERROR(KP36/KQ36,0))*L36*(C36+D36+E36+I36)</f>
        <v>0</v>
      </c>
      <c r="Y36" s="484"/>
      <c r="Z36" s="484"/>
      <c r="AA36" s="484"/>
      <c r="AB36" s="484"/>
      <c r="AC36" s="150">
        <f t="shared" si="20"/>
        <v>0</v>
      </c>
      <c r="AD36" s="150"/>
      <c r="AE36" s="150">
        <f t="shared" si="10"/>
        <v>0</v>
      </c>
      <c r="AF36" s="161"/>
      <c r="AG36" s="143">
        <v>1274</v>
      </c>
      <c r="AH36" s="154"/>
      <c r="AI36" s="144">
        <v>757</v>
      </c>
      <c r="AJ36" s="338"/>
      <c r="AK36" s="338"/>
      <c r="AL36" s="343" t="s">
        <v>545</v>
      </c>
      <c r="AM36" s="140"/>
      <c r="AN36" s="154"/>
      <c r="AO36" s="154"/>
      <c r="AP36" s="220"/>
      <c r="AQ36" s="145"/>
      <c r="AR36" s="154"/>
      <c r="AS36" s="154"/>
      <c r="AT36" s="220"/>
      <c r="AU36" s="140"/>
      <c r="AV36" s="277"/>
      <c r="AW36" s="277"/>
      <c r="AX36" s="277"/>
      <c r="AY36" s="140"/>
      <c r="AZ36" s="277"/>
      <c r="BA36" s="277"/>
      <c r="BB36" s="277"/>
      <c r="BC36" s="140"/>
      <c r="BD36" s="277"/>
      <c r="BE36" s="277"/>
      <c r="BF36" s="277"/>
      <c r="BG36" s="140"/>
      <c r="BH36" s="277"/>
      <c r="BI36" s="277"/>
      <c r="BJ36" s="277"/>
      <c r="BK36" s="140"/>
      <c r="BL36" s="277"/>
      <c r="BM36" s="277"/>
      <c r="BN36" s="277"/>
      <c r="BO36" s="140"/>
      <c r="BP36" s="277"/>
      <c r="BQ36" s="277"/>
      <c r="BR36" s="277"/>
      <c r="BS36" s="140"/>
      <c r="BT36" s="277"/>
      <c r="BU36" s="277"/>
      <c r="BV36" s="277"/>
      <c r="BW36" s="140"/>
      <c r="BX36" s="154"/>
      <c r="BY36" s="154"/>
      <c r="BZ36" s="220"/>
      <c r="CA36" s="140"/>
      <c r="CB36" s="154"/>
      <c r="CC36" s="154"/>
      <c r="CD36" s="220"/>
      <c r="CE36" s="140"/>
      <c r="CF36" s="271"/>
      <c r="CG36" s="271"/>
      <c r="CH36" s="271"/>
      <c r="CI36" s="140"/>
      <c r="CJ36" s="154"/>
      <c r="CK36" s="154"/>
      <c r="CL36" s="154"/>
      <c r="CM36" s="140"/>
      <c r="CN36" s="271"/>
      <c r="CO36" s="271"/>
      <c r="CP36" s="271"/>
      <c r="CQ36" s="140"/>
      <c r="CR36" s="154"/>
      <c r="CS36" s="154"/>
      <c r="CT36" s="154"/>
      <c r="CU36" s="140"/>
      <c r="CV36" s="154"/>
      <c r="CW36" s="154"/>
      <c r="CX36" s="220"/>
      <c r="CY36" s="140"/>
      <c r="CZ36" s="154"/>
      <c r="DA36" s="154"/>
      <c r="DB36" s="220"/>
      <c r="DC36" s="140"/>
      <c r="DD36" s="146"/>
      <c r="DE36" s="146"/>
      <c r="DF36" s="146"/>
      <c r="DG36" s="140"/>
      <c r="DH36" s="146"/>
      <c r="DI36" s="146"/>
      <c r="DJ36" s="146"/>
      <c r="DK36" s="146"/>
      <c r="DL36" s="146"/>
      <c r="DM36" s="146"/>
      <c r="DN36" s="146"/>
      <c r="DO36" s="146"/>
      <c r="DP36" s="146"/>
      <c r="DQ36" s="146"/>
      <c r="DR36" s="146"/>
      <c r="DS36" s="140"/>
      <c r="DT36" s="154"/>
      <c r="DU36" s="154"/>
      <c r="DV36" s="154"/>
      <c r="DW36" s="140"/>
      <c r="DX36" s="220"/>
      <c r="DY36" s="220"/>
      <c r="DZ36" s="220"/>
      <c r="EA36" s="140"/>
      <c r="EB36" s="220"/>
      <c r="EC36" s="220"/>
      <c r="ED36" s="220"/>
      <c r="EE36" s="140"/>
      <c r="EF36" s="154"/>
      <c r="EG36" s="154"/>
      <c r="EH36" s="154"/>
      <c r="EI36" s="140"/>
      <c r="EJ36" s="154"/>
      <c r="EK36" s="154"/>
      <c r="EL36" s="154"/>
      <c r="EM36" s="140"/>
      <c r="EN36" s="222"/>
      <c r="EO36" s="222"/>
      <c r="EP36" s="222"/>
      <c r="EQ36" s="140"/>
      <c r="ER36" s="222"/>
      <c r="ES36" s="222"/>
      <c r="ET36" s="222"/>
      <c r="EU36" s="140"/>
      <c r="EV36" s="222"/>
      <c r="EW36" s="222"/>
      <c r="EX36" s="222"/>
      <c r="EY36" s="344"/>
      <c r="EZ36" s="222"/>
      <c r="FA36" s="222"/>
      <c r="FB36" s="222"/>
      <c r="FC36" s="273"/>
      <c r="FD36" s="223"/>
      <c r="FE36" s="223"/>
      <c r="FF36" s="276"/>
      <c r="FG36" s="156"/>
      <c r="FH36" s="156"/>
      <c r="FI36" s="156"/>
      <c r="FJ36" s="140"/>
      <c r="FK36" s="277"/>
      <c r="FL36" s="277"/>
      <c r="FM36" s="277"/>
      <c r="FN36" s="140"/>
      <c r="FO36" s="277"/>
      <c r="FP36" s="277"/>
      <c r="FQ36" s="277"/>
      <c r="FR36" s="280"/>
      <c r="FS36" s="277"/>
      <c r="FT36" s="277"/>
      <c r="FU36" s="277"/>
      <c r="FV36" s="277"/>
      <c r="FW36" s="277"/>
      <c r="FX36" s="277"/>
      <c r="FY36" s="277"/>
      <c r="FZ36" s="277"/>
      <c r="GA36" s="277"/>
      <c r="GB36" s="277"/>
      <c r="GC36" s="277"/>
      <c r="GD36" s="277"/>
      <c r="GE36" s="277"/>
      <c r="GF36" s="277"/>
      <c r="GG36" s="277"/>
      <c r="GH36" s="277"/>
      <c r="GI36" s="277"/>
      <c r="GJ36" s="277"/>
      <c r="GK36" s="277"/>
      <c r="GL36" s="277"/>
      <c r="GM36" s="277"/>
      <c r="GN36" s="277"/>
      <c r="GO36" s="277"/>
      <c r="GP36" s="277"/>
      <c r="GQ36" s="277"/>
      <c r="GR36" s="277"/>
      <c r="GS36" s="277"/>
      <c r="GT36" s="277"/>
      <c r="GU36" s="277"/>
      <c r="GV36" s="277"/>
      <c r="GW36" s="277"/>
      <c r="GX36" s="277"/>
      <c r="GY36" s="277"/>
      <c r="GZ36" s="277"/>
      <c r="HA36" s="277"/>
      <c r="HB36" s="277"/>
      <c r="HC36" s="277"/>
      <c r="HD36" s="277"/>
      <c r="HE36" s="277"/>
      <c r="HF36" s="140"/>
      <c r="HG36" s="277"/>
      <c r="HH36" s="277"/>
      <c r="HI36" s="277"/>
      <c r="HJ36" s="140"/>
      <c r="HK36" s="277"/>
      <c r="HL36" s="277"/>
      <c r="HM36" s="277"/>
      <c r="HN36" s="140"/>
      <c r="HO36" s="277"/>
      <c r="HP36" s="277"/>
      <c r="HQ36" s="277"/>
      <c r="HR36" s="277"/>
      <c r="HS36" s="277"/>
      <c r="HT36" s="277"/>
      <c r="HU36" s="277"/>
      <c r="HV36" s="277"/>
      <c r="HW36" s="277"/>
      <c r="HX36" s="277"/>
      <c r="HY36" s="277"/>
      <c r="HZ36" s="140"/>
      <c r="IA36" s="277"/>
      <c r="IB36" s="277"/>
      <c r="IC36" s="277"/>
      <c r="ID36" s="140"/>
      <c r="IE36" s="277"/>
      <c r="IF36" s="277"/>
      <c r="IG36" s="277"/>
      <c r="IH36" s="140"/>
      <c r="II36" s="277"/>
      <c r="IJ36" s="277"/>
      <c r="IK36" s="277"/>
      <c r="IL36" s="140"/>
      <c r="IM36" s="277"/>
      <c r="IN36" s="277"/>
      <c r="IO36" s="277"/>
      <c r="IP36" s="277"/>
      <c r="IQ36" s="277"/>
      <c r="IR36" s="277"/>
      <c r="IS36" s="277"/>
      <c r="IT36" s="277"/>
      <c r="IU36" s="277"/>
      <c r="IV36" s="277"/>
      <c r="IW36" s="277"/>
      <c r="IX36" s="140"/>
      <c r="IY36" s="277"/>
      <c r="IZ36" s="277"/>
      <c r="JA36" s="277"/>
      <c r="JB36" s="140"/>
      <c r="JC36" s="277"/>
      <c r="JD36" s="277"/>
      <c r="JE36" s="277"/>
      <c r="JF36" s="140"/>
      <c r="JG36" s="277"/>
      <c r="JH36" s="277"/>
      <c r="JI36" s="140"/>
      <c r="JJ36" s="277"/>
      <c r="JK36" s="277"/>
      <c r="JL36" s="140"/>
      <c r="JM36" s="277"/>
      <c r="JN36" s="277"/>
      <c r="JO36" s="140"/>
      <c r="JP36" s="277"/>
      <c r="JQ36" s="277"/>
      <c r="JR36" s="277"/>
      <c r="JS36" s="277"/>
      <c r="JT36" s="277"/>
      <c r="JU36" s="277"/>
      <c r="JV36" s="277"/>
      <c r="JW36" s="277"/>
      <c r="JX36" s="277"/>
      <c r="JY36" s="277"/>
      <c r="JZ36" s="277"/>
      <c r="KA36" s="277"/>
      <c r="KB36" s="277"/>
      <c r="KC36" s="277"/>
      <c r="KD36" s="277"/>
      <c r="KE36" s="277"/>
      <c r="KF36" s="277"/>
      <c r="KG36" s="277"/>
      <c r="KH36" s="277"/>
      <c r="KI36" s="277"/>
      <c r="KJ36" s="277"/>
      <c r="KK36" s="277"/>
      <c r="KL36" s="277"/>
      <c r="KM36" s="277"/>
      <c r="KN36" s="277"/>
      <c r="KO36" s="277"/>
      <c r="KP36" s="274"/>
      <c r="KQ36" s="253"/>
      <c r="KR36" s="253"/>
      <c r="KY36" s="141">
        <f t="shared" si="11"/>
        <v>0</v>
      </c>
      <c r="KZ36" s="141">
        <f t="shared" si="12"/>
        <v>0</v>
      </c>
      <c r="LB36" s="141">
        <f t="shared" si="13"/>
        <v>1</v>
      </c>
      <c r="LC36" s="141">
        <f t="shared" si="14"/>
        <v>0</v>
      </c>
      <c r="LD36" s="141">
        <f t="shared" si="15"/>
        <v>0</v>
      </c>
      <c r="LE36" s="141" t="e">
        <f>((N(AU36)&gt;0)*(AX36&lt;&gt;"")+(N(AY36)&gt;0)*(BB36&lt;&gt;"")+(N(BC36)&gt;0)*(BF36&lt;&gt;"")+(N(BG36)&gt;0)*(BJ36&lt;&gt;"")+(N(BK36)&gt;0)*(BN36&lt;&gt;"")+(N(BO36)&gt;0)*(BR36&lt;&gt;"")+(N(BS36)&gt;0)*(BV36&lt;&gt;"")+(N(BW36)&gt;0)*(BZ36&lt;&gt;"")+(N(CA36)&gt;0)*(CD36&lt;&gt;"")+(N(CE36)&gt;0)*(CH36&lt;&gt;"")+(N(CI36)&gt;0)*(CL36&lt;&gt;"")+(N(CM36)&gt;0)*(CP36&lt;&gt;"")+(N(CQ36)&gt;0)*(CT36&lt;&gt;"")+(N(CU36)&gt;0)*(CX36&lt;&gt;"")+(N(CY36)&gt;0)*(DB36&lt;&gt;"")+(N(DC36)&gt;0)*(DF36&lt;&gt;"")+(N(DG36)&gt;0)*(DJ36&lt;&gt;"")+(N(DS36)&gt;0)*(DV36&lt;&gt;"")+(N(DW36)&gt;0)*(DZ36&lt;&gt;"")+(N(EA36)&gt;0)*(ED36&lt;&gt;"")+(N(EE36)&gt;0)*(EH36&lt;&gt;"")+(N(EI36)&gt;0)*(EL36&lt;&gt;"")+(N(EM36)&gt;0)*(EP36&lt;&gt;"")+(N(EQ36)&gt;0)*(ET36&lt;&gt;"")+(N(EU36)&gt;0)*(EX36&lt;&gt;"")+(N(#REF!)&gt;0)*(#REF!&lt;&gt;"")+(N(#REF!)&gt;0)*(#REF!&lt;&gt;"")+(N(FJ36)&gt;0)*(FM36&lt;&gt;"")+(N(FN36)&gt;0)*(FQ36&lt;&gt;"")+(N(#REF!)&gt;0)*(#REF!&lt;&gt;"")+(N(#REF!)&gt;0)*(#REF!&lt;&gt;"")+(N(HF36)&gt;0)*(HI36&lt;&gt;"")+(N(#REF!)&gt;0)*(#REF!&lt;&gt;"")+(N(HJ36)&gt;0)*(HM36&lt;&gt;"")+(N(HN36)&gt;0)*(HQ36&lt;&gt;"")+(N(HZ36)&gt;0)*(IC36&lt;&gt;"")+(N(ID36)&gt;0)*(IG36&lt;&gt;"")+(N(IH36)&gt;0)*(IK36&lt;&gt;"")+(N(IL36)&gt;0)*(IO36&lt;&gt;"")+(N(IX36)&gt;0)*(JA36&lt;&gt;"")+(N(JB36)&gt;0)*(JE36&lt;&gt;"")+(N(JF36)&gt;0)*(JH36&lt;&gt;"")+(N(JI36)&gt;0)*(JK36&lt;&gt;"")+(N(JL36)&gt;0)*(JN36&lt;&gt;"")+(N(JO36)&gt;0)*(JQ36&lt;&gt;""))</f>
        <v>#REF!</v>
      </c>
      <c r="LF36" s="141">
        <f t="shared" si="21"/>
        <v>0</v>
      </c>
      <c r="LG36" s="141">
        <f t="shared" si="16"/>
        <v>0</v>
      </c>
    </row>
    <row r="37" spans="1:319" ht="38.25" customHeight="1" x14ac:dyDescent="0.55000000000000004">
      <c r="B37" s="314" t="s">
        <v>396</v>
      </c>
      <c r="C37" s="218"/>
      <c r="D37" s="218"/>
      <c r="E37" s="218"/>
      <c r="F37" s="218"/>
      <c r="G37" s="218"/>
      <c r="H37" s="218"/>
      <c r="I37" s="162" cm="1">
        <f t="array" ref="I37">SUMPRODUCT(($AI$2:$KV$2&lt;&gt;"")*($AI37:$KV37&lt;&gt;""))</f>
        <v>0</v>
      </c>
      <c r="J37" s="142">
        <f t="shared" si="17"/>
        <v>0</v>
      </c>
      <c r="K37" s="142">
        <f t="shared" si="18"/>
        <v>0</v>
      </c>
      <c r="L37" s="268">
        <f t="shared" si="0"/>
        <v>7000</v>
      </c>
      <c r="M37" s="164">
        <f t="shared" si="8"/>
        <v>0</v>
      </c>
      <c r="N37" s="397"/>
      <c r="O37" s="165">
        <f t="shared" si="19"/>
        <v>0</v>
      </c>
      <c r="P37" s="165"/>
      <c r="Q37" s="165"/>
      <c r="R37" s="165">
        <f>(IFERROR(AM37/AN37,0)+IFERROR(AU37/AV37,0)+IFERROR(AY37/AZ37,0)+IFERROR(BC37/BD37,0)+IFERROR(BG37/BH37,0)+IFERROR(BK37/BL37,0)+IFERROR(BO37/BP37,0)+IFERROR(BS37/BT37,0)+IFERROR(BW37/BX37,0)+IFERROR(CA37/CB37,0)+IFERROR(CE37/CF37,0)+IFERROR(CI37/CJ37,0)+IFERROR(CM37/CN37,0)+IFERROR(CQ37/CR37,0)+IFERROR(CU37/CV37,0)+IFERROR(CY37/CZ37,0)+IFERROR(DC37/DD37,0)+IFERROR(DG37/DH37,0)+IFERROR(DS37/DT37,0)+IFERROR(DW37/DX37,0)+IFERROR(EA37/EB37,0)+IFERROR(EE37/EF37,0)+IFERROR(EI37/EJ37,0)+IFERROR(EM37/EN37,0)+IFERROR(EQ37/ER37,0)+IFERROR(EU37/EV37,0)+IFERROR(#REF!/#REF!,0)+IFERROR(#REF!/#REF!,0)+IFERROR(FJ37/FK37,0)+IFERROR(FN37/FO37,0)+IFERROR(#REF!/#REF!,0)+IFERROR(#REF!/#REF!,0)+IFERROR(HF37/HG37,0)+IFERROR(#REF!/#REF!,0)+IFERROR(HJ37/HK37,0)+IFERROR(HN37/HO37,0)+IFERROR(HZ37/IA37,0)+IFERROR(ID37/IE37,0)+IFERROR(IH37/II37,0)+IFERROR(IL37/IM37,0)+IFERROR(IX37/IY37,0)+IFERROR(JB37/JC37,0)+IFERROR(JF37/JG37,0)+IFERROR(JI37/JJ37,0)+IFERROR(JL37/JM37,0)+IFERROR(JO37/JP37,0))*L37*(C37+D37+E37+I37)</f>
        <v>0</v>
      </c>
      <c r="S37" s="165"/>
      <c r="T37" s="165">
        <f t="shared" si="9"/>
        <v>0</v>
      </c>
      <c r="U37" s="165"/>
      <c r="V37" s="165"/>
      <c r="W37" s="165"/>
      <c r="X37" s="165">
        <f>(IFERROR(FF37/FG37,0)+IFERROR(FC37/FD37,0)+IFERROR(#REF!/#REF!,0)+IFERROR(KP37/KQ37,0))*L37*(C37+D37+E37+I37)</f>
        <v>0</v>
      </c>
      <c r="Y37" s="484"/>
      <c r="Z37" s="484"/>
      <c r="AA37" s="484"/>
      <c r="AB37" s="484"/>
      <c r="AC37" s="150">
        <f t="shared" si="20"/>
        <v>0</v>
      </c>
      <c r="AD37" s="150"/>
      <c r="AE37" s="150">
        <f t="shared" si="10"/>
        <v>0</v>
      </c>
      <c r="AF37" s="161"/>
      <c r="AG37" s="143"/>
      <c r="AH37" s="154"/>
      <c r="AI37" s="144"/>
      <c r="AJ37" s="154"/>
      <c r="AK37" s="154"/>
      <c r="AL37" s="220"/>
      <c r="AM37" s="140"/>
      <c r="AN37" s="154"/>
      <c r="AO37" s="154"/>
      <c r="AP37" s="220"/>
      <c r="AQ37" s="145"/>
      <c r="AR37" s="154"/>
      <c r="AS37" s="154"/>
      <c r="AT37" s="220"/>
      <c r="AU37" s="140"/>
      <c r="AV37" s="277"/>
      <c r="AW37" s="277"/>
      <c r="AX37" s="277"/>
      <c r="AY37" s="140"/>
      <c r="AZ37" s="277"/>
      <c r="BA37" s="277"/>
      <c r="BB37" s="277"/>
      <c r="BC37" s="140"/>
      <c r="BD37" s="277"/>
      <c r="BE37" s="277"/>
      <c r="BF37" s="277"/>
      <c r="BG37" s="140"/>
      <c r="BH37" s="277"/>
      <c r="BI37" s="277"/>
      <c r="BJ37" s="277"/>
      <c r="BK37" s="140"/>
      <c r="BL37" s="277"/>
      <c r="BM37" s="277"/>
      <c r="BN37" s="277"/>
      <c r="BO37" s="140"/>
      <c r="BP37" s="277"/>
      <c r="BQ37" s="277"/>
      <c r="BR37" s="277"/>
      <c r="BS37" s="140"/>
      <c r="BT37" s="277"/>
      <c r="BU37" s="277"/>
      <c r="BV37" s="277"/>
      <c r="BW37" s="140"/>
      <c r="BX37" s="154"/>
      <c r="BY37" s="154"/>
      <c r="BZ37" s="220"/>
      <c r="CA37" s="140"/>
      <c r="CB37" s="154"/>
      <c r="CC37" s="154"/>
      <c r="CD37" s="220"/>
      <c r="CE37" s="140"/>
      <c r="CF37" s="271"/>
      <c r="CG37" s="271"/>
      <c r="CH37" s="271"/>
      <c r="CI37" s="140"/>
      <c r="CJ37" s="154"/>
      <c r="CK37" s="154"/>
      <c r="CL37" s="154"/>
      <c r="CM37" s="140"/>
      <c r="CN37" s="271"/>
      <c r="CO37" s="271"/>
      <c r="CP37" s="271"/>
      <c r="CQ37" s="140"/>
      <c r="CR37" s="154"/>
      <c r="CS37" s="154"/>
      <c r="CT37" s="154"/>
      <c r="CU37" s="140"/>
      <c r="CV37" s="154"/>
      <c r="CW37" s="154"/>
      <c r="CX37" s="220"/>
      <c r="CY37" s="140"/>
      <c r="CZ37" s="154"/>
      <c r="DA37" s="154"/>
      <c r="DB37" s="220"/>
      <c r="DC37" s="140"/>
      <c r="DD37" s="146"/>
      <c r="DE37" s="146"/>
      <c r="DF37" s="146"/>
      <c r="DG37" s="140"/>
      <c r="DH37" s="146"/>
      <c r="DI37" s="146"/>
      <c r="DJ37" s="146"/>
      <c r="DK37" s="146"/>
      <c r="DL37" s="146"/>
      <c r="DM37" s="146"/>
      <c r="DN37" s="146"/>
      <c r="DO37" s="146"/>
      <c r="DP37" s="146"/>
      <c r="DQ37" s="146"/>
      <c r="DR37" s="146"/>
      <c r="DS37" s="140"/>
      <c r="DT37" s="154"/>
      <c r="DU37" s="154"/>
      <c r="DV37" s="154"/>
      <c r="DW37" s="140"/>
      <c r="DX37" s="220"/>
      <c r="DY37" s="220"/>
      <c r="DZ37" s="220"/>
      <c r="EA37" s="140"/>
      <c r="EB37" s="220"/>
      <c r="EC37" s="220"/>
      <c r="ED37" s="220"/>
      <c r="EE37" s="140"/>
      <c r="EF37" s="154"/>
      <c r="EG37" s="154"/>
      <c r="EH37" s="154"/>
      <c r="EI37" s="140"/>
      <c r="EJ37" s="154"/>
      <c r="EK37" s="154"/>
      <c r="EL37" s="154"/>
      <c r="EM37" s="140"/>
      <c r="EN37" s="222"/>
      <c r="EO37" s="222"/>
      <c r="EP37" s="222"/>
      <c r="EQ37" s="140"/>
      <c r="ER37" s="222"/>
      <c r="ES37" s="222"/>
      <c r="ET37" s="222"/>
      <c r="EU37" s="140"/>
      <c r="EV37" s="222"/>
      <c r="EW37" s="222"/>
      <c r="EX37" s="222"/>
      <c r="EY37" s="344"/>
      <c r="EZ37" s="222"/>
      <c r="FA37" s="222"/>
      <c r="FB37" s="222"/>
      <c r="FC37" s="273"/>
      <c r="FD37" s="223"/>
      <c r="FE37" s="223"/>
      <c r="FF37" s="276"/>
      <c r="FG37" s="156"/>
      <c r="FH37" s="156"/>
      <c r="FI37" s="156"/>
      <c r="FJ37" s="140"/>
      <c r="FK37" s="277"/>
      <c r="FL37" s="277"/>
      <c r="FM37" s="277"/>
      <c r="FN37" s="140"/>
      <c r="FO37" s="277"/>
      <c r="FP37" s="277"/>
      <c r="FQ37" s="277"/>
      <c r="FR37" s="280"/>
      <c r="FS37" s="277"/>
      <c r="FT37" s="277"/>
      <c r="FU37" s="277"/>
      <c r="FV37" s="277"/>
      <c r="FW37" s="277"/>
      <c r="FX37" s="277"/>
      <c r="FY37" s="277"/>
      <c r="FZ37" s="277"/>
      <c r="GA37" s="277"/>
      <c r="GB37" s="277"/>
      <c r="GC37" s="277"/>
      <c r="GD37" s="277"/>
      <c r="GE37" s="277"/>
      <c r="GF37" s="277"/>
      <c r="GG37" s="277"/>
      <c r="GH37" s="277"/>
      <c r="GI37" s="277"/>
      <c r="GJ37" s="277"/>
      <c r="GK37" s="277"/>
      <c r="GL37" s="277"/>
      <c r="GM37" s="277"/>
      <c r="GN37" s="277"/>
      <c r="GO37" s="277"/>
      <c r="GP37" s="277"/>
      <c r="GQ37" s="277"/>
      <c r="GR37" s="277"/>
      <c r="GS37" s="277"/>
      <c r="GT37" s="277"/>
      <c r="GU37" s="277"/>
      <c r="GV37" s="277"/>
      <c r="GW37" s="277"/>
      <c r="GX37" s="277"/>
      <c r="GY37" s="277"/>
      <c r="GZ37" s="277"/>
      <c r="HA37" s="277"/>
      <c r="HB37" s="277"/>
      <c r="HC37" s="277"/>
      <c r="HD37" s="277"/>
      <c r="HE37" s="277"/>
      <c r="HF37" s="140"/>
      <c r="HG37" s="277"/>
      <c r="HH37" s="277"/>
      <c r="HI37" s="277"/>
      <c r="HJ37" s="140"/>
      <c r="HK37" s="277"/>
      <c r="HL37" s="277"/>
      <c r="HM37" s="277"/>
      <c r="HN37" s="140"/>
      <c r="HO37" s="277"/>
      <c r="HP37" s="277"/>
      <c r="HQ37" s="277"/>
      <c r="HR37" s="277"/>
      <c r="HS37" s="277"/>
      <c r="HT37" s="277"/>
      <c r="HU37" s="277"/>
      <c r="HV37" s="277"/>
      <c r="HW37" s="277"/>
      <c r="HX37" s="277"/>
      <c r="HY37" s="277"/>
      <c r="HZ37" s="140"/>
      <c r="IA37" s="277"/>
      <c r="IB37" s="277"/>
      <c r="IC37" s="277"/>
      <c r="ID37" s="140"/>
      <c r="IE37" s="277"/>
      <c r="IF37" s="277"/>
      <c r="IG37" s="277"/>
      <c r="IH37" s="140"/>
      <c r="II37" s="277"/>
      <c r="IJ37" s="277"/>
      <c r="IK37" s="277"/>
      <c r="IL37" s="140"/>
      <c r="IM37" s="277"/>
      <c r="IN37" s="277"/>
      <c r="IO37" s="277"/>
      <c r="IP37" s="277"/>
      <c r="IQ37" s="277"/>
      <c r="IR37" s="277"/>
      <c r="IS37" s="277"/>
      <c r="IT37" s="277"/>
      <c r="IU37" s="277"/>
      <c r="IV37" s="277"/>
      <c r="IW37" s="277"/>
      <c r="IX37" s="140"/>
      <c r="IY37" s="277"/>
      <c r="IZ37" s="277"/>
      <c r="JA37" s="277"/>
      <c r="JB37" s="140"/>
      <c r="JC37" s="277"/>
      <c r="JD37" s="277"/>
      <c r="JE37" s="277"/>
      <c r="JF37" s="140"/>
      <c r="JG37" s="277"/>
      <c r="JH37" s="277"/>
      <c r="JI37" s="140"/>
      <c r="JJ37" s="277"/>
      <c r="JK37" s="277"/>
      <c r="JL37" s="140"/>
      <c r="JM37" s="277"/>
      <c r="JN37" s="277"/>
      <c r="JO37" s="140"/>
      <c r="JP37" s="277"/>
      <c r="JQ37" s="277"/>
      <c r="JR37" s="277"/>
      <c r="JS37" s="277"/>
      <c r="JT37" s="277"/>
      <c r="JU37" s="277"/>
      <c r="JV37" s="277"/>
      <c r="JW37" s="277"/>
      <c r="JX37" s="277"/>
      <c r="JY37" s="277"/>
      <c r="JZ37" s="277"/>
      <c r="KA37" s="277"/>
      <c r="KB37" s="277"/>
      <c r="KC37" s="277"/>
      <c r="KD37" s="277"/>
      <c r="KE37" s="277"/>
      <c r="KF37" s="277"/>
      <c r="KG37" s="277"/>
      <c r="KH37" s="277"/>
      <c r="KI37" s="277"/>
      <c r="KJ37" s="277"/>
      <c r="KK37" s="277"/>
      <c r="KL37" s="277"/>
      <c r="KM37" s="277"/>
      <c r="KN37" s="277"/>
      <c r="KO37" s="277"/>
      <c r="KP37" s="274"/>
      <c r="KQ37" s="253"/>
      <c r="KR37" s="253"/>
      <c r="KY37" s="141">
        <f t="shared" si="11"/>
        <v>0</v>
      </c>
      <c r="KZ37" s="141">
        <f t="shared" si="12"/>
        <v>0</v>
      </c>
      <c r="LB37" s="141">
        <f t="shared" si="13"/>
        <v>0</v>
      </c>
      <c r="LC37" s="141">
        <f t="shared" si="14"/>
        <v>0</v>
      </c>
      <c r="LD37" s="141">
        <f t="shared" si="15"/>
        <v>0</v>
      </c>
      <c r="LE37" s="141" t="e">
        <f>((N(AU37)&gt;0)*(AX37&lt;&gt;"")+(N(AY37)&gt;0)*(BB37&lt;&gt;"")+(N(BC37)&gt;0)*(BF37&lt;&gt;"")+(N(BG37)&gt;0)*(BJ37&lt;&gt;"")+(N(BK37)&gt;0)*(BN37&lt;&gt;"")+(N(BO37)&gt;0)*(BR37&lt;&gt;"")+(N(BS37)&gt;0)*(BV37&lt;&gt;"")+(N(BW37)&gt;0)*(BZ37&lt;&gt;"")+(N(CA37)&gt;0)*(CD37&lt;&gt;"")+(N(CE37)&gt;0)*(CH37&lt;&gt;"")+(N(CI37)&gt;0)*(CL37&lt;&gt;"")+(N(CM37)&gt;0)*(CP37&lt;&gt;"")+(N(CQ37)&gt;0)*(CT37&lt;&gt;"")+(N(CU37)&gt;0)*(CX37&lt;&gt;"")+(N(CY37)&gt;0)*(DB37&lt;&gt;"")+(N(DC37)&gt;0)*(DF37&lt;&gt;"")+(N(DG37)&gt;0)*(DJ37&lt;&gt;"")+(N(DS37)&gt;0)*(DV37&lt;&gt;"")+(N(DW37)&gt;0)*(DZ37&lt;&gt;"")+(N(EA37)&gt;0)*(ED37&lt;&gt;"")+(N(EE37)&gt;0)*(EH37&lt;&gt;"")+(N(EI37)&gt;0)*(EL37&lt;&gt;"")+(N(EM37)&gt;0)*(EP37&lt;&gt;"")+(N(EQ37)&gt;0)*(ET37&lt;&gt;"")+(N(EU37)&gt;0)*(EX37&lt;&gt;"")+(N(#REF!)&gt;0)*(#REF!&lt;&gt;"")+(N(#REF!)&gt;0)*(#REF!&lt;&gt;"")+(N(FJ37)&gt;0)*(FM37&lt;&gt;"")+(N(FN37)&gt;0)*(FQ37&lt;&gt;"")+(N(#REF!)&gt;0)*(#REF!&lt;&gt;"")+(N(#REF!)&gt;0)*(#REF!&lt;&gt;"")+(N(HF37)&gt;0)*(HI37&lt;&gt;"")+(N(#REF!)&gt;0)*(#REF!&lt;&gt;"")+(N(HJ37)&gt;0)*(HM37&lt;&gt;"")+(N(HN37)&gt;0)*(HQ37&lt;&gt;"")+(N(HZ37)&gt;0)*(IC37&lt;&gt;"")+(N(ID37)&gt;0)*(IG37&lt;&gt;"")+(N(IH37)&gt;0)*(IK37&lt;&gt;"")+(N(IL37)&gt;0)*(IO37&lt;&gt;"")+(N(IX37)&gt;0)*(JA37&lt;&gt;"")+(N(JB37)&gt;0)*(JE37&lt;&gt;"")+(N(JF37)&gt;0)*(JH37&lt;&gt;"")+(N(JI37)&gt;0)*(JK37&lt;&gt;"")+(N(JL37)&gt;0)*(JN37&lt;&gt;"")+(N(JO37)&gt;0)*(JQ37&lt;&gt;""))</f>
        <v>#REF!</v>
      </c>
      <c r="LF37" s="141">
        <f t="shared" si="21"/>
        <v>0</v>
      </c>
      <c r="LG37" s="141">
        <f t="shared" si="16"/>
        <v>0</v>
      </c>
    </row>
    <row r="38" spans="1:319" ht="38.25" customHeight="1" x14ac:dyDescent="0.55000000000000004">
      <c r="A38" s="141" t="s">
        <v>135</v>
      </c>
      <c r="B38" s="511" t="s">
        <v>136</v>
      </c>
      <c r="C38" s="162">
        <v>2</v>
      </c>
      <c r="D38" s="162">
        <v>2</v>
      </c>
      <c r="E38" s="162">
        <v>2</v>
      </c>
      <c r="F38" s="162">
        <f>($AI$38/$AJ$38)*$L$38*C38</f>
        <v>2548</v>
      </c>
      <c r="G38" s="162">
        <f>($AI$38/$AJ$38)*$L$38*D38</f>
        <v>2548</v>
      </c>
      <c r="H38" s="162">
        <f>($AI$38/$AJ$38)*$L$38*E38</f>
        <v>2548</v>
      </c>
      <c r="I38" s="162" cm="1">
        <f t="array" ref="I38">SUMPRODUCT(($AI$2:$KV$2&lt;&gt;"")*($AI38:$KV38&lt;&gt;""))</f>
        <v>8</v>
      </c>
      <c r="J38" s="142">
        <f t="shared" si="17"/>
        <v>16</v>
      </c>
      <c r="K38" s="142">
        <f t="shared" si="18"/>
        <v>224</v>
      </c>
      <c r="L38" s="268">
        <f t="shared" si="0"/>
        <v>7000</v>
      </c>
      <c r="M38" s="164">
        <f t="shared" si="8"/>
        <v>17836</v>
      </c>
      <c r="N38" s="397"/>
      <c r="O38" s="165">
        <f t="shared" si="19"/>
        <v>3782.7999999999997</v>
      </c>
      <c r="P38" s="165"/>
      <c r="Q38" s="165"/>
      <c r="R38" s="165">
        <f>(IFERROR(AM38/AN38,0)+IFERROR(AU38/AV38,0)+IFERROR(AY38/AZ38,0)+IFERROR(BC38/BD38,0)+IFERROR(BG38/BH38,0)+IFERROR(BK38/BL38,0)+IFERROR(BO38/BP38,0)+IFERROR(BS38/BT38,0)+IFERROR(BW38/BX38,0)+IFERROR(CA38/CB38,0)+IFERROR(CE38/CF38,0)+IFERROR(CI38/CJ38,0)+IFERROR(CM38/CN38,0)+IFERROR(CQ38/CR38,0)+IFERROR(CU38/CV38,0)+IFERROR(CY38/CZ38,0)+IFERROR(DC38/DD38,0)+IFERROR(DG38/DH38,0)+IFERROR(DS38/DT38,0)+IFERROR(IP38/IQ38,0)+IFERROR(IT38/IU38,0)+IFERROR(EE38/EF38,0)+IFERROR(EI38/EJ38,0)+IFERROR(EM38/EN38,0)+IFERROR(EQ38/ER38,0)+IFERROR(EU38/EV38,0)+IFERROR(#REF!/#REF!,0)+IFERROR(#REF!/#REF!,0)+IFERROR(FJ38/FK38,0)+IFERROR(FN38/FO38,0)+IFERROR(#REF!/#REF!,0)+IFERROR(#REF!/#REF!,0)+IFERROR(HF38/HG38,0)+IFERROR(#REF!/#REF!,0)+IFERROR(HJ38/HK38,0)+IFERROR(HN38/HO38,0)+IFERROR(HZ38/IA38,0)+IFERROR(ID38/IE38,0)+IFERROR(IH38/II38,0)+IFERROR(IL38/IM38,0)+IFERROR(IX38/IY38,0)+IFERROR(JB38/JC38,0)+IFERROR(JF38/JG38,0)+IFERROR(JI38/JJ38,0)+IFERROR(JL38/JM38,0)+IFERROR(JO38/JP38,0))*L38*(C38+D38+E38+I38)</f>
        <v>23333.8</v>
      </c>
      <c r="S38" s="165"/>
      <c r="T38" s="165">
        <f t="shared" si="9"/>
        <v>0</v>
      </c>
      <c r="U38" s="165"/>
      <c r="V38" s="165"/>
      <c r="W38" s="165"/>
      <c r="X38" s="165">
        <f>(IFERROR(FF38/FG38,0)+IFERROR(FC38/FD38,0)+IFERROR(#REF!/#REF!,0)+IFERROR(KP38/KQ38,0))*L38*(C38+D38+E38+I38)</f>
        <v>0</v>
      </c>
      <c r="Y38" s="484"/>
      <c r="Z38" s="484"/>
      <c r="AA38" s="484"/>
      <c r="AB38" s="484"/>
      <c r="AC38" s="150">
        <f t="shared" si="20"/>
        <v>4573.3333333333339</v>
      </c>
      <c r="AD38" s="150"/>
      <c r="AE38" s="150">
        <f t="shared" si="10"/>
        <v>0</v>
      </c>
      <c r="AF38" s="161">
        <v>910</v>
      </c>
      <c r="AG38" s="143">
        <v>140</v>
      </c>
      <c r="AH38" s="154">
        <v>3000</v>
      </c>
      <c r="AI38" s="144">
        <v>45.5</v>
      </c>
      <c r="AJ38" s="154">
        <v>250</v>
      </c>
      <c r="AK38" s="489" t="s">
        <v>81</v>
      </c>
      <c r="AL38" s="154" t="s">
        <v>1142</v>
      </c>
      <c r="AM38" s="490">
        <v>208</v>
      </c>
      <c r="AN38" s="154">
        <v>1000</v>
      </c>
      <c r="AO38" s="490" t="s">
        <v>82</v>
      </c>
      <c r="AP38" s="154" t="s">
        <v>1104</v>
      </c>
      <c r="AQ38" s="490">
        <v>77.2</v>
      </c>
      <c r="AR38" s="154">
        <v>2000</v>
      </c>
      <c r="AS38" s="490" t="s">
        <v>82</v>
      </c>
      <c r="AT38" s="497" t="s">
        <v>1104</v>
      </c>
      <c r="AU38" s="140"/>
      <c r="AV38" s="277"/>
      <c r="AW38" s="277"/>
      <c r="AX38" s="277"/>
      <c r="AY38" s="140"/>
      <c r="AZ38" s="277"/>
      <c r="BA38" s="277"/>
      <c r="BB38" s="277"/>
      <c r="BC38" s="140"/>
      <c r="BD38" s="277"/>
      <c r="BE38" s="277"/>
      <c r="BF38" s="277"/>
      <c r="BG38" s="140"/>
      <c r="BH38" s="277"/>
      <c r="BI38" s="277"/>
      <c r="BJ38" s="277"/>
      <c r="BK38" s="140"/>
      <c r="BL38" s="277"/>
      <c r="BM38" s="277"/>
      <c r="BN38" s="277"/>
      <c r="BO38" s="140"/>
      <c r="BP38" s="277"/>
      <c r="BQ38" s="277"/>
      <c r="BR38" s="277"/>
      <c r="BS38" s="140"/>
      <c r="BT38" s="277"/>
      <c r="BU38" s="277"/>
      <c r="BV38" s="277"/>
      <c r="BW38" s="140"/>
      <c r="BX38" s="154"/>
      <c r="BY38" s="154"/>
      <c r="BZ38" s="343"/>
      <c r="CA38" s="140"/>
      <c r="CB38" s="154"/>
      <c r="CC38" s="154"/>
      <c r="CD38" s="343"/>
      <c r="CE38" s="490">
        <v>15</v>
      </c>
      <c r="CF38" s="154">
        <v>2000</v>
      </c>
      <c r="CG38" s="490" t="s">
        <v>82</v>
      </c>
      <c r="CH38" s="154" t="s">
        <v>1104</v>
      </c>
      <c r="CI38" s="490">
        <v>15</v>
      </c>
      <c r="CJ38" s="154">
        <v>2000</v>
      </c>
      <c r="CK38" s="490" t="s">
        <v>82</v>
      </c>
      <c r="CL38" s="154" t="s">
        <v>1104</v>
      </c>
      <c r="CM38" s="140"/>
      <c r="CN38" s="146"/>
      <c r="CO38" s="146"/>
      <c r="CP38" s="146"/>
      <c r="CQ38" s="140"/>
      <c r="CR38" s="154"/>
      <c r="CS38" s="154"/>
      <c r="CT38" s="154"/>
      <c r="CU38" s="140"/>
      <c r="CV38" s="220"/>
      <c r="CW38" s="220"/>
      <c r="CX38" s="220"/>
      <c r="CY38" s="140"/>
      <c r="CZ38" s="220"/>
      <c r="DA38" s="220"/>
      <c r="DB38" s="220"/>
      <c r="DC38" s="140"/>
      <c r="DD38" s="147"/>
      <c r="DE38" s="147"/>
      <c r="DF38" s="147"/>
      <c r="DG38" s="140"/>
      <c r="DH38" s="147"/>
      <c r="DI38" s="147"/>
      <c r="DJ38" s="147"/>
      <c r="DK38" s="147"/>
      <c r="DL38" s="147"/>
      <c r="DM38" s="147"/>
      <c r="DN38" s="147"/>
      <c r="DO38" s="147"/>
      <c r="DP38" s="147"/>
      <c r="DQ38" s="147"/>
      <c r="DR38" s="147"/>
      <c r="DS38" s="140"/>
      <c r="DT38" s="154"/>
      <c r="DU38" s="154"/>
      <c r="DV38" s="154"/>
      <c r="DW38" s="140"/>
      <c r="DX38" s="220"/>
      <c r="DY38" s="220"/>
      <c r="DZ38" s="220"/>
      <c r="EA38" s="140"/>
      <c r="EB38" s="220"/>
      <c r="EC38" s="220"/>
      <c r="ED38" s="220"/>
      <c r="EE38" s="140"/>
      <c r="EF38" s="220"/>
      <c r="EG38" s="220"/>
      <c r="EH38" s="220"/>
      <c r="EI38" s="140"/>
      <c r="EJ38" s="222"/>
      <c r="EK38" s="222"/>
      <c r="EL38" s="222"/>
      <c r="EM38" s="140"/>
      <c r="EN38" s="148"/>
      <c r="EO38" s="148"/>
      <c r="EP38" s="148"/>
      <c r="EQ38" s="140"/>
      <c r="ER38" s="146"/>
      <c r="ES38" s="146"/>
      <c r="ET38" s="146"/>
      <c r="EU38" s="140"/>
      <c r="EV38" s="148"/>
      <c r="EW38" s="148"/>
      <c r="EX38" s="148"/>
      <c r="EY38" s="344"/>
      <c r="EZ38" s="148"/>
      <c r="FA38" s="148"/>
      <c r="FB38" s="148"/>
      <c r="FC38" s="273"/>
      <c r="FD38" s="149"/>
      <c r="FE38" s="149"/>
      <c r="FF38" s="276"/>
      <c r="FG38" s="156"/>
      <c r="FH38" s="156"/>
      <c r="FI38" s="156"/>
      <c r="FJ38" s="140"/>
      <c r="FK38" s="277"/>
      <c r="FL38" s="277"/>
      <c r="FM38" s="277"/>
      <c r="FN38" s="140"/>
      <c r="FO38" s="277"/>
      <c r="FP38" s="277"/>
      <c r="FQ38" s="277"/>
      <c r="FR38" s="280"/>
      <c r="FS38" s="277"/>
      <c r="FT38" s="277"/>
      <c r="FU38" s="277"/>
      <c r="FV38" s="277"/>
      <c r="FW38" s="277"/>
      <c r="FX38" s="277"/>
      <c r="FY38" s="277"/>
      <c r="FZ38" s="277"/>
      <c r="GA38" s="277"/>
      <c r="GB38" s="277"/>
      <c r="GC38" s="277"/>
      <c r="GD38" s="277"/>
      <c r="GE38" s="277"/>
      <c r="GF38" s="277"/>
      <c r="GG38" s="277"/>
      <c r="GH38" s="277"/>
      <c r="GI38" s="277"/>
      <c r="GJ38" s="277"/>
      <c r="GK38" s="277"/>
      <c r="GL38" s="277"/>
      <c r="GM38" s="277"/>
      <c r="GN38" s="277"/>
      <c r="GO38" s="277"/>
      <c r="GP38" s="277"/>
      <c r="GQ38" s="277"/>
      <c r="GR38" s="277"/>
      <c r="GS38" s="277"/>
      <c r="GT38" s="277"/>
      <c r="GU38" s="277"/>
      <c r="GV38" s="277"/>
      <c r="GW38" s="277"/>
      <c r="GX38" s="277"/>
      <c r="GY38" s="277"/>
      <c r="GZ38" s="277"/>
      <c r="HA38" s="277"/>
      <c r="HB38" s="277"/>
      <c r="HC38" s="277"/>
      <c r="HD38" s="277"/>
      <c r="HE38" s="277"/>
      <c r="HF38" s="140"/>
      <c r="HG38" s="277"/>
      <c r="HH38" s="490"/>
      <c r="HI38" s="495"/>
      <c r="HJ38" s="140"/>
      <c r="HK38" s="277"/>
      <c r="HL38" s="277"/>
      <c r="HM38" s="277"/>
      <c r="HN38" s="140"/>
      <c r="HO38" s="277"/>
      <c r="HP38" s="277"/>
      <c r="HQ38" s="495"/>
      <c r="HR38" s="490">
        <v>45</v>
      </c>
      <c r="HS38" s="495"/>
      <c r="HT38" s="490" t="s">
        <v>82</v>
      </c>
      <c r="HU38" s="495" t="s">
        <v>1104</v>
      </c>
      <c r="HV38" s="490">
        <v>45</v>
      </c>
      <c r="HW38" s="495"/>
      <c r="HX38" s="490" t="s">
        <v>82</v>
      </c>
      <c r="HY38" s="495" t="s">
        <v>1104</v>
      </c>
      <c r="HZ38" s="140"/>
      <c r="IA38" s="277"/>
      <c r="IB38" s="277"/>
      <c r="IC38" s="277"/>
      <c r="ID38" s="140"/>
      <c r="IE38" s="277"/>
      <c r="IF38" s="277"/>
      <c r="IG38" s="277"/>
      <c r="IH38" s="140"/>
      <c r="II38" s="277"/>
      <c r="IJ38" s="277"/>
      <c r="IK38" s="277"/>
      <c r="IL38" s="140"/>
      <c r="IM38" s="277"/>
      <c r="IN38" s="277"/>
      <c r="IO38" s="277"/>
      <c r="IP38" s="490">
        <v>30</v>
      </c>
      <c r="IQ38" s="220"/>
      <c r="IR38" s="490" t="s">
        <v>82</v>
      </c>
      <c r="IS38" s="154" t="s">
        <v>1146</v>
      </c>
      <c r="IT38" s="490">
        <v>30</v>
      </c>
      <c r="IU38" s="220"/>
      <c r="IV38" s="490" t="s">
        <v>82</v>
      </c>
      <c r="IW38" s="154" t="s">
        <v>1146</v>
      </c>
      <c r="IX38" s="140"/>
      <c r="IY38" s="277"/>
      <c r="IZ38" s="277"/>
      <c r="JA38" s="277"/>
      <c r="JB38" s="490">
        <v>15.1</v>
      </c>
      <c r="JC38" s="495">
        <v>1000</v>
      </c>
      <c r="JD38" s="490" t="s">
        <v>82</v>
      </c>
      <c r="JE38" s="495" t="s">
        <v>1104</v>
      </c>
      <c r="JF38" s="140"/>
      <c r="JG38" s="277"/>
      <c r="JH38" s="277"/>
      <c r="JI38" s="140"/>
      <c r="JJ38" s="277"/>
      <c r="JK38" s="277"/>
      <c r="JL38" s="140"/>
      <c r="JM38" s="277"/>
      <c r="JN38" s="277"/>
      <c r="JO38" s="140"/>
      <c r="JP38" s="277"/>
      <c r="JQ38" s="277"/>
      <c r="JR38" s="277"/>
      <c r="JS38" s="277"/>
      <c r="JT38" s="277"/>
      <c r="JU38" s="277"/>
      <c r="JV38" s="277"/>
      <c r="JW38" s="277"/>
      <c r="JX38" s="277"/>
      <c r="JY38" s="277"/>
      <c r="JZ38" s="277"/>
      <c r="KA38" s="277"/>
      <c r="KB38" s="277"/>
      <c r="KC38" s="277"/>
      <c r="KD38" s="277"/>
      <c r="KE38" s="277"/>
      <c r="KF38" s="277"/>
      <c r="KG38" s="277"/>
      <c r="KH38" s="277"/>
      <c r="KI38" s="277"/>
      <c r="KJ38" s="277"/>
      <c r="KK38" s="277"/>
      <c r="KL38" s="277"/>
      <c r="KM38" s="277"/>
      <c r="KN38" s="277"/>
      <c r="KO38" s="277"/>
      <c r="KP38" s="274"/>
      <c r="KQ38" s="253"/>
      <c r="KR38" s="253"/>
      <c r="KY38" s="141">
        <f t="shared" si="11"/>
        <v>0</v>
      </c>
      <c r="KZ38" s="141">
        <f t="shared" si="12"/>
        <v>0</v>
      </c>
      <c r="LB38" s="141">
        <f t="shared" si="13"/>
        <v>1</v>
      </c>
      <c r="LC38" s="141">
        <f t="shared" si="14"/>
        <v>1</v>
      </c>
      <c r="LD38" s="141">
        <f t="shared" si="15"/>
        <v>1</v>
      </c>
      <c r="LE38" s="141" t="e">
        <f>((N(AU38)&gt;0)*(AX38&lt;&gt;"")+(N(AY38)&gt;0)*(BB38&lt;&gt;"")+(N(BC38)&gt;0)*(BF38&lt;&gt;"")+(N(BG38)&gt;0)*(BJ38&lt;&gt;"")+(N(BK38)&gt;0)*(BN38&lt;&gt;"")+(N(BO38)&gt;0)*(BR38&lt;&gt;"")+(N(BS38)&gt;0)*(BV38&lt;&gt;"")+(N(BW38)&gt;0)*(BZ38&lt;&gt;"")+(N(CA38)&gt;0)*(CD38&lt;&gt;"")+(N(CE38)&gt;0)*(CH38&lt;&gt;"")+(N(CI38)&gt;0)*(CL38&lt;&gt;"")+(N(CM38)&gt;0)*(CP38&lt;&gt;"")+(N(CQ38)&gt;0)*(CT38&lt;&gt;"")+(N(CU38)&gt;0)*(CX38&lt;&gt;"")+(N(CY38)&gt;0)*(DB38&lt;&gt;"")+(N(DC38)&gt;0)*(DF38&lt;&gt;"")+(N(DG38)&gt;0)*(DJ38&lt;&gt;"")+(N(DS38)&gt;0)*(DV38&lt;&gt;"")+(N(IP38)&gt;0)*(IS38&lt;&gt;"")+(N(IT38)&gt;0)*(IW38&lt;&gt;"")+(N(EE38)&gt;0)*(EH38&lt;&gt;"")+(N(EI38)&gt;0)*(EL38&lt;&gt;"")+(N(EM38)&gt;0)*(EP38&lt;&gt;"")+(N(EQ38)&gt;0)*(ET38&lt;&gt;"")+(N(EU38)&gt;0)*(EX38&lt;&gt;"")+(N(#REF!)&gt;0)*(#REF!&lt;&gt;"")+(N(#REF!)&gt;0)*(#REF!&lt;&gt;"")+(N(FJ38)&gt;0)*(FM38&lt;&gt;"")+(N(FN38)&gt;0)*(FQ38&lt;&gt;"")+(N(#REF!)&gt;0)*(#REF!&lt;&gt;"")+(N(#REF!)&gt;0)*(#REF!&lt;&gt;"")+(N(HF38)&gt;0)*(HI38&lt;&gt;"")+(N(#REF!)&gt;0)*(#REF!&lt;&gt;"")+(N(HJ38)&gt;0)*(HM38&lt;&gt;"")+(N(HN38)&gt;0)*(HQ38&lt;&gt;"")+(N(HZ38)&gt;0)*(IC38&lt;&gt;"")+(N(ID38)&gt;0)*(IG38&lt;&gt;"")+(N(IH38)&gt;0)*(IK38&lt;&gt;"")+(N(IL38)&gt;0)*(IO38&lt;&gt;"")+(N(IX38)&gt;0)*(JA38&lt;&gt;"")+(N(JB38)&gt;0)*(JE38&lt;&gt;"")+(N(JF38)&gt;0)*(JH38&lt;&gt;"")+(N(JI38)&gt;0)*(JK38&lt;&gt;"")+(N(JL38)&gt;0)*(JN38&lt;&gt;"")+(N(JO38)&gt;0)*(JQ38&lt;&gt;""))</f>
        <v>#REF!</v>
      </c>
      <c r="LF38" s="141">
        <f t="shared" si="21"/>
        <v>0</v>
      </c>
      <c r="LG38" s="141">
        <f t="shared" si="16"/>
        <v>1</v>
      </c>
    </row>
    <row r="39" spans="1:319" ht="38.25" customHeight="1" x14ac:dyDescent="0.55000000000000004">
      <c r="B39" s="314" t="s">
        <v>395</v>
      </c>
      <c r="C39" s="218"/>
      <c r="D39" s="218"/>
      <c r="E39" s="218"/>
      <c r="F39" s="218"/>
      <c r="G39" s="218"/>
      <c r="H39" s="218"/>
      <c r="I39" s="162" cm="1">
        <f t="array" ref="I39">SUMPRODUCT(($AI$2:$KV$2&lt;&gt;"")*($AI39:$KV39&lt;&gt;""))</f>
        <v>0</v>
      </c>
      <c r="J39" s="142">
        <f t="shared" si="17"/>
        <v>0</v>
      </c>
      <c r="K39" s="142">
        <f t="shared" si="18"/>
        <v>0</v>
      </c>
      <c r="L39" s="268">
        <f t="shared" si="0"/>
        <v>7000</v>
      </c>
      <c r="M39" s="164">
        <f t="shared" si="8"/>
        <v>0</v>
      </c>
      <c r="N39" s="397"/>
      <c r="O39" s="165">
        <f t="shared" si="19"/>
        <v>0</v>
      </c>
      <c r="P39" s="165"/>
      <c r="Q39" s="165"/>
      <c r="R39" s="165">
        <f>(IFERROR(AM39/AN39,0)+IFERROR(AU39/AV39,0)+IFERROR(AY39/AZ39,0)+IFERROR(BC39/BD39,0)+IFERROR(BG39/BH39,0)+IFERROR(BK39/BL39,0)+IFERROR(BO39/BP39,0)+IFERROR(BS39/BT39,0)+IFERROR(BW39/BX39,0)+IFERROR(CA39/CB39,0)+IFERROR(CE39/CF39,0)+IFERROR(CI39/CJ39,0)+IFERROR(CM39/CN39,0)+IFERROR(CQ39/CR39,0)+IFERROR(CU39/CV39,0)+IFERROR(CY39/CZ39,0)+IFERROR(DC39/DD39,0)+IFERROR(DG39/DH39,0)+IFERROR(DS39/DT39,0)+IFERROR(DW39/DX39,0)+IFERROR(EA39/EB39,0)+IFERROR(EE39/EF39,0)+IFERROR(EI39/EJ39,0)+IFERROR(EM39/EN39,0)+IFERROR(EQ39/ER39,0)+IFERROR(EU39/EV39,0)+IFERROR(#REF!/#REF!,0)+IFERROR(#REF!/#REF!,0)+IFERROR(FJ39/FK39,0)+IFERROR(FN39/FO39,0)+IFERROR(#REF!/#REF!,0)+IFERROR(#REF!/#REF!,0)+IFERROR(HF39/HG39,0)+IFERROR(#REF!/#REF!,0)+IFERROR(HJ39/HK39,0)+IFERROR(HN39/HO39,0)+IFERROR(HZ39/IA39,0)+IFERROR(ID39/IE39,0)+IFERROR(IH39/II39,0)+IFERROR(IL39/IM39,0)+IFERROR(IX39/IY39,0)+IFERROR(JB39/JC39,0)+IFERROR(JF39/JG39,0)+IFERROR(JI39/JJ39,0)+IFERROR(JL39/JM39,0)+IFERROR(JO39/JP39,0))*L39*(C39+D39+E39+I39)</f>
        <v>0</v>
      </c>
      <c r="S39" s="165"/>
      <c r="T39" s="165">
        <f t="shared" si="9"/>
        <v>0</v>
      </c>
      <c r="U39" s="165"/>
      <c r="V39" s="165"/>
      <c r="W39" s="165"/>
      <c r="X39" s="165">
        <f>(IFERROR(FF39/FG39,0)+IFERROR(FC39/FD39,0)+IFERROR(#REF!/#REF!,0)+IFERROR(KP39/KQ39,0))*L39*(C39+D39+E39+I39)</f>
        <v>0</v>
      </c>
      <c r="Y39" s="484"/>
      <c r="Z39" s="484"/>
      <c r="AA39" s="484"/>
      <c r="AB39" s="484"/>
      <c r="AC39" s="150">
        <f t="shared" si="20"/>
        <v>0</v>
      </c>
      <c r="AD39" s="150"/>
      <c r="AE39" s="150">
        <f t="shared" si="10"/>
        <v>0</v>
      </c>
      <c r="AF39" s="161"/>
      <c r="AG39" s="143"/>
      <c r="AH39" s="154"/>
      <c r="AI39" s="144"/>
      <c r="AJ39" s="154"/>
      <c r="AK39" s="154"/>
      <c r="AL39" s="220"/>
      <c r="AM39" s="140"/>
      <c r="AN39" s="154"/>
      <c r="AO39" s="154"/>
      <c r="AP39" s="220"/>
      <c r="AQ39" s="145"/>
      <c r="AR39" s="154"/>
      <c r="AS39" s="154"/>
      <c r="AT39" s="220"/>
      <c r="AU39" s="140"/>
      <c r="AV39" s="277"/>
      <c r="AW39" s="277"/>
      <c r="AX39" s="277"/>
      <c r="AY39" s="140"/>
      <c r="AZ39" s="277"/>
      <c r="BA39" s="277"/>
      <c r="BB39" s="277"/>
      <c r="BC39" s="140"/>
      <c r="BD39" s="277"/>
      <c r="BE39" s="277"/>
      <c r="BF39" s="277"/>
      <c r="BG39" s="140"/>
      <c r="BH39" s="277"/>
      <c r="BI39" s="277"/>
      <c r="BJ39" s="277"/>
      <c r="BK39" s="140"/>
      <c r="BL39" s="277"/>
      <c r="BM39" s="277"/>
      <c r="BN39" s="277"/>
      <c r="BO39" s="140"/>
      <c r="BP39" s="277"/>
      <c r="BQ39" s="277"/>
      <c r="BR39" s="277"/>
      <c r="BS39" s="140"/>
      <c r="BT39" s="277"/>
      <c r="BU39" s="277"/>
      <c r="BV39" s="277"/>
      <c r="BW39" s="140"/>
      <c r="BX39" s="154"/>
      <c r="BY39" s="154"/>
      <c r="BZ39" s="220"/>
      <c r="CA39" s="140"/>
      <c r="CB39" s="154"/>
      <c r="CC39" s="154"/>
      <c r="CD39" s="220"/>
      <c r="CE39" s="140"/>
      <c r="CF39" s="271"/>
      <c r="CG39" s="271"/>
      <c r="CH39" s="271"/>
      <c r="CI39" s="140"/>
      <c r="CJ39" s="154"/>
      <c r="CK39" s="154"/>
      <c r="CL39" s="154"/>
      <c r="CM39" s="140"/>
      <c r="CN39" s="271"/>
      <c r="CO39" s="271"/>
      <c r="CP39" s="271"/>
      <c r="CQ39" s="140"/>
      <c r="CR39" s="154"/>
      <c r="CS39" s="154"/>
      <c r="CT39" s="154"/>
      <c r="CU39" s="140"/>
      <c r="CV39" s="154"/>
      <c r="CW39" s="154"/>
      <c r="CX39" s="220"/>
      <c r="CY39" s="140"/>
      <c r="CZ39" s="154"/>
      <c r="DA39" s="154"/>
      <c r="DB39" s="220"/>
      <c r="DC39" s="140"/>
      <c r="DD39" s="146"/>
      <c r="DE39" s="146"/>
      <c r="DF39" s="146"/>
      <c r="DG39" s="140"/>
      <c r="DH39" s="146"/>
      <c r="DI39" s="146"/>
      <c r="DJ39" s="146"/>
      <c r="DK39" s="146"/>
      <c r="DL39" s="146"/>
      <c r="DM39" s="146"/>
      <c r="DN39" s="146"/>
      <c r="DO39" s="146"/>
      <c r="DP39" s="146"/>
      <c r="DQ39" s="146"/>
      <c r="DR39" s="146"/>
      <c r="DS39" s="140"/>
      <c r="DT39" s="154"/>
      <c r="DU39" s="154"/>
      <c r="DV39" s="154"/>
      <c r="DW39" s="140"/>
      <c r="DX39" s="220"/>
      <c r="DY39" s="220"/>
      <c r="DZ39" s="220"/>
      <c r="EA39" s="140"/>
      <c r="EB39" s="220"/>
      <c r="EC39" s="220"/>
      <c r="ED39" s="220"/>
      <c r="EE39" s="140"/>
      <c r="EF39" s="154"/>
      <c r="EG39" s="154"/>
      <c r="EH39" s="154"/>
      <c r="EI39" s="140"/>
      <c r="EJ39" s="154"/>
      <c r="EK39" s="154"/>
      <c r="EL39" s="154"/>
      <c r="EM39" s="140"/>
      <c r="EN39" s="222"/>
      <c r="EO39" s="222"/>
      <c r="EP39" s="222"/>
      <c r="EQ39" s="140"/>
      <c r="ER39" s="222"/>
      <c r="ES39" s="222"/>
      <c r="ET39" s="222"/>
      <c r="EU39" s="140"/>
      <c r="EV39" s="222"/>
      <c r="EW39" s="222"/>
      <c r="EX39" s="222"/>
      <c r="EY39" s="344"/>
      <c r="EZ39" s="222"/>
      <c r="FA39" s="222"/>
      <c r="FB39" s="222"/>
      <c r="FC39" s="273"/>
      <c r="FD39" s="223"/>
      <c r="FE39" s="223"/>
      <c r="FF39" s="276"/>
      <c r="FG39" s="156"/>
      <c r="FH39" s="156"/>
      <c r="FI39" s="156"/>
      <c r="FJ39" s="140"/>
      <c r="FK39" s="277"/>
      <c r="FL39" s="277"/>
      <c r="FM39" s="277"/>
      <c r="FN39" s="140"/>
      <c r="FO39" s="277"/>
      <c r="FP39" s="277"/>
      <c r="FQ39" s="277"/>
      <c r="FR39" s="280"/>
      <c r="FS39" s="277"/>
      <c r="FT39" s="277"/>
      <c r="FU39" s="277"/>
      <c r="FV39" s="277"/>
      <c r="FW39" s="277"/>
      <c r="FX39" s="277"/>
      <c r="FY39" s="277"/>
      <c r="FZ39" s="277"/>
      <c r="GA39" s="277"/>
      <c r="GB39" s="277"/>
      <c r="GC39" s="277"/>
      <c r="GD39" s="277"/>
      <c r="GE39" s="277"/>
      <c r="GF39" s="277"/>
      <c r="GG39" s="277"/>
      <c r="GH39" s="277"/>
      <c r="GI39" s="277"/>
      <c r="GJ39" s="277"/>
      <c r="GK39" s="277"/>
      <c r="GL39" s="277"/>
      <c r="GM39" s="277"/>
      <c r="GN39" s="277"/>
      <c r="GO39" s="277"/>
      <c r="GP39" s="277"/>
      <c r="GQ39" s="277"/>
      <c r="GR39" s="277"/>
      <c r="GS39" s="277"/>
      <c r="GT39" s="277"/>
      <c r="GU39" s="277"/>
      <c r="GV39" s="277"/>
      <c r="GW39" s="277"/>
      <c r="GX39" s="277"/>
      <c r="GY39" s="277"/>
      <c r="GZ39" s="277"/>
      <c r="HA39" s="277"/>
      <c r="HB39" s="277"/>
      <c r="HC39" s="277"/>
      <c r="HD39" s="277"/>
      <c r="HE39" s="277"/>
      <c r="HF39" s="140"/>
      <c r="HG39" s="277"/>
      <c r="HH39" s="277"/>
      <c r="HI39" s="277"/>
      <c r="HJ39" s="140"/>
      <c r="HK39" s="277"/>
      <c r="HL39" s="277"/>
      <c r="HM39" s="277"/>
      <c r="HN39" s="140"/>
      <c r="HO39" s="277"/>
      <c r="HP39" s="277"/>
      <c r="HQ39" s="277"/>
      <c r="HR39" s="277"/>
      <c r="HS39" s="277"/>
      <c r="HT39" s="277"/>
      <c r="HU39" s="277"/>
      <c r="HV39" s="277"/>
      <c r="HW39" s="277"/>
      <c r="HX39" s="277"/>
      <c r="HY39" s="277"/>
      <c r="HZ39" s="140"/>
      <c r="IA39" s="277"/>
      <c r="IB39" s="277"/>
      <c r="IC39" s="277"/>
      <c r="ID39" s="140"/>
      <c r="IE39" s="277"/>
      <c r="IF39" s="277"/>
      <c r="IG39" s="277"/>
      <c r="IH39" s="140"/>
      <c r="II39" s="277"/>
      <c r="IJ39" s="277"/>
      <c r="IK39" s="277"/>
      <c r="IL39" s="140"/>
      <c r="IM39" s="277"/>
      <c r="IN39" s="277"/>
      <c r="IO39" s="277"/>
      <c r="IP39" s="277"/>
      <c r="IQ39" s="277"/>
      <c r="IR39" s="277"/>
      <c r="IS39" s="277"/>
      <c r="IT39" s="277"/>
      <c r="IU39" s="277"/>
      <c r="IV39" s="277"/>
      <c r="IW39" s="277"/>
      <c r="IX39" s="140"/>
      <c r="IY39" s="277"/>
      <c r="IZ39" s="277"/>
      <c r="JA39" s="277"/>
      <c r="JB39" s="140"/>
      <c r="JC39" s="277"/>
      <c r="JD39" s="277"/>
      <c r="JE39" s="277"/>
      <c r="JF39" s="140"/>
      <c r="JG39" s="277"/>
      <c r="JH39" s="277"/>
      <c r="JI39" s="140"/>
      <c r="JJ39" s="277"/>
      <c r="JK39" s="277"/>
      <c r="JL39" s="140"/>
      <c r="JM39" s="277"/>
      <c r="JN39" s="277"/>
      <c r="JO39" s="140"/>
      <c r="JP39" s="277"/>
      <c r="JQ39" s="277"/>
      <c r="JR39" s="277"/>
      <c r="JS39" s="277"/>
      <c r="JT39" s="277"/>
      <c r="JU39" s="277"/>
      <c r="JV39" s="277"/>
      <c r="JW39" s="277"/>
      <c r="JX39" s="277"/>
      <c r="JY39" s="277"/>
      <c r="JZ39" s="277"/>
      <c r="KA39" s="277"/>
      <c r="KB39" s="277"/>
      <c r="KC39" s="277"/>
      <c r="KD39" s="277"/>
      <c r="KE39" s="277"/>
      <c r="KF39" s="277"/>
      <c r="KG39" s="277"/>
      <c r="KH39" s="277"/>
      <c r="KI39" s="277"/>
      <c r="KJ39" s="277"/>
      <c r="KK39" s="277"/>
      <c r="KL39" s="277"/>
      <c r="KM39" s="277"/>
      <c r="KN39" s="277"/>
      <c r="KO39" s="277"/>
      <c r="KP39" s="274"/>
      <c r="KQ39" s="253"/>
      <c r="KR39" s="253"/>
      <c r="KY39" s="141">
        <f t="shared" si="11"/>
        <v>0</v>
      </c>
      <c r="KZ39" s="141">
        <f t="shared" si="12"/>
        <v>0</v>
      </c>
      <c r="LB39" s="141">
        <f t="shared" si="13"/>
        <v>0</v>
      </c>
      <c r="LC39" s="141">
        <f t="shared" si="14"/>
        <v>0</v>
      </c>
      <c r="LD39" s="141">
        <f t="shared" si="15"/>
        <v>0</v>
      </c>
      <c r="LE39" s="141" t="e">
        <f>((N(AU39)&gt;0)*(AX39&lt;&gt;"")+(N(AY39)&gt;0)*(BB39&lt;&gt;"")+(N(BC39)&gt;0)*(BF39&lt;&gt;"")+(N(BG39)&gt;0)*(BJ39&lt;&gt;"")+(N(BK39)&gt;0)*(BN39&lt;&gt;"")+(N(BO39)&gt;0)*(BR39&lt;&gt;"")+(N(BS39)&gt;0)*(BV39&lt;&gt;"")+(N(BW39)&gt;0)*(BZ39&lt;&gt;"")+(N(CA39)&gt;0)*(CD39&lt;&gt;"")+(N(CE39)&gt;0)*(CH39&lt;&gt;"")+(N(CI39)&gt;0)*(CL39&lt;&gt;"")+(N(CM39)&gt;0)*(CP39&lt;&gt;"")+(N(CQ39)&gt;0)*(CT39&lt;&gt;"")+(N(CU39)&gt;0)*(CX39&lt;&gt;"")+(N(CY39)&gt;0)*(DB39&lt;&gt;"")+(N(DC39)&gt;0)*(DF39&lt;&gt;"")+(N(DG39)&gt;0)*(DJ39&lt;&gt;"")+(N(DS39)&gt;0)*(DV39&lt;&gt;"")+(N(DW39)&gt;0)*(DZ39&lt;&gt;"")+(N(EA39)&gt;0)*(ED39&lt;&gt;"")+(N(EE39)&gt;0)*(EH39&lt;&gt;"")+(N(EI39)&gt;0)*(EL39&lt;&gt;"")+(N(EM39)&gt;0)*(EP39&lt;&gt;"")+(N(EQ39)&gt;0)*(ET39&lt;&gt;"")+(N(EU39)&gt;0)*(EX39&lt;&gt;"")+(N(#REF!)&gt;0)*(#REF!&lt;&gt;"")+(N(#REF!)&gt;0)*(#REF!&lt;&gt;"")+(N(FJ39)&gt;0)*(FM39&lt;&gt;"")+(N(FN39)&gt;0)*(FQ39&lt;&gt;"")+(N(#REF!)&gt;0)*(#REF!&lt;&gt;"")+(N(#REF!)&gt;0)*(#REF!&lt;&gt;"")+(N(HF39)&gt;0)*(HI39&lt;&gt;"")+(N(#REF!)&gt;0)*(#REF!&lt;&gt;"")+(N(HJ39)&gt;0)*(HM39&lt;&gt;"")+(N(HN39)&gt;0)*(HQ39&lt;&gt;"")+(N(HZ39)&gt;0)*(IC39&lt;&gt;"")+(N(ID39)&gt;0)*(IG39&lt;&gt;"")+(N(IH39)&gt;0)*(IK39&lt;&gt;"")+(N(IL39)&gt;0)*(IO39&lt;&gt;"")+(N(IX39)&gt;0)*(JA39&lt;&gt;"")+(N(JB39)&gt;0)*(JE39&lt;&gt;"")+(N(JF39)&gt;0)*(JH39&lt;&gt;"")+(N(JI39)&gt;0)*(JK39&lt;&gt;"")+(N(JL39)&gt;0)*(JN39&lt;&gt;"")+(N(JO39)&gt;0)*(JQ39&lt;&gt;""))</f>
        <v>#REF!</v>
      </c>
      <c r="LF39" s="141">
        <f t="shared" si="21"/>
        <v>0</v>
      </c>
      <c r="LG39" s="141">
        <f t="shared" si="16"/>
        <v>0</v>
      </c>
    </row>
    <row r="40" spans="1:319" ht="38.25" customHeight="1" x14ac:dyDescent="0.55000000000000004">
      <c r="B40" s="314" t="s">
        <v>397</v>
      </c>
      <c r="C40" s="218"/>
      <c r="D40" s="218"/>
      <c r="E40" s="218"/>
      <c r="F40" s="218"/>
      <c r="G40" s="218"/>
      <c r="H40" s="218"/>
      <c r="I40" s="162" cm="1">
        <f t="array" ref="I40">SUMPRODUCT(($AI$2:$KV$2&lt;&gt;"")*($AI40:$KV40&lt;&gt;""))</f>
        <v>0</v>
      </c>
      <c r="J40" s="142">
        <f t="shared" si="17"/>
        <v>0</v>
      </c>
      <c r="K40" s="142">
        <f t="shared" si="18"/>
        <v>0</v>
      </c>
      <c r="L40" s="268">
        <f t="shared" si="0"/>
        <v>7000</v>
      </c>
      <c r="M40" s="164">
        <f t="shared" si="8"/>
        <v>0</v>
      </c>
      <c r="N40" s="397"/>
      <c r="O40" s="165">
        <f t="shared" si="19"/>
        <v>0</v>
      </c>
      <c r="P40" s="165"/>
      <c r="Q40" s="165"/>
      <c r="R40" s="165">
        <f>(IFERROR(AM40/AN40,0)+IFERROR(AU40/AV40,0)+IFERROR(AY40/AZ40,0)+IFERROR(BC40/BD40,0)+IFERROR(BG40/BH40,0)+IFERROR(BK40/BL40,0)+IFERROR(BO40/BP40,0)+IFERROR(BS40/BT40,0)+IFERROR(BW40/BX40,0)+IFERROR(CA40/CB40,0)+IFERROR(CE40/CF40,0)+IFERROR(CI40/CJ40,0)+IFERROR(CM40/CN40,0)+IFERROR(CQ40/CR40,0)+IFERROR(CU40/CV40,0)+IFERROR(CY40/CZ40,0)+IFERROR(DC40/DD40,0)+IFERROR(DG40/DH40,0)+IFERROR(DS40/DT40,0)+IFERROR(DW40/DX40,0)+IFERROR(EA40/EB40,0)+IFERROR(EE40/EF40,0)+IFERROR(EI40/EJ40,0)+IFERROR(EM40/EN40,0)+IFERROR(EQ40/ER40,0)+IFERROR(EU40/EV40,0)+IFERROR(#REF!/#REF!,0)+IFERROR(#REF!/#REF!,0)+IFERROR(FJ40/FK40,0)+IFERROR(FN40/FO40,0)+IFERROR(#REF!/#REF!,0)+IFERROR(#REF!/#REF!,0)+IFERROR(HF40/HG40,0)+IFERROR(#REF!/#REF!,0)+IFERROR(HJ40/HK40,0)+IFERROR(HN40/HO40,0)+IFERROR(HZ40/IA40,0)+IFERROR(ID40/IE40,0)+IFERROR(IH40/II40,0)+IFERROR(IL40/IM40,0)+IFERROR(IX40/IY40,0)+IFERROR(JB40/JC40,0)+IFERROR(JF40/JG40,0)+IFERROR(JI40/JJ40,0)+IFERROR(JL40/JM40,0)+IFERROR(JO40/JP40,0))*L40*(C40+D40+E40+I40)</f>
        <v>0</v>
      </c>
      <c r="S40" s="165"/>
      <c r="T40" s="165">
        <f t="shared" si="9"/>
        <v>0</v>
      </c>
      <c r="U40" s="165"/>
      <c r="V40" s="165"/>
      <c r="W40" s="165"/>
      <c r="X40" s="165">
        <f>(IFERROR(FF40/FG40,0)+IFERROR(FC40/FD40,0)+IFERROR(#REF!/#REF!,0)+IFERROR(KP40/KQ40,0))*L40*(C40+D40+E40+I40)</f>
        <v>0</v>
      </c>
      <c r="Y40" s="484"/>
      <c r="Z40" s="484"/>
      <c r="AA40" s="484"/>
      <c r="AB40" s="484"/>
      <c r="AC40" s="150">
        <f t="shared" si="20"/>
        <v>0</v>
      </c>
      <c r="AD40" s="150"/>
      <c r="AE40" s="150">
        <f t="shared" si="10"/>
        <v>0</v>
      </c>
      <c r="AF40" s="161"/>
      <c r="AG40" s="143"/>
      <c r="AH40" s="154"/>
      <c r="AI40" s="144"/>
      <c r="AJ40" s="154"/>
      <c r="AK40" s="154"/>
      <c r="AL40" s="220"/>
      <c r="AM40" s="140"/>
      <c r="AN40" s="154"/>
      <c r="AO40" s="154"/>
      <c r="AP40" s="220"/>
      <c r="AQ40" s="145"/>
      <c r="AR40" s="154"/>
      <c r="AS40" s="154"/>
      <c r="AT40" s="220"/>
      <c r="AU40" s="140"/>
      <c r="AV40" s="277"/>
      <c r="AW40" s="277"/>
      <c r="AX40" s="277"/>
      <c r="AY40" s="140"/>
      <c r="AZ40" s="277"/>
      <c r="BA40" s="277"/>
      <c r="BB40" s="277"/>
      <c r="BC40" s="140"/>
      <c r="BD40" s="277"/>
      <c r="BE40" s="277"/>
      <c r="BF40" s="277"/>
      <c r="BG40" s="140"/>
      <c r="BH40" s="277"/>
      <c r="BI40" s="277"/>
      <c r="BJ40" s="277"/>
      <c r="BK40" s="140"/>
      <c r="BL40" s="277"/>
      <c r="BM40" s="277"/>
      <c r="BN40" s="277"/>
      <c r="BO40" s="140"/>
      <c r="BP40" s="277"/>
      <c r="BQ40" s="277"/>
      <c r="BR40" s="277"/>
      <c r="BS40" s="140"/>
      <c r="BT40" s="277"/>
      <c r="BU40" s="277"/>
      <c r="BV40" s="277"/>
      <c r="BW40" s="140"/>
      <c r="BX40" s="154"/>
      <c r="BY40" s="154"/>
      <c r="BZ40" s="220"/>
      <c r="CA40" s="140"/>
      <c r="CB40" s="154"/>
      <c r="CC40" s="154"/>
      <c r="CD40" s="220"/>
      <c r="CE40" s="140"/>
      <c r="CF40" s="271"/>
      <c r="CG40" s="271"/>
      <c r="CH40" s="271"/>
      <c r="CI40" s="140"/>
      <c r="CJ40" s="154"/>
      <c r="CK40" s="154"/>
      <c r="CL40" s="154"/>
      <c r="CM40" s="140"/>
      <c r="CN40" s="271"/>
      <c r="CO40" s="271"/>
      <c r="CP40" s="271"/>
      <c r="CQ40" s="140"/>
      <c r="CR40" s="154"/>
      <c r="CS40" s="154"/>
      <c r="CT40" s="154"/>
      <c r="CU40" s="140"/>
      <c r="CV40" s="154"/>
      <c r="CW40" s="154"/>
      <c r="CX40" s="220"/>
      <c r="CY40" s="140"/>
      <c r="CZ40" s="154"/>
      <c r="DA40" s="154"/>
      <c r="DB40" s="220"/>
      <c r="DC40" s="140"/>
      <c r="DD40" s="146"/>
      <c r="DE40" s="146"/>
      <c r="DF40" s="146"/>
      <c r="DG40" s="140"/>
      <c r="DH40" s="146"/>
      <c r="DI40" s="146"/>
      <c r="DJ40" s="146"/>
      <c r="DK40" s="146"/>
      <c r="DL40" s="146"/>
      <c r="DM40" s="146"/>
      <c r="DN40" s="146"/>
      <c r="DO40" s="146"/>
      <c r="DP40" s="146"/>
      <c r="DQ40" s="146"/>
      <c r="DR40" s="146"/>
      <c r="DS40" s="140"/>
      <c r="DT40" s="154"/>
      <c r="DU40" s="154"/>
      <c r="DV40" s="154"/>
      <c r="DW40" s="140"/>
      <c r="DX40" s="220"/>
      <c r="DY40" s="220"/>
      <c r="DZ40" s="220"/>
      <c r="EA40" s="140"/>
      <c r="EB40" s="220"/>
      <c r="EC40" s="220"/>
      <c r="ED40" s="220"/>
      <c r="EE40" s="140"/>
      <c r="EF40" s="154"/>
      <c r="EG40" s="154"/>
      <c r="EH40" s="154"/>
      <c r="EI40" s="140"/>
      <c r="EJ40" s="154"/>
      <c r="EK40" s="154"/>
      <c r="EL40" s="154"/>
      <c r="EM40" s="140"/>
      <c r="EN40" s="222"/>
      <c r="EO40" s="222"/>
      <c r="EP40" s="222"/>
      <c r="EQ40" s="140"/>
      <c r="ER40" s="222"/>
      <c r="ES40" s="222"/>
      <c r="ET40" s="222"/>
      <c r="EU40" s="140"/>
      <c r="EV40" s="222"/>
      <c r="EW40" s="222"/>
      <c r="EX40" s="222"/>
      <c r="EY40" s="344"/>
      <c r="EZ40" s="222"/>
      <c r="FA40" s="222"/>
      <c r="FB40" s="222"/>
      <c r="FC40" s="273"/>
      <c r="FD40" s="223"/>
      <c r="FE40" s="223"/>
      <c r="FF40" s="276"/>
      <c r="FG40" s="156"/>
      <c r="FH40" s="156"/>
      <c r="FI40" s="156"/>
      <c r="FJ40" s="140"/>
      <c r="FK40" s="277"/>
      <c r="FL40" s="277"/>
      <c r="FM40" s="277"/>
      <c r="FN40" s="140"/>
      <c r="FO40" s="277"/>
      <c r="FP40" s="277"/>
      <c r="FQ40" s="277"/>
      <c r="FR40" s="280"/>
      <c r="FS40" s="277"/>
      <c r="FT40" s="277"/>
      <c r="FU40" s="277"/>
      <c r="FV40" s="277"/>
      <c r="FW40" s="277"/>
      <c r="FX40" s="277"/>
      <c r="FY40" s="277"/>
      <c r="FZ40" s="277"/>
      <c r="GA40" s="277"/>
      <c r="GB40" s="277"/>
      <c r="GC40" s="277"/>
      <c r="GD40" s="277"/>
      <c r="GE40" s="277"/>
      <c r="GF40" s="277"/>
      <c r="GG40" s="277"/>
      <c r="GH40" s="277"/>
      <c r="GI40" s="277"/>
      <c r="GJ40" s="277"/>
      <c r="GK40" s="277"/>
      <c r="GL40" s="277"/>
      <c r="GM40" s="277"/>
      <c r="GN40" s="277"/>
      <c r="GO40" s="277"/>
      <c r="GP40" s="277"/>
      <c r="GQ40" s="277"/>
      <c r="GR40" s="277"/>
      <c r="GS40" s="277"/>
      <c r="GT40" s="277"/>
      <c r="GU40" s="277"/>
      <c r="GV40" s="277"/>
      <c r="GW40" s="277"/>
      <c r="GX40" s="277"/>
      <c r="GY40" s="277"/>
      <c r="GZ40" s="277"/>
      <c r="HA40" s="277"/>
      <c r="HB40" s="277"/>
      <c r="HC40" s="277"/>
      <c r="HD40" s="277"/>
      <c r="HE40" s="277"/>
      <c r="HF40" s="140"/>
      <c r="HG40" s="277"/>
      <c r="HH40" s="277"/>
      <c r="HI40" s="277"/>
      <c r="HJ40" s="140"/>
      <c r="HK40" s="277"/>
      <c r="HL40" s="277"/>
      <c r="HM40" s="277"/>
      <c r="HN40" s="140"/>
      <c r="HO40" s="277"/>
      <c r="HP40" s="277"/>
      <c r="HQ40" s="277"/>
      <c r="HR40" s="277"/>
      <c r="HS40" s="277"/>
      <c r="HT40" s="277"/>
      <c r="HU40" s="277"/>
      <c r="HV40" s="277"/>
      <c r="HW40" s="277"/>
      <c r="HX40" s="277"/>
      <c r="HY40" s="277"/>
      <c r="HZ40" s="140"/>
      <c r="IA40" s="277"/>
      <c r="IB40" s="277"/>
      <c r="IC40" s="277"/>
      <c r="ID40" s="140"/>
      <c r="IE40" s="277"/>
      <c r="IF40" s="277"/>
      <c r="IG40" s="277"/>
      <c r="IH40" s="140"/>
      <c r="II40" s="277"/>
      <c r="IJ40" s="277"/>
      <c r="IK40" s="277"/>
      <c r="IL40" s="140"/>
      <c r="IM40" s="277"/>
      <c r="IN40" s="277"/>
      <c r="IO40" s="277"/>
      <c r="IP40" s="277"/>
      <c r="IQ40" s="277"/>
      <c r="IR40" s="277"/>
      <c r="IS40" s="277"/>
      <c r="IT40" s="277"/>
      <c r="IU40" s="277"/>
      <c r="IV40" s="277"/>
      <c r="IW40" s="277"/>
      <c r="IX40" s="140"/>
      <c r="IY40" s="277"/>
      <c r="IZ40" s="277"/>
      <c r="JA40" s="277"/>
      <c r="JB40" s="140"/>
      <c r="JC40" s="277"/>
      <c r="JD40" s="277"/>
      <c r="JE40" s="277"/>
      <c r="JF40" s="140"/>
      <c r="JG40" s="277"/>
      <c r="JH40" s="277"/>
      <c r="JI40" s="140"/>
      <c r="JJ40" s="277"/>
      <c r="JK40" s="277"/>
      <c r="JL40" s="140"/>
      <c r="JM40" s="277"/>
      <c r="JN40" s="277"/>
      <c r="JO40" s="140"/>
      <c r="JP40" s="277"/>
      <c r="JQ40" s="277"/>
      <c r="JR40" s="277"/>
      <c r="JS40" s="277"/>
      <c r="JT40" s="277"/>
      <c r="JU40" s="277"/>
      <c r="JV40" s="277"/>
      <c r="JW40" s="277"/>
      <c r="JX40" s="277"/>
      <c r="JY40" s="277"/>
      <c r="JZ40" s="277"/>
      <c r="KA40" s="277"/>
      <c r="KB40" s="277"/>
      <c r="KC40" s="277"/>
      <c r="KD40" s="277"/>
      <c r="KE40" s="277"/>
      <c r="KF40" s="277"/>
      <c r="KG40" s="277"/>
      <c r="KH40" s="277"/>
      <c r="KI40" s="277"/>
      <c r="KJ40" s="277"/>
      <c r="KK40" s="277"/>
      <c r="KL40" s="277"/>
      <c r="KM40" s="277"/>
      <c r="KN40" s="277"/>
      <c r="KO40" s="277"/>
      <c r="KP40" s="274"/>
      <c r="KQ40" s="253"/>
      <c r="KR40" s="253"/>
      <c r="KY40" s="141">
        <f t="shared" si="11"/>
        <v>0</v>
      </c>
      <c r="KZ40" s="141">
        <f t="shared" si="12"/>
        <v>0</v>
      </c>
      <c r="LB40" s="141">
        <f t="shared" si="13"/>
        <v>0</v>
      </c>
      <c r="LC40" s="141">
        <f t="shared" si="14"/>
        <v>0</v>
      </c>
      <c r="LD40" s="141">
        <f t="shared" si="15"/>
        <v>0</v>
      </c>
      <c r="LE40" s="141" t="e">
        <f>((N(AU40)&gt;0)*(AX40&lt;&gt;"")+(N(AY40)&gt;0)*(BB40&lt;&gt;"")+(N(BC40)&gt;0)*(BF40&lt;&gt;"")+(N(BG40)&gt;0)*(BJ40&lt;&gt;"")+(N(BK40)&gt;0)*(BN40&lt;&gt;"")+(N(BO40)&gt;0)*(BR40&lt;&gt;"")+(N(BS40)&gt;0)*(BV40&lt;&gt;"")+(N(BW40)&gt;0)*(BZ40&lt;&gt;"")+(N(CA40)&gt;0)*(CD40&lt;&gt;"")+(N(CE40)&gt;0)*(CH40&lt;&gt;"")+(N(CI40)&gt;0)*(CL40&lt;&gt;"")+(N(CM40)&gt;0)*(CP40&lt;&gt;"")+(N(CQ40)&gt;0)*(CT40&lt;&gt;"")+(N(CU40)&gt;0)*(CX40&lt;&gt;"")+(N(CY40)&gt;0)*(DB40&lt;&gt;"")+(N(DC40)&gt;0)*(DF40&lt;&gt;"")+(N(DG40)&gt;0)*(DJ40&lt;&gt;"")+(N(DS40)&gt;0)*(DV40&lt;&gt;"")+(N(DW40)&gt;0)*(DZ40&lt;&gt;"")+(N(EA40)&gt;0)*(ED40&lt;&gt;"")+(N(EE40)&gt;0)*(EH40&lt;&gt;"")+(N(EI40)&gt;0)*(EL40&lt;&gt;"")+(N(EM40)&gt;0)*(EP40&lt;&gt;"")+(N(EQ40)&gt;0)*(ET40&lt;&gt;"")+(N(EU40)&gt;0)*(EX40&lt;&gt;"")+(N(#REF!)&gt;0)*(#REF!&lt;&gt;"")+(N(#REF!)&gt;0)*(#REF!&lt;&gt;"")+(N(FJ40)&gt;0)*(FM40&lt;&gt;"")+(N(FN40)&gt;0)*(FQ40&lt;&gt;"")+(N(#REF!)&gt;0)*(#REF!&lt;&gt;"")+(N(#REF!)&gt;0)*(#REF!&lt;&gt;"")+(N(HF40)&gt;0)*(HI40&lt;&gt;"")+(N(#REF!)&gt;0)*(#REF!&lt;&gt;"")+(N(HJ40)&gt;0)*(HM40&lt;&gt;"")+(N(HN40)&gt;0)*(HQ40&lt;&gt;"")+(N(HZ40)&gt;0)*(IC40&lt;&gt;"")+(N(ID40)&gt;0)*(IG40&lt;&gt;"")+(N(IH40)&gt;0)*(IK40&lt;&gt;"")+(N(IL40)&gt;0)*(IO40&lt;&gt;"")+(N(IX40)&gt;0)*(JA40&lt;&gt;"")+(N(JB40)&gt;0)*(JE40&lt;&gt;"")+(N(JF40)&gt;0)*(JH40&lt;&gt;"")+(N(JI40)&gt;0)*(JK40&lt;&gt;"")+(N(JL40)&gt;0)*(JN40&lt;&gt;"")+(N(JO40)&gt;0)*(JQ40&lt;&gt;""))</f>
        <v>#REF!</v>
      </c>
      <c r="LF40" s="141">
        <f t="shared" si="21"/>
        <v>0</v>
      </c>
      <c r="LG40" s="141">
        <f t="shared" si="16"/>
        <v>0</v>
      </c>
    </row>
    <row r="41" spans="1:319" ht="38.25" customHeight="1" x14ac:dyDescent="0.55000000000000004">
      <c r="B41" s="314" t="s">
        <v>499</v>
      </c>
      <c r="C41" s="218"/>
      <c r="D41" s="218"/>
      <c r="E41" s="218"/>
      <c r="F41" s="218"/>
      <c r="G41" s="218"/>
      <c r="H41" s="218"/>
      <c r="I41" s="162" cm="1">
        <f t="array" ref="I41">SUMPRODUCT(($AI$2:$KV$2&lt;&gt;"")*($AI41:$KV41&lt;&gt;""))</f>
        <v>7</v>
      </c>
      <c r="J41" s="142">
        <f t="shared" si="17"/>
        <v>0</v>
      </c>
      <c r="K41" s="142">
        <f t="shared" si="18"/>
        <v>0</v>
      </c>
      <c r="L41" s="268">
        <f t="shared" si="0"/>
        <v>7000</v>
      </c>
      <c r="M41" s="164">
        <f t="shared" si="8"/>
        <v>0</v>
      </c>
      <c r="N41" s="397"/>
      <c r="O41" s="165">
        <f t="shared" si="19"/>
        <v>0</v>
      </c>
      <c r="P41" s="165"/>
      <c r="Q41" s="165"/>
      <c r="R41" s="165">
        <f>(IFERROR(AM41/AN41,0)+IFERROR(AU41/AV41,0)+IFERROR(AY41/AZ41,0)+IFERROR(BC41/BD41,0)+IFERROR(BG41/BH41,0)+IFERROR(BK41/BL41,0)+IFERROR(BO41/BP41,0)+IFERROR(BS41/BT41,0)+IFERROR(BW41/BX41,0)+IFERROR(CA41/CB41,0)+IFERROR(CE41/CF41,0)+IFERROR(CI41/CJ41,0)+IFERROR(CM41/CN41,0)+IFERROR(CQ41/CR41,0)+IFERROR(CU41/CV41,0)+IFERROR(CY41/CZ41,0)+IFERROR(DC41/DD41,0)+IFERROR(DG41/DH41,0)+IFERROR(DS41/DT41,0)+IFERROR(DW41/DX41,0)+IFERROR(EA41/EB41,0)+IFERROR(EE41/EF41,0)+IFERROR(EI41/EJ41,0)+IFERROR(EM41/EN41,0)+IFERROR(EQ41/ER41,0)+IFERROR(EU41/EV41,0)+IFERROR(#REF!/#REF!,0)+IFERROR(#REF!/#REF!,0)+IFERROR(FJ41/FK41,0)+IFERROR(FN41/FO41,0)+IFERROR(#REF!/#REF!,0)+IFERROR(#REF!/#REF!,0)+IFERROR(HF41/HG41,0)+IFERROR(#REF!/#REF!,0)+IFERROR(HJ41/HK41,0)+IFERROR(HN41/HO41,0)+IFERROR(HZ41/IA41,0)+IFERROR(ID41/IE41,0)+IFERROR(IH41/II41,0)+IFERROR(IL41/IM41,0)+IFERROR(IX41/IY41,0)+IFERROR(JB41/JC41,0)+IFERROR(JF41/JG41,0)+IFERROR(JI41/JJ41,0)+IFERROR(JL41/JM41,0)+IFERROR(JO41/JP41,0))*L41*(C41+D41+E41+I41)</f>
        <v>0</v>
      </c>
      <c r="S41" s="165"/>
      <c r="T41" s="165">
        <f t="shared" si="9"/>
        <v>0</v>
      </c>
      <c r="U41" s="165"/>
      <c r="V41" s="165"/>
      <c r="W41" s="165"/>
      <c r="X41" s="165">
        <f>(IFERROR(FF41/FG41,0)+IFERROR(FC41/FD41,0)+IFERROR(#REF!/#REF!,0)+IFERROR(KP41/KQ41,0))*L41*(C41+D41+E41+I41)</f>
        <v>0</v>
      </c>
      <c r="Y41" s="484"/>
      <c r="Z41" s="484"/>
      <c r="AA41" s="484"/>
      <c r="AB41" s="484"/>
      <c r="AC41" s="150">
        <f t="shared" si="20"/>
        <v>0</v>
      </c>
      <c r="AD41" s="150"/>
      <c r="AE41" s="150">
        <f t="shared" si="10"/>
        <v>0</v>
      </c>
      <c r="AF41" s="161">
        <v>700</v>
      </c>
      <c r="AG41" s="143">
        <v>44</v>
      </c>
      <c r="AH41" s="154"/>
      <c r="AI41" s="144">
        <v>23</v>
      </c>
      <c r="AJ41" s="338"/>
      <c r="AK41" s="338"/>
      <c r="AL41" s="220" t="s">
        <v>504</v>
      </c>
      <c r="AM41" s="140"/>
      <c r="AN41" s="154"/>
      <c r="AO41" s="154"/>
      <c r="AP41" s="220"/>
      <c r="AQ41" s="145">
        <v>700</v>
      </c>
      <c r="AR41" s="338"/>
      <c r="AS41" s="338"/>
      <c r="AT41" s="220" t="s">
        <v>503</v>
      </c>
      <c r="AU41" s="140"/>
      <c r="AV41" s="277"/>
      <c r="AW41" s="277"/>
      <c r="AX41" s="277"/>
      <c r="AY41" s="140"/>
      <c r="AZ41" s="277"/>
      <c r="BA41" s="277"/>
      <c r="BB41" s="277"/>
      <c r="BC41" s="140"/>
      <c r="BD41" s="277"/>
      <c r="BE41" s="277"/>
      <c r="BF41" s="277"/>
      <c r="BG41" s="140"/>
      <c r="BH41" s="277"/>
      <c r="BI41" s="277"/>
      <c r="BJ41" s="277"/>
      <c r="BK41" s="140"/>
      <c r="BL41" s="277"/>
      <c r="BM41" s="277"/>
      <c r="BN41" s="277"/>
      <c r="BO41" s="140"/>
      <c r="BP41" s="277"/>
      <c r="BQ41" s="277"/>
      <c r="BR41" s="277"/>
      <c r="BS41" s="140"/>
      <c r="BT41" s="277"/>
      <c r="BU41" s="277"/>
      <c r="BV41" s="277"/>
      <c r="BW41" s="140"/>
      <c r="BX41" s="154"/>
      <c r="BY41" s="154"/>
      <c r="BZ41" s="220" t="s">
        <v>503</v>
      </c>
      <c r="CA41" s="140"/>
      <c r="CB41" s="154"/>
      <c r="CC41" s="154"/>
      <c r="CD41" s="220" t="s">
        <v>503</v>
      </c>
      <c r="CE41" s="140"/>
      <c r="CF41" s="271"/>
      <c r="CG41" s="271"/>
      <c r="CH41" s="271"/>
      <c r="CI41" s="140"/>
      <c r="CJ41" s="154"/>
      <c r="CK41" s="154"/>
      <c r="CL41" s="154"/>
      <c r="CM41" s="140"/>
      <c r="CN41" s="271"/>
      <c r="CO41" s="271"/>
      <c r="CP41" s="271"/>
      <c r="CQ41" s="140"/>
      <c r="CR41" s="154"/>
      <c r="CS41" s="154"/>
      <c r="CT41" s="154"/>
      <c r="CU41" s="140"/>
      <c r="CV41" s="154"/>
      <c r="CW41" s="154"/>
      <c r="CX41" s="220" t="s">
        <v>503</v>
      </c>
      <c r="CY41" s="140"/>
      <c r="CZ41" s="154"/>
      <c r="DA41" s="154"/>
      <c r="DB41" s="220" t="s">
        <v>503</v>
      </c>
      <c r="DC41" s="140"/>
      <c r="DD41" s="146"/>
      <c r="DE41" s="146"/>
      <c r="DF41" s="146"/>
      <c r="DG41" s="140"/>
      <c r="DH41" s="146"/>
      <c r="DI41" s="146"/>
      <c r="DJ41" s="146"/>
      <c r="DK41" s="146"/>
      <c r="DL41" s="146"/>
      <c r="DM41" s="146"/>
      <c r="DN41" s="146"/>
      <c r="DO41" s="146"/>
      <c r="DP41" s="146"/>
      <c r="DQ41" s="146"/>
      <c r="DR41" s="146"/>
      <c r="DS41" s="140"/>
      <c r="DT41" s="154"/>
      <c r="DU41" s="154"/>
      <c r="DV41" s="154"/>
      <c r="DW41" s="140"/>
      <c r="DX41" s="220"/>
      <c r="DY41" s="220"/>
      <c r="DZ41" s="220"/>
      <c r="EA41" s="140"/>
      <c r="EB41" s="220"/>
      <c r="EC41" s="220"/>
      <c r="ED41" s="220"/>
      <c r="EE41" s="140"/>
      <c r="EF41" s="154"/>
      <c r="EG41" s="154"/>
      <c r="EH41" s="154"/>
      <c r="EI41" s="140"/>
      <c r="EJ41" s="154"/>
      <c r="EK41" s="154"/>
      <c r="EL41" s="154"/>
      <c r="EM41" s="140"/>
      <c r="EN41" s="222"/>
      <c r="EO41" s="222"/>
      <c r="EP41" s="222"/>
      <c r="EQ41" s="140"/>
      <c r="ER41" s="222"/>
      <c r="ES41" s="222"/>
      <c r="ET41" s="222"/>
      <c r="EU41" s="140"/>
      <c r="EV41" s="222"/>
      <c r="EW41" s="222"/>
      <c r="EX41" s="222"/>
      <c r="EY41" s="344"/>
      <c r="EZ41" s="222"/>
      <c r="FA41" s="222"/>
      <c r="FB41" s="222"/>
      <c r="FC41" s="273"/>
      <c r="FD41" s="223"/>
      <c r="FE41" s="223"/>
      <c r="FF41" s="276"/>
      <c r="FG41" s="156"/>
      <c r="FH41" s="156"/>
      <c r="FI41" s="156"/>
      <c r="FJ41" s="140"/>
      <c r="FK41" s="277"/>
      <c r="FL41" s="277"/>
      <c r="FM41" s="277"/>
      <c r="FN41" s="140"/>
      <c r="FO41" s="277"/>
      <c r="FP41" s="277"/>
      <c r="FQ41" s="277"/>
      <c r="FR41" s="280"/>
      <c r="FS41" s="277"/>
      <c r="FT41" s="277"/>
      <c r="FU41" s="277"/>
      <c r="FV41" s="277"/>
      <c r="FW41" s="277"/>
      <c r="FX41" s="277"/>
      <c r="FY41" s="277"/>
      <c r="FZ41" s="277"/>
      <c r="GA41" s="277"/>
      <c r="GB41" s="277"/>
      <c r="GC41" s="277"/>
      <c r="GD41" s="277"/>
      <c r="GE41" s="277"/>
      <c r="GF41" s="277"/>
      <c r="GG41" s="277"/>
      <c r="GH41" s="277"/>
      <c r="GI41" s="277"/>
      <c r="GJ41" s="277"/>
      <c r="GK41" s="277"/>
      <c r="GL41" s="277"/>
      <c r="GM41" s="277"/>
      <c r="GN41" s="277"/>
      <c r="GO41" s="277"/>
      <c r="GP41" s="277"/>
      <c r="GQ41" s="277"/>
      <c r="GR41" s="277"/>
      <c r="GS41" s="277"/>
      <c r="GT41" s="277"/>
      <c r="GU41" s="277"/>
      <c r="GV41" s="277"/>
      <c r="GW41" s="277"/>
      <c r="GX41" s="277"/>
      <c r="GY41" s="277"/>
      <c r="GZ41" s="277"/>
      <c r="HA41" s="277"/>
      <c r="HB41" s="277"/>
      <c r="HC41" s="277"/>
      <c r="HD41" s="277"/>
      <c r="HE41" s="277"/>
      <c r="HF41" s="140"/>
      <c r="HG41" s="277"/>
      <c r="HH41" s="277"/>
      <c r="HI41" s="277"/>
      <c r="HJ41" s="140"/>
      <c r="HK41" s="277"/>
      <c r="HL41" s="277"/>
      <c r="HM41" s="277"/>
      <c r="HN41" s="140"/>
      <c r="HO41" s="277"/>
      <c r="HP41" s="277"/>
      <c r="HQ41" s="277"/>
      <c r="HR41" s="277"/>
      <c r="HS41" s="277"/>
      <c r="HT41" s="277"/>
      <c r="HU41" s="277"/>
      <c r="HV41" s="277"/>
      <c r="HW41" s="277"/>
      <c r="HX41" s="277"/>
      <c r="HY41" s="277"/>
      <c r="HZ41" s="140"/>
      <c r="IA41" s="277"/>
      <c r="IB41" s="277"/>
      <c r="IC41" s="277"/>
      <c r="ID41" s="140"/>
      <c r="IE41" s="277"/>
      <c r="IF41" s="277"/>
      <c r="IG41" s="277"/>
      <c r="IH41" s="140"/>
      <c r="II41" s="277"/>
      <c r="IJ41" s="277"/>
      <c r="IK41" s="277"/>
      <c r="IL41" s="140"/>
      <c r="IM41" s="277"/>
      <c r="IN41" s="277"/>
      <c r="IO41" s="277"/>
      <c r="IP41" s="277"/>
      <c r="IQ41" s="277"/>
      <c r="IR41" s="277"/>
      <c r="IS41" s="277"/>
      <c r="IT41" s="277"/>
      <c r="IU41" s="277"/>
      <c r="IV41" s="277"/>
      <c r="IW41" s="277"/>
      <c r="IX41" s="140"/>
      <c r="IY41" s="277"/>
      <c r="IZ41" s="277"/>
      <c r="JA41" s="277"/>
      <c r="JB41" s="140">
        <v>18</v>
      </c>
      <c r="JC41" s="339"/>
      <c r="JD41" s="339"/>
      <c r="JE41" s="277" t="s">
        <v>502</v>
      </c>
      <c r="JF41" s="140">
        <v>8.5</v>
      </c>
      <c r="JG41" s="339"/>
      <c r="JH41" s="345" t="s">
        <v>762</v>
      </c>
      <c r="JI41" s="140">
        <v>12</v>
      </c>
      <c r="JJ41" s="339" t="s">
        <v>502</v>
      </c>
      <c r="JK41" s="345" t="s">
        <v>762</v>
      </c>
      <c r="JL41" s="140">
        <v>90</v>
      </c>
      <c r="JM41" s="339" t="s">
        <v>502</v>
      </c>
      <c r="JN41" s="345" t="s">
        <v>762</v>
      </c>
      <c r="JO41" s="140"/>
      <c r="JP41" s="277"/>
      <c r="JQ41" s="277"/>
      <c r="JR41" s="277"/>
      <c r="JS41" s="277"/>
      <c r="JT41" s="277"/>
      <c r="JU41" s="277"/>
      <c r="JV41" s="277"/>
      <c r="JW41" s="277"/>
      <c r="JX41" s="277"/>
      <c r="JY41" s="277"/>
      <c r="JZ41" s="277"/>
      <c r="KA41" s="277"/>
      <c r="KB41" s="277"/>
      <c r="KC41" s="277"/>
      <c r="KD41" s="277"/>
      <c r="KE41" s="277"/>
      <c r="KF41" s="277"/>
      <c r="KG41" s="277"/>
      <c r="KH41" s="277"/>
      <c r="KI41" s="277"/>
      <c r="KJ41" s="277"/>
      <c r="KK41" s="277"/>
      <c r="KL41" s="277"/>
      <c r="KM41" s="277"/>
      <c r="KN41" s="277"/>
      <c r="KO41" s="277"/>
      <c r="KP41" s="274"/>
      <c r="KQ41" s="253"/>
      <c r="KR41" s="253"/>
      <c r="KS41" s="346">
        <v>40</v>
      </c>
      <c r="KT41" s="346">
        <v>1000</v>
      </c>
      <c r="KU41" s="346" t="s">
        <v>759</v>
      </c>
      <c r="KY41" s="141">
        <f t="shared" si="11"/>
        <v>1960</v>
      </c>
      <c r="KZ41" s="141">
        <f t="shared" si="12"/>
        <v>0</v>
      </c>
      <c r="LB41" s="141">
        <f t="shared" si="13"/>
        <v>1</v>
      </c>
      <c r="LC41" s="141">
        <f t="shared" si="14"/>
        <v>0</v>
      </c>
      <c r="LD41" s="141">
        <f t="shared" si="15"/>
        <v>1</v>
      </c>
      <c r="LE41" s="141" t="e">
        <f>((N(AU41)&gt;0)*(AX41&lt;&gt;"")+(N(AY41)&gt;0)*(BB41&lt;&gt;"")+(N(BC41)&gt;0)*(BF41&lt;&gt;"")+(N(BG41)&gt;0)*(BJ41&lt;&gt;"")+(N(BK41)&gt;0)*(BN41&lt;&gt;"")+(N(BO41)&gt;0)*(BR41&lt;&gt;"")+(N(BS41)&gt;0)*(BV41&lt;&gt;"")+(N(BW41)&gt;0)*(BZ41&lt;&gt;"")+(N(CA41)&gt;0)*(CD41&lt;&gt;"")+(N(CE41)&gt;0)*(CH41&lt;&gt;"")+(N(CI41)&gt;0)*(CL41&lt;&gt;"")+(N(CM41)&gt;0)*(CP41&lt;&gt;"")+(N(CQ41)&gt;0)*(CT41&lt;&gt;"")+(N(CU41)&gt;0)*(CX41&lt;&gt;"")+(N(CY41)&gt;0)*(DB41&lt;&gt;"")+(N(DC41)&gt;0)*(DF41&lt;&gt;"")+(N(DG41)&gt;0)*(DJ41&lt;&gt;"")+(N(DS41)&gt;0)*(DV41&lt;&gt;"")+(N(DW41)&gt;0)*(DZ41&lt;&gt;"")+(N(EA41)&gt;0)*(ED41&lt;&gt;"")+(N(EE41)&gt;0)*(EH41&lt;&gt;"")+(N(EI41)&gt;0)*(EL41&lt;&gt;"")+(N(EM41)&gt;0)*(EP41&lt;&gt;"")+(N(EQ41)&gt;0)*(ET41&lt;&gt;"")+(N(EU41)&gt;0)*(EX41&lt;&gt;"")+(N(#REF!)&gt;0)*(#REF!&lt;&gt;"")+(N(#REF!)&gt;0)*(#REF!&lt;&gt;"")+(N(FJ41)&gt;0)*(FM41&lt;&gt;"")+(N(FN41)&gt;0)*(FQ41&lt;&gt;"")+(N(#REF!)&gt;0)*(#REF!&lt;&gt;"")+(N(#REF!)&gt;0)*(#REF!&lt;&gt;"")+(N(HF41)&gt;0)*(HI41&lt;&gt;"")+(N(#REF!)&gt;0)*(#REF!&lt;&gt;"")+(N(HJ41)&gt;0)*(HM41&lt;&gt;"")+(N(HN41)&gt;0)*(HQ41&lt;&gt;"")+(N(HZ41)&gt;0)*(IC41&lt;&gt;"")+(N(ID41)&gt;0)*(IG41&lt;&gt;"")+(N(IH41)&gt;0)*(IK41&lt;&gt;"")+(N(IL41)&gt;0)*(IO41&lt;&gt;"")+(N(IX41)&gt;0)*(JA41&lt;&gt;"")+(N(JB41)&gt;0)*(JE41&lt;&gt;"")+(N(JF41)&gt;0)*(JH41&lt;&gt;"")+(N(JI41)&gt;0)*(JK41&lt;&gt;"")+(N(JL41)&gt;0)*(JN41&lt;&gt;"")+(N(JO41)&gt;0)*(JQ41&lt;&gt;""))</f>
        <v>#REF!</v>
      </c>
      <c r="LF41" s="141">
        <f t="shared" si="21"/>
        <v>0</v>
      </c>
      <c r="LG41" s="141">
        <f t="shared" si="16"/>
        <v>0</v>
      </c>
    </row>
    <row r="42" spans="1:319" ht="38.25" customHeight="1" x14ac:dyDescent="0.55000000000000004">
      <c r="B42" s="314" t="s">
        <v>505</v>
      </c>
      <c r="C42" s="218"/>
      <c r="D42" s="218"/>
      <c r="E42" s="218"/>
      <c r="F42" s="218"/>
      <c r="G42" s="218"/>
      <c r="H42" s="218"/>
      <c r="I42" s="162" cm="1">
        <f t="array" ref="I42">SUMPRODUCT(($AI$2:$KV$2&lt;&gt;"")*($AI42:$KV42&lt;&gt;""))</f>
        <v>0</v>
      </c>
      <c r="J42" s="142">
        <f t="shared" si="17"/>
        <v>0</v>
      </c>
      <c r="K42" s="142">
        <f t="shared" si="18"/>
        <v>0</v>
      </c>
      <c r="L42" s="268">
        <f t="shared" si="0"/>
        <v>7000</v>
      </c>
      <c r="M42" s="164">
        <f t="shared" si="8"/>
        <v>0</v>
      </c>
      <c r="N42" s="397"/>
      <c r="O42" s="165">
        <f t="shared" si="19"/>
        <v>0</v>
      </c>
      <c r="P42" s="165"/>
      <c r="Q42" s="165"/>
      <c r="R42" s="165">
        <f>(IFERROR(AM42/AN42,0)+IFERROR(AU42/AV42,0)+IFERROR(AY42/AZ42,0)+IFERROR(BC42/BD42,0)+IFERROR(BG42/BH42,0)+IFERROR(BK42/BL42,0)+IFERROR(BO42/BP42,0)+IFERROR(BS42/BT42,0)+IFERROR(BW42/BX42,0)+IFERROR(CA42/CB42,0)+IFERROR(CE42/CF42,0)+IFERROR(CI42/CJ42,0)+IFERROR(CM42/CN42,0)+IFERROR(CQ42/CR42,0)+IFERROR(CU42/CV42,0)+IFERROR(CY42/CZ42,0)+IFERROR(DC42/DD42,0)+IFERROR(DG42/DH42,0)+IFERROR(DS42/DT42,0)+IFERROR(DW42/DX42,0)+IFERROR(EA42/EB42,0)+IFERROR(EE42/EF42,0)+IFERROR(EI42/EJ42,0)+IFERROR(EM42/EN42,0)+IFERROR(EQ42/ER42,0)+IFERROR(EU42/EV42,0)+IFERROR(#REF!/#REF!,0)+IFERROR(#REF!/#REF!,0)+IFERROR(FJ42/FK42,0)+IFERROR(FN42/FO42,0)+IFERROR(#REF!/#REF!,0)+IFERROR(#REF!/#REF!,0)+IFERROR(HF42/HG42,0)+IFERROR(#REF!/#REF!,0)+IFERROR(HJ42/HK42,0)+IFERROR(HN42/HO42,0)+IFERROR(HZ42/IA42,0)+IFERROR(ID42/IE42,0)+IFERROR(IH42/II42,0)+IFERROR(IL42/IM42,0)+IFERROR(IX42/IY42,0)+IFERROR(JB42/JC42,0)+IFERROR(JF42/JG42,0)+IFERROR(JI42/JJ42,0)+IFERROR(JL42/JM42,0)+IFERROR(JO42/JP42,0))*L42*(C42+D42+E42+I42)</f>
        <v>0</v>
      </c>
      <c r="S42" s="165"/>
      <c r="T42" s="165">
        <f t="shared" si="9"/>
        <v>0</v>
      </c>
      <c r="U42" s="165"/>
      <c r="V42" s="165"/>
      <c r="W42" s="165"/>
      <c r="X42" s="165">
        <f>(IFERROR(FF42/FG42,0)+IFERROR(FC42/FD42,0)+IFERROR(#REF!/#REF!,0)+IFERROR(KP42/KQ42,0))*L42*(C42+D42+E42+I42)</f>
        <v>0</v>
      </c>
      <c r="Y42" s="484"/>
      <c r="Z42" s="484"/>
      <c r="AA42" s="484"/>
      <c r="AB42" s="484"/>
      <c r="AC42" s="150">
        <f t="shared" si="20"/>
        <v>0</v>
      </c>
      <c r="AD42" s="150"/>
      <c r="AE42" s="150">
        <f t="shared" si="10"/>
        <v>0</v>
      </c>
      <c r="AF42" s="161"/>
      <c r="AG42" s="143"/>
      <c r="AH42" s="154"/>
      <c r="AI42" s="144"/>
      <c r="AJ42" s="154"/>
      <c r="AK42" s="154"/>
      <c r="AL42" s="220"/>
      <c r="AM42" s="140"/>
      <c r="AN42" s="154"/>
      <c r="AO42" s="154"/>
      <c r="AP42" s="220"/>
      <c r="AQ42" s="145"/>
      <c r="AR42" s="154"/>
      <c r="AS42" s="154"/>
      <c r="AT42" s="220"/>
      <c r="AU42" s="140"/>
      <c r="AV42" s="277"/>
      <c r="AW42" s="277"/>
      <c r="AX42" s="277"/>
      <c r="AY42" s="140"/>
      <c r="AZ42" s="277"/>
      <c r="BA42" s="277"/>
      <c r="BB42" s="277"/>
      <c r="BC42" s="140"/>
      <c r="BD42" s="277"/>
      <c r="BE42" s="277"/>
      <c r="BF42" s="277"/>
      <c r="BG42" s="140"/>
      <c r="BH42" s="277"/>
      <c r="BI42" s="277"/>
      <c r="BJ42" s="277"/>
      <c r="BK42" s="140"/>
      <c r="BL42" s="277"/>
      <c r="BM42" s="277"/>
      <c r="BN42" s="277"/>
      <c r="BO42" s="140"/>
      <c r="BP42" s="277"/>
      <c r="BQ42" s="277"/>
      <c r="BR42" s="277"/>
      <c r="BS42" s="140"/>
      <c r="BT42" s="277"/>
      <c r="BU42" s="277"/>
      <c r="BV42" s="277"/>
      <c r="BW42" s="140"/>
      <c r="BX42" s="154"/>
      <c r="BY42" s="154"/>
      <c r="BZ42" s="220"/>
      <c r="CA42" s="140"/>
      <c r="CB42" s="154"/>
      <c r="CC42" s="154"/>
      <c r="CD42" s="220"/>
      <c r="CE42" s="140"/>
      <c r="CF42" s="271"/>
      <c r="CG42" s="271"/>
      <c r="CH42" s="271"/>
      <c r="CI42" s="140"/>
      <c r="CJ42" s="154"/>
      <c r="CK42" s="154"/>
      <c r="CL42" s="154"/>
      <c r="CM42" s="140"/>
      <c r="CN42" s="271"/>
      <c r="CO42" s="271"/>
      <c r="CP42" s="271"/>
      <c r="CQ42" s="140"/>
      <c r="CR42" s="154"/>
      <c r="CS42" s="154"/>
      <c r="CT42" s="154"/>
      <c r="CU42" s="140"/>
      <c r="CV42" s="154"/>
      <c r="CW42" s="154"/>
      <c r="CX42" s="220"/>
      <c r="CY42" s="140"/>
      <c r="CZ42" s="154"/>
      <c r="DA42" s="154"/>
      <c r="DB42" s="220"/>
      <c r="DC42" s="140"/>
      <c r="DD42" s="146"/>
      <c r="DE42" s="146"/>
      <c r="DF42" s="146"/>
      <c r="DG42" s="140"/>
      <c r="DH42" s="146"/>
      <c r="DI42" s="146"/>
      <c r="DJ42" s="146"/>
      <c r="DK42" s="146"/>
      <c r="DL42" s="146"/>
      <c r="DM42" s="146"/>
      <c r="DN42" s="146"/>
      <c r="DO42" s="146"/>
      <c r="DP42" s="146"/>
      <c r="DQ42" s="146"/>
      <c r="DR42" s="146"/>
      <c r="DS42" s="140"/>
      <c r="DT42" s="154"/>
      <c r="DU42" s="154"/>
      <c r="DV42" s="154"/>
      <c r="DW42" s="140"/>
      <c r="DX42" s="220"/>
      <c r="DY42" s="220"/>
      <c r="DZ42" s="220"/>
      <c r="EA42" s="140"/>
      <c r="EB42" s="220"/>
      <c r="EC42" s="220"/>
      <c r="ED42" s="220"/>
      <c r="EE42" s="140"/>
      <c r="EF42" s="154"/>
      <c r="EG42" s="154"/>
      <c r="EH42" s="154"/>
      <c r="EI42" s="140"/>
      <c r="EJ42" s="154"/>
      <c r="EK42" s="154"/>
      <c r="EL42" s="154"/>
      <c r="EM42" s="140"/>
      <c r="EN42" s="222"/>
      <c r="EO42" s="222"/>
      <c r="EP42" s="222"/>
      <c r="EQ42" s="140"/>
      <c r="ER42" s="222"/>
      <c r="ES42" s="222"/>
      <c r="ET42" s="222"/>
      <c r="EU42" s="140"/>
      <c r="EV42" s="222"/>
      <c r="EW42" s="222"/>
      <c r="EX42" s="222"/>
      <c r="EY42" s="344"/>
      <c r="EZ42" s="222"/>
      <c r="FA42" s="222"/>
      <c r="FB42" s="222"/>
      <c r="FC42" s="273"/>
      <c r="FD42" s="223"/>
      <c r="FE42" s="223"/>
      <c r="FF42" s="276"/>
      <c r="FG42" s="156"/>
      <c r="FH42" s="156"/>
      <c r="FI42" s="156"/>
      <c r="FJ42" s="140"/>
      <c r="FK42" s="277"/>
      <c r="FL42" s="277"/>
      <c r="FM42" s="277"/>
      <c r="FN42" s="140"/>
      <c r="FO42" s="277"/>
      <c r="FP42" s="277"/>
      <c r="FQ42" s="277"/>
      <c r="FR42" s="280"/>
      <c r="FS42" s="277"/>
      <c r="FT42" s="277"/>
      <c r="FU42" s="277"/>
      <c r="FV42" s="277"/>
      <c r="FW42" s="277"/>
      <c r="FX42" s="277"/>
      <c r="FY42" s="277"/>
      <c r="FZ42" s="277"/>
      <c r="GA42" s="277"/>
      <c r="GB42" s="277"/>
      <c r="GC42" s="277"/>
      <c r="GD42" s="277"/>
      <c r="GE42" s="277"/>
      <c r="GF42" s="277"/>
      <c r="GG42" s="277"/>
      <c r="GH42" s="277"/>
      <c r="GI42" s="277"/>
      <c r="GJ42" s="277"/>
      <c r="GK42" s="277"/>
      <c r="GL42" s="277"/>
      <c r="GM42" s="277"/>
      <c r="GN42" s="277"/>
      <c r="GO42" s="277"/>
      <c r="GP42" s="277"/>
      <c r="GQ42" s="277"/>
      <c r="GR42" s="277"/>
      <c r="GS42" s="277"/>
      <c r="GT42" s="277"/>
      <c r="GU42" s="277"/>
      <c r="GV42" s="277"/>
      <c r="GW42" s="277"/>
      <c r="GX42" s="277"/>
      <c r="GY42" s="277"/>
      <c r="GZ42" s="277"/>
      <c r="HA42" s="277"/>
      <c r="HB42" s="277"/>
      <c r="HC42" s="277"/>
      <c r="HD42" s="277"/>
      <c r="HE42" s="277"/>
      <c r="HF42" s="140"/>
      <c r="HG42" s="277"/>
      <c r="HH42" s="277"/>
      <c r="HI42" s="277"/>
      <c r="HJ42" s="140"/>
      <c r="HK42" s="277"/>
      <c r="HL42" s="277"/>
      <c r="HM42" s="277"/>
      <c r="HN42" s="140"/>
      <c r="HO42" s="277"/>
      <c r="HP42" s="277"/>
      <c r="HQ42" s="277"/>
      <c r="HR42" s="277"/>
      <c r="HS42" s="277"/>
      <c r="HT42" s="277"/>
      <c r="HU42" s="277"/>
      <c r="HV42" s="277"/>
      <c r="HW42" s="277"/>
      <c r="HX42" s="277"/>
      <c r="HY42" s="277"/>
      <c r="HZ42" s="140"/>
      <c r="IA42" s="277"/>
      <c r="IB42" s="277"/>
      <c r="IC42" s="277"/>
      <c r="ID42" s="140"/>
      <c r="IE42" s="277"/>
      <c r="IF42" s="277"/>
      <c r="IG42" s="277"/>
      <c r="IH42" s="140"/>
      <c r="II42" s="277"/>
      <c r="IJ42" s="277"/>
      <c r="IK42" s="277"/>
      <c r="IL42" s="140"/>
      <c r="IM42" s="277"/>
      <c r="IN42" s="277"/>
      <c r="IO42" s="277"/>
      <c r="IP42" s="277"/>
      <c r="IQ42" s="277"/>
      <c r="IR42" s="277"/>
      <c r="IS42" s="277"/>
      <c r="IT42" s="277"/>
      <c r="IU42" s="277"/>
      <c r="IV42" s="277"/>
      <c r="IW42" s="277"/>
      <c r="IX42" s="140"/>
      <c r="IY42" s="277"/>
      <c r="IZ42" s="277"/>
      <c r="JA42" s="277"/>
      <c r="JB42" s="140"/>
      <c r="JC42" s="277"/>
      <c r="JD42" s="277"/>
      <c r="JE42" s="277"/>
      <c r="JF42" s="140"/>
      <c r="JG42" s="277"/>
      <c r="JH42" s="277"/>
      <c r="JI42" s="140"/>
      <c r="JJ42" s="277"/>
      <c r="JK42" s="277"/>
      <c r="JL42" s="140"/>
      <c r="JM42" s="277"/>
      <c r="JN42" s="277"/>
      <c r="JO42" s="140"/>
      <c r="JP42" s="277"/>
      <c r="JQ42" s="277"/>
      <c r="JR42" s="277"/>
      <c r="JS42" s="277"/>
      <c r="JT42" s="277"/>
      <c r="JU42" s="277"/>
      <c r="JV42" s="277"/>
      <c r="JW42" s="277"/>
      <c r="JX42" s="277"/>
      <c r="JY42" s="277"/>
      <c r="JZ42" s="277"/>
      <c r="KA42" s="277"/>
      <c r="KB42" s="277"/>
      <c r="KC42" s="277"/>
      <c r="KD42" s="277"/>
      <c r="KE42" s="277"/>
      <c r="KF42" s="277"/>
      <c r="KG42" s="277"/>
      <c r="KH42" s="277"/>
      <c r="KI42" s="277"/>
      <c r="KJ42" s="277"/>
      <c r="KK42" s="277"/>
      <c r="KL42" s="277"/>
      <c r="KM42" s="277"/>
      <c r="KN42" s="277"/>
      <c r="KO42" s="277"/>
      <c r="KP42" s="274"/>
      <c r="KQ42" s="253"/>
      <c r="KR42" s="253"/>
      <c r="KY42" s="141">
        <f t="shared" si="11"/>
        <v>0</v>
      </c>
      <c r="KZ42" s="141">
        <f t="shared" si="12"/>
        <v>0</v>
      </c>
      <c r="LB42" s="141">
        <f t="shared" si="13"/>
        <v>0</v>
      </c>
      <c r="LC42" s="141">
        <f t="shared" si="14"/>
        <v>0</v>
      </c>
      <c r="LD42" s="141">
        <f t="shared" si="15"/>
        <v>0</v>
      </c>
      <c r="LE42" s="141" t="e">
        <f>((N(AU42)&gt;0)*(AX42&lt;&gt;"")+(N(AY42)&gt;0)*(BB42&lt;&gt;"")+(N(BC42)&gt;0)*(BF42&lt;&gt;"")+(N(BG42)&gt;0)*(BJ42&lt;&gt;"")+(N(BK42)&gt;0)*(BN42&lt;&gt;"")+(N(BO42)&gt;0)*(BR42&lt;&gt;"")+(N(BS42)&gt;0)*(BV42&lt;&gt;"")+(N(BW42)&gt;0)*(BZ42&lt;&gt;"")+(N(CA42)&gt;0)*(CD42&lt;&gt;"")+(N(CE42)&gt;0)*(CH42&lt;&gt;"")+(N(CI42)&gt;0)*(CL42&lt;&gt;"")+(N(CM42)&gt;0)*(CP42&lt;&gt;"")+(N(CQ42)&gt;0)*(CT42&lt;&gt;"")+(N(CU42)&gt;0)*(CX42&lt;&gt;"")+(N(CY42)&gt;0)*(DB42&lt;&gt;"")+(N(DC42)&gt;0)*(DF42&lt;&gt;"")+(N(DG42)&gt;0)*(DJ42&lt;&gt;"")+(N(DS42)&gt;0)*(DV42&lt;&gt;"")+(N(DW42)&gt;0)*(DZ42&lt;&gt;"")+(N(EA42)&gt;0)*(ED42&lt;&gt;"")+(N(EE42)&gt;0)*(EH42&lt;&gt;"")+(N(EI42)&gt;0)*(EL42&lt;&gt;"")+(N(EM42)&gt;0)*(EP42&lt;&gt;"")+(N(EQ42)&gt;0)*(ET42&lt;&gt;"")+(N(EU42)&gt;0)*(EX42&lt;&gt;"")+(N(#REF!)&gt;0)*(#REF!&lt;&gt;"")+(N(#REF!)&gt;0)*(#REF!&lt;&gt;"")+(N(FJ42)&gt;0)*(FM42&lt;&gt;"")+(N(FN42)&gt;0)*(FQ42&lt;&gt;"")+(N(#REF!)&gt;0)*(#REF!&lt;&gt;"")+(N(#REF!)&gt;0)*(#REF!&lt;&gt;"")+(N(HF42)&gt;0)*(HI42&lt;&gt;"")+(N(#REF!)&gt;0)*(#REF!&lt;&gt;"")+(N(HJ42)&gt;0)*(HM42&lt;&gt;"")+(N(HN42)&gt;0)*(HQ42&lt;&gt;"")+(N(HZ42)&gt;0)*(IC42&lt;&gt;"")+(N(ID42)&gt;0)*(IG42&lt;&gt;"")+(N(IH42)&gt;0)*(IK42&lt;&gt;"")+(N(IL42)&gt;0)*(IO42&lt;&gt;"")+(N(IX42)&gt;0)*(JA42&lt;&gt;"")+(N(JB42)&gt;0)*(JE42&lt;&gt;"")+(N(JF42)&gt;0)*(JH42&lt;&gt;"")+(N(JI42)&gt;0)*(JK42&lt;&gt;"")+(N(JL42)&gt;0)*(JN42&lt;&gt;"")+(N(JO42)&gt;0)*(JQ42&lt;&gt;""))</f>
        <v>#REF!</v>
      </c>
      <c r="LF42" s="141">
        <f t="shared" si="21"/>
        <v>0</v>
      </c>
      <c r="LG42" s="141">
        <f t="shared" si="16"/>
        <v>0</v>
      </c>
    </row>
    <row r="43" spans="1:319" ht="38.25" customHeight="1" x14ac:dyDescent="0.55000000000000004">
      <c r="B43" s="314" t="s">
        <v>506</v>
      </c>
      <c r="C43" s="218"/>
      <c r="D43" s="218"/>
      <c r="E43" s="218"/>
      <c r="F43" s="218"/>
      <c r="G43" s="218"/>
      <c r="H43" s="218"/>
      <c r="I43" s="162" cm="1">
        <f t="array" ref="I43">SUMPRODUCT(($AI$2:$KV$2&lt;&gt;"")*($AI43:$KV43&lt;&gt;""))</f>
        <v>0</v>
      </c>
      <c r="J43" s="142">
        <f t="shared" si="17"/>
        <v>0</v>
      </c>
      <c r="K43" s="142">
        <f t="shared" si="18"/>
        <v>0</v>
      </c>
      <c r="L43" s="268">
        <f t="shared" si="0"/>
        <v>7000</v>
      </c>
      <c r="M43" s="164">
        <f t="shared" si="8"/>
        <v>0</v>
      </c>
      <c r="N43" s="397"/>
      <c r="O43" s="165">
        <f t="shared" si="19"/>
        <v>0</v>
      </c>
      <c r="P43" s="165"/>
      <c r="Q43" s="165"/>
      <c r="R43" s="165">
        <f>(IFERROR(AM43/AN43,0)+IFERROR(AU43/AV43,0)+IFERROR(AY43/AZ43,0)+IFERROR(BC43/BD43,0)+IFERROR(BG43/BH43,0)+IFERROR(BK43/BL43,0)+IFERROR(BO43/BP43,0)+IFERROR(BS43/BT43,0)+IFERROR(BW43/BX43,0)+IFERROR(CA43/CB43,0)+IFERROR(CE43/CF43,0)+IFERROR(CI43/CJ43,0)+IFERROR(CM43/CN43,0)+IFERROR(CQ43/CR43,0)+IFERROR(CU43/CV43,0)+IFERROR(CY43/CZ43,0)+IFERROR(DC43/DD43,0)+IFERROR(DG43/DH43,0)+IFERROR(DS43/DT43,0)+IFERROR(DW43/DX43,0)+IFERROR(EA43/EB43,0)+IFERROR(EE43/EF43,0)+IFERROR(EI43/EJ43,0)+IFERROR(EM43/EN43,0)+IFERROR(EQ43/ER43,0)+IFERROR(EU43/EV43,0)+IFERROR(#REF!/#REF!,0)+IFERROR(#REF!/#REF!,0)+IFERROR(FJ43/FK43,0)+IFERROR(FN43/FO43,0)+IFERROR(#REF!/#REF!,0)+IFERROR(#REF!/#REF!,0)+IFERROR(HF43/HG43,0)+IFERROR(#REF!/#REF!,0)+IFERROR(HJ43/HK43,0)+IFERROR(HN43/HO43,0)+IFERROR(HZ43/IA43,0)+IFERROR(ID43/IE43,0)+IFERROR(IH43/II43,0)+IFERROR(IL43/IM43,0)+IFERROR(IX43/IY43,0)+IFERROR(JB43/JC43,0)+IFERROR(JF43/JG43,0)+IFERROR(JI43/JJ43,0)+IFERROR(JL43/JM43,0)+IFERROR(JO43/JP43,0))*L43*(C43+D43+E43+I43)</f>
        <v>0</v>
      </c>
      <c r="S43" s="165"/>
      <c r="T43" s="165">
        <f t="shared" si="9"/>
        <v>0</v>
      </c>
      <c r="U43" s="165"/>
      <c r="V43" s="165"/>
      <c r="W43" s="165"/>
      <c r="X43" s="165">
        <f>(IFERROR(FF43/FG43,0)+IFERROR(FC43/FD43,0)+IFERROR(#REF!/#REF!,0)+IFERROR(KP43/KQ43,0))*L43*(C43+D43+E43+I43)</f>
        <v>0</v>
      </c>
      <c r="Y43" s="484"/>
      <c r="Z43" s="484"/>
      <c r="AA43" s="484"/>
      <c r="AB43" s="484"/>
      <c r="AC43" s="150">
        <f t="shared" si="20"/>
        <v>0</v>
      </c>
      <c r="AD43" s="150"/>
      <c r="AE43" s="150">
        <f t="shared" si="10"/>
        <v>0</v>
      </c>
      <c r="AF43" s="161"/>
      <c r="AG43" s="143"/>
      <c r="AH43" s="154"/>
      <c r="AI43" s="144"/>
      <c r="AJ43" s="154"/>
      <c r="AK43" s="154"/>
      <c r="AL43" s="220"/>
      <c r="AM43" s="140"/>
      <c r="AN43" s="154"/>
      <c r="AO43" s="154"/>
      <c r="AP43" s="220"/>
      <c r="AQ43" s="145"/>
      <c r="AR43" s="154"/>
      <c r="AS43" s="154"/>
      <c r="AT43" s="220"/>
      <c r="AU43" s="140"/>
      <c r="AV43" s="277"/>
      <c r="AW43" s="277"/>
      <c r="AX43" s="277"/>
      <c r="AY43" s="140"/>
      <c r="AZ43" s="277"/>
      <c r="BA43" s="277"/>
      <c r="BB43" s="277"/>
      <c r="BC43" s="140"/>
      <c r="BD43" s="277"/>
      <c r="BE43" s="277"/>
      <c r="BF43" s="277"/>
      <c r="BG43" s="140"/>
      <c r="BH43" s="277"/>
      <c r="BI43" s="277"/>
      <c r="BJ43" s="277"/>
      <c r="BK43" s="140"/>
      <c r="BL43" s="277"/>
      <c r="BM43" s="277"/>
      <c r="BN43" s="277"/>
      <c r="BO43" s="140"/>
      <c r="BP43" s="277"/>
      <c r="BQ43" s="277"/>
      <c r="BR43" s="277"/>
      <c r="BS43" s="140"/>
      <c r="BT43" s="277"/>
      <c r="BU43" s="277"/>
      <c r="BV43" s="277"/>
      <c r="BW43" s="140"/>
      <c r="BX43" s="154"/>
      <c r="BY43" s="154"/>
      <c r="BZ43" s="220"/>
      <c r="CA43" s="140"/>
      <c r="CB43" s="154"/>
      <c r="CC43" s="154"/>
      <c r="CD43" s="220"/>
      <c r="CE43" s="140"/>
      <c r="CF43" s="271"/>
      <c r="CG43" s="271"/>
      <c r="CH43" s="271"/>
      <c r="CI43" s="140"/>
      <c r="CJ43" s="154"/>
      <c r="CK43" s="154"/>
      <c r="CL43" s="154"/>
      <c r="CM43" s="140"/>
      <c r="CN43" s="271"/>
      <c r="CO43" s="271"/>
      <c r="CP43" s="271"/>
      <c r="CQ43" s="140"/>
      <c r="CR43" s="154"/>
      <c r="CS43" s="154"/>
      <c r="CT43" s="154"/>
      <c r="CU43" s="140"/>
      <c r="CV43" s="154"/>
      <c r="CW43" s="154"/>
      <c r="CX43" s="220"/>
      <c r="CY43" s="140"/>
      <c r="CZ43" s="154"/>
      <c r="DA43" s="154"/>
      <c r="DB43" s="220"/>
      <c r="DC43" s="140"/>
      <c r="DD43" s="146"/>
      <c r="DE43" s="146"/>
      <c r="DF43" s="146"/>
      <c r="DG43" s="140"/>
      <c r="DH43" s="146"/>
      <c r="DI43" s="146"/>
      <c r="DJ43" s="146"/>
      <c r="DK43" s="146"/>
      <c r="DL43" s="146"/>
      <c r="DM43" s="146"/>
      <c r="DN43" s="146"/>
      <c r="DO43" s="146"/>
      <c r="DP43" s="146"/>
      <c r="DQ43" s="146"/>
      <c r="DR43" s="146"/>
      <c r="DS43" s="140"/>
      <c r="DT43" s="154"/>
      <c r="DU43" s="154"/>
      <c r="DV43" s="154"/>
      <c r="DW43" s="140"/>
      <c r="DX43" s="220"/>
      <c r="DY43" s="220"/>
      <c r="DZ43" s="220"/>
      <c r="EA43" s="140"/>
      <c r="EB43" s="220"/>
      <c r="EC43" s="220"/>
      <c r="ED43" s="220"/>
      <c r="EE43" s="140"/>
      <c r="EF43" s="154"/>
      <c r="EG43" s="154"/>
      <c r="EH43" s="154"/>
      <c r="EI43" s="140"/>
      <c r="EJ43" s="154"/>
      <c r="EK43" s="154"/>
      <c r="EL43" s="154"/>
      <c r="EM43" s="140"/>
      <c r="EN43" s="222"/>
      <c r="EO43" s="222"/>
      <c r="EP43" s="222"/>
      <c r="EQ43" s="140"/>
      <c r="ER43" s="222"/>
      <c r="ES43" s="222"/>
      <c r="ET43" s="222"/>
      <c r="EU43" s="140"/>
      <c r="EV43" s="222"/>
      <c r="EW43" s="222"/>
      <c r="EX43" s="222"/>
      <c r="EY43" s="344"/>
      <c r="EZ43" s="222"/>
      <c r="FA43" s="222"/>
      <c r="FB43" s="222"/>
      <c r="FC43" s="273"/>
      <c r="FD43" s="223"/>
      <c r="FE43" s="223"/>
      <c r="FF43" s="276"/>
      <c r="FG43" s="156"/>
      <c r="FH43" s="156"/>
      <c r="FI43" s="156"/>
      <c r="FJ43" s="140"/>
      <c r="FK43" s="277"/>
      <c r="FL43" s="277"/>
      <c r="FM43" s="277"/>
      <c r="FN43" s="140"/>
      <c r="FO43" s="277"/>
      <c r="FP43" s="277"/>
      <c r="FQ43" s="277"/>
      <c r="FR43" s="280"/>
      <c r="FS43" s="277"/>
      <c r="FT43" s="277"/>
      <c r="FU43" s="277"/>
      <c r="FV43" s="277"/>
      <c r="FW43" s="277"/>
      <c r="FX43" s="277"/>
      <c r="FY43" s="277"/>
      <c r="FZ43" s="277"/>
      <c r="GA43" s="277"/>
      <c r="GB43" s="277"/>
      <c r="GC43" s="277"/>
      <c r="GD43" s="277"/>
      <c r="GE43" s="277"/>
      <c r="GF43" s="277"/>
      <c r="GG43" s="277"/>
      <c r="GH43" s="277"/>
      <c r="GI43" s="277"/>
      <c r="GJ43" s="277"/>
      <c r="GK43" s="277"/>
      <c r="GL43" s="277"/>
      <c r="GM43" s="277"/>
      <c r="GN43" s="277"/>
      <c r="GO43" s="277"/>
      <c r="GP43" s="277"/>
      <c r="GQ43" s="277"/>
      <c r="GR43" s="277"/>
      <c r="GS43" s="277"/>
      <c r="GT43" s="277"/>
      <c r="GU43" s="277"/>
      <c r="GV43" s="277"/>
      <c r="GW43" s="277"/>
      <c r="GX43" s="277"/>
      <c r="GY43" s="277"/>
      <c r="GZ43" s="277"/>
      <c r="HA43" s="277"/>
      <c r="HB43" s="277"/>
      <c r="HC43" s="277"/>
      <c r="HD43" s="277"/>
      <c r="HE43" s="277"/>
      <c r="HF43" s="140"/>
      <c r="HG43" s="277"/>
      <c r="HH43" s="277"/>
      <c r="HI43" s="277"/>
      <c r="HJ43" s="140"/>
      <c r="HK43" s="277"/>
      <c r="HL43" s="277"/>
      <c r="HM43" s="277"/>
      <c r="HN43" s="140"/>
      <c r="HO43" s="277"/>
      <c r="HP43" s="277"/>
      <c r="HQ43" s="277"/>
      <c r="HR43" s="277"/>
      <c r="HS43" s="277"/>
      <c r="HT43" s="277"/>
      <c r="HU43" s="277"/>
      <c r="HV43" s="277"/>
      <c r="HW43" s="277"/>
      <c r="HX43" s="277"/>
      <c r="HY43" s="277"/>
      <c r="HZ43" s="140"/>
      <c r="IA43" s="277"/>
      <c r="IB43" s="277"/>
      <c r="IC43" s="277"/>
      <c r="ID43" s="140"/>
      <c r="IE43" s="277"/>
      <c r="IF43" s="277"/>
      <c r="IG43" s="277"/>
      <c r="IH43" s="140"/>
      <c r="II43" s="277"/>
      <c r="IJ43" s="277"/>
      <c r="IK43" s="277"/>
      <c r="IL43" s="140"/>
      <c r="IM43" s="277"/>
      <c r="IN43" s="277"/>
      <c r="IO43" s="277"/>
      <c r="IP43" s="277"/>
      <c r="IQ43" s="277"/>
      <c r="IR43" s="277"/>
      <c r="IS43" s="277"/>
      <c r="IT43" s="277"/>
      <c r="IU43" s="277"/>
      <c r="IV43" s="277"/>
      <c r="IW43" s="277"/>
      <c r="IX43" s="140"/>
      <c r="IY43" s="277"/>
      <c r="IZ43" s="277"/>
      <c r="JA43" s="277"/>
      <c r="JB43" s="140"/>
      <c r="JC43" s="277"/>
      <c r="JD43" s="277"/>
      <c r="JE43" s="277"/>
      <c r="JF43" s="140"/>
      <c r="JG43" s="277"/>
      <c r="JH43" s="277"/>
      <c r="JI43" s="140"/>
      <c r="JJ43" s="277"/>
      <c r="JK43" s="277"/>
      <c r="JL43" s="140"/>
      <c r="JM43" s="277"/>
      <c r="JN43" s="277"/>
      <c r="JO43" s="140"/>
      <c r="JP43" s="277"/>
      <c r="JQ43" s="277"/>
      <c r="JR43" s="277"/>
      <c r="JS43" s="277"/>
      <c r="JT43" s="277"/>
      <c r="JU43" s="277"/>
      <c r="JV43" s="277"/>
      <c r="JW43" s="277"/>
      <c r="JX43" s="277"/>
      <c r="JY43" s="277"/>
      <c r="JZ43" s="277"/>
      <c r="KA43" s="277"/>
      <c r="KB43" s="277"/>
      <c r="KC43" s="277"/>
      <c r="KD43" s="277"/>
      <c r="KE43" s="277"/>
      <c r="KF43" s="277"/>
      <c r="KG43" s="277"/>
      <c r="KH43" s="277"/>
      <c r="KI43" s="277"/>
      <c r="KJ43" s="277"/>
      <c r="KK43" s="277"/>
      <c r="KL43" s="277"/>
      <c r="KM43" s="277"/>
      <c r="KN43" s="277"/>
      <c r="KO43" s="277"/>
      <c r="KP43" s="274"/>
      <c r="KQ43" s="253"/>
      <c r="KR43" s="253"/>
      <c r="KY43" s="141">
        <f t="shared" si="11"/>
        <v>0</v>
      </c>
      <c r="KZ43" s="141">
        <f t="shared" si="12"/>
        <v>0</v>
      </c>
      <c r="LB43" s="141">
        <f t="shared" si="13"/>
        <v>0</v>
      </c>
      <c r="LC43" s="141">
        <f t="shared" si="14"/>
        <v>0</v>
      </c>
      <c r="LD43" s="141">
        <f t="shared" si="15"/>
        <v>0</v>
      </c>
      <c r="LE43" s="141" t="e">
        <f>((N(AU43)&gt;0)*(AX43&lt;&gt;"")+(N(AY43)&gt;0)*(BB43&lt;&gt;"")+(N(BC43)&gt;0)*(BF43&lt;&gt;"")+(N(BG43)&gt;0)*(BJ43&lt;&gt;"")+(N(BK43)&gt;0)*(BN43&lt;&gt;"")+(N(BO43)&gt;0)*(BR43&lt;&gt;"")+(N(BS43)&gt;0)*(BV43&lt;&gt;"")+(N(BW43)&gt;0)*(BZ43&lt;&gt;"")+(N(CA43)&gt;0)*(CD43&lt;&gt;"")+(N(CE43)&gt;0)*(CH43&lt;&gt;"")+(N(CI43)&gt;0)*(CL43&lt;&gt;"")+(N(CM43)&gt;0)*(CP43&lt;&gt;"")+(N(CQ43)&gt;0)*(CT43&lt;&gt;"")+(N(CU43)&gt;0)*(CX43&lt;&gt;"")+(N(CY43)&gt;0)*(DB43&lt;&gt;"")+(N(DC43)&gt;0)*(DF43&lt;&gt;"")+(N(DG43)&gt;0)*(DJ43&lt;&gt;"")+(N(DS43)&gt;0)*(DV43&lt;&gt;"")+(N(DW43)&gt;0)*(DZ43&lt;&gt;"")+(N(EA43)&gt;0)*(ED43&lt;&gt;"")+(N(EE43)&gt;0)*(EH43&lt;&gt;"")+(N(EI43)&gt;0)*(EL43&lt;&gt;"")+(N(EM43)&gt;0)*(EP43&lt;&gt;"")+(N(EQ43)&gt;0)*(ET43&lt;&gt;"")+(N(EU43)&gt;0)*(EX43&lt;&gt;"")+(N(#REF!)&gt;0)*(#REF!&lt;&gt;"")+(N(#REF!)&gt;0)*(#REF!&lt;&gt;"")+(N(FJ43)&gt;0)*(FM43&lt;&gt;"")+(N(FN43)&gt;0)*(FQ43&lt;&gt;"")+(N(#REF!)&gt;0)*(#REF!&lt;&gt;"")+(N(#REF!)&gt;0)*(#REF!&lt;&gt;"")+(N(HF43)&gt;0)*(HI43&lt;&gt;"")+(N(#REF!)&gt;0)*(#REF!&lt;&gt;"")+(N(HJ43)&gt;0)*(HM43&lt;&gt;"")+(N(HN43)&gt;0)*(HQ43&lt;&gt;"")+(N(HZ43)&gt;0)*(IC43&lt;&gt;"")+(N(ID43)&gt;0)*(IG43&lt;&gt;"")+(N(IH43)&gt;0)*(IK43&lt;&gt;"")+(N(IL43)&gt;0)*(IO43&lt;&gt;"")+(N(IX43)&gt;0)*(JA43&lt;&gt;"")+(N(JB43)&gt;0)*(JE43&lt;&gt;"")+(N(JF43)&gt;0)*(JH43&lt;&gt;"")+(N(JI43)&gt;0)*(JK43&lt;&gt;"")+(N(JL43)&gt;0)*(JN43&lt;&gt;"")+(N(JO43)&gt;0)*(JQ43&lt;&gt;""))</f>
        <v>#REF!</v>
      </c>
      <c r="LF43" s="141">
        <f t="shared" si="21"/>
        <v>0</v>
      </c>
      <c r="LG43" s="141">
        <f t="shared" si="16"/>
        <v>0</v>
      </c>
    </row>
    <row r="44" spans="1:319" ht="38.25" customHeight="1" x14ac:dyDescent="0.55000000000000004">
      <c r="B44" s="314" t="s">
        <v>398</v>
      </c>
      <c r="C44" s="218"/>
      <c r="D44" s="218"/>
      <c r="E44" s="218"/>
      <c r="F44" s="218"/>
      <c r="G44" s="218"/>
      <c r="H44" s="218"/>
      <c r="I44" s="162" cm="1">
        <f t="array" ref="I44">SUMPRODUCT(($AI$2:$KV$2&lt;&gt;"")*($AI44:$KV44&lt;&gt;""))</f>
        <v>0</v>
      </c>
      <c r="J44" s="142">
        <f t="shared" si="17"/>
        <v>0</v>
      </c>
      <c r="K44" s="142">
        <f t="shared" si="18"/>
        <v>0</v>
      </c>
      <c r="L44" s="268">
        <f t="shared" si="0"/>
        <v>7000</v>
      </c>
      <c r="M44" s="164">
        <f t="shared" si="8"/>
        <v>0</v>
      </c>
      <c r="N44" s="397"/>
      <c r="O44" s="165">
        <f t="shared" si="19"/>
        <v>0</v>
      </c>
      <c r="P44" s="165"/>
      <c r="Q44" s="165"/>
      <c r="R44" s="165">
        <f>(IFERROR(AM44/AN44,0)+IFERROR(AU44/AV44,0)+IFERROR(AY44/AZ44,0)+IFERROR(BC44/BD44,0)+IFERROR(BG44/BH44,0)+IFERROR(BK44/BL44,0)+IFERROR(BO44/BP44,0)+IFERROR(BS44/BT44,0)+IFERROR(BW44/BX44,0)+IFERROR(CA44/CB44,0)+IFERROR(CE44/CF44,0)+IFERROR(CI44/CJ44,0)+IFERROR(CM44/CN44,0)+IFERROR(CQ44/CR44,0)+IFERROR(CU44/CV44,0)+IFERROR(CY44/CZ44,0)+IFERROR(DC44/DD44,0)+IFERROR(DG44/DH44,0)+IFERROR(DS44/DT44,0)+IFERROR(DW44/DX44,0)+IFERROR(EA44/EB44,0)+IFERROR(EE44/EF44,0)+IFERROR(EI44/EJ44,0)+IFERROR(EM44/EN44,0)+IFERROR(EQ44/ER44,0)+IFERROR(EU44/EV44,0)+IFERROR(#REF!/#REF!,0)+IFERROR(#REF!/#REF!,0)+IFERROR(FJ44/FK44,0)+IFERROR(FN44/FO44,0)+IFERROR(#REF!/#REF!,0)+IFERROR(#REF!/#REF!,0)+IFERROR(HF44/HG44,0)+IFERROR(#REF!/#REF!,0)+IFERROR(HJ44/HK44,0)+IFERROR(HN44/HO44,0)+IFERROR(HZ44/IA44,0)+IFERROR(ID44/IE44,0)+IFERROR(IH44/II44,0)+IFERROR(IL44/IM44,0)+IFERROR(IX44/IY44,0)+IFERROR(JB44/JC44,0)+IFERROR(JF44/JG44,0)+IFERROR(JI44/JJ44,0)+IFERROR(JL44/JM44,0)+IFERROR(JO44/JP44,0))*L44*(C44+D44+E44+I44)</f>
        <v>0</v>
      </c>
      <c r="S44" s="165"/>
      <c r="T44" s="165">
        <f t="shared" si="9"/>
        <v>0</v>
      </c>
      <c r="U44" s="165"/>
      <c r="V44" s="165"/>
      <c r="W44" s="165"/>
      <c r="X44" s="165">
        <f>(IFERROR(FF44/FG44,0)+IFERROR(FC44/FD44,0)+IFERROR(#REF!/#REF!,0)+IFERROR(KP44/KQ44,0))*L44*(C44+D44+E44+I44)</f>
        <v>0</v>
      </c>
      <c r="Y44" s="484"/>
      <c r="Z44" s="484"/>
      <c r="AA44" s="484"/>
      <c r="AB44" s="484"/>
      <c r="AC44" s="150">
        <f t="shared" si="20"/>
        <v>0</v>
      </c>
      <c r="AD44" s="150"/>
      <c r="AE44" s="150">
        <f t="shared" si="10"/>
        <v>0</v>
      </c>
      <c r="AF44" s="161"/>
      <c r="AG44" s="143"/>
      <c r="AH44" s="154"/>
      <c r="AI44" s="144"/>
      <c r="AJ44" s="154"/>
      <c r="AK44" s="154"/>
      <c r="AL44" s="220"/>
      <c r="AM44" s="140"/>
      <c r="AN44" s="154"/>
      <c r="AO44" s="154"/>
      <c r="AP44" s="220"/>
      <c r="AQ44" s="145"/>
      <c r="AR44" s="154"/>
      <c r="AS44" s="154"/>
      <c r="AT44" s="220"/>
      <c r="AU44" s="140"/>
      <c r="AV44" s="277"/>
      <c r="AW44" s="277"/>
      <c r="AX44" s="277"/>
      <c r="AY44" s="140"/>
      <c r="AZ44" s="277"/>
      <c r="BA44" s="277"/>
      <c r="BB44" s="277"/>
      <c r="BC44" s="140"/>
      <c r="BD44" s="277"/>
      <c r="BE44" s="277"/>
      <c r="BF44" s="277"/>
      <c r="BG44" s="140"/>
      <c r="BH44" s="277"/>
      <c r="BI44" s="277"/>
      <c r="BJ44" s="277"/>
      <c r="BK44" s="140"/>
      <c r="BL44" s="277"/>
      <c r="BM44" s="277"/>
      <c r="BN44" s="277"/>
      <c r="BO44" s="140"/>
      <c r="BP44" s="277"/>
      <c r="BQ44" s="277"/>
      <c r="BR44" s="277"/>
      <c r="BS44" s="140"/>
      <c r="BT44" s="277"/>
      <c r="BU44" s="277"/>
      <c r="BV44" s="277"/>
      <c r="BW44" s="140"/>
      <c r="BX44" s="154"/>
      <c r="BY44" s="154"/>
      <c r="BZ44" s="220"/>
      <c r="CA44" s="140"/>
      <c r="CB44" s="154"/>
      <c r="CC44" s="154"/>
      <c r="CD44" s="220"/>
      <c r="CE44" s="140"/>
      <c r="CF44" s="271"/>
      <c r="CG44" s="271"/>
      <c r="CH44" s="271"/>
      <c r="CI44" s="140"/>
      <c r="CJ44" s="154"/>
      <c r="CK44" s="154"/>
      <c r="CL44" s="154"/>
      <c r="CM44" s="140"/>
      <c r="CN44" s="271"/>
      <c r="CO44" s="271"/>
      <c r="CP44" s="271"/>
      <c r="CQ44" s="140"/>
      <c r="CR44" s="154"/>
      <c r="CS44" s="154"/>
      <c r="CT44" s="154"/>
      <c r="CU44" s="140"/>
      <c r="CV44" s="154"/>
      <c r="CW44" s="154"/>
      <c r="CX44" s="220"/>
      <c r="CY44" s="140"/>
      <c r="CZ44" s="154"/>
      <c r="DA44" s="154"/>
      <c r="DB44" s="220"/>
      <c r="DC44" s="140"/>
      <c r="DD44" s="146"/>
      <c r="DE44" s="146"/>
      <c r="DF44" s="146"/>
      <c r="DG44" s="140"/>
      <c r="DH44" s="146"/>
      <c r="DI44" s="146"/>
      <c r="DJ44" s="146"/>
      <c r="DK44" s="146"/>
      <c r="DL44" s="146"/>
      <c r="DM44" s="146"/>
      <c r="DN44" s="146"/>
      <c r="DO44" s="146"/>
      <c r="DP44" s="146"/>
      <c r="DQ44" s="146"/>
      <c r="DR44" s="146"/>
      <c r="DS44" s="140"/>
      <c r="DT44" s="154"/>
      <c r="DU44" s="154"/>
      <c r="DV44" s="154"/>
      <c r="DW44" s="140"/>
      <c r="DX44" s="220"/>
      <c r="DY44" s="220"/>
      <c r="DZ44" s="220"/>
      <c r="EA44" s="140"/>
      <c r="EB44" s="220"/>
      <c r="EC44" s="220"/>
      <c r="ED44" s="220"/>
      <c r="EE44" s="140"/>
      <c r="EF44" s="154"/>
      <c r="EG44" s="154"/>
      <c r="EH44" s="154"/>
      <c r="EI44" s="140"/>
      <c r="EJ44" s="154"/>
      <c r="EK44" s="154"/>
      <c r="EL44" s="154"/>
      <c r="EM44" s="140"/>
      <c r="EN44" s="222"/>
      <c r="EO44" s="222"/>
      <c r="EP44" s="222"/>
      <c r="EQ44" s="140"/>
      <c r="ER44" s="222"/>
      <c r="ES44" s="222"/>
      <c r="ET44" s="222"/>
      <c r="EU44" s="140"/>
      <c r="EV44" s="222"/>
      <c r="EW44" s="222"/>
      <c r="EX44" s="222"/>
      <c r="EY44" s="344"/>
      <c r="EZ44" s="222"/>
      <c r="FA44" s="222"/>
      <c r="FB44" s="222"/>
      <c r="FC44" s="273"/>
      <c r="FD44" s="223"/>
      <c r="FE44" s="223"/>
      <c r="FF44" s="276"/>
      <c r="FG44" s="156"/>
      <c r="FH44" s="156"/>
      <c r="FI44" s="156"/>
      <c r="FJ44" s="140"/>
      <c r="FK44" s="277"/>
      <c r="FL44" s="277"/>
      <c r="FM44" s="277"/>
      <c r="FN44" s="140"/>
      <c r="FO44" s="277"/>
      <c r="FP44" s="277"/>
      <c r="FQ44" s="277"/>
      <c r="FR44" s="280"/>
      <c r="FS44" s="277"/>
      <c r="FT44" s="277"/>
      <c r="FU44" s="277"/>
      <c r="FV44" s="277"/>
      <c r="FW44" s="277"/>
      <c r="FX44" s="277"/>
      <c r="FY44" s="277"/>
      <c r="FZ44" s="277"/>
      <c r="GA44" s="277"/>
      <c r="GB44" s="277"/>
      <c r="GC44" s="277"/>
      <c r="GD44" s="277"/>
      <c r="GE44" s="277"/>
      <c r="GF44" s="277"/>
      <c r="GG44" s="277"/>
      <c r="GH44" s="277"/>
      <c r="GI44" s="277"/>
      <c r="GJ44" s="277"/>
      <c r="GK44" s="277"/>
      <c r="GL44" s="277"/>
      <c r="GM44" s="277"/>
      <c r="GN44" s="277"/>
      <c r="GO44" s="277"/>
      <c r="GP44" s="277"/>
      <c r="GQ44" s="277"/>
      <c r="GR44" s="277"/>
      <c r="GS44" s="277"/>
      <c r="GT44" s="277"/>
      <c r="GU44" s="277"/>
      <c r="GV44" s="277"/>
      <c r="GW44" s="277"/>
      <c r="GX44" s="277"/>
      <c r="GY44" s="277"/>
      <c r="GZ44" s="277"/>
      <c r="HA44" s="277"/>
      <c r="HB44" s="277"/>
      <c r="HC44" s="277"/>
      <c r="HD44" s="277"/>
      <c r="HE44" s="277"/>
      <c r="HF44" s="140"/>
      <c r="HG44" s="277"/>
      <c r="HH44" s="277"/>
      <c r="HI44" s="277"/>
      <c r="HJ44" s="140"/>
      <c r="HK44" s="277"/>
      <c r="HL44" s="277"/>
      <c r="HM44" s="277"/>
      <c r="HN44" s="140"/>
      <c r="HO44" s="277"/>
      <c r="HP44" s="277"/>
      <c r="HQ44" s="277"/>
      <c r="HR44" s="277"/>
      <c r="HS44" s="277"/>
      <c r="HT44" s="277"/>
      <c r="HU44" s="277"/>
      <c r="HV44" s="277"/>
      <c r="HW44" s="277"/>
      <c r="HX44" s="277"/>
      <c r="HY44" s="277"/>
      <c r="HZ44" s="140"/>
      <c r="IA44" s="277"/>
      <c r="IB44" s="277"/>
      <c r="IC44" s="277"/>
      <c r="ID44" s="140"/>
      <c r="IE44" s="277"/>
      <c r="IF44" s="277"/>
      <c r="IG44" s="277"/>
      <c r="IH44" s="140"/>
      <c r="II44" s="277"/>
      <c r="IJ44" s="277"/>
      <c r="IK44" s="277"/>
      <c r="IL44" s="140"/>
      <c r="IM44" s="277"/>
      <c r="IN44" s="277"/>
      <c r="IO44" s="277"/>
      <c r="IP44" s="277"/>
      <c r="IQ44" s="277"/>
      <c r="IR44" s="277"/>
      <c r="IS44" s="277"/>
      <c r="IT44" s="277"/>
      <c r="IU44" s="277"/>
      <c r="IV44" s="277"/>
      <c r="IW44" s="277"/>
      <c r="IX44" s="140"/>
      <c r="IY44" s="277"/>
      <c r="IZ44" s="277"/>
      <c r="JA44" s="277"/>
      <c r="JB44" s="140"/>
      <c r="JC44" s="277"/>
      <c r="JD44" s="277"/>
      <c r="JE44" s="277"/>
      <c r="JF44" s="140"/>
      <c r="JG44" s="277"/>
      <c r="JH44" s="277"/>
      <c r="JI44" s="140"/>
      <c r="JJ44" s="277"/>
      <c r="JK44" s="277"/>
      <c r="JL44" s="140"/>
      <c r="JM44" s="277"/>
      <c r="JN44" s="277"/>
      <c r="JO44" s="140"/>
      <c r="JP44" s="277"/>
      <c r="JQ44" s="277"/>
      <c r="JR44" s="277"/>
      <c r="JS44" s="277"/>
      <c r="JT44" s="277"/>
      <c r="JU44" s="277"/>
      <c r="JV44" s="277"/>
      <c r="JW44" s="277"/>
      <c r="JX44" s="277"/>
      <c r="JY44" s="277"/>
      <c r="JZ44" s="277"/>
      <c r="KA44" s="277"/>
      <c r="KB44" s="277"/>
      <c r="KC44" s="277"/>
      <c r="KD44" s="277"/>
      <c r="KE44" s="277"/>
      <c r="KF44" s="277"/>
      <c r="KG44" s="277"/>
      <c r="KH44" s="277"/>
      <c r="KI44" s="277"/>
      <c r="KJ44" s="277"/>
      <c r="KK44" s="277"/>
      <c r="KL44" s="277"/>
      <c r="KM44" s="277"/>
      <c r="KN44" s="277"/>
      <c r="KO44" s="277"/>
      <c r="KP44" s="274"/>
      <c r="KQ44" s="253"/>
      <c r="KR44" s="253"/>
      <c r="KY44" s="141">
        <f t="shared" si="11"/>
        <v>0</v>
      </c>
      <c r="KZ44" s="141">
        <f t="shared" si="12"/>
        <v>0</v>
      </c>
      <c r="LB44" s="141">
        <f t="shared" si="13"/>
        <v>0</v>
      </c>
      <c r="LC44" s="141">
        <f t="shared" si="14"/>
        <v>0</v>
      </c>
      <c r="LD44" s="141">
        <f t="shared" si="15"/>
        <v>0</v>
      </c>
      <c r="LE44" s="141" t="e">
        <f>((N(AU44)&gt;0)*(AX44&lt;&gt;"")+(N(AY44)&gt;0)*(BB44&lt;&gt;"")+(N(BC44)&gt;0)*(BF44&lt;&gt;"")+(N(BG44)&gt;0)*(BJ44&lt;&gt;"")+(N(BK44)&gt;0)*(BN44&lt;&gt;"")+(N(BO44)&gt;0)*(BR44&lt;&gt;"")+(N(BS44)&gt;0)*(BV44&lt;&gt;"")+(N(BW44)&gt;0)*(BZ44&lt;&gt;"")+(N(CA44)&gt;0)*(CD44&lt;&gt;"")+(N(CE44)&gt;0)*(CH44&lt;&gt;"")+(N(CI44)&gt;0)*(CL44&lt;&gt;"")+(N(CM44)&gt;0)*(CP44&lt;&gt;"")+(N(CQ44)&gt;0)*(CT44&lt;&gt;"")+(N(CU44)&gt;0)*(CX44&lt;&gt;"")+(N(CY44)&gt;0)*(DB44&lt;&gt;"")+(N(DC44)&gt;0)*(DF44&lt;&gt;"")+(N(DG44)&gt;0)*(DJ44&lt;&gt;"")+(N(DS44)&gt;0)*(DV44&lt;&gt;"")+(N(DW44)&gt;0)*(DZ44&lt;&gt;"")+(N(EA44)&gt;0)*(ED44&lt;&gt;"")+(N(EE44)&gt;0)*(EH44&lt;&gt;"")+(N(EI44)&gt;0)*(EL44&lt;&gt;"")+(N(EM44)&gt;0)*(EP44&lt;&gt;"")+(N(EQ44)&gt;0)*(ET44&lt;&gt;"")+(N(EU44)&gt;0)*(EX44&lt;&gt;"")+(N(#REF!)&gt;0)*(#REF!&lt;&gt;"")+(N(#REF!)&gt;0)*(#REF!&lt;&gt;"")+(N(FJ44)&gt;0)*(FM44&lt;&gt;"")+(N(FN44)&gt;0)*(FQ44&lt;&gt;"")+(N(#REF!)&gt;0)*(#REF!&lt;&gt;"")+(N(#REF!)&gt;0)*(#REF!&lt;&gt;"")+(N(HF44)&gt;0)*(HI44&lt;&gt;"")+(N(#REF!)&gt;0)*(#REF!&lt;&gt;"")+(N(HJ44)&gt;0)*(HM44&lt;&gt;"")+(N(HN44)&gt;0)*(HQ44&lt;&gt;"")+(N(HZ44)&gt;0)*(IC44&lt;&gt;"")+(N(ID44)&gt;0)*(IG44&lt;&gt;"")+(N(IH44)&gt;0)*(IK44&lt;&gt;"")+(N(IL44)&gt;0)*(IO44&lt;&gt;"")+(N(IX44)&gt;0)*(JA44&lt;&gt;"")+(N(JB44)&gt;0)*(JE44&lt;&gt;"")+(N(JF44)&gt;0)*(JH44&lt;&gt;"")+(N(JI44)&gt;0)*(JK44&lt;&gt;"")+(N(JL44)&gt;0)*(JN44&lt;&gt;"")+(N(JO44)&gt;0)*(JQ44&lt;&gt;""))</f>
        <v>#REF!</v>
      </c>
      <c r="LF44" s="141">
        <f t="shared" si="21"/>
        <v>0</v>
      </c>
      <c r="LG44" s="141">
        <f t="shared" si="16"/>
        <v>0</v>
      </c>
    </row>
    <row r="45" spans="1:319" ht="38.25" customHeight="1" x14ac:dyDescent="0.55000000000000004">
      <c r="B45" s="314" t="s">
        <v>401</v>
      </c>
      <c r="C45" s="218"/>
      <c r="D45" s="218"/>
      <c r="E45" s="218"/>
      <c r="F45" s="218"/>
      <c r="G45" s="218"/>
      <c r="H45" s="218"/>
      <c r="I45" s="162" cm="1">
        <f t="array" ref="I45">SUMPRODUCT(($AI$2:$KV$2&lt;&gt;"")*($AI45:$KV45&lt;&gt;""))</f>
        <v>0</v>
      </c>
      <c r="J45" s="142">
        <f t="shared" si="17"/>
        <v>0</v>
      </c>
      <c r="K45" s="142">
        <f t="shared" si="18"/>
        <v>0</v>
      </c>
      <c r="L45" s="268">
        <f t="shared" si="0"/>
        <v>7000</v>
      </c>
      <c r="M45" s="164">
        <f t="shared" si="8"/>
        <v>0</v>
      </c>
      <c r="N45" s="397"/>
      <c r="O45" s="165">
        <f t="shared" si="19"/>
        <v>0</v>
      </c>
      <c r="P45" s="165"/>
      <c r="Q45" s="165"/>
      <c r="R45" s="165">
        <f>(IFERROR(AM45/AN45,0)+IFERROR(AU45/AV45,0)+IFERROR(AY45/AZ45,0)+IFERROR(BC45/BD45,0)+IFERROR(BG45/BH45,0)+IFERROR(BK45/BL45,0)+IFERROR(BO45/BP45,0)+IFERROR(BS45/BT45,0)+IFERROR(BW45/BX45,0)+IFERROR(CA45/CB45,0)+IFERROR(CE45/CF45,0)+IFERROR(CI45/CJ45,0)+IFERROR(CM45/CN45,0)+IFERROR(CQ45/CR45,0)+IFERROR(CU45/CV45,0)+IFERROR(CY45/CZ45,0)+IFERROR(DC45/DD45,0)+IFERROR(DG45/DH45,0)+IFERROR(DS45/DT45,0)+IFERROR(DW45/DX45,0)+IFERROR(EA45/EB45,0)+IFERROR(EE45/EF45,0)+IFERROR(EI45/EJ45,0)+IFERROR(EM45/EN45,0)+IFERROR(EQ45/ER45,0)+IFERROR(EU45/EV45,0)+IFERROR(#REF!/#REF!,0)+IFERROR(#REF!/#REF!,0)+IFERROR(FJ45/FK45,0)+IFERROR(FN45/FO45,0)+IFERROR(#REF!/#REF!,0)+IFERROR(#REF!/#REF!,0)+IFERROR(HF45/HG45,0)+IFERROR(#REF!/#REF!,0)+IFERROR(HJ45/HK45,0)+IFERROR(HN45/HO45,0)+IFERROR(HZ45/IA45,0)+IFERROR(ID45/IE45,0)+IFERROR(IH45/II45,0)+IFERROR(IL45/IM45,0)+IFERROR(IX45/IY45,0)+IFERROR(JB45/JC45,0)+IFERROR(JF45/JG45,0)+IFERROR(JI45/JJ45,0)+IFERROR(JL45/JM45,0)+IFERROR(JO45/JP45,0))*L45*(C45+D45+E45+I45)</f>
        <v>0</v>
      </c>
      <c r="S45" s="165"/>
      <c r="T45" s="165">
        <f t="shared" si="9"/>
        <v>0</v>
      </c>
      <c r="U45" s="165"/>
      <c r="V45" s="165"/>
      <c r="W45" s="165"/>
      <c r="X45" s="165">
        <f>(IFERROR(FF45/FG45,0)+IFERROR(FC45/FD45,0)+IFERROR(#REF!/#REF!,0)+IFERROR(KP45/KQ45,0))*L45*(C45+D45+E45+I45)</f>
        <v>0</v>
      </c>
      <c r="Y45" s="484"/>
      <c r="Z45" s="484"/>
      <c r="AA45" s="484"/>
      <c r="AB45" s="484"/>
      <c r="AC45" s="150">
        <f t="shared" si="20"/>
        <v>0</v>
      </c>
      <c r="AD45" s="150"/>
      <c r="AE45" s="150">
        <f t="shared" si="10"/>
        <v>0</v>
      </c>
      <c r="AF45" s="161"/>
      <c r="AG45" s="143"/>
      <c r="AH45" s="154"/>
      <c r="AI45" s="144"/>
      <c r="AJ45" s="154"/>
      <c r="AK45" s="154"/>
      <c r="AL45" s="220"/>
      <c r="AM45" s="140"/>
      <c r="AN45" s="154"/>
      <c r="AO45" s="154"/>
      <c r="AP45" s="220"/>
      <c r="AQ45" s="145"/>
      <c r="AR45" s="154"/>
      <c r="AS45" s="154"/>
      <c r="AT45" s="220"/>
      <c r="AU45" s="140"/>
      <c r="AV45" s="277"/>
      <c r="AW45" s="277"/>
      <c r="AX45" s="277"/>
      <c r="AY45" s="140"/>
      <c r="AZ45" s="277"/>
      <c r="BA45" s="277"/>
      <c r="BB45" s="277"/>
      <c r="BC45" s="140"/>
      <c r="BD45" s="277"/>
      <c r="BE45" s="277"/>
      <c r="BF45" s="277"/>
      <c r="BG45" s="140"/>
      <c r="BH45" s="277"/>
      <c r="BI45" s="277"/>
      <c r="BJ45" s="277"/>
      <c r="BK45" s="140"/>
      <c r="BL45" s="277"/>
      <c r="BM45" s="277"/>
      <c r="BN45" s="277"/>
      <c r="BO45" s="140"/>
      <c r="BP45" s="277"/>
      <c r="BQ45" s="277"/>
      <c r="BR45" s="277"/>
      <c r="BS45" s="140"/>
      <c r="BT45" s="277"/>
      <c r="BU45" s="277"/>
      <c r="BV45" s="277"/>
      <c r="BW45" s="140"/>
      <c r="BX45" s="154"/>
      <c r="BY45" s="154"/>
      <c r="BZ45" s="220"/>
      <c r="CA45" s="140"/>
      <c r="CB45" s="154"/>
      <c r="CC45" s="154"/>
      <c r="CD45" s="220"/>
      <c r="CE45" s="140"/>
      <c r="CF45" s="271"/>
      <c r="CG45" s="271"/>
      <c r="CH45" s="271"/>
      <c r="CI45" s="140"/>
      <c r="CJ45" s="154"/>
      <c r="CK45" s="154"/>
      <c r="CL45" s="154"/>
      <c r="CM45" s="140"/>
      <c r="CN45" s="271"/>
      <c r="CO45" s="271"/>
      <c r="CP45" s="271"/>
      <c r="CQ45" s="140"/>
      <c r="CR45" s="154"/>
      <c r="CS45" s="154"/>
      <c r="CT45" s="154"/>
      <c r="CU45" s="140"/>
      <c r="CV45" s="154"/>
      <c r="CW45" s="154"/>
      <c r="CX45" s="220"/>
      <c r="CY45" s="140"/>
      <c r="CZ45" s="154"/>
      <c r="DA45" s="154"/>
      <c r="DB45" s="220"/>
      <c r="DC45" s="140"/>
      <c r="DD45" s="146"/>
      <c r="DE45" s="146"/>
      <c r="DF45" s="146"/>
      <c r="DG45" s="140"/>
      <c r="DH45" s="146"/>
      <c r="DI45" s="146"/>
      <c r="DJ45" s="146"/>
      <c r="DK45" s="146"/>
      <c r="DL45" s="146"/>
      <c r="DM45" s="146"/>
      <c r="DN45" s="146"/>
      <c r="DO45" s="146"/>
      <c r="DP45" s="146"/>
      <c r="DQ45" s="146"/>
      <c r="DR45" s="146"/>
      <c r="DS45" s="140"/>
      <c r="DT45" s="154"/>
      <c r="DU45" s="154"/>
      <c r="DV45" s="154"/>
      <c r="DW45" s="140"/>
      <c r="DX45" s="220"/>
      <c r="DY45" s="220"/>
      <c r="DZ45" s="220"/>
      <c r="EA45" s="140"/>
      <c r="EB45" s="220"/>
      <c r="EC45" s="220"/>
      <c r="ED45" s="220"/>
      <c r="EE45" s="140"/>
      <c r="EF45" s="154"/>
      <c r="EG45" s="154"/>
      <c r="EH45" s="154"/>
      <c r="EI45" s="140"/>
      <c r="EJ45" s="154"/>
      <c r="EK45" s="154"/>
      <c r="EL45" s="154"/>
      <c r="EM45" s="140"/>
      <c r="EN45" s="222"/>
      <c r="EO45" s="222"/>
      <c r="EP45" s="222"/>
      <c r="EQ45" s="140"/>
      <c r="ER45" s="222"/>
      <c r="ES45" s="222"/>
      <c r="ET45" s="222"/>
      <c r="EU45" s="140"/>
      <c r="EV45" s="222"/>
      <c r="EW45" s="222"/>
      <c r="EX45" s="222"/>
      <c r="EY45" s="344"/>
      <c r="EZ45" s="222"/>
      <c r="FA45" s="222"/>
      <c r="FB45" s="222"/>
      <c r="FC45" s="273"/>
      <c r="FD45" s="223"/>
      <c r="FE45" s="223"/>
      <c r="FF45" s="276"/>
      <c r="FG45" s="156"/>
      <c r="FH45" s="156"/>
      <c r="FI45" s="156"/>
      <c r="FJ45" s="140"/>
      <c r="FK45" s="277"/>
      <c r="FL45" s="277"/>
      <c r="FM45" s="277"/>
      <c r="FN45" s="140"/>
      <c r="FO45" s="277"/>
      <c r="FP45" s="277"/>
      <c r="FQ45" s="277"/>
      <c r="FR45" s="280"/>
      <c r="FS45" s="277"/>
      <c r="FT45" s="277"/>
      <c r="FU45" s="277"/>
      <c r="FV45" s="277"/>
      <c r="FW45" s="277"/>
      <c r="FX45" s="277"/>
      <c r="FY45" s="277"/>
      <c r="FZ45" s="277"/>
      <c r="GA45" s="277"/>
      <c r="GB45" s="277"/>
      <c r="GC45" s="277"/>
      <c r="GD45" s="277"/>
      <c r="GE45" s="277"/>
      <c r="GF45" s="277"/>
      <c r="GG45" s="277"/>
      <c r="GH45" s="277"/>
      <c r="GI45" s="277"/>
      <c r="GJ45" s="277"/>
      <c r="GK45" s="277"/>
      <c r="GL45" s="277"/>
      <c r="GM45" s="277"/>
      <c r="GN45" s="277"/>
      <c r="GO45" s="277"/>
      <c r="GP45" s="277"/>
      <c r="GQ45" s="277"/>
      <c r="GR45" s="277"/>
      <c r="GS45" s="277"/>
      <c r="GT45" s="277"/>
      <c r="GU45" s="277"/>
      <c r="GV45" s="277"/>
      <c r="GW45" s="277"/>
      <c r="GX45" s="277"/>
      <c r="GY45" s="277"/>
      <c r="GZ45" s="277"/>
      <c r="HA45" s="277"/>
      <c r="HB45" s="277"/>
      <c r="HC45" s="277"/>
      <c r="HD45" s="277"/>
      <c r="HE45" s="277"/>
      <c r="HF45" s="140"/>
      <c r="HG45" s="277"/>
      <c r="HH45" s="277"/>
      <c r="HI45" s="277"/>
      <c r="HJ45" s="140"/>
      <c r="HK45" s="277"/>
      <c r="HL45" s="277"/>
      <c r="HM45" s="277"/>
      <c r="HN45" s="140"/>
      <c r="HO45" s="277"/>
      <c r="HP45" s="277"/>
      <c r="HQ45" s="277"/>
      <c r="HR45" s="277"/>
      <c r="HS45" s="277"/>
      <c r="HT45" s="277"/>
      <c r="HU45" s="277"/>
      <c r="HV45" s="277"/>
      <c r="HW45" s="277"/>
      <c r="HX45" s="277"/>
      <c r="HY45" s="277"/>
      <c r="HZ45" s="140"/>
      <c r="IA45" s="277"/>
      <c r="IB45" s="277"/>
      <c r="IC45" s="277"/>
      <c r="ID45" s="140"/>
      <c r="IE45" s="277"/>
      <c r="IF45" s="277"/>
      <c r="IG45" s="277"/>
      <c r="IH45" s="140"/>
      <c r="II45" s="277"/>
      <c r="IJ45" s="277"/>
      <c r="IK45" s="277"/>
      <c r="IL45" s="140"/>
      <c r="IM45" s="277"/>
      <c r="IN45" s="277"/>
      <c r="IO45" s="277"/>
      <c r="IP45" s="277"/>
      <c r="IQ45" s="277"/>
      <c r="IR45" s="277"/>
      <c r="IS45" s="277"/>
      <c r="IT45" s="277"/>
      <c r="IU45" s="277"/>
      <c r="IV45" s="277"/>
      <c r="IW45" s="277"/>
      <c r="IX45" s="140"/>
      <c r="IY45" s="277"/>
      <c r="IZ45" s="277"/>
      <c r="JA45" s="277"/>
      <c r="JB45" s="140"/>
      <c r="JC45" s="277"/>
      <c r="JD45" s="277"/>
      <c r="JE45" s="277"/>
      <c r="JF45" s="140"/>
      <c r="JG45" s="277"/>
      <c r="JH45" s="277"/>
      <c r="JI45" s="140"/>
      <c r="JJ45" s="277"/>
      <c r="JK45" s="277"/>
      <c r="JL45" s="140"/>
      <c r="JM45" s="277"/>
      <c r="JN45" s="277"/>
      <c r="JO45" s="140"/>
      <c r="JP45" s="277"/>
      <c r="JQ45" s="277"/>
      <c r="JR45" s="277"/>
      <c r="JS45" s="277"/>
      <c r="JT45" s="277"/>
      <c r="JU45" s="277"/>
      <c r="JV45" s="277"/>
      <c r="JW45" s="277"/>
      <c r="JX45" s="277"/>
      <c r="JY45" s="277"/>
      <c r="JZ45" s="277"/>
      <c r="KA45" s="277"/>
      <c r="KB45" s="277"/>
      <c r="KC45" s="277"/>
      <c r="KD45" s="277"/>
      <c r="KE45" s="277"/>
      <c r="KF45" s="277"/>
      <c r="KG45" s="277"/>
      <c r="KH45" s="277"/>
      <c r="KI45" s="277"/>
      <c r="KJ45" s="277"/>
      <c r="KK45" s="277"/>
      <c r="KL45" s="277"/>
      <c r="KM45" s="277"/>
      <c r="KN45" s="277"/>
      <c r="KO45" s="277"/>
      <c r="KP45" s="274"/>
      <c r="KQ45" s="253"/>
      <c r="KR45" s="253"/>
      <c r="KY45" s="141">
        <f t="shared" si="11"/>
        <v>0</v>
      </c>
      <c r="KZ45" s="141">
        <f t="shared" si="12"/>
        <v>0</v>
      </c>
      <c r="LB45" s="141">
        <f t="shared" si="13"/>
        <v>0</v>
      </c>
      <c r="LC45" s="141">
        <f t="shared" si="14"/>
        <v>0</v>
      </c>
      <c r="LD45" s="141">
        <f t="shared" si="15"/>
        <v>0</v>
      </c>
      <c r="LE45" s="141" t="e">
        <f>((N(AU45)&gt;0)*(AX45&lt;&gt;"")+(N(AY45)&gt;0)*(BB45&lt;&gt;"")+(N(BC45)&gt;0)*(BF45&lt;&gt;"")+(N(BG45)&gt;0)*(BJ45&lt;&gt;"")+(N(BK45)&gt;0)*(BN45&lt;&gt;"")+(N(BO45)&gt;0)*(BR45&lt;&gt;"")+(N(BS45)&gt;0)*(BV45&lt;&gt;"")+(N(BW45)&gt;0)*(BZ45&lt;&gt;"")+(N(CA45)&gt;0)*(CD45&lt;&gt;"")+(N(CE45)&gt;0)*(CH45&lt;&gt;"")+(N(CI45)&gt;0)*(CL45&lt;&gt;"")+(N(CM45)&gt;0)*(CP45&lt;&gt;"")+(N(CQ45)&gt;0)*(CT45&lt;&gt;"")+(N(CU45)&gt;0)*(CX45&lt;&gt;"")+(N(CY45)&gt;0)*(DB45&lt;&gt;"")+(N(DC45)&gt;0)*(DF45&lt;&gt;"")+(N(DG45)&gt;0)*(DJ45&lt;&gt;"")+(N(DS45)&gt;0)*(DV45&lt;&gt;"")+(N(DW45)&gt;0)*(DZ45&lt;&gt;"")+(N(EA45)&gt;0)*(ED45&lt;&gt;"")+(N(EE45)&gt;0)*(EH45&lt;&gt;"")+(N(EI45)&gt;0)*(EL45&lt;&gt;"")+(N(EM45)&gt;0)*(EP45&lt;&gt;"")+(N(EQ45)&gt;0)*(ET45&lt;&gt;"")+(N(EU45)&gt;0)*(EX45&lt;&gt;"")+(N(#REF!)&gt;0)*(#REF!&lt;&gt;"")+(N(#REF!)&gt;0)*(#REF!&lt;&gt;"")+(N(FJ45)&gt;0)*(FM45&lt;&gt;"")+(N(FN45)&gt;0)*(FQ45&lt;&gt;"")+(N(#REF!)&gt;0)*(#REF!&lt;&gt;"")+(N(#REF!)&gt;0)*(#REF!&lt;&gt;"")+(N(HF45)&gt;0)*(HI45&lt;&gt;"")+(N(#REF!)&gt;0)*(#REF!&lt;&gt;"")+(N(HJ45)&gt;0)*(HM45&lt;&gt;"")+(N(HN45)&gt;0)*(HQ45&lt;&gt;"")+(N(HZ45)&gt;0)*(IC45&lt;&gt;"")+(N(ID45)&gt;0)*(IG45&lt;&gt;"")+(N(IH45)&gt;0)*(IK45&lt;&gt;"")+(N(IL45)&gt;0)*(IO45&lt;&gt;"")+(N(IX45)&gt;0)*(JA45&lt;&gt;"")+(N(JB45)&gt;0)*(JE45&lt;&gt;"")+(N(JF45)&gt;0)*(JH45&lt;&gt;"")+(N(JI45)&gt;0)*(JK45&lt;&gt;"")+(N(JL45)&gt;0)*(JN45&lt;&gt;"")+(N(JO45)&gt;0)*(JQ45&lt;&gt;""))</f>
        <v>#REF!</v>
      </c>
      <c r="LF45" s="141">
        <f t="shared" si="21"/>
        <v>0</v>
      </c>
      <c r="LG45" s="141">
        <f t="shared" si="16"/>
        <v>0</v>
      </c>
    </row>
    <row r="46" spans="1:319" ht="38.25" customHeight="1" x14ac:dyDescent="0.55000000000000004">
      <c r="B46" s="314" t="s">
        <v>402</v>
      </c>
      <c r="C46" s="218"/>
      <c r="D46" s="218"/>
      <c r="E46" s="218"/>
      <c r="F46" s="218"/>
      <c r="G46" s="218"/>
      <c r="H46" s="218"/>
      <c r="I46" s="162" cm="1">
        <f t="array" ref="I46">SUMPRODUCT(($AI$2:$KV$2&lt;&gt;"")*($AI46:$KV46&lt;&gt;""))</f>
        <v>0</v>
      </c>
      <c r="J46" s="142">
        <f t="shared" si="17"/>
        <v>0</v>
      </c>
      <c r="K46" s="142">
        <f t="shared" si="18"/>
        <v>0</v>
      </c>
      <c r="L46" s="268">
        <f t="shared" si="0"/>
        <v>7000</v>
      </c>
      <c r="M46" s="164">
        <f t="shared" si="8"/>
        <v>0</v>
      </c>
      <c r="N46" s="397"/>
      <c r="O46" s="165">
        <f t="shared" si="19"/>
        <v>0</v>
      </c>
      <c r="P46" s="165"/>
      <c r="Q46" s="165"/>
      <c r="R46" s="165">
        <f>(IFERROR(AM46/AN46,0)+IFERROR(AU46/AV46,0)+IFERROR(AY46/AZ46,0)+IFERROR(BC46/BD46,0)+IFERROR(BG46/BH46,0)+IFERROR(BK46/BL46,0)+IFERROR(BO46/BP46,0)+IFERROR(BS46/BT46,0)+IFERROR(BW46/BX46,0)+IFERROR(CA46/CB46,0)+IFERROR(CE46/CF46,0)+IFERROR(CI46/CJ46,0)+IFERROR(CM46/CN46,0)+IFERROR(CQ46/CR46,0)+IFERROR(CU46/CV46,0)+IFERROR(CY46/CZ46,0)+IFERROR(DC46/DD46,0)+IFERROR(DG46/DH46,0)+IFERROR(DS46/DT46,0)+IFERROR(DW46/DX46,0)+IFERROR(EA46/EB46,0)+IFERROR(EE46/EF46,0)+IFERROR(EI46/EJ46,0)+IFERROR(EM46/EN46,0)+IFERROR(EQ46/ER46,0)+IFERROR(EU46/EV46,0)+IFERROR(#REF!/#REF!,0)+IFERROR(#REF!/#REF!,0)+IFERROR(FJ46/FK46,0)+IFERROR(FN46/FO46,0)+IFERROR(#REF!/#REF!,0)+IFERROR(#REF!/#REF!,0)+IFERROR(HF46/HG46,0)+IFERROR(#REF!/#REF!,0)+IFERROR(HJ46/HK46,0)+IFERROR(HN46/HO46,0)+IFERROR(HZ46/IA46,0)+IFERROR(ID46/IE46,0)+IFERROR(IH46/II46,0)+IFERROR(IL46/IM46,0)+IFERROR(IX46/IY46,0)+IFERROR(JB46/JC46,0)+IFERROR(JF46/JG46,0)+IFERROR(JI46/JJ46,0)+IFERROR(JL46/JM46,0)+IFERROR(JO46/JP46,0))*L46*(C46+D46+E46+I46)</f>
        <v>0</v>
      </c>
      <c r="S46" s="165"/>
      <c r="T46" s="165">
        <f t="shared" si="9"/>
        <v>0</v>
      </c>
      <c r="U46" s="165"/>
      <c r="V46" s="165"/>
      <c r="W46" s="165"/>
      <c r="X46" s="165">
        <f>(IFERROR(FF46/FG46,0)+IFERROR(FC46/FD46,0)+IFERROR(#REF!/#REF!,0)+IFERROR(KP46/KQ46,0))*L46*(C46+D46+E46+I46)</f>
        <v>0</v>
      </c>
      <c r="Y46" s="484"/>
      <c r="Z46" s="484"/>
      <c r="AA46" s="484"/>
      <c r="AB46" s="484"/>
      <c r="AC46" s="150">
        <f t="shared" si="20"/>
        <v>0</v>
      </c>
      <c r="AD46" s="150"/>
      <c r="AE46" s="150">
        <f t="shared" si="10"/>
        <v>0</v>
      </c>
      <c r="AF46" s="161"/>
      <c r="AG46" s="143"/>
      <c r="AH46" s="154"/>
      <c r="AI46" s="144"/>
      <c r="AJ46" s="154"/>
      <c r="AK46" s="154"/>
      <c r="AL46" s="220"/>
      <c r="AM46" s="140"/>
      <c r="AN46" s="154"/>
      <c r="AO46" s="154"/>
      <c r="AP46" s="220"/>
      <c r="AQ46" s="145"/>
      <c r="AR46" s="154"/>
      <c r="AS46" s="154"/>
      <c r="AT46" s="220"/>
      <c r="AU46" s="140"/>
      <c r="AV46" s="277"/>
      <c r="AW46" s="277"/>
      <c r="AX46" s="277"/>
      <c r="AY46" s="140"/>
      <c r="AZ46" s="277"/>
      <c r="BA46" s="277"/>
      <c r="BB46" s="277"/>
      <c r="BC46" s="140"/>
      <c r="BD46" s="277"/>
      <c r="BE46" s="277"/>
      <c r="BF46" s="277"/>
      <c r="BG46" s="140"/>
      <c r="BH46" s="277"/>
      <c r="BI46" s="277"/>
      <c r="BJ46" s="277"/>
      <c r="BK46" s="140"/>
      <c r="BL46" s="277"/>
      <c r="BM46" s="277"/>
      <c r="BN46" s="277"/>
      <c r="BO46" s="140"/>
      <c r="BP46" s="277"/>
      <c r="BQ46" s="277"/>
      <c r="BR46" s="277"/>
      <c r="BS46" s="140"/>
      <c r="BT46" s="277"/>
      <c r="BU46" s="277"/>
      <c r="BV46" s="277"/>
      <c r="BW46" s="140"/>
      <c r="BX46" s="154"/>
      <c r="BY46" s="154"/>
      <c r="BZ46" s="220"/>
      <c r="CA46" s="140"/>
      <c r="CB46" s="154"/>
      <c r="CC46" s="154"/>
      <c r="CD46" s="220"/>
      <c r="CE46" s="140"/>
      <c r="CF46" s="271"/>
      <c r="CG46" s="271"/>
      <c r="CH46" s="271"/>
      <c r="CI46" s="140"/>
      <c r="CJ46" s="154"/>
      <c r="CK46" s="154"/>
      <c r="CL46" s="154"/>
      <c r="CM46" s="140"/>
      <c r="CN46" s="271"/>
      <c r="CO46" s="271"/>
      <c r="CP46" s="271"/>
      <c r="CQ46" s="140"/>
      <c r="CR46" s="154"/>
      <c r="CS46" s="154"/>
      <c r="CT46" s="154"/>
      <c r="CU46" s="140"/>
      <c r="CV46" s="154"/>
      <c r="CW46" s="154"/>
      <c r="CX46" s="220"/>
      <c r="CY46" s="140"/>
      <c r="CZ46" s="154"/>
      <c r="DA46" s="154"/>
      <c r="DB46" s="220"/>
      <c r="DC46" s="140"/>
      <c r="DD46" s="146"/>
      <c r="DE46" s="146"/>
      <c r="DF46" s="146"/>
      <c r="DG46" s="140"/>
      <c r="DH46" s="146"/>
      <c r="DI46" s="146"/>
      <c r="DJ46" s="146"/>
      <c r="DK46" s="146"/>
      <c r="DL46" s="146"/>
      <c r="DM46" s="146"/>
      <c r="DN46" s="146"/>
      <c r="DO46" s="146"/>
      <c r="DP46" s="146"/>
      <c r="DQ46" s="146"/>
      <c r="DR46" s="146"/>
      <c r="DS46" s="140"/>
      <c r="DT46" s="154"/>
      <c r="DU46" s="154"/>
      <c r="DV46" s="154"/>
      <c r="DW46" s="140"/>
      <c r="DX46" s="220"/>
      <c r="DY46" s="220"/>
      <c r="DZ46" s="220"/>
      <c r="EA46" s="140"/>
      <c r="EB46" s="220"/>
      <c r="EC46" s="220"/>
      <c r="ED46" s="220"/>
      <c r="EE46" s="140"/>
      <c r="EF46" s="154"/>
      <c r="EG46" s="154"/>
      <c r="EH46" s="154"/>
      <c r="EI46" s="140"/>
      <c r="EJ46" s="154"/>
      <c r="EK46" s="154"/>
      <c r="EL46" s="154"/>
      <c r="EM46" s="140"/>
      <c r="EN46" s="222"/>
      <c r="EO46" s="222"/>
      <c r="EP46" s="222"/>
      <c r="EQ46" s="140"/>
      <c r="ER46" s="222"/>
      <c r="ES46" s="222"/>
      <c r="ET46" s="222"/>
      <c r="EU46" s="140"/>
      <c r="EV46" s="222"/>
      <c r="EW46" s="222"/>
      <c r="EX46" s="222"/>
      <c r="EY46" s="344"/>
      <c r="EZ46" s="222"/>
      <c r="FA46" s="222"/>
      <c r="FB46" s="222"/>
      <c r="FC46" s="273"/>
      <c r="FD46" s="223"/>
      <c r="FE46" s="223"/>
      <c r="FF46" s="276"/>
      <c r="FG46" s="156"/>
      <c r="FH46" s="156"/>
      <c r="FI46" s="156"/>
      <c r="FJ46" s="140"/>
      <c r="FK46" s="277"/>
      <c r="FL46" s="277"/>
      <c r="FM46" s="277"/>
      <c r="FN46" s="140"/>
      <c r="FO46" s="277"/>
      <c r="FP46" s="277"/>
      <c r="FQ46" s="277"/>
      <c r="FR46" s="280"/>
      <c r="FS46" s="277"/>
      <c r="FT46" s="277"/>
      <c r="FU46" s="277"/>
      <c r="FV46" s="277"/>
      <c r="FW46" s="277"/>
      <c r="FX46" s="277"/>
      <c r="FY46" s="277"/>
      <c r="FZ46" s="277"/>
      <c r="GA46" s="277"/>
      <c r="GB46" s="277"/>
      <c r="GC46" s="277"/>
      <c r="GD46" s="277"/>
      <c r="GE46" s="277"/>
      <c r="GF46" s="277"/>
      <c r="GG46" s="277"/>
      <c r="GH46" s="277"/>
      <c r="GI46" s="277"/>
      <c r="GJ46" s="277"/>
      <c r="GK46" s="277"/>
      <c r="GL46" s="277"/>
      <c r="GM46" s="277"/>
      <c r="GN46" s="277"/>
      <c r="GO46" s="277"/>
      <c r="GP46" s="277"/>
      <c r="GQ46" s="277"/>
      <c r="GR46" s="277"/>
      <c r="GS46" s="277"/>
      <c r="GT46" s="277"/>
      <c r="GU46" s="277"/>
      <c r="GV46" s="277"/>
      <c r="GW46" s="277"/>
      <c r="GX46" s="277"/>
      <c r="GY46" s="277"/>
      <c r="GZ46" s="277"/>
      <c r="HA46" s="277"/>
      <c r="HB46" s="277"/>
      <c r="HC46" s="277"/>
      <c r="HD46" s="277"/>
      <c r="HE46" s="277"/>
      <c r="HF46" s="140"/>
      <c r="HG46" s="277"/>
      <c r="HH46" s="277"/>
      <c r="HI46" s="277"/>
      <c r="HJ46" s="140"/>
      <c r="HK46" s="277"/>
      <c r="HL46" s="277"/>
      <c r="HM46" s="277"/>
      <c r="HN46" s="140"/>
      <c r="HO46" s="277"/>
      <c r="HP46" s="277"/>
      <c r="HQ46" s="277"/>
      <c r="HR46" s="277"/>
      <c r="HS46" s="277"/>
      <c r="HT46" s="277"/>
      <c r="HU46" s="277"/>
      <c r="HV46" s="277"/>
      <c r="HW46" s="277"/>
      <c r="HX46" s="277"/>
      <c r="HY46" s="277"/>
      <c r="HZ46" s="140"/>
      <c r="IA46" s="277"/>
      <c r="IB46" s="277"/>
      <c r="IC46" s="277"/>
      <c r="ID46" s="140"/>
      <c r="IE46" s="277"/>
      <c r="IF46" s="277"/>
      <c r="IG46" s="277"/>
      <c r="IH46" s="140"/>
      <c r="II46" s="277"/>
      <c r="IJ46" s="277"/>
      <c r="IK46" s="277"/>
      <c r="IL46" s="140"/>
      <c r="IM46" s="277"/>
      <c r="IN46" s="277"/>
      <c r="IO46" s="277"/>
      <c r="IP46" s="277"/>
      <c r="IQ46" s="277"/>
      <c r="IR46" s="277"/>
      <c r="IS46" s="277"/>
      <c r="IT46" s="277"/>
      <c r="IU46" s="277"/>
      <c r="IV46" s="277"/>
      <c r="IW46" s="277"/>
      <c r="IX46" s="140"/>
      <c r="IY46" s="277"/>
      <c r="IZ46" s="277"/>
      <c r="JA46" s="277"/>
      <c r="JB46" s="140"/>
      <c r="JC46" s="277"/>
      <c r="JD46" s="277"/>
      <c r="JE46" s="277"/>
      <c r="JF46" s="140"/>
      <c r="JG46" s="277"/>
      <c r="JH46" s="277"/>
      <c r="JI46" s="140"/>
      <c r="JJ46" s="277"/>
      <c r="JK46" s="277"/>
      <c r="JL46" s="140"/>
      <c r="JM46" s="277"/>
      <c r="JN46" s="277"/>
      <c r="JO46" s="140"/>
      <c r="JP46" s="277"/>
      <c r="JQ46" s="277"/>
      <c r="JR46" s="277"/>
      <c r="JS46" s="277"/>
      <c r="JT46" s="277"/>
      <c r="JU46" s="277"/>
      <c r="JV46" s="277"/>
      <c r="JW46" s="277"/>
      <c r="JX46" s="277"/>
      <c r="JY46" s="277"/>
      <c r="JZ46" s="277"/>
      <c r="KA46" s="277"/>
      <c r="KB46" s="277"/>
      <c r="KC46" s="277"/>
      <c r="KD46" s="277"/>
      <c r="KE46" s="277"/>
      <c r="KF46" s="277"/>
      <c r="KG46" s="277"/>
      <c r="KH46" s="277"/>
      <c r="KI46" s="277"/>
      <c r="KJ46" s="277"/>
      <c r="KK46" s="277"/>
      <c r="KL46" s="277"/>
      <c r="KM46" s="277"/>
      <c r="KN46" s="277"/>
      <c r="KO46" s="277"/>
      <c r="KP46" s="274"/>
      <c r="KQ46" s="253"/>
      <c r="KR46" s="253"/>
      <c r="KY46" s="141">
        <f t="shared" si="11"/>
        <v>0</v>
      </c>
      <c r="KZ46" s="141">
        <f t="shared" si="12"/>
        <v>0</v>
      </c>
      <c r="LB46" s="141">
        <f t="shared" si="13"/>
        <v>0</v>
      </c>
      <c r="LC46" s="141">
        <f t="shared" si="14"/>
        <v>0</v>
      </c>
      <c r="LD46" s="141">
        <f t="shared" si="15"/>
        <v>0</v>
      </c>
      <c r="LE46" s="141" t="e">
        <f>((N(AU46)&gt;0)*(AX46&lt;&gt;"")+(N(AY46)&gt;0)*(BB46&lt;&gt;"")+(N(BC46)&gt;0)*(BF46&lt;&gt;"")+(N(BG46)&gt;0)*(BJ46&lt;&gt;"")+(N(BK46)&gt;0)*(BN46&lt;&gt;"")+(N(BO46)&gt;0)*(BR46&lt;&gt;"")+(N(BS46)&gt;0)*(BV46&lt;&gt;"")+(N(BW46)&gt;0)*(BZ46&lt;&gt;"")+(N(CA46)&gt;0)*(CD46&lt;&gt;"")+(N(CE46)&gt;0)*(CH46&lt;&gt;"")+(N(CI46)&gt;0)*(CL46&lt;&gt;"")+(N(CM46)&gt;0)*(CP46&lt;&gt;"")+(N(CQ46)&gt;0)*(CT46&lt;&gt;"")+(N(CU46)&gt;0)*(CX46&lt;&gt;"")+(N(CY46)&gt;0)*(DB46&lt;&gt;"")+(N(DC46)&gt;0)*(DF46&lt;&gt;"")+(N(DG46)&gt;0)*(DJ46&lt;&gt;"")+(N(DS46)&gt;0)*(DV46&lt;&gt;"")+(N(DW46)&gt;0)*(DZ46&lt;&gt;"")+(N(EA46)&gt;0)*(ED46&lt;&gt;"")+(N(EE46)&gt;0)*(EH46&lt;&gt;"")+(N(EI46)&gt;0)*(EL46&lt;&gt;"")+(N(EM46)&gt;0)*(EP46&lt;&gt;"")+(N(EQ46)&gt;0)*(ET46&lt;&gt;"")+(N(EU46)&gt;0)*(EX46&lt;&gt;"")+(N(#REF!)&gt;0)*(#REF!&lt;&gt;"")+(N(#REF!)&gt;0)*(#REF!&lt;&gt;"")+(N(FJ46)&gt;0)*(FM46&lt;&gt;"")+(N(FN46)&gt;0)*(FQ46&lt;&gt;"")+(N(#REF!)&gt;0)*(#REF!&lt;&gt;"")+(N(#REF!)&gt;0)*(#REF!&lt;&gt;"")+(N(HF46)&gt;0)*(HI46&lt;&gt;"")+(N(#REF!)&gt;0)*(#REF!&lt;&gt;"")+(N(HJ46)&gt;0)*(HM46&lt;&gt;"")+(N(HN46)&gt;0)*(HQ46&lt;&gt;"")+(N(HZ46)&gt;0)*(IC46&lt;&gt;"")+(N(ID46)&gt;0)*(IG46&lt;&gt;"")+(N(IH46)&gt;0)*(IK46&lt;&gt;"")+(N(IL46)&gt;0)*(IO46&lt;&gt;"")+(N(IX46)&gt;0)*(JA46&lt;&gt;"")+(N(JB46)&gt;0)*(JE46&lt;&gt;"")+(N(JF46)&gt;0)*(JH46&lt;&gt;"")+(N(JI46)&gt;0)*(JK46&lt;&gt;"")+(N(JL46)&gt;0)*(JN46&lt;&gt;"")+(N(JO46)&gt;0)*(JQ46&lt;&gt;""))</f>
        <v>#REF!</v>
      </c>
      <c r="LF46" s="141">
        <f t="shared" si="21"/>
        <v>0</v>
      </c>
      <c r="LG46" s="141">
        <f t="shared" si="16"/>
        <v>0</v>
      </c>
    </row>
    <row r="47" spans="1:319" ht="38.25" customHeight="1" x14ac:dyDescent="0.55000000000000004">
      <c r="B47" s="314" t="s">
        <v>399</v>
      </c>
      <c r="C47" s="218"/>
      <c r="D47" s="218"/>
      <c r="E47" s="218"/>
      <c r="F47" s="218"/>
      <c r="G47" s="218"/>
      <c r="H47" s="218"/>
      <c r="I47" s="162" cm="1">
        <f t="array" ref="I47">SUMPRODUCT(($AI$2:$KV$2&lt;&gt;"")*($AI47:$KV47&lt;&gt;""))</f>
        <v>1</v>
      </c>
      <c r="J47" s="142">
        <f t="shared" si="17"/>
        <v>0</v>
      </c>
      <c r="K47" s="142">
        <f t="shared" si="18"/>
        <v>0</v>
      </c>
      <c r="L47" s="268">
        <f t="shared" si="0"/>
        <v>7000</v>
      </c>
      <c r="M47" s="164">
        <f t="shared" si="8"/>
        <v>0</v>
      </c>
      <c r="N47" s="397"/>
      <c r="O47" s="165">
        <f t="shared" si="19"/>
        <v>0</v>
      </c>
      <c r="P47" s="165"/>
      <c r="Q47" s="165"/>
      <c r="R47" s="165">
        <f>(IFERROR(AM47/AN47,0)+IFERROR(AU47/AV47,0)+IFERROR(AY47/AZ47,0)+IFERROR(BC47/BD47,0)+IFERROR(BG47/BH47,0)+IFERROR(BK47/BL47,0)+IFERROR(BO47/BP47,0)+IFERROR(BS47/BT47,0)+IFERROR(BW47/BX47,0)+IFERROR(CA47/CB47,0)+IFERROR(CE47/CF47,0)+IFERROR(CI47/CJ47,0)+IFERROR(CM47/CN47,0)+IFERROR(CQ47/CR47,0)+IFERROR(CU47/CV47,0)+IFERROR(CY47/CZ47,0)+IFERROR(DC47/DD47,0)+IFERROR(DG47/DH47,0)+IFERROR(DS47/DT47,0)+IFERROR(DW47/DX47,0)+IFERROR(EA47/EB47,0)+IFERROR(EE47/EF47,0)+IFERROR(EI47/EJ47,0)+IFERROR(EM47/EN47,0)+IFERROR(EQ47/ER47,0)+IFERROR(EU47/EV47,0)+IFERROR(#REF!/#REF!,0)+IFERROR(#REF!/#REF!,0)+IFERROR(FJ47/FK47,0)+IFERROR(FN47/FO47,0)+IFERROR(#REF!/#REF!,0)+IFERROR(#REF!/#REF!,0)+IFERROR(HF47/HG47,0)+IFERROR(#REF!/#REF!,0)+IFERROR(HJ47/HK47,0)+IFERROR(HN47/HO47,0)+IFERROR(HZ47/IA47,0)+IFERROR(ID47/IE47,0)+IFERROR(IH47/II47,0)+IFERROR(IL47/IM47,0)+IFERROR(IX47/IY47,0)+IFERROR(JB47/JC47,0)+IFERROR(JF47/JG47,0)+IFERROR(JI47/JJ47,0)+IFERROR(JL47/JM47,0)+IFERROR(JO47/JP47,0))*L47*(C47+D47+E47+I47)</f>
        <v>0</v>
      </c>
      <c r="S47" s="165"/>
      <c r="T47" s="165">
        <f t="shared" si="9"/>
        <v>0</v>
      </c>
      <c r="U47" s="165"/>
      <c r="V47" s="165"/>
      <c r="W47" s="165"/>
      <c r="X47" s="165">
        <f>(IFERROR(FF47/FG47,0)+IFERROR(FC47/FD47,0)+IFERROR(#REF!/#REF!,0)+IFERROR(KP47/KQ47,0))*L47*(C47+D47+E47+I47)</f>
        <v>0</v>
      </c>
      <c r="Y47" s="484"/>
      <c r="Z47" s="484"/>
      <c r="AA47" s="484"/>
      <c r="AB47" s="484"/>
      <c r="AC47" s="150">
        <f t="shared" si="20"/>
        <v>0</v>
      </c>
      <c r="AD47" s="150"/>
      <c r="AE47" s="150">
        <f t="shared" si="10"/>
        <v>0</v>
      </c>
      <c r="AF47" s="161">
        <v>42</v>
      </c>
      <c r="AG47" s="143">
        <v>4.7</v>
      </c>
      <c r="AH47" s="154"/>
      <c r="AI47" s="144">
        <v>5.0999999999999996</v>
      </c>
      <c r="AJ47" s="338"/>
      <c r="AK47" s="338"/>
      <c r="AL47" s="343" t="s">
        <v>545</v>
      </c>
      <c r="AM47" s="140"/>
      <c r="AN47" s="154"/>
      <c r="AO47" s="154"/>
      <c r="AP47" s="220"/>
      <c r="AQ47" s="145"/>
      <c r="AR47" s="154"/>
      <c r="AS47" s="154"/>
      <c r="AT47" s="220"/>
      <c r="AU47" s="140"/>
      <c r="AV47" s="277"/>
      <c r="AW47" s="277"/>
      <c r="AX47" s="277"/>
      <c r="AY47" s="140"/>
      <c r="AZ47" s="277"/>
      <c r="BA47" s="277"/>
      <c r="BB47" s="277"/>
      <c r="BC47" s="140"/>
      <c r="BD47" s="277"/>
      <c r="BE47" s="277"/>
      <c r="BF47" s="277"/>
      <c r="BG47" s="140"/>
      <c r="BH47" s="277"/>
      <c r="BI47" s="277"/>
      <c r="BJ47" s="277"/>
      <c r="BK47" s="140"/>
      <c r="BL47" s="277"/>
      <c r="BM47" s="277"/>
      <c r="BN47" s="277"/>
      <c r="BO47" s="140"/>
      <c r="BP47" s="277"/>
      <c r="BQ47" s="277"/>
      <c r="BR47" s="277"/>
      <c r="BS47" s="140"/>
      <c r="BT47" s="277"/>
      <c r="BU47" s="277"/>
      <c r="BV47" s="277"/>
      <c r="BW47" s="140"/>
      <c r="BX47" s="154"/>
      <c r="BY47" s="154"/>
      <c r="BZ47" s="220"/>
      <c r="CA47" s="140"/>
      <c r="CB47" s="154"/>
      <c r="CC47" s="154"/>
      <c r="CD47" s="220"/>
      <c r="CE47" s="140"/>
      <c r="CF47" s="271"/>
      <c r="CG47" s="271"/>
      <c r="CH47" s="271"/>
      <c r="CI47" s="140"/>
      <c r="CJ47" s="154"/>
      <c r="CK47" s="154"/>
      <c r="CL47" s="154"/>
      <c r="CM47" s="140"/>
      <c r="CN47" s="271"/>
      <c r="CO47" s="271"/>
      <c r="CP47" s="271"/>
      <c r="CQ47" s="140"/>
      <c r="CR47" s="154"/>
      <c r="CS47" s="154"/>
      <c r="CT47" s="154"/>
      <c r="CU47" s="140"/>
      <c r="CV47" s="154"/>
      <c r="CW47" s="154"/>
      <c r="CX47" s="220"/>
      <c r="CY47" s="140"/>
      <c r="CZ47" s="154"/>
      <c r="DA47" s="154"/>
      <c r="DB47" s="220"/>
      <c r="DC47" s="140"/>
      <c r="DD47" s="146"/>
      <c r="DE47" s="146"/>
      <c r="DF47" s="146"/>
      <c r="DG47" s="140"/>
      <c r="DH47" s="146"/>
      <c r="DI47" s="146"/>
      <c r="DJ47" s="146"/>
      <c r="DK47" s="146"/>
      <c r="DL47" s="146"/>
      <c r="DM47" s="146"/>
      <c r="DN47" s="146"/>
      <c r="DO47" s="146"/>
      <c r="DP47" s="146"/>
      <c r="DQ47" s="146"/>
      <c r="DR47" s="146"/>
      <c r="DS47" s="140"/>
      <c r="DT47" s="154"/>
      <c r="DU47" s="154"/>
      <c r="DV47" s="154"/>
      <c r="DW47" s="140"/>
      <c r="DX47" s="220"/>
      <c r="DY47" s="220"/>
      <c r="DZ47" s="220"/>
      <c r="EA47" s="140"/>
      <c r="EB47" s="220"/>
      <c r="EC47" s="220"/>
      <c r="ED47" s="220"/>
      <c r="EE47" s="140"/>
      <c r="EF47" s="154"/>
      <c r="EG47" s="154"/>
      <c r="EH47" s="154"/>
      <c r="EI47" s="140"/>
      <c r="EJ47" s="154"/>
      <c r="EK47" s="154"/>
      <c r="EL47" s="154"/>
      <c r="EM47" s="140"/>
      <c r="EN47" s="222"/>
      <c r="EO47" s="222"/>
      <c r="EP47" s="222"/>
      <c r="EQ47" s="140"/>
      <c r="ER47" s="222"/>
      <c r="ES47" s="222"/>
      <c r="ET47" s="222"/>
      <c r="EU47" s="140"/>
      <c r="EV47" s="222"/>
      <c r="EW47" s="222"/>
      <c r="EX47" s="222"/>
      <c r="EY47" s="344"/>
      <c r="EZ47" s="222"/>
      <c r="FA47" s="222"/>
      <c r="FB47" s="222"/>
      <c r="FC47" s="273"/>
      <c r="FD47" s="223"/>
      <c r="FE47" s="223"/>
      <c r="FF47" s="276"/>
      <c r="FG47" s="156"/>
      <c r="FH47" s="156"/>
      <c r="FI47" s="156"/>
      <c r="FJ47" s="140"/>
      <c r="FK47" s="277"/>
      <c r="FL47" s="277"/>
      <c r="FM47" s="277"/>
      <c r="FN47" s="140"/>
      <c r="FO47" s="277"/>
      <c r="FP47" s="277"/>
      <c r="FQ47" s="277"/>
      <c r="FR47" s="280"/>
      <c r="FS47" s="277"/>
      <c r="FT47" s="277"/>
      <c r="FU47" s="277"/>
      <c r="FV47" s="277"/>
      <c r="FW47" s="277"/>
      <c r="FX47" s="277"/>
      <c r="FY47" s="277"/>
      <c r="FZ47" s="277"/>
      <c r="GA47" s="277"/>
      <c r="GB47" s="277"/>
      <c r="GC47" s="277"/>
      <c r="GD47" s="277"/>
      <c r="GE47" s="277"/>
      <c r="GF47" s="277"/>
      <c r="GG47" s="277"/>
      <c r="GH47" s="277"/>
      <c r="GI47" s="277"/>
      <c r="GJ47" s="277"/>
      <c r="GK47" s="277"/>
      <c r="GL47" s="277"/>
      <c r="GM47" s="277"/>
      <c r="GN47" s="277"/>
      <c r="GO47" s="277"/>
      <c r="GP47" s="277"/>
      <c r="GQ47" s="277"/>
      <c r="GR47" s="277"/>
      <c r="GS47" s="277"/>
      <c r="GT47" s="277"/>
      <c r="GU47" s="277"/>
      <c r="GV47" s="277"/>
      <c r="GW47" s="277"/>
      <c r="GX47" s="277"/>
      <c r="GY47" s="277"/>
      <c r="GZ47" s="277"/>
      <c r="HA47" s="277"/>
      <c r="HB47" s="277"/>
      <c r="HC47" s="277"/>
      <c r="HD47" s="277"/>
      <c r="HE47" s="277"/>
      <c r="HF47" s="140"/>
      <c r="HG47" s="277"/>
      <c r="HH47" s="277"/>
      <c r="HI47" s="277"/>
      <c r="HJ47" s="140"/>
      <c r="HK47" s="277"/>
      <c r="HL47" s="277"/>
      <c r="HM47" s="277"/>
      <c r="HN47" s="140"/>
      <c r="HO47" s="277"/>
      <c r="HP47" s="277"/>
      <c r="HQ47" s="277"/>
      <c r="HR47" s="277"/>
      <c r="HS47" s="277"/>
      <c r="HT47" s="277"/>
      <c r="HU47" s="277"/>
      <c r="HV47" s="277"/>
      <c r="HW47" s="277"/>
      <c r="HX47" s="277"/>
      <c r="HY47" s="277"/>
      <c r="HZ47" s="140"/>
      <c r="IA47" s="277"/>
      <c r="IB47" s="277"/>
      <c r="IC47" s="277"/>
      <c r="ID47" s="140"/>
      <c r="IE47" s="277"/>
      <c r="IF47" s="277"/>
      <c r="IG47" s="277"/>
      <c r="IH47" s="140"/>
      <c r="II47" s="277"/>
      <c r="IJ47" s="277"/>
      <c r="IK47" s="277"/>
      <c r="IL47" s="140"/>
      <c r="IM47" s="277"/>
      <c r="IN47" s="277"/>
      <c r="IO47" s="277"/>
      <c r="IP47" s="277"/>
      <c r="IQ47" s="277"/>
      <c r="IR47" s="277"/>
      <c r="IS47" s="277"/>
      <c r="IT47" s="277"/>
      <c r="IU47" s="277"/>
      <c r="IV47" s="277"/>
      <c r="IW47" s="277"/>
      <c r="IX47" s="140"/>
      <c r="IY47" s="277"/>
      <c r="IZ47" s="277"/>
      <c r="JA47" s="277"/>
      <c r="JB47" s="140"/>
      <c r="JC47" s="277"/>
      <c r="JD47" s="277"/>
      <c r="JE47" s="277"/>
      <c r="JF47" s="140"/>
      <c r="JG47" s="277"/>
      <c r="JH47" s="277"/>
      <c r="JI47" s="140"/>
      <c r="JJ47" s="277"/>
      <c r="JK47" s="277"/>
      <c r="JL47" s="140"/>
      <c r="JM47" s="277"/>
      <c r="JN47" s="277"/>
      <c r="JO47" s="140"/>
      <c r="JP47" s="277"/>
      <c r="JQ47" s="277"/>
      <c r="JR47" s="277"/>
      <c r="JS47" s="277"/>
      <c r="JT47" s="277"/>
      <c r="JU47" s="277"/>
      <c r="JV47" s="277"/>
      <c r="JW47" s="277"/>
      <c r="JX47" s="277"/>
      <c r="JY47" s="277"/>
      <c r="JZ47" s="277"/>
      <c r="KA47" s="277"/>
      <c r="KB47" s="277"/>
      <c r="KC47" s="277"/>
      <c r="KD47" s="277"/>
      <c r="KE47" s="277"/>
      <c r="KF47" s="277"/>
      <c r="KG47" s="277"/>
      <c r="KH47" s="277"/>
      <c r="KI47" s="277"/>
      <c r="KJ47" s="277"/>
      <c r="KK47" s="277"/>
      <c r="KL47" s="277"/>
      <c r="KM47" s="277"/>
      <c r="KN47" s="277"/>
      <c r="KO47" s="277"/>
      <c r="KP47" s="274"/>
      <c r="KQ47" s="253"/>
      <c r="KR47" s="253"/>
      <c r="KY47" s="141">
        <f t="shared" si="11"/>
        <v>0</v>
      </c>
      <c r="KZ47" s="141">
        <f t="shared" si="12"/>
        <v>0</v>
      </c>
      <c r="LB47" s="141">
        <f t="shared" si="13"/>
        <v>1</v>
      </c>
      <c r="LC47" s="141">
        <f t="shared" si="14"/>
        <v>0</v>
      </c>
      <c r="LD47" s="141">
        <f t="shared" si="15"/>
        <v>0</v>
      </c>
      <c r="LE47" s="141" t="e">
        <f>((N(AU47)&gt;0)*(AX47&lt;&gt;"")+(N(AY47)&gt;0)*(BB47&lt;&gt;"")+(N(BC47)&gt;0)*(BF47&lt;&gt;"")+(N(BG47)&gt;0)*(BJ47&lt;&gt;"")+(N(BK47)&gt;0)*(BN47&lt;&gt;"")+(N(BO47)&gt;0)*(BR47&lt;&gt;"")+(N(BS47)&gt;0)*(BV47&lt;&gt;"")+(N(BW47)&gt;0)*(BZ47&lt;&gt;"")+(N(CA47)&gt;0)*(CD47&lt;&gt;"")+(N(CE47)&gt;0)*(CH47&lt;&gt;"")+(N(CI47)&gt;0)*(CL47&lt;&gt;"")+(N(CM47)&gt;0)*(CP47&lt;&gt;"")+(N(CQ47)&gt;0)*(CT47&lt;&gt;"")+(N(CU47)&gt;0)*(CX47&lt;&gt;"")+(N(CY47)&gt;0)*(DB47&lt;&gt;"")+(N(DC47)&gt;0)*(DF47&lt;&gt;"")+(N(DG47)&gt;0)*(DJ47&lt;&gt;"")+(N(DS47)&gt;0)*(DV47&lt;&gt;"")+(N(DW47)&gt;0)*(DZ47&lt;&gt;"")+(N(EA47)&gt;0)*(ED47&lt;&gt;"")+(N(EE47)&gt;0)*(EH47&lt;&gt;"")+(N(EI47)&gt;0)*(EL47&lt;&gt;"")+(N(EM47)&gt;0)*(EP47&lt;&gt;"")+(N(EQ47)&gt;0)*(ET47&lt;&gt;"")+(N(EU47)&gt;0)*(EX47&lt;&gt;"")+(N(#REF!)&gt;0)*(#REF!&lt;&gt;"")+(N(#REF!)&gt;0)*(#REF!&lt;&gt;"")+(N(FJ47)&gt;0)*(FM47&lt;&gt;"")+(N(FN47)&gt;0)*(FQ47&lt;&gt;"")+(N(#REF!)&gt;0)*(#REF!&lt;&gt;"")+(N(#REF!)&gt;0)*(#REF!&lt;&gt;"")+(N(HF47)&gt;0)*(HI47&lt;&gt;"")+(N(#REF!)&gt;0)*(#REF!&lt;&gt;"")+(N(HJ47)&gt;0)*(HM47&lt;&gt;"")+(N(HN47)&gt;0)*(HQ47&lt;&gt;"")+(N(HZ47)&gt;0)*(IC47&lt;&gt;"")+(N(ID47)&gt;0)*(IG47&lt;&gt;"")+(N(IH47)&gt;0)*(IK47&lt;&gt;"")+(N(IL47)&gt;0)*(IO47&lt;&gt;"")+(N(IX47)&gt;0)*(JA47&lt;&gt;"")+(N(JB47)&gt;0)*(JE47&lt;&gt;"")+(N(JF47)&gt;0)*(JH47&lt;&gt;"")+(N(JI47)&gt;0)*(JK47&lt;&gt;"")+(N(JL47)&gt;0)*(JN47&lt;&gt;"")+(N(JO47)&gt;0)*(JQ47&lt;&gt;""))</f>
        <v>#REF!</v>
      </c>
      <c r="LF47" s="141">
        <f t="shared" si="21"/>
        <v>0</v>
      </c>
      <c r="LG47" s="141">
        <f t="shared" si="16"/>
        <v>0</v>
      </c>
    </row>
    <row r="48" spans="1:319" ht="38.25" customHeight="1" x14ac:dyDescent="0.55000000000000004">
      <c r="B48" s="314" t="s">
        <v>400</v>
      </c>
      <c r="C48" s="218"/>
      <c r="D48" s="218"/>
      <c r="E48" s="218"/>
      <c r="F48" s="218"/>
      <c r="G48" s="218"/>
      <c r="H48" s="218"/>
      <c r="I48" s="162" cm="1">
        <f t="array" ref="I48">SUMPRODUCT(($AI$2:$KV$2&lt;&gt;"")*($AI48:$KV48&lt;&gt;""))</f>
        <v>0</v>
      </c>
      <c r="J48" s="142">
        <f t="shared" si="17"/>
        <v>0</v>
      </c>
      <c r="K48" s="142">
        <f t="shared" si="18"/>
        <v>0</v>
      </c>
      <c r="L48" s="268">
        <f t="shared" si="0"/>
        <v>7000</v>
      </c>
      <c r="M48" s="164">
        <f t="shared" si="8"/>
        <v>0</v>
      </c>
      <c r="N48" s="397"/>
      <c r="O48" s="165">
        <f t="shared" si="19"/>
        <v>0</v>
      </c>
      <c r="P48" s="165"/>
      <c r="Q48" s="165"/>
      <c r="R48" s="165">
        <f>(IFERROR(AM48/AN48,0)+IFERROR(AU48/AV48,0)+IFERROR(AY48/AZ48,0)+IFERROR(BC48/BD48,0)+IFERROR(BG48/BH48,0)+IFERROR(BK48/BL48,0)+IFERROR(BO48/BP48,0)+IFERROR(BS48/BT48,0)+IFERROR(BW48/BX48,0)+IFERROR(CA48/CB48,0)+IFERROR(CE48/CF48,0)+IFERROR(CI48/CJ48,0)+IFERROR(CM48/CN48,0)+IFERROR(CQ48/CR48,0)+IFERROR(CU48/CV48,0)+IFERROR(CY48/CZ48,0)+IFERROR(DC48/DD48,0)+IFERROR(DG48/DH48,0)+IFERROR(DS48/DT48,0)+IFERROR(DW48/DX48,0)+IFERROR(EA48/EB48,0)+IFERROR(EE48/EF48,0)+IFERROR(EI48/EJ48,0)+IFERROR(EM48/EN48,0)+IFERROR(EQ48/ER48,0)+IFERROR(EU48/EV48,0)+IFERROR(#REF!/#REF!,0)+IFERROR(#REF!/#REF!,0)+IFERROR(FJ48/FK48,0)+IFERROR(FN48/FO48,0)+IFERROR(#REF!/#REF!,0)+IFERROR(#REF!/#REF!,0)+IFERROR(HF48/HG48,0)+IFERROR(#REF!/#REF!,0)+IFERROR(HJ48/HK48,0)+IFERROR(HN48/HO48,0)+IFERROR(HZ48/IA48,0)+IFERROR(ID48/IE48,0)+IFERROR(IH48/II48,0)+IFERROR(IL48/IM48,0)+IFERROR(IX48/IY48,0)+IFERROR(JB48/JC48,0)+IFERROR(JF48/JG48,0)+IFERROR(JI48/JJ48,0)+IFERROR(JL48/JM48,0)+IFERROR(JO48/JP48,0))*L48*(C48+D48+E48+I48)</f>
        <v>0</v>
      </c>
      <c r="S48" s="165"/>
      <c r="T48" s="165">
        <f t="shared" si="9"/>
        <v>0</v>
      </c>
      <c r="U48" s="165"/>
      <c r="V48" s="165"/>
      <c r="W48" s="165"/>
      <c r="X48" s="165">
        <f>(IFERROR(FF48/FG48,0)+IFERROR(FC48/FD48,0)+IFERROR(#REF!/#REF!,0)+IFERROR(KP48/KQ48,0))*L48*(C48+D48+E48+I48)</f>
        <v>0</v>
      </c>
      <c r="Y48" s="484"/>
      <c r="Z48" s="484"/>
      <c r="AA48" s="484"/>
      <c r="AB48" s="484"/>
      <c r="AC48" s="150">
        <f t="shared" si="20"/>
        <v>0</v>
      </c>
      <c r="AD48" s="150"/>
      <c r="AE48" s="150">
        <f t="shared" si="10"/>
        <v>0</v>
      </c>
      <c r="AF48" s="161"/>
      <c r="AG48" s="143"/>
      <c r="AH48" s="154"/>
      <c r="AI48" s="144"/>
      <c r="AJ48" s="154"/>
      <c r="AK48" s="154"/>
      <c r="AL48" s="220"/>
      <c r="AM48" s="140"/>
      <c r="AN48" s="154"/>
      <c r="AO48" s="154"/>
      <c r="AP48" s="220"/>
      <c r="AQ48" s="145"/>
      <c r="AR48" s="154"/>
      <c r="AS48" s="154"/>
      <c r="AT48" s="220"/>
      <c r="AU48" s="140"/>
      <c r="AV48" s="277"/>
      <c r="AW48" s="277"/>
      <c r="AX48" s="277"/>
      <c r="AY48" s="140"/>
      <c r="AZ48" s="277"/>
      <c r="BA48" s="277"/>
      <c r="BB48" s="277"/>
      <c r="BC48" s="140"/>
      <c r="BD48" s="277"/>
      <c r="BE48" s="277"/>
      <c r="BF48" s="277"/>
      <c r="BG48" s="140"/>
      <c r="BH48" s="277"/>
      <c r="BI48" s="277"/>
      <c r="BJ48" s="277"/>
      <c r="BK48" s="140"/>
      <c r="BL48" s="277"/>
      <c r="BM48" s="277"/>
      <c r="BN48" s="277"/>
      <c r="BO48" s="140"/>
      <c r="BP48" s="277"/>
      <c r="BQ48" s="277"/>
      <c r="BR48" s="277"/>
      <c r="BS48" s="140"/>
      <c r="BT48" s="277"/>
      <c r="BU48" s="277"/>
      <c r="BV48" s="277"/>
      <c r="BW48" s="140"/>
      <c r="BX48" s="154"/>
      <c r="BY48" s="154"/>
      <c r="BZ48" s="220"/>
      <c r="CA48" s="140"/>
      <c r="CB48" s="154"/>
      <c r="CC48" s="154"/>
      <c r="CD48" s="220"/>
      <c r="CE48" s="140"/>
      <c r="CF48" s="271"/>
      <c r="CG48" s="271"/>
      <c r="CH48" s="271"/>
      <c r="CI48" s="140"/>
      <c r="CJ48" s="154"/>
      <c r="CK48" s="154"/>
      <c r="CL48" s="154"/>
      <c r="CM48" s="140"/>
      <c r="CN48" s="271"/>
      <c r="CO48" s="271"/>
      <c r="CP48" s="271"/>
      <c r="CQ48" s="140"/>
      <c r="CR48" s="154"/>
      <c r="CS48" s="154"/>
      <c r="CT48" s="154"/>
      <c r="CU48" s="140"/>
      <c r="CV48" s="154"/>
      <c r="CW48" s="154"/>
      <c r="CX48" s="220"/>
      <c r="CY48" s="140"/>
      <c r="CZ48" s="154"/>
      <c r="DA48" s="154"/>
      <c r="DB48" s="220"/>
      <c r="DC48" s="140"/>
      <c r="DD48" s="146"/>
      <c r="DE48" s="146"/>
      <c r="DF48" s="146"/>
      <c r="DG48" s="140"/>
      <c r="DH48" s="146"/>
      <c r="DI48" s="146"/>
      <c r="DJ48" s="146"/>
      <c r="DK48" s="146"/>
      <c r="DL48" s="146"/>
      <c r="DM48" s="146"/>
      <c r="DN48" s="146"/>
      <c r="DO48" s="146"/>
      <c r="DP48" s="146"/>
      <c r="DQ48" s="146"/>
      <c r="DR48" s="146"/>
      <c r="DS48" s="140"/>
      <c r="DT48" s="154"/>
      <c r="DU48" s="154"/>
      <c r="DV48" s="154"/>
      <c r="DW48" s="140"/>
      <c r="DX48" s="220"/>
      <c r="DY48" s="220"/>
      <c r="DZ48" s="220"/>
      <c r="EA48" s="140"/>
      <c r="EB48" s="220"/>
      <c r="EC48" s="220"/>
      <c r="ED48" s="220"/>
      <c r="EE48" s="140"/>
      <c r="EF48" s="154"/>
      <c r="EG48" s="154"/>
      <c r="EH48" s="154"/>
      <c r="EI48" s="140"/>
      <c r="EJ48" s="154"/>
      <c r="EK48" s="154"/>
      <c r="EL48" s="154"/>
      <c r="EM48" s="140"/>
      <c r="EN48" s="222"/>
      <c r="EO48" s="222"/>
      <c r="EP48" s="222"/>
      <c r="EQ48" s="140"/>
      <c r="ER48" s="222"/>
      <c r="ES48" s="222"/>
      <c r="ET48" s="222"/>
      <c r="EU48" s="140"/>
      <c r="EV48" s="222"/>
      <c r="EW48" s="222"/>
      <c r="EX48" s="222"/>
      <c r="EY48" s="344"/>
      <c r="EZ48" s="222"/>
      <c r="FA48" s="222"/>
      <c r="FB48" s="222"/>
      <c r="FC48" s="273"/>
      <c r="FD48" s="223"/>
      <c r="FE48" s="223"/>
      <c r="FF48" s="276"/>
      <c r="FG48" s="156"/>
      <c r="FH48" s="156"/>
      <c r="FI48" s="156"/>
      <c r="FJ48" s="140"/>
      <c r="FK48" s="277"/>
      <c r="FL48" s="277"/>
      <c r="FM48" s="277"/>
      <c r="FN48" s="140"/>
      <c r="FO48" s="277"/>
      <c r="FP48" s="277"/>
      <c r="FQ48" s="277"/>
      <c r="FR48" s="280"/>
      <c r="FS48" s="277"/>
      <c r="FT48" s="277"/>
      <c r="FU48" s="277"/>
      <c r="FV48" s="277"/>
      <c r="FW48" s="277"/>
      <c r="FX48" s="277"/>
      <c r="FY48" s="277"/>
      <c r="FZ48" s="277"/>
      <c r="GA48" s="277"/>
      <c r="GB48" s="277"/>
      <c r="GC48" s="277"/>
      <c r="GD48" s="277"/>
      <c r="GE48" s="277"/>
      <c r="GF48" s="277"/>
      <c r="GG48" s="277"/>
      <c r="GH48" s="277"/>
      <c r="GI48" s="277"/>
      <c r="GJ48" s="277"/>
      <c r="GK48" s="277"/>
      <c r="GL48" s="277"/>
      <c r="GM48" s="277"/>
      <c r="GN48" s="277"/>
      <c r="GO48" s="277"/>
      <c r="GP48" s="277"/>
      <c r="GQ48" s="277"/>
      <c r="GR48" s="277"/>
      <c r="GS48" s="277"/>
      <c r="GT48" s="277"/>
      <c r="GU48" s="277"/>
      <c r="GV48" s="277"/>
      <c r="GW48" s="277"/>
      <c r="GX48" s="277"/>
      <c r="GY48" s="277"/>
      <c r="GZ48" s="277"/>
      <c r="HA48" s="277"/>
      <c r="HB48" s="277"/>
      <c r="HC48" s="277"/>
      <c r="HD48" s="277"/>
      <c r="HE48" s="277"/>
      <c r="HF48" s="140"/>
      <c r="HG48" s="277"/>
      <c r="HH48" s="277"/>
      <c r="HI48" s="277"/>
      <c r="HJ48" s="140"/>
      <c r="HK48" s="277"/>
      <c r="HL48" s="277"/>
      <c r="HM48" s="277"/>
      <c r="HN48" s="140"/>
      <c r="HO48" s="277"/>
      <c r="HP48" s="277"/>
      <c r="HQ48" s="277"/>
      <c r="HR48" s="277"/>
      <c r="HS48" s="277"/>
      <c r="HT48" s="277"/>
      <c r="HU48" s="277"/>
      <c r="HV48" s="277"/>
      <c r="HW48" s="277"/>
      <c r="HX48" s="277"/>
      <c r="HY48" s="277"/>
      <c r="HZ48" s="140"/>
      <c r="IA48" s="277"/>
      <c r="IB48" s="277"/>
      <c r="IC48" s="277"/>
      <c r="ID48" s="140"/>
      <c r="IE48" s="277"/>
      <c r="IF48" s="277"/>
      <c r="IG48" s="277"/>
      <c r="IH48" s="140"/>
      <c r="II48" s="277"/>
      <c r="IJ48" s="277"/>
      <c r="IK48" s="277"/>
      <c r="IL48" s="140"/>
      <c r="IM48" s="277"/>
      <c r="IN48" s="277"/>
      <c r="IO48" s="277"/>
      <c r="IP48" s="277"/>
      <c r="IQ48" s="277"/>
      <c r="IR48" s="277"/>
      <c r="IS48" s="277"/>
      <c r="IT48" s="277"/>
      <c r="IU48" s="277"/>
      <c r="IV48" s="277"/>
      <c r="IW48" s="277"/>
      <c r="IX48" s="140"/>
      <c r="IY48" s="277"/>
      <c r="IZ48" s="277"/>
      <c r="JA48" s="277"/>
      <c r="JB48" s="140"/>
      <c r="JC48" s="277"/>
      <c r="JD48" s="277"/>
      <c r="JE48" s="277"/>
      <c r="JF48" s="140"/>
      <c r="JG48" s="277"/>
      <c r="JH48" s="277"/>
      <c r="JI48" s="140"/>
      <c r="JJ48" s="277"/>
      <c r="JK48" s="277"/>
      <c r="JL48" s="140"/>
      <c r="JM48" s="277"/>
      <c r="JN48" s="277"/>
      <c r="JO48" s="140"/>
      <c r="JP48" s="277"/>
      <c r="JQ48" s="277"/>
      <c r="JR48" s="277"/>
      <c r="JS48" s="277"/>
      <c r="JT48" s="277"/>
      <c r="JU48" s="277"/>
      <c r="JV48" s="277"/>
      <c r="JW48" s="277"/>
      <c r="JX48" s="277"/>
      <c r="JY48" s="277"/>
      <c r="JZ48" s="277"/>
      <c r="KA48" s="277"/>
      <c r="KB48" s="277"/>
      <c r="KC48" s="277"/>
      <c r="KD48" s="277"/>
      <c r="KE48" s="277"/>
      <c r="KF48" s="277"/>
      <c r="KG48" s="277"/>
      <c r="KH48" s="277"/>
      <c r="KI48" s="277"/>
      <c r="KJ48" s="277"/>
      <c r="KK48" s="277"/>
      <c r="KL48" s="277"/>
      <c r="KM48" s="277"/>
      <c r="KN48" s="277"/>
      <c r="KO48" s="277"/>
      <c r="KP48" s="274"/>
      <c r="KQ48" s="253"/>
      <c r="KR48" s="253"/>
      <c r="KY48" s="141">
        <f t="shared" si="11"/>
        <v>0</v>
      </c>
      <c r="KZ48" s="141">
        <f t="shared" si="12"/>
        <v>0</v>
      </c>
      <c r="LB48" s="141">
        <f t="shared" si="13"/>
        <v>0</v>
      </c>
      <c r="LC48" s="141">
        <f t="shared" si="14"/>
        <v>0</v>
      </c>
      <c r="LD48" s="141">
        <f t="shared" si="15"/>
        <v>0</v>
      </c>
      <c r="LE48" s="141" t="e">
        <f>((N(AU48)&gt;0)*(AX48&lt;&gt;"")+(N(AY48)&gt;0)*(BB48&lt;&gt;"")+(N(BC48)&gt;0)*(BF48&lt;&gt;"")+(N(BG48)&gt;0)*(BJ48&lt;&gt;"")+(N(BK48)&gt;0)*(BN48&lt;&gt;"")+(N(BO48)&gt;0)*(BR48&lt;&gt;"")+(N(BS48)&gt;0)*(BV48&lt;&gt;"")+(N(BW48)&gt;0)*(BZ48&lt;&gt;"")+(N(CA48)&gt;0)*(CD48&lt;&gt;"")+(N(CE48)&gt;0)*(CH48&lt;&gt;"")+(N(CI48)&gt;0)*(CL48&lt;&gt;"")+(N(CM48)&gt;0)*(CP48&lt;&gt;"")+(N(CQ48)&gt;0)*(CT48&lt;&gt;"")+(N(CU48)&gt;0)*(CX48&lt;&gt;"")+(N(CY48)&gt;0)*(DB48&lt;&gt;"")+(N(DC48)&gt;0)*(DF48&lt;&gt;"")+(N(DG48)&gt;0)*(DJ48&lt;&gt;"")+(N(DS48)&gt;0)*(DV48&lt;&gt;"")+(N(DW48)&gt;0)*(DZ48&lt;&gt;"")+(N(EA48)&gt;0)*(ED48&lt;&gt;"")+(N(EE48)&gt;0)*(EH48&lt;&gt;"")+(N(EI48)&gt;0)*(EL48&lt;&gt;"")+(N(EM48)&gt;0)*(EP48&lt;&gt;"")+(N(EQ48)&gt;0)*(ET48&lt;&gt;"")+(N(EU48)&gt;0)*(EX48&lt;&gt;"")+(N(#REF!)&gt;0)*(#REF!&lt;&gt;"")+(N(#REF!)&gt;0)*(#REF!&lt;&gt;"")+(N(FJ48)&gt;0)*(FM48&lt;&gt;"")+(N(FN48)&gt;0)*(FQ48&lt;&gt;"")+(N(#REF!)&gt;0)*(#REF!&lt;&gt;"")+(N(#REF!)&gt;0)*(#REF!&lt;&gt;"")+(N(HF48)&gt;0)*(HI48&lt;&gt;"")+(N(#REF!)&gt;0)*(#REF!&lt;&gt;"")+(N(HJ48)&gt;0)*(HM48&lt;&gt;"")+(N(HN48)&gt;0)*(HQ48&lt;&gt;"")+(N(HZ48)&gt;0)*(IC48&lt;&gt;"")+(N(ID48)&gt;0)*(IG48&lt;&gt;"")+(N(IH48)&gt;0)*(IK48&lt;&gt;"")+(N(IL48)&gt;0)*(IO48&lt;&gt;"")+(N(IX48)&gt;0)*(JA48&lt;&gt;"")+(N(JB48)&gt;0)*(JE48&lt;&gt;"")+(N(JF48)&gt;0)*(JH48&lt;&gt;"")+(N(JI48)&gt;0)*(JK48&lt;&gt;"")+(N(JL48)&gt;0)*(JN48&lt;&gt;"")+(N(JO48)&gt;0)*(JQ48&lt;&gt;""))</f>
        <v>#REF!</v>
      </c>
      <c r="LF48" s="141">
        <f t="shared" si="21"/>
        <v>0</v>
      </c>
      <c r="LG48" s="141">
        <f t="shared" si="16"/>
        <v>0</v>
      </c>
    </row>
    <row r="49" spans="2:319" ht="38.25" customHeight="1" x14ac:dyDescent="0.55000000000000004">
      <c r="B49" s="314" t="s">
        <v>403</v>
      </c>
      <c r="C49" s="218"/>
      <c r="D49" s="218"/>
      <c r="E49" s="218"/>
      <c r="F49" s="218"/>
      <c r="G49" s="218"/>
      <c r="H49" s="218"/>
      <c r="I49" s="162" cm="1">
        <f t="array" ref="I49">SUMPRODUCT(($AI$2:$KV$2&lt;&gt;"")*($AI49:$KV49&lt;&gt;""))</f>
        <v>0</v>
      </c>
      <c r="J49" s="142">
        <f t="shared" si="17"/>
        <v>0</v>
      </c>
      <c r="K49" s="142">
        <f t="shared" si="18"/>
        <v>0</v>
      </c>
      <c r="L49" s="268">
        <f t="shared" si="0"/>
        <v>7000</v>
      </c>
      <c r="M49" s="164">
        <f t="shared" si="8"/>
        <v>0</v>
      </c>
      <c r="N49" s="397"/>
      <c r="O49" s="165">
        <f t="shared" si="19"/>
        <v>0</v>
      </c>
      <c r="P49" s="165"/>
      <c r="Q49" s="165"/>
      <c r="R49" s="165">
        <f>(IFERROR(AM49/AN49,0)+IFERROR(AU49/AV49,0)+IFERROR(AY49/AZ49,0)+IFERROR(BC49/BD49,0)+IFERROR(BG49/BH49,0)+IFERROR(BK49/BL49,0)+IFERROR(BO49/BP49,0)+IFERROR(BS49/BT49,0)+IFERROR(BW49/BX49,0)+IFERROR(CA49/CB49,0)+IFERROR(CE49/CF49,0)+IFERROR(CI49/CJ49,0)+IFERROR(CM49/CN49,0)+IFERROR(CQ49/CR49,0)+IFERROR(CU49/CV49,0)+IFERROR(CY49/CZ49,0)+IFERROR(DC49/DD49,0)+IFERROR(DG49/DH49,0)+IFERROR(DS49/DT49,0)+IFERROR(DW49/DX49,0)+IFERROR(EA49/EB49,0)+IFERROR(EE49/EF49,0)+IFERROR(EI49/EJ49,0)+IFERROR(EM49/EN49,0)+IFERROR(EQ49/ER49,0)+IFERROR(EU49/EV49,0)+IFERROR(#REF!/#REF!,0)+IFERROR(#REF!/#REF!,0)+IFERROR(FJ49/FK49,0)+IFERROR(FN49/FO49,0)+IFERROR(#REF!/#REF!,0)+IFERROR(#REF!/#REF!,0)+IFERROR(HF49/HG49,0)+IFERROR(#REF!/#REF!,0)+IFERROR(HJ49/HK49,0)+IFERROR(HN49/HO49,0)+IFERROR(HZ49/IA49,0)+IFERROR(ID49/IE49,0)+IFERROR(IH49/II49,0)+IFERROR(IL49/IM49,0)+IFERROR(IX49/IY49,0)+IFERROR(JB49/JC49,0)+IFERROR(JF49/JG49,0)+IFERROR(JI49/JJ49,0)+IFERROR(JL49/JM49,0)+IFERROR(JO49/JP49,0))*L49*(C49+D49+E49+I49)</f>
        <v>0</v>
      </c>
      <c r="S49" s="165"/>
      <c r="T49" s="165">
        <f t="shared" si="9"/>
        <v>0</v>
      </c>
      <c r="U49" s="165"/>
      <c r="V49" s="165"/>
      <c r="W49" s="165"/>
      <c r="X49" s="165">
        <f>(IFERROR(FF49/FG49,0)+IFERROR(FC49/FD49,0)+IFERROR(#REF!/#REF!,0)+IFERROR(KP49/KQ49,0))*L49*(C49+D49+E49+I49)</f>
        <v>0</v>
      </c>
      <c r="Y49" s="484"/>
      <c r="Z49" s="484"/>
      <c r="AA49" s="484"/>
      <c r="AB49" s="484"/>
      <c r="AC49" s="150">
        <f t="shared" si="20"/>
        <v>0</v>
      </c>
      <c r="AD49" s="150"/>
      <c r="AE49" s="150">
        <f t="shared" si="10"/>
        <v>0</v>
      </c>
      <c r="AF49" s="161"/>
      <c r="AG49" s="143"/>
      <c r="AH49" s="154"/>
      <c r="AI49" s="144"/>
      <c r="AJ49" s="154"/>
      <c r="AK49" s="154"/>
      <c r="AL49" s="220"/>
      <c r="AM49" s="140"/>
      <c r="AN49" s="154"/>
      <c r="AO49" s="154"/>
      <c r="AP49" s="220"/>
      <c r="AQ49" s="145"/>
      <c r="AR49" s="154"/>
      <c r="AS49" s="154"/>
      <c r="AT49" s="220"/>
      <c r="AU49" s="140"/>
      <c r="AV49" s="277"/>
      <c r="AW49" s="277"/>
      <c r="AX49" s="277"/>
      <c r="AY49" s="140"/>
      <c r="AZ49" s="277"/>
      <c r="BA49" s="277"/>
      <c r="BB49" s="277"/>
      <c r="BC49" s="140"/>
      <c r="BD49" s="277"/>
      <c r="BE49" s="277"/>
      <c r="BF49" s="277"/>
      <c r="BG49" s="140"/>
      <c r="BH49" s="277"/>
      <c r="BI49" s="277"/>
      <c r="BJ49" s="277"/>
      <c r="BK49" s="140"/>
      <c r="BL49" s="277"/>
      <c r="BM49" s="277"/>
      <c r="BN49" s="277"/>
      <c r="BO49" s="140"/>
      <c r="BP49" s="277"/>
      <c r="BQ49" s="277"/>
      <c r="BR49" s="277"/>
      <c r="BS49" s="140"/>
      <c r="BT49" s="277"/>
      <c r="BU49" s="277"/>
      <c r="BV49" s="277"/>
      <c r="BW49" s="140"/>
      <c r="BX49" s="154"/>
      <c r="BY49" s="154"/>
      <c r="BZ49" s="220"/>
      <c r="CA49" s="140"/>
      <c r="CB49" s="154"/>
      <c r="CC49" s="154"/>
      <c r="CD49" s="220"/>
      <c r="CE49" s="140"/>
      <c r="CF49" s="271"/>
      <c r="CG49" s="271"/>
      <c r="CH49" s="271"/>
      <c r="CI49" s="140"/>
      <c r="CJ49" s="154"/>
      <c r="CK49" s="154"/>
      <c r="CL49" s="154"/>
      <c r="CM49" s="140"/>
      <c r="CN49" s="271"/>
      <c r="CO49" s="271"/>
      <c r="CP49" s="271"/>
      <c r="CQ49" s="140"/>
      <c r="CR49" s="154"/>
      <c r="CS49" s="154"/>
      <c r="CT49" s="154"/>
      <c r="CU49" s="140"/>
      <c r="CV49" s="154"/>
      <c r="CW49" s="154"/>
      <c r="CX49" s="220"/>
      <c r="CY49" s="140"/>
      <c r="CZ49" s="154"/>
      <c r="DA49" s="154"/>
      <c r="DB49" s="220"/>
      <c r="DC49" s="140"/>
      <c r="DD49" s="146"/>
      <c r="DE49" s="146"/>
      <c r="DF49" s="146"/>
      <c r="DG49" s="140"/>
      <c r="DH49" s="146"/>
      <c r="DI49" s="146"/>
      <c r="DJ49" s="146"/>
      <c r="DK49" s="146"/>
      <c r="DL49" s="146"/>
      <c r="DM49" s="146"/>
      <c r="DN49" s="146"/>
      <c r="DO49" s="146"/>
      <c r="DP49" s="146"/>
      <c r="DQ49" s="146"/>
      <c r="DR49" s="146"/>
      <c r="DS49" s="140"/>
      <c r="DT49" s="154"/>
      <c r="DU49" s="154"/>
      <c r="DV49" s="154"/>
      <c r="DW49" s="140"/>
      <c r="DX49" s="220"/>
      <c r="DY49" s="220"/>
      <c r="DZ49" s="220"/>
      <c r="EA49" s="140"/>
      <c r="EB49" s="220"/>
      <c r="EC49" s="220"/>
      <c r="ED49" s="220"/>
      <c r="EE49" s="140"/>
      <c r="EF49" s="154"/>
      <c r="EG49" s="154"/>
      <c r="EH49" s="154"/>
      <c r="EI49" s="140"/>
      <c r="EJ49" s="154"/>
      <c r="EK49" s="154"/>
      <c r="EL49" s="154"/>
      <c r="EM49" s="140"/>
      <c r="EN49" s="222"/>
      <c r="EO49" s="222"/>
      <c r="EP49" s="222"/>
      <c r="EQ49" s="140"/>
      <c r="ER49" s="222"/>
      <c r="ES49" s="222"/>
      <c r="ET49" s="222"/>
      <c r="EU49" s="140"/>
      <c r="EV49" s="222"/>
      <c r="EW49" s="222"/>
      <c r="EX49" s="222"/>
      <c r="EY49" s="344"/>
      <c r="EZ49" s="222"/>
      <c r="FA49" s="222"/>
      <c r="FB49" s="222"/>
      <c r="FC49" s="273"/>
      <c r="FD49" s="223"/>
      <c r="FE49" s="223"/>
      <c r="FF49" s="276"/>
      <c r="FG49" s="156"/>
      <c r="FH49" s="156"/>
      <c r="FI49" s="156"/>
      <c r="FJ49" s="140"/>
      <c r="FK49" s="277"/>
      <c r="FL49" s="277"/>
      <c r="FM49" s="277"/>
      <c r="FN49" s="140"/>
      <c r="FO49" s="277"/>
      <c r="FP49" s="277"/>
      <c r="FQ49" s="277"/>
      <c r="FR49" s="280"/>
      <c r="FS49" s="277"/>
      <c r="FT49" s="277"/>
      <c r="FU49" s="277"/>
      <c r="FV49" s="277"/>
      <c r="FW49" s="277"/>
      <c r="FX49" s="277"/>
      <c r="FY49" s="277"/>
      <c r="FZ49" s="277"/>
      <c r="GA49" s="277"/>
      <c r="GB49" s="277"/>
      <c r="GC49" s="277"/>
      <c r="GD49" s="277"/>
      <c r="GE49" s="277"/>
      <c r="GF49" s="277"/>
      <c r="GG49" s="277"/>
      <c r="GH49" s="277"/>
      <c r="GI49" s="277"/>
      <c r="GJ49" s="277"/>
      <c r="GK49" s="277"/>
      <c r="GL49" s="277"/>
      <c r="GM49" s="277"/>
      <c r="GN49" s="277"/>
      <c r="GO49" s="277"/>
      <c r="GP49" s="277"/>
      <c r="GQ49" s="277"/>
      <c r="GR49" s="277"/>
      <c r="GS49" s="277"/>
      <c r="GT49" s="277"/>
      <c r="GU49" s="277"/>
      <c r="GV49" s="277"/>
      <c r="GW49" s="277"/>
      <c r="GX49" s="277"/>
      <c r="GY49" s="277"/>
      <c r="GZ49" s="277"/>
      <c r="HA49" s="277"/>
      <c r="HB49" s="277"/>
      <c r="HC49" s="277"/>
      <c r="HD49" s="277"/>
      <c r="HE49" s="277"/>
      <c r="HF49" s="140"/>
      <c r="HG49" s="277"/>
      <c r="HH49" s="277"/>
      <c r="HI49" s="277"/>
      <c r="HJ49" s="140"/>
      <c r="HK49" s="277"/>
      <c r="HL49" s="277"/>
      <c r="HM49" s="277"/>
      <c r="HN49" s="140"/>
      <c r="HO49" s="277"/>
      <c r="HP49" s="277"/>
      <c r="HQ49" s="277"/>
      <c r="HR49" s="277"/>
      <c r="HS49" s="277"/>
      <c r="HT49" s="277"/>
      <c r="HU49" s="277"/>
      <c r="HV49" s="277"/>
      <c r="HW49" s="277"/>
      <c r="HX49" s="277"/>
      <c r="HY49" s="277"/>
      <c r="HZ49" s="140"/>
      <c r="IA49" s="277"/>
      <c r="IB49" s="277"/>
      <c r="IC49" s="277"/>
      <c r="ID49" s="140"/>
      <c r="IE49" s="277"/>
      <c r="IF49" s="277"/>
      <c r="IG49" s="277"/>
      <c r="IH49" s="140"/>
      <c r="II49" s="277"/>
      <c r="IJ49" s="277"/>
      <c r="IK49" s="277"/>
      <c r="IL49" s="140"/>
      <c r="IM49" s="277"/>
      <c r="IN49" s="277"/>
      <c r="IO49" s="277"/>
      <c r="IP49" s="277"/>
      <c r="IQ49" s="277"/>
      <c r="IR49" s="277"/>
      <c r="IS49" s="277"/>
      <c r="IT49" s="277"/>
      <c r="IU49" s="277"/>
      <c r="IV49" s="277"/>
      <c r="IW49" s="277"/>
      <c r="IX49" s="140"/>
      <c r="IY49" s="277"/>
      <c r="IZ49" s="277"/>
      <c r="JA49" s="277"/>
      <c r="JB49" s="140"/>
      <c r="JC49" s="277"/>
      <c r="JD49" s="277"/>
      <c r="JE49" s="277"/>
      <c r="JF49" s="140"/>
      <c r="JG49" s="277"/>
      <c r="JH49" s="277"/>
      <c r="JI49" s="140"/>
      <c r="JJ49" s="277"/>
      <c r="JK49" s="277"/>
      <c r="JL49" s="140"/>
      <c r="JM49" s="277"/>
      <c r="JN49" s="277"/>
      <c r="JO49" s="140"/>
      <c r="JP49" s="277"/>
      <c r="JQ49" s="277"/>
      <c r="JR49" s="277"/>
      <c r="JS49" s="277"/>
      <c r="JT49" s="277"/>
      <c r="JU49" s="277"/>
      <c r="JV49" s="277"/>
      <c r="JW49" s="277"/>
      <c r="JX49" s="277"/>
      <c r="JY49" s="277"/>
      <c r="JZ49" s="277"/>
      <c r="KA49" s="277"/>
      <c r="KB49" s="277"/>
      <c r="KC49" s="277"/>
      <c r="KD49" s="277"/>
      <c r="KE49" s="277"/>
      <c r="KF49" s="277"/>
      <c r="KG49" s="277"/>
      <c r="KH49" s="277"/>
      <c r="KI49" s="277"/>
      <c r="KJ49" s="277"/>
      <c r="KK49" s="277"/>
      <c r="KL49" s="277"/>
      <c r="KM49" s="277"/>
      <c r="KN49" s="277"/>
      <c r="KO49" s="277"/>
      <c r="KP49" s="274"/>
      <c r="KQ49" s="253"/>
      <c r="KR49" s="253"/>
      <c r="KY49" s="141">
        <f t="shared" si="11"/>
        <v>0</v>
      </c>
      <c r="KZ49" s="141">
        <f t="shared" si="12"/>
        <v>0</v>
      </c>
      <c r="LB49" s="141">
        <f t="shared" si="13"/>
        <v>0</v>
      </c>
      <c r="LC49" s="141">
        <f t="shared" si="14"/>
        <v>0</v>
      </c>
      <c r="LD49" s="141">
        <f t="shared" si="15"/>
        <v>0</v>
      </c>
      <c r="LE49" s="141" t="e">
        <f>((N(AU49)&gt;0)*(AX49&lt;&gt;"")+(N(AY49)&gt;0)*(BB49&lt;&gt;"")+(N(BC49)&gt;0)*(BF49&lt;&gt;"")+(N(BG49)&gt;0)*(BJ49&lt;&gt;"")+(N(BK49)&gt;0)*(BN49&lt;&gt;"")+(N(BO49)&gt;0)*(BR49&lt;&gt;"")+(N(BS49)&gt;0)*(BV49&lt;&gt;"")+(N(BW49)&gt;0)*(BZ49&lt;&gt;"")+(N(CA49)&gt;0)*(CD49&lt;&gt;"")+(N(CE49)&gt;0)*(CH49&lt;&gt;"")+(N(CI49)&gt;0)*(CL49&lt;&gt;"")+(N(CM49)&gt;0)*(CP49&lt;&gt;"")+(N(CQ49)&gt;0)*(CT49&lt;&gt;"")+(N(CU49)&gt;0)*(CX49&lt;&gt;"")+(N(CY49)&gt;0)*(DB49&lt;&gt;"")+(N(DC49)&gt;0)*(DF49&lt;&gt;"")+(N(DG49)&gt;0)*(DJ49&lt;&gt;"")+(N(DS49)&gt;0)*(DV49&lt;&gt;"")+(N(DW49)&gt;0)*(DZ49&lt;&gt;"")+(N(EA49)&gt;0)*(ED49&lt;&gt;"")+(N(EE49)&gt;0)*(EH49&lt;&gt;"")+(N(EI49)&gt;0)*(EL49&lt;&gt;"")+(N(EM49)&gt;0)*(EP49&lt;&gt;"")+(N(EQ49)&gt;0)*(ET49&lt;&gt;"")+(N(EU49)&gt;0)*(EX49&lt;&gt;"")+(N(#REF!)&gt;0)*(#REF!&lt;&gt;"")+(N(#REF!)&gt;0)*(#REF!&lt;&gt;"")+(N(FJ49)&gt;0)*(FM49&lt;&gt;"")+(N(FN49)&gt;0)*(FQ49&lt;&gt;"")+(N(#REF!)&gt;0)*(#REF!&lt;&gt;"")+(N(#REF!)&gt;0)*(#REF!&lt;&gt;"")+(N(HF49)&gt;0)*(HI49&lt;&gt;"")+(N(#REF!)&gt;0)*(#REF!&lt;&gt;"")+(N(HJ49)&gt;0)*(HM49&lt;&gt;"")+(N(HN49)&gt;0)*(HQ49&lt;&gt;"")+(N(HZ49)&gt;0)*(IC49&lt;&gt;"")+(N(ID49)&gt;0)*(IG49&lt;&gt;"")+(N(IH49)&gt;0)*(IK49&lt;&gt;"")+(N(IL49)&gt;0)*(IO49&lt;&gt;"")+(N(IX49)&gt;0)*(JA49&lt;&gt;"")+(N(JB49)&gt;0)*(JE49&lt;&gt;"")+(N(JF49)&gt;0)*(JH49&lt;&gt;"")+(N(JI49)&gt;0)*(JK49&lt;&gt;"")+(N(JL49)&gt;0)*(JN49&lt;&gt;"")+(N(JO49)&gt;0)*(JQ49&lt;&gt;""))</f>
        <v>#REF!</v>
      </c>
      <c r="LF49" s="141">
        <f t="shared" si="21"/>
        <v>0</v>
      </c>
      <c r="LG49" s="141">
        <f t="shared" si="16"/>
        <v>0</v>
      </c>
    </row>
    <row r="50" spans="2:319" ht="38.25" customHeight="1" x14ac:dyDescent="0.55000000000000004">
      <c r="B50" s="314" t="s">
        <v>404</v>
      </c>
      <c r="C50" s="218"/>
      <c r="D50" s="218"/>
      <c r="E50" s="218"/>
      <c r="F50" s="218"/>
      <c r="G50" s="218"/>
      <c r="H50" s="218"/>
      <c r="I50" s="162" cm="1">
        <f t="array" ref="I50">SUMPRODUCT(($AI$2:$KV$2&lt;&gt;"")*($AI50:$KV50&lt;&gt;""))</f>
        <v>0</v>
      </c>
      <c r="J50" s="142">
        <f t="shared" si="17"/>
        <v>0</v>
      </c>
      <c r="K50" s="142">
        <f t="shared" si="18"/>
        <v>0</v>
      </c>
      <c r="L50" s="268">
        <f t="shared" si="0"/>
        <v>7000</v>
      </c>
      <c r="M50" s="164">
        <f t="shared" si="8"/>
        <v>0</v>
      </c>
      <c r="N50" s="397"/>
      <c r="O50" s="165">
        <f t="shared" si="19"/>
        <v>0</v>
      </c>
      <c r="P50" s="165"/>
      <c r="Q50" s="165"/>
      <c r="R50" s="165">
        <f>(IFERROR(AM50/AN50,0)+IFERROR(AU50/AV50,0)+IFERROR(AY50/AZ50,0)+IFERROR(BC50/BD50,0)+IFERROR(BG50/BH50,0)+IFERROR(BK50/BL50,0)+IFERROR(BO50/BP50,0)+IFERROR(BS50/BT50,0)+IFERROR(BW50/BX50,0)+IFERROR(CA50/CB50,0)+IFERROR(CE50/CF50,0)+IFERROR(CI50/CJ50,0)+IFERROR(CM50/CN50,0)+IFERROR(CQ50/CR50,0)+IFERROR(CU50/CV50,0)+IFERROR(CY50/CZ50,0)+IFERROR(DC50/DD50,0)+IFERROR(DG50/DH50,0)+IFERROR(DS50/DT50,0)+IFERROR(DW50/DX50,0)+IFERROR(EA50/EB50,0)+IFERROR(EE50/EF50,0)+IFERROR(EI50/EJ50,0)+IFERROR(EM50/EN50,0)+IFERROR(EQ50/ER50,0)+IFERROR(EU50/EV50,0)+IFERROR(#REF!/#REF!,0)+IFERROR(#REF!/#REF!,0)+IFERROR(FJ50/FK50,0)+IFERROR(FN50/FO50,0)+IFERROR(#REF!/#REF!,0)+IFERROR(#REF!/#REF!,0)+IFERROR(HF50/HG50,0)+IFERROR(#REF!/#REF!,0)+IFERROR(HJ50/HK50,0)+IFERROR(HN50/HO50,0)+IFERROR(HZ50/IA50,0)+IFERROR(ID50/IE50,0)+IFERROR(IH50/II50,0)+IFERROR(IL50/IM50,0)+IFERROR(IX50/IY50,0)+IFERROR(JB50/JC50,0)+IFERROR(JF50/JG50,0)+IFERROR(JI50/JJ50,0)+IFERROR(JL50/JM50,0)+IFERROR(JO50/JP50,0))*L50*(C50+D50+E50+I50)</f>
        <v>0</v>
      </c>
      <c r="S50" s="165"/>
      <c r="T50" s="165">
        <f t="shared" si="9"/>
        <v>0</v>
      </c>
      <c r="U50" s="165"/>
      <c r="V50" s="165"/>
      <c r="W50" s="165"/>
      <c r="X50" s="165">
        <f>(IFERROR(FF50/FG50,0)+IFERROR(FC50/FD50,0)+IFERROR(#REF!/#REF!,0)+IFERROR(KP50/KQ50,0))*L50*(C50+D50+E50+I50)</f>
        <v>0</v>
      </c>
      <c r="Y50" s="484"/>
      <c r="Z50" s="484"/>
      <c r="AA50" s="484"/>
      <c r="AB50" s="484"/>
      <c r="AC50" s="150">
        <f t="shared" si="20"/>
        <v>0</v>
      </c>
      <c r="AD50" s="150"/>
      <c r="AE50" s="150">
        <f t="shared" si="10"/>
        <v>0</v>
      </c>
      <c r="AF50" s="161"/>
      <c r="AG50" s="143"/>
      <c r="AH50" s="154"/>
      <c r="AI50" s="144"/>
      <c r="AJ50" s="154"/>
      <c r="AK50" s="154"/>
      <c r="AL50" s="220"/>
      <c r="AM50" s="140"/>
      <c r="AN50" s="154"/>
      <c r="AO50" s="154"/>
      <c r="AP50" s="220"/>
      <c r="AQ50" s="145"/>
      <c r="AR50" s="154"/>
      <c r="AS50" s="154"/>
      <c r="AT50" s="220"/>
      <c r="AU50" s="140"/>
      <c r="AV50" s="277"/>
      <c r="AW50" s="277"/>
      <c r="AX50" s="277"/>
      <c r="AY50" s="140"/>
      <c r="AZ50" s="277"/>
      <c r="BA50" s="277"/>
      <c r="BB50" s="277"/>
      <c r="BC50" s="140"/>
      <c r="BD50" s="277"/>
      <c r="BE50" s="277"/>
      <c r="BF50" s="277"/>
      <c r="BG50" s="140"/>
      <c r="BH50" s="277"/>
      <c r="BI50" s="277"/>
      <c r="BJ50" s="277"/>
      <c r="BK50" s="140"/>
      <c r="BL50" s="277"/>
      <c r="BM50" s="277"/>
      <c r="BN50" s="277"/>
      <c r="BO50" s="140"/>
      <c r="BP50" s="277"/>
      <c r="BQ50" s="277"/>
      <c r="BR50" s="277"/>
      <c r="BS50" s="140"/>
      <c r="BT50" s="277"/>
      <c r="BU50" s="277"/>
      <c r="BV50" s="277"/>
      <c r="BW50" s="140"/>
      <c r="BX50" s="154"/>
      <c r="BY50" s="154"/>
      <c r="BZ50" s="220"/>
      <c r="CA50" s="140"/>
      <c r="CB50" s="154"/>
      <c r="CC50" s="154"/>
      <c r="CD50" s="220"/>
      <c r="CE50" s="140"/>
      <c r="CF50" s="271"/>
      <c r="CG50" s="271"/>
      <c r="CH50" s="271"/>
      <c r="CI50" s="140"/>
      <c r="CJ50" s="154"/>
      <c r="CK50" s="154"/>
      <c r="CL50" s="154"/>
      <c r="CM50" s="140"/>
      <c r="CN50" s="271"/>
      <c r="CO50" s="271"/>
      <c r="CP50" s="271"/>
      <c r="CQ50" s="140"/>
      <c r="CR50" s="154"/>
      <c r="CS50" s="154"/>
      <c r="CT50" s="154"/>
      <c r="CU50" s="140"/>
      <c r="CV50" s="154"/>
      <c r="CW50" s="154"/>
      <c r="CX50" s="220"/>
      <c r="CY50" s="140"/>
      <c r="CZ50" s="154"/>
      <c r="DA50" s="154"/>
      <c r="DB50" s="220"/>
      <c r="DC50" s="140"/>
      <c r="DD50" s="146"/>
      <c r="DE50" s="146"/>
      <c r="DF50" s="146"/>
      <c r="DG50" s="140"/>
      <c r="DH50" s="146"/>
      <c r="DI50" s="146"/>
      <c r="DJ50" s="146"/>
      <c r="DK50" s="146"/>
      <c r="DL50" s="146"/>
      <c r="DM50" s="146"/>
      <c r="DN50" s="146"/>
      <c r="DO50" s="146"/>
      <c r="DP50" s="146"/>
      <c r="DQ50" s="146"/>
      <c r="DR50" s="146"/>
      <c r="DS50" s="140"/>
      <c r="DT50" s="154"/>
      <c r="DU50" s="154"/>
      <c r="DV50" s="154"/>
      <c r="DW50" s="140"/>
      <c r="DX50" s="220"/>
      <c r="DY50" s="220"/>
      <c r="DZ50" s="220"/>
      <c r="EA50" s="140"/>
      <c r="EB50" s="220"/>
      <c r="EC50" s="220"/>
      <c r="ED50" s="220"/>
      <c r="EE50" s="140"/>
      <c r="EF50" s="154"/>
      <c r="EG50" s="154"/>
      <c r="EH50" s="154"/>
      <c r="EI50" s="140"/>
      <c r="EJ50" s="154"/>
      <c r="EK50" s="154"/>
      <c r="EL50" s="154"/>
      <c r="EM50" s="140"/>
      <c r="EN50" s="222"/>
      <c r="EO50" s="222"/>
      <c r="EP50" s="222"/>
      <c r="EQ50" s="140"/>
      <c r="ER50" s="222"/>
      <c r="ES50" s="222"/>
      <c r="ET50" s="222"/>
      <c r="EU50" s="140"/>
      <c r="EV50" s="222"/>
      <c r="EW50" s="222"/>
      <c r="EX50" s="222"/>
      <c r="EY50" s="344"/>
      <c r="EZ50" s="222"/>
      <c r="FA50" s="222"/>
      <c r="FB50" s="222"/>
      <c r="FC50" s="273"/>
      <c r="FD50" s="223"/>
      <c r="FE50" s="223"/>
      <c r="FF50" s="276"/>
      <c r="FG50" s="156"/>
      <c r="FH50" s="156"/>
      <c r="FI50" s="156"/>
      <c r="FJ50" s="140"/>
      <c r="FK50" s="277"/>
      <c r="FL50" s="277"/>
      <c r="FM50" s="277"/>
      <c r="FN50" s="140"/>
      <c r="FO50" s="277"/>
      <c r="FP50" s="277"/>
      <c r="FQ50" s="277"/>
      <c r="FR50" s="280"/>
      <c r="FS50" s="277"/>
      <c r="FT50" s="277"/>
      <c r="FU50" s="277"/>
      <c r="FV50" s="277"/>
      <c r="FW50" s="277"/>
      <c r="FX50" s="277"/>
      <c r="FY50" s="277"/>
      <c r="FZ50" s="277"/>
      <c r="GA50" s="277"/>
      <c r="GB50" s="277"/>
      <c r="GC50" s="277"/>
      <c r="GD50" s="277"/>
      <c r="GE50" s="277"/>
      <c r="GF50" s="277"/>
      <c r="GG50" s="277"/>
      <c r="GH50" s="277"/>
      <c r="GI50" s="277"/>
      <c r="GJ50" s="277"/>
      <c r="GK50" s="277"/>
      <c r="GL50" s="277"/>
      <c r="GM50" s="277"/>
      <c r="GN50" s="277"/>
      <c r="GO50" s="277"/>
      <c r="GP50" s="277"/>
      <c r="GQ50" s="277"/>
      <c r="GR50" s="277"/>
      <c r="GS50" s="277"/>
      <c r="GT50" s="277"/>
      <c r="GU50" s="277"/>
      <c r="GV50" s="277"/>
      <c r="GW50" s="277"/>
      <c r="GX50" s="277"/>
      <c r="GY50" s="277"/>
      <c r="GZ50" s="277"/>
      <c r="HA50" s="277"/>
      <c r="HB50" s="277"/>
      <c r="HC50" s="277"/>
      <c r="HD50" s="277"/>
      <c r="HE50" s="277"/>
      <c r="HF50" s="140"/>
      <c r="HG50" s="277"/>
      <c r="HH50" s="277"/>
      <c r="HI50" s="277"/>
      <c r="HJ50" s="140"/>
      <c r="HK50" s="277"/>
      <c r="HL50" s="277"/>
      <c r="HM50" s="277"/>
      <c r="HN50" s="140"/>
      <c r="HO50" s="277"/>
      <c r="HP50" s="277"/>
      <c r="HQ50" s="277"/>
      <c r="HR50" s="277"/>
      <c r="HS50" s="277"/>
      <c r="HT50" s="277"/>
      <c r="HU50" s="277"/>
      <c r="HV50" s="277"/>
      <c r="HW50" s="277"/>
      <c r="HX50" s="277"/>
      <c r="HY50" s="277"/>
      <c r="HZ50" s="140"/>
      <c r="IA50" s="277"/>
      <c r="IB50" s="277"/>
      <c r="IC50" s="277"/>
      <c r="ID50" s="140"/>
      <c r="IE50" s="277"/>
      <c r="IF50" s="277"/>
      <c r="IG50" s="277"/>
      <c r="IH50" s="140"/>
      <c r="II50" s="277"/>
      <c r="IJ50" s="277"/>
      <c r="IK50" s="277"/>
      <c r="IL50" s="140"/>
      <c r="IM50" s="277"/>
      <c r="IN50" s="277"/>
      <c r="IO50" s="277"/>
      <c r="IP50" s="277"/>
      <c r="IQ50" s="277"/>
      <c r="IR50" s="277"/>
      <c r="IS50" s="277"/>
      <c r="IT50" s="277"/>
      <c r="IU50" s="277"/>
      <c r="IV50" s="277"/>
      <c r="IW50" s="277"/>
      <c r="IX50" s="140"/>
      <c r="IY50" s="277"/>
      <c r="IZ50" s="277"/>
      <c r="JA50" s="277"/>
      <c r="JB50" s="140"/>
      <c r="JC50" s="277"/>
      <c r="JD50" s="277"/>
      <c r="JE50" s="277"/>
      <c r="JF50" s="140"/>
      <c r="JG50" s="277"/>
      <c r="JH50" s="277"/>
      <c r="JI50" s="140"/>
      <c r="JJ50" s="277"/>
      <c r="JK50" s="277"/>
      <c r="JL50" s="140"/>
      <c r="JM50" s="277"/>
      <c r="JN50" s="277"/>
      <c r="JO50" s="140"/>
      <c r="JP50" s="277"/>
      <c r="JQ50" s="277"/>
      <c r="JR50" s="277"/>
      <c r="JS50" s="277"/>
      <c r="JT50" s="277"/>
      <c r="JU50" s="277"/>
      <c r="JV50" s="277"/>
      <c r="JW50" s="277"/>
      <c r="JX50" s="277"/>
      <c r="JY50" s="277"/>
      <c r="JZ50" s="277"/>
      <c r="KA50" s="277"/>
      <c r="KB50" s="277"/>
      <c r="KC50" s="277"/>
      <c r="KD50" s="277"/>
      <c r="KE50" s="277"/>
      <c r="KF50" s="277"/>
      <c r="KG50" s="277"/>
      <c r="KH50" s="277"/>
      <c r="KI50" s="277"/>
      <c r="KJ50" s="277"/>
      <c r="KK50" s="277"/>
      <c r="KL50" s="277"/>
      <c r="KM50" s="277"/>
      <c r="KN50" s="277"/>
      <c r="KO50" s="277"/>
      <c r="KP50" s="274"/>
      <c r="KQ50" s="253"/>
      <c r="KR50" s="253"/>
      <c r="KY50" s="141">
        <f t="shared" si="11"/>
        <v>0</v>
      </c>
      <c r="KZ50" s="141">
        <f t="shared" si="12"/>
        <v>0</v>
      </c>
      <c r="LB50" s="141">
        <f t="shared" si="13"/>
        <v>0</v>
      </c>
      <c r="LC50" s="141">
        <f t="shared" si="14"/>
        <v>0</v>
      </c>
      <c r="LD50" s="141">
        <f t="shared" si="15"/>
        <v>0</v>
      </c>
      <c r="LE50" s="141" t="e">
        <f>((N(AU50)&gt;0)*(AX50&lt;&gt;"")+(N(AY50)&gt;0)*(BB50&lt;&gt;"")+(N(BC50)&gt;0)*(BF50&lt;&gt;"")+(N(BG50)&gt;0)*(BJ50&lt;&gt;"")+(N(BK50)&gt;0)*(BN50&lt;&gt;"")+(N(BO50)&gt;0)*(BR50&lt;&gt;"")+(N(BS50)&gt;0)*(BV50&lt;&gt;"")+(N(BW50)&gt;0)*(BZ50&lt;&gt;"")+(N(CA50)&gt;0)*(CD50&lt;&gt;"")+(N(CE50)&gt;0)*(CH50&lt;&gt;"")+(N(CI50)&gt;0)*(CL50&lt;&gt;"")+(N(CM50)&gt;0)*(CP50&lt;&gt;"")+(N(CQ50)&gt;0)*(CT50&lt;&gt;"")+(N(CU50)&gt;0)*(CX50&lt;&gt;"")+(N(CY50)&gt;0)*(DB50&lt;&gt;"")+(N(DC50)&gt;0)*(DF50&lt;&gt;"")+(N(DG50)&gt;0)*(DJ50&lt;&gt;"")+(N(DS50)&gt;0)*(DV50&lt;&gt;"")+(N(DW50)&gt;0)*(DZ50&lt;&gt;"")+(N(EA50)&gt;0)*(ED50&lt;&gt;"")+(N(EE50)&gt;0)*(EH50&lt;&gt;"")+(N(EI50)&gt;0)*(EL50&lt;&gt;"")+(N(EM50)&gt;0)*(EP50&lt;&gt;"")+(N(EQ50)&gt;0)*(ET50&lt;&gt;"")+(N(EU50)&gt;0)*(EX50&lt;&gt;"")+(N(#REF!)&gt;0)*(#REF!&lt;&gt;"")+(N(#REF!)&gt;0)*(#REF!&lt;&gt;"")+(N(FJ50)&gt;0)*(FM50&lt;&gt;"")+(N(FN50)&gt;0)*(FQ50&lt;&gt;"")+(N(#REF!)&gt;0)*(#REF!&lt;&gt;"")+(N(#REF!)&gt;0)*(#REF!&lt;&gt;"")+(N(HF50)&gt;0)*(HI50&lt;&gt;"")+(N(#REF!)&gt;0)*(#REF!&lt;&gt;"")+(N(HJ50)&gt;0)*(HM50&lt;&gt;"")+(N(HN50)&gt;0)*(HQ50&lt;&gt;"")+(N(HZ50)&gt;0)*(IC50&lt;&gt;"")+(N(ID50)&gt;0)*(IG50&lt;&gt;"")+(N(IH50)&gt;0)*(IK50&lt;&gt;"")+(N(IL50)&gt;0)*(IO50&lt;&gt;"")+(N(IX50)&gt;0)*(JA50&lt;&gt;"")+(N(JB50)&gt;0)*(JE50&lt;&gt;"")+(N(JF50)&gt;0)*(JH50&lt;&gt;"")+(N(JI50)&gt;0)*(JK50&lt;&gt;"")+(N(JL50)&gt;0)*(JN50&lt;&gt;"")+(N(JO50)&gt;0)*(JQ50&lt;&gt;""))</f>
        <v>#REF!</v>
      </c>
      <c r="LF50" s="141">
        <f t="shared" si="21"/>
        <v>0</v>
      </c>
      <c r="LG50" s="141">
        <f t="shared" si="16"/>
        <v>0</v>
      </c>
    </row>
    <row r="51" spans="2:319" ht="38.25" customHeight="1" x14ac:dyDescent="0.55000000000000004">
      <c r="B51" s="314" t="s">
        <v>405</v>
      </c>
      <c r="C51" s="218"/>
      <c r="D51" s="218"/>
      <c r="E51" s="218"/>
      <c r="F51" s="218"/>
      <c r="G51" s="218"/>
      <c r="H51" s="218"/>
      <c r="I51" s="162" cm="1">
        <f t="array" ref="I51">SUMPRODUCT(($AI$2:$KV$2&lt;&gt;"")*($AI51:$KV51&lt;&gt;""))</f>
        <v>0</v>
      </c>
      <c r="J51" s="142">
        <f t="shared" si="17"/>
        <v>0</v>
      </c>
      <c r="K51" s="142">
        <f t="shared" si="18"/>
        <v>0</v>
      </c>
      <c r="L51" s="268">
        <f t="shared" si="0"/>
        <v>7000</v>
      </c>
      <c r="M51" s="164">
        <f t="shared" si="8"/>
        <v>0</v>
      </c>
      <c r="N51" s="397"/>
      <c r="O51" s="165">
        <f t="shared" si="19"/>
        <v>0</v>
      </c>
      <c r="P51" s="165"/>
      <c r="Q51" s="165"/>
      <c r="R51" s="165">
        <f>(IFERROR(AM51/AN51,0)+IFERROR(AU51/AV51,0)+IFERROR(AY51/AZ51,0)+IFERROR(BC51/BD51,0)+IFERROR(BG51/BH51,0)+IFERROR(BK51/BL51,0)+IFERROR(BO51/BP51,0)+IFERROR(BS51/BT51,0)+IFERROR(BW51/BX51,0)+IFERROR(CA51/CB51,0)+IFERROR(CE51/CF51,0)+IFERROR(CI51/CJ51,0)+IFERROR(CM51/CN51,0)+IFERROR(CQ51/CR51,0)+IFERROR(CU51/CV51,0)+IFERROR(CY51/CZ51,0)+IFERROR(DC51/DD51,0)+IFERROR(DG51/DH51,0)+IFERROR(DS51/DT51,0)+IFERROR(DW51/DX51,0)+IFERROR(EA51/EB51,0)+IFERROR(EE51/EF51,0)+IFERROR(EI51/EJ51,0)+IFERROR(EM51/EN51,0)+IFERROR(EQ51/ER51,0)+IFERROR(EU51/EV51,0)+IFERROR(#REF!/#REF!,0)+IFERROR(#REF!/#REF!,0)+IFERROR(FJ51/FK51,0)+IFERROR(FN51/FO51,0)+IFERROR(#REF!/#REF!,0)+IFERROR(#REF!/#REF!,0)+IFERROR(HF51/HG51,0)+IFERROR(#REF!/#REF!,0)+IFERROR(HJ51/HK51,0)+IFERROR(HN51/HO51,0)+IFERROR(HZ51/IA51,0)+IFERROR(ID51/IE51,0)+IFERROR(IH51/II51,0)+IFERROR(IL51/IM51,0)+IFERROR(IX51/IY51,0)+IFERROR(JB51/JC51,0)+IFERROR(JF51/JG51,0)+IFERROR(JI51/JJ51,0)+IFERROR(JL51/JM51,0)+IFERROR(JO51/JP51,0))*L51*(C51+D51+E51+I51)</f>
        <v>0</v>
      </c>
      <c r="S51" s="165"/>
      <c r="T51" s="165">
        <f t="shared" si="9"/>
        <v>0</v>
      </c>
      <c r="U51" s="165"/>
      <c r="V51" s="165"/>
      <c r="W51" s="165"/>
      <c r="X51" s="165">
        <f>(IFERROR(FF51/FG51,0)+IFERROR(FC51/FD51,0)+IFERROR(#REF!/#REF!,0)+IFERROR(KP51/KQ51,0))*L51*(C51+D51+E51+I51)</f>
        <v>0</v>
      </c>
      <c r="Y51" s="484"/>
      <c r="Z51" s="484"/>
      <c r="AA51" s="484"/>
      <c r="AB51" s="484"/>
      <c r="AC51" s="150">
        <f t="shared" si="20"/>
        <v>0</v>
      </c>
      <c r="AD51" s="150"/>
      <c r="AE51" s="150">
        <f t="shared" si="10"/>
        <v>0</v>
      </c>
      <c r="AF51" s="161"/>
      <c r="AG51" s="143"/>
      <c r="AH51" s="154"/>
      <c r="AI51" s="144"/>
      <c r="AJ51" s="154"/>
      <c r="AK51" s="154"/>
      <c r="AL51" s="220"/>
      <c r="AM51" s="140"/>
      <c r="AN51" s="154"/>
      <c r="AO51" s="154"/>
      <c r="AP51" s="220"/>
      <c r="AQ51" s="145"/>
      <c r="AR51" s="154"/>
      <c r="AS51" s="154"/>
      <c r="AT51" s="220"/>
      <c r="AU51" s="140"/>
      <c r="AV51" s="277"/>
      <c r="AW51" s="277"/>
      <c r="AX51" s="277"/>
      <c r="AY51" s="140"/>
      <c r="AZ51" s="277"/>
      <c r="BA51" s="277"/>
      <c r="BB51" s="277"/>
      <c r="BC51" s="140"/>
      <c r="BD51" s="277"/>
      <c r="BE51" s="277"/>
      <c r="BF51" s="277"/>
      <c r="BG51" s="140"/>
      <c r="BH51" s="277"/>
      <c r="BI51" s="277"/>
      <c r="BJ51" s="277"/>
      <c r="BK51" s="140"/>
      <c r="BL51" s="277"/>
      <c r="BM51" s="277"/>
      <c r="BN51" s="277"/>
      <c r="BO51" s="140"/>
      <c r="BP51" s="277"/>
      <c r="BQ51" s="277"/>
      <c r="BR51" s="277"/>
      <c r="BS51" s="140"/>
      <c r="BT51" s="277"/>
      <c r="BU51" s="277"/>
      <c r="BV51" s="277"/>
      <c r="BW51" s="140"/>
      <c r="BX51" s="154"/>
      <c r="BY51" s="154"/>
      <c r="BZ51" s="220"/>
      <c r="CA51" s="140"/>
      <c r="CB51" s="154"/>
      <c r="CC51" s="154"/>
      <c r="CD51" s="220"/>
      <c r="CE51" s="140"/>
      <c r="CF51" s="271"/>
      <c r="CG51" s="271"/>
      <c r="CH51" s="271"/>
      <c r="CI51" s="140"/>
      <c r="CJ51" s="154"/>
      <c r="CK51" s="154"/>
      <c r="CL51" s="154"/>
      <c r="CM51" s="140"/>
      <c r="CN51" s="271"/>
      <c r="CO51" s="271"/>
      <c r="CP51" s="271"/>
      <c r="CQ51" s="140"/>
      <c r="CR51" s="154"/>
      <c r="CS51" s="154"/>
      <c r="CT51" s="154"/>
      <c r="CU51" s="140"/>
      <c r="CV51" s="154"/>
      <c r="CW51" s="154"/>
      <c r="CX51" s="220"/>
      <c r="CY51" s="140"/>
      <c r="CZ51" s="154"/>
      <c r="DA51" s="154"/>
      <c r="DB51" s="220"/>
      <c r="DC51" s="140"/>
      <c r="DD51" s="146"/>
      <c r="DE51" s="146"/>
      <c r="DF51" s="146"/>
      <c r="DG51" s="140"/>
      <c r="DH51" s="146"/>
      <c r="DI51" s="146"/>
      <c r="DJ51" s="146"/>
      <c r="DK51" s="146"/>
      <c r="DL51" s="146"/>
      <c r="DM51" s="146"/>
      <c r="DN51" s="146"/>
      <c r="DO51" s="146"/>
      <c r="DP51" s="146"/>
      <c r="DQ51" s="146"/>
      <c r="DR51" s="146"/>
      <c r="DS51" s="140"/>
      <c r="DT51" s="154"/>
      <c r="DU51" s="154"/>
      <c r="DV51" s="154"/>
      <c r="DW51" s="140"/>
      <c r="DX51" s="220"/>
      <c r="DY51" s="220"/>
      <c r="DZ51" s="220"/>
      <c r="EA51" s="140"/>
      <c r="EB51" s="220"/>
      <c r="EC51" s="220"/>
      <c r="ED51" s="220"/>
      <c r="EE51" s="140"/>
      <c r="EF51" s="154"/>
      <c r="EG51" s="154"/>
      <c r="EH51" s="154"/>
      <c r="EI51" s="140"/>
      <c r="EJ51" s="154"/>
      <c r="EK51" s="154"/>
      <c r="EL51" s="154"/>
      <c r="EM51" s="140"/>
      <c r="EN51" s="222"/>
      <c r="EO51" s="222"/>
      <c r="EP51" s="222"/>
      <c r="EQ51" s="140"/>
      <c r="ER51" s="222"/>
      <c r="ES51" s="222"/>
      <c r="ET51" s="222"/>
      <c r="EU51" s="140"/>
      <c r="EV51" s="222"/>
      <c r="EW51" s="222"/>
      <c r="EX51" s="222"/>
      <c r="EY51" s="344"/>
      <c r="EZ51" s="222"/>
      <c r="FA51" s="222"/>
      <c r="FB51" s="222"/>
      <c r="FC51" s="273"/>
      <c r="FD51" s="223"/>
      <c r="FE51" s="223"/>
      <c r="FF51" s="276"/>
      <c r="FG51" s="156"/>
      <c r="FH51" s="156"/>
      <c r="FI51" s="156"/>
      <c r="FJ51" s="140"/>
      <c r="FK51" s="277"/>
      <c r="FL51" s="277"/>
      <c r="FM51" s="277"/>
      <c r="FN51" s="140"/>
      <c r="FO51" s="277"/>
      <c r="FP51" s="277"/>
      <c r="FQ51" s="277"/>
      <c r="FR51" s="280"/>
      <c r="FS51" s="277"/>
      <c r="FT51" s="277"/>
      <c r="FU51" s="277"/>
      <c r="FV51" s="277"/>
      <c r="FW51" s="277"/>
      <c r="FX51" s="277"/>
      <c r="FY51" s="277"/>
      <c r="FZ51" s="277"/>
      <c r="GA51" s="277"/>
      <c r="GB51" s="277"/>
      <c r="GC51" s="277"/>
      <c r="GD51" s="277"/>
      <c r="GE51" s="277"/>
      <c r="GF51" s="277"/>
      <c r="GG51" s="277"/>
      <c r="GH51" s="277"/>
      <c r="GI51" s="277"/>
      <c r="GJ51" s="277"/>
      <c r="GK51" s="277"/>
      <c r="GL51" s="277"/>
      <c r="GM51" s="277"/>
      <c r="GN51" s="277"/>
      <c r="GO51" s="277"/>
      <c r="GP51" s="277"/>
      <c r="GQ51" s="277"/>
      <c r="GR51" s="277"/>
      <c r="GS51" s="277"/>
      <c r="GT51" s="277"/>
      <c r="GU51" s="277"/>
      <c r="GV51" s="277"/>
      <c r="GW51" s="277"/>
      <c r="GX51" s="277"/>
      <c r="GY51" s="277"/>
      <c r="GZ51" s="277"/>
      <c r="HA51" s="277"/>
      <c r="HB51" s="277"/>
      <c r="HC51" s="277"/>
      <c r="HD51" s="277"/>
      <c r="HE51" s="277"/>
      <c r="HF51" s="140"/>
      <c r="HG51" s="277"/>
      <c r="HH51" s="277"/>
      <c r="HI51" s="277"/>
      <c r="HJ51" s="140"/>
      <c r="HK51" s="277"/>
      <c r="HL51" s="277"/>
      <c r="HM51" s="277"/>
      <c r="HN51" s="140"/>
      <c r="HO51" s="277"/>
      <c r="HP51" s="277"/>
      <c r="HQ51" s="277"/>
      <c r="HR51" s="277"/>
      <c r="HS51" s="277"/>
      <c r="HT51" s="277"/>
      <c r="HU51" s="277"/>
      <c r="HV51" s="277"/>
      <c r="HW51" s="277"/>
      <c r="HX51" s="277"/>
      <c r="HY51" s="277"/>
      <c r="HZ51" s="140"/>
      <c r="IA51" s="277"/>
      <c r="IB51" s="277"/>
      <c r="IC51" s="277"/>
      <c r="ID51" s="140"/>
      <c r="IE51" s="277"/>
      <c r="IF51" s="277"/>
      <c r="IG51" s="277"/>
      <c r="IH51" s="140"/>
      <c r="II51" s="277"/>
      <c r="IJ51" s="277"/>
      <c r="IK51" s="277"/>
      <c r="IL51" s="140"/>
      <c r="IM51" s="277"/>
      <c r="IN51" s="277"/>
      <c r="IO51" s="277"/>
      <c r="IP51" s="277"/>
      <c r="IQ51" s="277"/>
      <c r="IR51" s="277"/>
      <c r="IS51" s="277"/>
      <c r="IT51" s="277"/>
      <c r="IU51" s="277"/>
      <c r="IV51" s="277"/>
      <c r="IW51" s="277"/>
      <c r="IX51" s="140"/>
      <c r="IY51" s="277"/>
      <c r="IZ51" s="277"/>
      <c r="JA51" s="277"/>
      <c r="JB51" s="140"/>
      <c r="JC51" s="277"/>
      <c r="JD51" s="277"/>
      <c r="JE51" s="277"/>
      <c r="JF51" s="140"/>
      <c r="JG51" s="277"/>
      <c r="JH51" s="277"/>
      <c r="JI51" s="140"/>
      <c r="JJ51" s="277"/>
      <c r="JK51" s="277"/>
      <c r="JL51" s="140"/>
      <c r="JM51" s="277"/>
      <c r="JN51" s="277"/>
      <c r="JO51" s="140"/>
      <c r="JP51" s="277"/>
      <c r="JQ51" s="277"/>
      <c r="JR51" s="277"/>
      <c r="JS51" s="277"/>
      <c r="JT51" s="277"/>
      <c r="JU51" s="277"/>
      <c r="JV51" s="277"/>
      <c r="JW51" s="277"/>
      <c r="JX51" s="277"/>
      <c r="JY51" s="277"/>
      <c r="JZ51" s="277"/>
      <c r="KA51" s="277"/>
      <c r="KB51" s="277"/>
      <c r="KC51" s="277"/>
      <c r="KD51" s="277"/>
      <c r="KE51" s="277"/>
      <c r="KF51" s="277"/>
      <c r="KG51" s="277"/>
      <c r="KH51" s="277"/>
      <c r="KI51" s="277"/>
      <c r="KJ51" s="277"/>
      <c r="KK51" s="277"/>
      <c r="KL51" s="277"/>
      <c r="KM51" s="277"/>
      <c r="KN51" s="277"/>
      <c r="KO51" s="277"/>
      <c r="KP51" s="274"/>
      <c r="KQ51" s="253"/>
      <c r="KR51" s="253"/>
      <c r="KY51" s="141">
        <f t="shared" si="11"/>
        <v>0</v>
      </c>
      <c r="KZ51" s="141">
        <f t="shared" si="12"/>
        <v>0</v>
      </c>
      <c r="LB51" s="141">
        <f t="shared" si="13"/>
        <v>0</v>
      </c>
      <c r="LC51" s="141">
        <f t="shared" si="14"/>
        <v>0</v>
      </c>
      <c r="LD51" s="141">
        <f t="shared" si="15"/>
        <v>0</v>
      </c>
      <c r="LE51" s="141" t="e">
        <f>((N(AU51)&gt;0)*(AX51&lt;&gt;"")+(N(AY51)&gt;0)*(BB51&lt;&gt;"")+(N(BC51)&gt;0)*(BF51&lt;&gt;"")+(N(BG51)&gt;0)*(BJ51&lt;&gt;"")+(N(BK51)&gt;0)*(BN51&lt;&gt;"")+(N(BO51)&gt;0)*(BR51&lt;&gt;"")+(N(BS51)&gt;0)*(BV51&lt;&gt;"")+(N(BW51)&gt;0)*(BZ51&lt;&gt;"")+(N(CA51)&gt;0)*(CD51&lt;&gt;"")+(N(CE51)&gt;0)*(CH51&lt;&gt;"")+(N(CI51)&gt;0)*(CL51&lt;&gt;"")+(N(CM51)&gt;0)*(CP51&lt;&gt;"")+(N(CQ51)&gt;0)*(CT51&lt;&gt;"")+(N(CU51)&gt;0)*(CX51&lt;&gt;"")+(N(CY51)&gt;0)*(DB51&lt;&gt;"")+(N(DC51)&gt;0)*(DF51&lt;&gt;"")+(N(DG51)&gt;0)*(DJ51&lt;&gt;"")+(N(DS51)&gt;0)*(DV51&lt;&gt;"")+(N(DW51)&gt;0)*(DZ51&lt;&gt;"")+(N(EA51)&gt;0)*(ED51&lt;&gt;"")+(N(EE51)&gt;0)*(EH51&lt;&gt;"")+(N(EI51)&gt;0)*(EL51&lt;&gt;"")+(N(EM51)&gt;0)*(EP51&lt;&gt;"")+(N(EQ51)&gt;0)*(ET51&lt;&gt;"")+(N(EU51)&gt;0)*(EX51&lt;&gt;"")+(N(#REF!)&gt;0)*(#REF!&lt;&gt;"")+(N(#REF!)&gt;0)*(#REF!&lt;&gt;"")+(N(FJ51)&gt;0)*(FM51&lt;&gt;"")+(N(FN51)&gt;0)*(FQ51&lt;&gt;"")+(N(#REF!)&gt;0)*(#REF!&lt;&gt;"")+(N(#REF!)&gt;0)*(#REF!&lt;&gt;"")+(N(HF51)&gt;0)*(HI51&lt;&gt;"")+(N(#REF!)&gt;0)*(#REF!&lt;&gt;"")+(N(HJ51)&gt;0)*(HM51&lt;&gt;"")+(N(HN51)&gt;0)*(HQ51&lt;&gt;"")+(N(HZ51)&gt;0)*(IC51&lt;&gt;"")+(N(ID51)&gt;0)*(IG51&lt;&gt;"")+(N(IH51)&gt;0)*(IK51&lt;&gt;"")+(N(IL51)&gt;0)*(IO51&lt;&gt;"")+(N(IX51)&gt;0)*(JA51&lt;&gt;"")+(N(JB51)&gt;0)*(JE51&lt;&gt;"")+(N(JF51)&gt;0)*(JH51&lt;&gt;"")+(N(JI51)&gt;0)*(JK51&lt;&gt;"")+(N(JL51)&gt;0)*(JN51&lt;&gt;"")+(N(JO51)&gt;0)*(JQ51&lt;&gt;""))</f>
        <v>#REF!</v>
      </c>
      <c r="LF51" s="141">
        <f t="shared" si="21"/>
        <v>0</v>
      </c>
      <c r="LG51" s="141">
        <f t="shared" si="16"/>
        <v>0</v>
      </c>
    </row>
    <row r="52" spans="2:319" ht="38.25" customHeight="1" x14ac:dyDescent="0.55000000000000004">
      <c r="B52" s="316" t="s">
        <v>407</v>
      </c>
      <c r="C52" s="218"/>
      <c r="D52" s="218"/>
      <c r="E52" s="218"/>
      <c r="F52" s="218"/>
      <c r="G52" s="218"/>
      <c r="H52" s="218"/>
      <c r="I52" s="162" cm="1">
        <f t="array" ref="I52">SUMPRODUCT(($AI$2:$KV$2&lt;&gt;"")*($AI52:$KV52&lt;&gt;""))</f>
        <v>0</v>
      </c>
      <c r="J52" s="142">
        <f t="shared" si="17"/>
        <v>0</v>
      </c>
      <c r="K52" s="142">
        <f t="shared" si="18"/>
        <v>0</v>
      </c>
      <c r="L52" s="268">
        <f t="shared" si="0"/>
        <v>7000</v>
      </c>
      <c r="M52" s="164">
        <f t="shared" si="8"/>
        <v>0</v>
      </c>
      <c r="N52" s="397"/>
      <c r="O52" s="165">
        <f t="shared" si="19"/>
        <v>0</v>
      </c>
      <c r="P52" s="165"/>
      <c r="Q52" s="165"/>
      <c r="R52" s="165">
        <f>(IFERROR(AM52/AN52,0)+IFERROR(AU52/AV52,0)+IFERROR(AY52/AZ52,0)+IFERROR(BC52/BD52,0)+IFERROR(BG52/BH52,0)+IFERROR(BK52/BL52,0)+IFERROR(BO52/BP52,0)+IFERROR(BS52/BT52,0)+IFERROR(BW52/BX52,0)+IFERROR(CA52/CB52,0)+IFERROR(CE52/CF52,0)+IFERROR(CI52/CJ52,0)+IFERROR(CM52/CN52,0)+IFERROR(CQ52/CR52,0)+IFERROR(CU52/CV52,0)+IFERROR(CY52/CZ52,0)+IFERROR(DC52/DD52,0)+IFERROR(DG52/DH52,0)+IFERROR(DS52/DT52,0)+IFERROR(DW52/DX52,0)+IFERROR(EA52/EB52,0)+IFERROR(EE52/EF52,0)+IFERROR(EI52/EJ52,0)+IFERROR(EM52/EN52,0)+IFERROR(EQ52/ER52,0)+IFERROR(EU52/EV52,0)+IFERROR(#REF!/#REF!,0)+IFERROR(#REF!/#REF!,0)+IFERROR(FJ52/FK52,0)+IFERROR(FN52/FO52,0)+IFERROR(#REF!/#REF!,0)+IFERROR(#REF!/#REF!,0)+IFERROR(HF52/HG52,0)+IFERROR(#REF!/#REF!,0)+IFERROR(HJ52/HK52,0)+IFERROR(HN52/HO52,0)+IFERROR(HZ52/IA52,0)+IFERROR(ID52/IE52,0)+IFERROR(IH52/II52,0)+IFERROR(IL52/IM52,0)+IFERROR(IX52/IY52,0)+IFERROR(JB52/JC52,0)+IFERROR(JF52/JG52,0)+IFERROR(JI52/JJ52,0)+IFERROR(JL52/JM52,0)+IFERROR(JO52/JP52,0))*L52*(C52+D52+E52+I52)</f>
        <v>0</v>
      </c>
      <c r="S52" s="165"/>
      <c r="T52" s="165">
        <f t="shared" si="9"/>
        <v>0</v>
      </c>
      <c r="U52" s="165"/>
      <c r="V52" s="165"/>
      <c r="W52" s="165"/>
      <c r="X52" s="165">
        <f>(IFERROR(FF52/FG52,0)+IFERROR(FC52/FD52,0)+IFERROR(#REF!/#REF!,0)+IFERROR(KP52/KQ52,0))*L52*(C52+D52+E52+I52)</f>
        <v>0</v>
      </c>
      <c r="Y52" s="484"/>
      <c r="Z52" s="484"/>
      <c r="AA52" s="484"/>
      <c r="AB52" s="484"/>
      <c r="AC52" s="150">
        <f t="shared" si="20"/>
        <v>0</v>
      </c>
      <c r="AD52" s="150"/>
      <c r="AE52" s="150">
        <f t="shared" si="10"/>
        <v>0</v>
      </c>
      <c r="AF52" s="161"/>
      <c r="AG52" s="143"/>
      <c r="AH52" s="154"/>
      <c r="AI52" s="144"/>
      <c r="AJ52" s="154"/>
      <c r="AK52" s="154"/>
      <c r="AL52" s="220"/>
      <c r="AM52" s="140"/>
      <c r="AN52" s="154"/>
      <c r="AO52" s="154"/>
      <c r="AP52" s="220"/>
      <c r="AQ52" s="145"/>
      <c r="AR52" s="154"/>
      <c r="AS52" s="154"/>
      <c r="AT52" s="220"/>
      <c r="AU52" s="140"/>
      <c r="AV52" s="277"/>
      <c r="AW52" s="277"/>
      <c r="AX52" s="277"/>
      <c r="AY52" s="140"/>
      <c r="AZ52" s="277"/>
      <c r="BA52" s="277"/>
      <c r="BB52" s="277"/>
      <c r="BC52" s="140"/>
      <c r="BD52" s="277"/>
      <c r="BE52" s="277"/>
      <c r="BF52" s="277"/>
      <c r="BG52" s="140"/>
      <c r="BH52" s="277"/>
      <c r="BI52" s="277"/>
      <c r="BJ52" s="277"/>
      <c r="BK52" s="140"/>
      <c r="BL52" s="277"/>
      <c r="BM52" s="277"/>
      <c r="BN52" s="277"/>
      <c r="BO52" s="140"/>
      <c r="BP52" s="277"/>
      <c r="BQ52" s="277"/>
      <c r="BR52" s="277"/>
      <c r="BS52" s="140"/>
      <c r="BT52" s="277"/>
      <c r="BU52" s="277"/>
      <c r="BV52" s="277"/>
      <c r="BW52" s="140"/>
      <c r="BX52" s="154"/>
      <c r="BY52" s="154"/>
      <c r="BZ52" s="220"/>
      <c r="CA52" s="140"/>
      <c r="CB52" s="154"/>
      <c r="CC52" s="154"/>
      <c r="CD52" s="220"/>
      <c r="CE52" s="140"/>
      <c r="CF52" s="271"/>
      <c r="CG52" s="271"/>
      <c r="CH52" s="271"/>
      <c r="CI52" s="140"/>
      <c r="CJ52" s="154"/>
      <c r="CK52" s="154"/>
      <c r="CL52" s="154"/>
      <c r="CM52" s="140"/>
      <c r="CN52" s="271"/>
      <c r="CO52" s="271"/>
      <c r="CP52" s="271"/>
      <c r="CQ52" s="140"/>
      <c r="CR52" s="154"/>
      <c r="CS52" s="154"/>
      <c r="CT52" s="154"/>
      <c r="CU52" s="140"/>
      <c r="CV52" s="154"/>
      <c r="CW52" s="154"/>
      <c r="CX52" s="220"/>
      <c r="CY52" s="140"/>
      <c r="CZ52" s="154"/>
      <c r="DA52" s="154"/>
      <c r="DB52" s="220"/>
      <c r="DC52" s="140"/>
      <c r="DD52" s="146"/>
      <c r="DE52" s="146"/>
      <c r="DF52" s="146"/>
      <c r="DG52" s="140"/>
      <c r="DH52" s="146"/>
      <c r="DI52" s="146"/>
      <c r="DJ52" s="146"/>
      <c r="DK52" s="146"/>
      <c r="DL52" s="146"/>
      <c r="DM52" s="146"/>
      <c r="DN52" s="146"/>
      <c r="DO52" s="146"/>
      <c r="DP52" s="146"/>
      <c r="DQ52" s="146"/>
      <c r="DR52" s="146"/>
      <c r="DS52" s="140"/>
      <c r="DT52" s="154"/>
      <c r="DU52" s="154"/>
      <c r="DV52" s="154"/>
      <c r="DW52" s="140"/>
      <c r="DX52" s="220"/>
      <c r="DY52" s="220"/>
      <c r="DZ52" s="220"/>
      <c r="EA52" s="140"/>
      <c r="EB52" s="220"/>
      <c r="EC52" s="220"/>
      <c r="ED52" s="220"/>
      <c r="EE52" s="140"/>
      <c r="EF52" s="154"/>
      <c r="EG52" s="154"/>
      <c r="EH52" s="154"/>
      <c r="EI52" s="140"/>
      <c r="EJ52" s="154"/>
      <c r="EK52" s="154"/>
      <c r="EL52" s="154"/>
      <c r="EM52" s="140"/>
      <c r="EN52" s="222"/>
      <c r="EO52" s="222"/>
      <c r="EP52" s="222"/>
      <c r="EQ52" s="140"/>
      <c r="ER52" s="222"/>
      <c r="ES52" s="222"/>
      <c r="ET52" s="222"/>
      <c r="EU52" s="140"/>
      <c r="EV52" s="222"/>
      <c r="EW52" s="222"/>
      <c r="EX52" s="222"/>
      <c r="EY52" s="344"/>
      <c r="EZ52" s="222"/>
      <c r="FA52" s="222"/>
      <c r="FB52" s="222"/>
      <c r="FC52" s="273"/>
      <c r="FD52" s="223"/>
      <c r="FE52" s="223"/>
      <c r="FF52" s="276"/>
      <c r="FG52" s="156"/>
      <c r="FH52" s="156"/>
      <c r="FI52" s="156"/>
      <c r="FJ52" s="140"/>
      <c r="FK52" s="277"/>
      <c r="FL52" s="277"/>
      <c r="FM52" s="277"/>
      <c r="FN52" s="140"/>
      <c r="FO52" s="277"/>
      <c r="FP52" s="277"/>
      <c r="FQ52" s="277"/>
      <c r="FR52" s="280"/>
      <c r="FS52" s="277"/>
      <c r="FT52" s="277"/>
      <c r="FU52" s="277"/>
      <c r="FV52" s="277"/>
      <c r="FW52" s="277"/>
      <c r="FX52" s="277"/>
      <c r="FY52" s="277"/>
      <c r="FZ52" s="277"/>
      <c r="GA52" s="277"/>
      <c r="GB52" s="277"/>
      <c r="GC52" s="277"/>
      <c r="GD52" s="277"/>
      <c r="GE52" s="277"/>
      <c r="GF52" s="277"/>
      <c r="GG52" s="277"/>
      <c r="GH52" s="277"/>
      <c r="GI52" s="277"/>
      <c r="GJ52" s="277"/>
      <c r="GK52" s="277"/>
      <c r="GL52" s="277"/>
      <c r="GM52" s="277"/>
      <c r="GN52" s="277"/>
      <c r="GO52" s="277"/>
      <c r="GP52" s="277"/>
      <c r="GQ52" s="277"/>
      <c r="GR52" s="277"/>
      <c r="GS52" s="277"/>
      <c r="GT52" s="277"/>
      <c r="GU52" s="277"/>
      <c r="GV52" s="277"/>
      <c r="GW52" s="277"/>
      <c r="GX52" s="277"/>
      <c r="GY52" s="277"/>
      <c r="GZ52" s="277"/>
      <c r="HA52" s="277"/>
      <c r="HB52" s="277"/>
      <c r="HC52" s="277"/>
      <c r="HD52" s="277"/>
      <c r="HE52" s="277"/>
      <c r="HF52" s="140"/>
      <c r="HG52" s="277"/>
      <c r="HH52" s="277"/>
      <c r="HI52" s="277"/>
      <c r="HJ52" s="140"/>
      <c r="HK52" s="277"/>
      <c r="HL52" s="277"/>
      <c r="HM52" s="277"/>
      <c r="HN52" s="140"/>
      <c r="HO52" s="277"/>
      <c r="HP52" s="277"/>
      <c r="HQ52" s="277"/>
      <c r="HR52" s="277"/>
      <c r="HS52" s="277"/>
      <c r="HT52" s="277"/>
      <c r="HU52" s="277"/>
      <c r="HV52" s="277"/>
      <c r="HW52" s="277"/>
      <c r="HX52" s="277"/>
      <c r="HY52" s="277"/>
      <c r="HZ52" s="140"/>
      <c r="IA52" s="277"/>
      <c r="IB52" s="277"/>
      <c r="IC52" s="277"/>
      <c r="ID52" s="140"/>
      <c r="IE52" s="277"/>
      <c r="IF52" s="277"/>
      <c r="IG52" s="277"/>
      <c r="IH52" s="140"/>
      <c r="II52" s="277"/>
      <c r="IJ52" s="277"/>
      <c r="IK52" s="277"/>
      <c r="IL52" s="140"/>
      <c r="IM52" s="277"/>
      <c r="IN52" s="277"/>
      <c r="IO52" s="277"/>
      <c r="IP52" s="277"/>
      <c r="IQ52" s="277"/>
      <c r="IR52" s="277"/>
      <c r="IS52" s="277"/>
      <c r="IT52" s="277"/>
      <c r="IU52" s="277"/>
      <c r="IV52" s="277"/>
      <c r="IW52" s="277"/>
      <c r="IX52" s="140"/>
      <c r="IY52" s="277"/>
      <c r="IZ52" s="277"/>
      <c r="JA52" s="277"/>
      <c r="JB52" s="140"/>
      <c r="JC52" s="277"/>
      <c r="JD52" s="277"/>
      <c r="JE52" s="277"/>
      <c r="JF52" s="140"/>
      <c r="JG52" s="277"/>
      <c r="JH52" s="277"/>
      <c r="JI52" s="140"/>
      <c r="JJ52" s="277"/>
      <c r="JK52" s="277"/>
      <c r="JL52" s="140"/>
      <c r="JM52" s="277"/>
      <c r="JN52" s="277"/>
      <c r="JO52" s="140"/>
      <c r="JP52" s="277"/>
      <c r="JQ52" s="277"/>
      <c r="JR52" s="277"/>
      <c r="JS52" s="277"/>
      <c r="JT52" s="277"/>
      <c r="JU52" s="277"/>
      <c r="JV52" s="277"/>
      <c r="JW52" s="277"/>
      <c r="JX52" s="277"/>
      <c r="JY52" s="277"/>
      <c r="JZ52" s="277"/>
      <c r="KA52" s="277"/>
      <c r="KB52" s="277"/>
      <c r="KC52" s="277"/>
      <c r="KD52" s="277"/>
      <c r="KE52" s="277"/>
      <c r="KF52" s="277"/>
      <c r="KG52" s="277"/>
      <c r="KH52" s="277"/>
      <c r="KI52" s="277"/>
      <c r="KJ52" s="277"/>
      <c r="KK52" s="277"/>
      <c r="KL52" s="277"/>
      <c r="KM52" s="277"/>
      <c r="KN52" s="277"/>
      <c r="KO52" s="277"/>
      <c r="KP52" s="274"/>
      <c r="KQ52" s="253"/>
      <c r="KR52" s="253"/>
      <c r="KY52" s="141">
        <f t="shared" si="11"/>
        <v>0</v>
      </c>
      <c r="KZ52" s="141">
        <f t="shared" si="12"/>
        <v>0</v>
      </c>
      <c r="LB52" s="141">
        <f t="shared" si="13"/>
        <v>0</v>
      </c>
      <c r="LC52" s="141">
        <f t="shared" si="14"/>
        <v>0</v>
      </c>
      <c r="LD52" s="141">
        <f t="shared" si="15"/>
        <v>0</v>
      </c>
      <c r="LE52" s="141" t="e">
        <f>((N(AU52)&gt;0)*(AX52&lt;&gt;"")+(N(AY52)&gt;0)*(BB52&lt;&gt;"")+(N(BC52)&gt;0)*(BF52&lt;&gt;"")+(N(BG52)&gt;0)*(BJ52&lt;&gt;"")+(N(BK52)&gt;0)*(BN52&lt;&gt;"")+(N(BO52)&gt;0)*(BR52&lt;&gt;"")+(N(BS52)&gt;0)*(BV52&lt;&gt;"")+(N(BW52)&gt;0)*(BZ52&lt;&gt;"")+(N(CA52)&gt;0)*(CD52&lt;&gt;"")+(N(CE52)&gt;0)*(CH52&lt;&gt;"")+(N(CI52)&gt;0)*(CL52&lt;&gt;"")+(N(CM52)&gt;0)*(CP52&lt;&gt;"")+(N(CQ52)&gt;0)*(CT52&lt;&gt;"")+(N(CU52)&gt;0)*(CX52&lt;&gt;"")+(N(CY52)&gt;0)*(DB52&lt;&gt;"")+(N(DC52)&gt;0)*(DF52&lt;&gt;"")+(N(DG52)&gt;0)*(DJ52&lt;&gt;"")+(N(DS52)&gt;0)*(DV52&lt;&gt;"")+(N(DW52)&gt;0)*(DZ52&lt;&gt;"")+(N(EA52)&gt;0)*(ED52&lt;&gt;"")+(N(EE52)&gt;0)*(EH52&lt;&gt;"")+(N(EI52)&gt;0)*(EL52&lt;&gt;"")+(N(EM52)&gt;0)*(EP52&lt;&gt;"")+(N(EQ52)&gt;0)*(ET52&lt;&gt;"")+(N(EU52)&gt;0)*(EX52&lt;&gt;"")+(N(#REF!)&gt;0)*(#REF!&lt;&gt;"")+(N(#REF!)&gt;0)*(#REF!&lt;&gt;"")+(N(FJ52)&gt;0)*(FM52&lt;&gt;"")+(N(FN52)&gt;0)*(FQ52&lt;&gt;"")+(N(#REF!)&gt;0)*(#REF!&lt;&gt;"")+(N(#REF!)&gt;0)*(#REF!&lt;&gt;"")+(N(HF52)&gt;0)*(HI52&lt;&gt;"")+(N(#REF!)&gt;0)*(#REF!&lt;&gt;"")+(N(HJ52)&gt;0)*(HM52&lt;&gt;"")+(N(HN52)&gt;0)*(HQ52&lt;&gt;"")+(N(HZ52)&gt;0)*(IC52&lt;&gt;"")+(N(ID52)&gt;0)*(IG52&lt;&gt;"")+(N(IH52)&gt;0)*(IK52&lt;&gt;"")+(N(IL52)&gt;0)*(IO52&lt;&gt;"")+(N(IX52)&gt;0)*(JA52&lt;&gt;"")+(N(JB52)&gt;0)*(JE52&lt;&gt;"")+(N(JF52)&gt;0)*(JH52&lt;&gt;"")+(N(JI52)&gt;0)*(JK52&lt;&gt;"")+(N(JL52)&gt;0)*(JN52&lt;&gt;"")+(N(JO52)&gt;0)*(JQ52&lt;&gt;""))</f>
        <v>#REF!</v>
      </c>
      <c r="LF52" s="141">
        <f t="shared" si="21"/>
        <v>0</v>
      </c>
      <c r="LG52" s="141">
        <f t="shared" si="16"/>
        <v>0</v>
      </c>
    </row>
    <row r="53" spans="2:319" ht="38.25" customHeight="1" x14ac:dyDescent="0.55000000000000004">
      <c r="B53" s="314" t="s">
        <v>451</v>
      </c>
      <c r="C53" s="218">
        <v>50</v>
      </c>
      <c r="D53" s="218">
        <v>50</v>
      </c>
      <c r="E53" s="218">
        <v>50</v>
      </c>
      <c r="F53" s="218"/>
      <c r="G53" s="218"/>
      <c r="H53" s="218"/>
      <c r="I53" s="162" cm="1">
        <f t="array" ref="I53">SUMPRODUCT(($AI$2:$KV$2&lt;&gt;"")*($AI53:$KV53&lt;&gt;""))</f>
        <v>1</v>
      </c>
      <c r="J53" s="142">
        <f t="shared" si="17"/>
        <v>50</v>
      </c>
      <c r="K53" s="142">
        <f t="shared" si="18"/>
        <v>700</v>
      </c>
      <c r="L53" s="268">
        <f t="shared" si="0"/>
        <v>7000</v>
      </c>
      <c r="M53" s="164">
        <f t="shared" si="8"/>
        <v>0</v>
      </c>
      <c r="N53" s="397"/>
      <c r="O53" s="165">
        <f t="shared" si="19"/>
        <v>0</v>
      </c>
      <c r="P53" s="165"/>
      <c r="Q53" s="165"/>
      <c r="R53" s="165">
        <f>(IFERROR(AM53/AN53,0)+IFERROR(AU53/AV53,0)+IFERROR(AY53/AZ53,0)+IFERROR(BC53/BD53,0)+IFERROR(BG53/BH53,0)+IFERROR(BK53/BL53,0)+IFERROR(BO53/BP53,0)+IFERROR(BS53/BT53,0)+IFERROR(BW53/BX53,0)+IFERROR(CA53/CB53,0)+IFERROR(CE53/CF53,0)+IFERROR(CI53/CJ53,0)+IFERROR(CM53/CN53,0)+IFERROR(CQ53/CR53,0)+IFERROR(CU53/CV53,0)+IFERROR(CY53/CZ53,0)+IFERROR(DC53/DD53,0)+IFERROR(DG53/DH53,0)+IFERROR(DS53/DT53,0)+IFERROR(DW53/DX53,0)+IFERROR(EA53/EB53,0)+IFERROR(EE53/EF53,0)+IFERROR(EI53/EJ53,0)+IFERROR(EM53/EN53,0)+IFERROR(EQ53/ER53,0)+IFERROR(EU53/EV53,0)+IFERROR(#REF!/#REF!,0)+IFERROR(#REF!/#REF!,0)+IFERROR(FJ53/FK53,0)+IFERROR(FN53/FO53,0)+IFERROR(#REF!/#REF!,0)+IFERROR(#REF!/#REF!,0)+IFERROR(HF53/HG53,0)+IFERROR(#REF!/#REF!,0)+IFERROR(HJ53/HK53,0)+IFERROR(HN53/HO53,0)+IFERROR(HZ53/IA53,0)+IFERROR(ID53/IE53,0)+IFERROR(IH53/II53,0)+IFERROR(IL53/IM53,0)+IFERROR(IX53/IY53,0)+IFERROR(JB53/JC53,0)+IFERROR(JF53/JG53,0)+IFERROR(JI53/JJ53,0)+IFERROR(JL53/JM53,0)+IFERROR(JO53/JP53,0))*L53*(C53+D53+E53+I53)</f>
        <v>0</v>
      </c>
      <c r="S53" s="165"/>
      <c r="T53" s="165">
        <f t="shared" si="9"/>
        <v>0</v>
      </c>
      <c r="U53" s="165"/>
      <c r="V53" s="165"/>
      <c r="W53" s="165"/>
      <c r="X53" s="165">
        <f>(IFERROR(FF53/FG53,0)+IFERROR(FC53/FD53,0)+IFERROR(#REF!/#REF!,0)+IFERROR(KP53/KQ53,0))*L53*(C53+D53+E53+I53)</f>
        <v>0</v>
      </c>
      <c r="Y53" s="484"/>
      <c r="Z53" s="484"/>
      <c r="AA53" s="484"/>
      <c r="AB53" s="484"/>
      <c r="AC53" s="150">
        <f t="shared" si="20"/>
        <v>0</v>
      </c>
      <c r="AD53" s="150"/>
      <c r="AE53" s="150">
        <f t="shared" si="10"/>
        <v>0</v>
      </c>
      <c r="AF53" s="161">
        <v>73</v>
      </c>
      <c r="AG53" s="143"/>
      <c r="AH53" s="154"/>
      <c r="AI53" s="144">
        <v>2.298</v>
      </c>
      <c r="AJ53" s="338"/>
      <c r="AK53" s="338"/>
      <c r="AL53" s="343" t="s">
        <v>545</v>
      </c>
      <c r="AM53" s="140"/>
      <c r="AN53" s="154"/>
      <c r="AO53" s="154"/>
      <c r="AP53" s="220"/>
      <c r="AQ53" s="145"/>
      <c r="AR53" s="154"/>
      <c r="AS53" s="154"/>
      <c r="AT53" s="220"/>
      <c r="AU53" s="140"/>
      <c r="AV53" s="277"/>
      <c r="AW53" s="277"/>
      <c r="AX53" s="277"/>
      <c r="AY53" s="140"/>
      <c r="AZ53" s="277"/>
      <c r="BA53" s="277"/>
      <c r="BB53" s="277"/>
      <c r="BC53" s="140"/>
      <c r="BD53" s="277"/>
      <c r="BE53" s="277"/>
      <c r="BF53" s="277"/>
      <c r="BG53" s="140"/>
      <c r="BH53" s="277"/>
      <c r="BI53" s="277"/>
      <c r="BJ53" s="277"/>
      <c r="BK53" s="140"/>
      <c r="BL53" s="277"/>
      <c r="BM53" s="277"/>
      <c r="BN53" s="277"/>
      <c r="BO53" s="140"/>
      <c r="BP53" s="277"/>
      <c r="BQ53" s="277"/>
      <c r="BR53" s="277"/>
      <c r="BS53" s="140"/>
      <c r="BT53" s="277"/>
      <c r="BU53" s="277"/>
      <c r="BV53" s="277"/>
      <c r="BW53" s="140"/>
      <c r="BX53" s="154"/>
      <c r="BY53" s="154"/>
      <c r="BZ53" s="220"/>
      <c r="CA53" s="140"/>
      <c r="CB53" s="154"/>
      <c r="CC53" s="154"/>
      <c r="CD53" s="220"/>
      <c r="CE53" s="140"/>
      <c r="CF53" s="271"/>
      <c r="CG53" s="271"/>
      <c r="CH53" s="271"/>
      <c r="CI53" s="140"/>
      <c r="CJ53" s="154"/>
      <c r="CK53" s="154"/>
      <c r="CL53" s="154"/>
      <c r="CM53" s="140"/>
      <c r="CN53" s="271"/>
      <c r="CO53" s="271"/>
      <c r="CP53" s="271"/>
      <c r="CQ53" s="140"/>
      <c r="CR53" s="154"/>
      <c r="CS53" s="154"/>
      <c r="CT53" s="154"/>
      <c r="CU53" s="140"/>
      <c r="CV53" s="154"/>
      <c r="CW53" s="154"/>
      <c r="CX53" s="220"/>
      <c r="CY53" s="140"/>
      <c r="CZ53" s="154"/>
      <c r="DA53" s="154"/>
      <c r="DB53" s="220"/>
      <c r="DC53" s="140"/>
      <c r="DD53" s="146"/>
      <c r="DE53" s="146"/>
      <c r="DF53" s="146"/>
      <c r="DG53" s="140"/>
      <c r="DH53" s="146"/>
      <c r="DI53" s="146"/>
      <c r="DJ53" s="146"/>
      <c r="DK53" s="146"/>
      <c r="DL53" s="146"/>
      <c r="DM53" s="146"/>
      <c r="DN53" s="146"/>
      <c r="DO53" s="146"/>
      <c r="DP53" s="146"/>
      <c r="DQ53" s="146"/>
      <c r="DR53" s="146"/>
      <c r="DS53" s="140"/>
      <c r="DT53" s="154"/>
      <c r="DU53" s="154"/>
      <c r="DV53" s="154"/>
      <c r="DW53" s="140"/>
      <c r="DX53" s="220"/>
      <c r="DY53" s="220"/>
      <c r="DZ53" s="220"/>
      <c r="EA53" s="140"/>
      <c r="EB53" s="220"/>
      <c r="EC53" s="220"/>
      <c r="ED53" s="220"/>
      <c r="EE53" s="140"/>
      <c r="EF53" s="154"/>
      <c r="EG53" s="154"/>
      <c r="EH53" s="154"/>
      <c r="EI53" s="140"/>
      <c r="EJ53" s="154"/>
      <c r="EK53" s="154"/>
      <c r="EL53" s="154"/>
      <c r="EM53" s="140"/>
      <c r="EN53" s="222"/>
      <c r="EO53" s="222"/>
      <c r="EP53" s="222"/>
      <c r="EQ53" s="140"/>
      <c r="ER53" s="222"/>
      <c r="ES53" s="222"/>
      <c r="ET53" s="222"/>
      <c r="EU53" s="140"/>
      <c r="EV53" s="222"/>
      <c r="EW53" s="222"/>
      <c r="EX53" s="222"/>
      <c r="EY53" s="344"/>
      <c r="EZ53" s="222"/>
      <c r="FA53" s="222"/>
      <c r="FB53" s="222"/>
      <c r="FC53" s="273"/>
      <c r="FD53" s="223"/>
      <c r="FE53" s="223"/>
      <c r="FF53" s="276"/>
      <c r="FG53" s="156"/>
      <c r="FH53" s="156"/>
      <c r="FI53" s="156"/>
      <c r="FJ53" s="140"/>
      <c r="FK53" s="277"/>
      <c r="FL53" s="277"/>
      <c r="FM53" s="277"/>
      <c r="FN53" s="140"/>
      <c r="FO53" s="277"/>
      <c r="FP53" s="277"/>
      <c r="FQ53" s="277"/>
      <c r="FR53" s="280"/>
      <c r="FS53" s="277"/>
      <c r="FT53" s="277"/>
      <c r="FU53" s="277"/>
      <c r="FV53" s="277"/>
      <c r="FW53" s="277"/>
      <c r="FX53" s="277"/>
      <c r="FY53" s="277"/>
      <c r="FZ53" s="277"/>
      <c r="GA53" s="277"/>
      <c r="GB53" s="277"/>
      <c r="GC53" s="277"/>
      <c r="GD53" s="277"/>
      <c r="GE53" s="277"/>
      <c r="GF53" s="277"/>
      <c r="GG53" s="277"/>
      <c r="GH53" s="277"/>
      <c r="GI53" s="277"/>
      <c r="GJ53" s="277"/>
      <c r="GK53" s="277"/>
      <c r="GL53" s="277"/>
      <c r="GM53" s="277"/>
      <c r="GN53" s="277"/>
      <c r="GO53" s="277"/>
      <c r="GP53" s="277"/>
      <c r="GQ53" s="277"/>
      <c r="GR53" s="277"/>
      <c r="GS53" s="277"/>
      <c r="GT53" s="277"/>
      <c r="GU53" s="277"/>
      <c r="GV53" s="277"/>
      <c r="GW53" s="277"/>
      <c r="GX53" s="277"/>
      <c r="GY53" s="277"/>
      <c r="GZ53" s="277"/>
      <c r="HA53" s="277"/>
      <c r="HB53" s="277"/>
      <c r="HC53" s="277"/>
      <c r="HD53" s="277"/>
      <c r="HE53" s="277"/>
      <c r="HF53" s="140"/>
      <c r="HG53" s="277"/>
      <c r="HH53" s="277"/>
      <c r="HI53" s="277"/>
      <c r="HJ53" s="140"/>
      <c r="HK53" s="277"/>
      <c r="HL53" s="277"/>
      <c r="HM53" s="277"/>
      <c r="HN53" s="140"/>
      <c r="HO53" s="277"/>
      <c r="HP53" s="277"/>
      <c r="HQ53" s="277"/>
      <c r="HR53" s="277"/>
      <c r="HS53" s="277"/>
      <c r="HT53" s="277"/>
      <c r="HU53" s="277"/>
      <c r="HV53" s="277"/>
      <c r="HW53" s="277"/>
      <c r="HX53" s="277"/>
      <c r="HY53" s="277"/>
      <c r="HZ53" s="140"/>
      <c r="IA53" s="277"/>
      <c r="IB53" s="277"/>
      <c r="IC53" s="277"/>
      <c r="ID53" s="140"/>
      <c r="IE53" s="277"/>
      <c r="IF53" s="277"/>
      <c r="IG53" s="277"/>
      <c r="IH53" s="140"/>
      <c r="II53" s="277"/>
      <c r="IJ53" s="277"/>
      <c r="IK53" s="277"/>
      <c r="IL53" s="140"/>
      <c r="IM53" s="277"/>
      <c r="IN53" s="277"/>
      <c r="IO53" s="277"/>
      <c r="IP53" s="277"/>
      <c r="IQ53" s="277"/>
      <c r="IR53" s="277"/>
      <c r="IS53" s="277"/>
      <c r="IT53" s="277"/>
      <c r="IU53" s="277"/>
      <c r="IV53" s="277"/>
      <c r="IW53" s="277"/>
      <c r="IX53" s="140"/>
      <c r="IY53" s="277"/>
      <c r="IZ53" s="277"/>
      <c r="JA53" s="277"/>
      <c r="JB53" s="140"/>
      <c r="JC53" s="277"/>
      <c r="JD53" s="277"/>
      <c r="JE53" s="277"/>
      <c r="JF53" s="140"/>
      <c r="JG53" s="277"/>
      <c r="JH53" s="277"/>
      <c r="JI53" s="140"/>
      <c r="JJ53" s="277"/>
      <c r="JK53" s="277"/>
      <c r="JL53" s="140"/>
      <c r="JM53" s="277"/>
      <c r="JN53" s="277"/>
      <c r="JO53" s="140"/>
      <c r="JP53" s="277"/>
      <c r="JQ53" s="277"/>
      <c r="JR53" s="277"/>
      <c r="JS53" s="277"/>
      <c r="JT53" s="277"/>
      <c r="JU53" s="277"/>
      <c r="JV53" s="277"/>
      <c r="JW53" s="277"/>
      <c r="JX53" s="277"/>
      <c r="JY53" s="277"/>
      <c r="JZ53" s="277"/>
      <c r="KA53" s="277"/>
      <c r="KB53" s="277"/>
      <c r="KC53" s="277"/>
      <c r="KD53" s="277"/>
      <c r="KE53" s="277"/>
      <c r="KF53" s="277"/>
      <c r="KG53" s="277"/>
      <c r="KH53" s="277"/>
      <c r="KI53" s="277"/>
      <c r="KJ53" s="277"/>
      <c r="KK53" s="277"/>
      <c r="KL53" s="277"/>
      <c r="KM53" s="277"/>
      <c r="KN53" s="277"/>
      <c r="KO53" s="277"/>
      <c r="KP53" s="274"/>
      <c r="KQ53" s="253"/>
      <c r="KR53" s="253"/>
      <c r="KY53" s="141">
        <f t="shared" si="11"/>
        <v>0</v>
      </c>
      <c r="KZ53" s="141">
        <f t="shared" si="12"/>
        <v>0</v>
      </c>
      <c r="LB53" s="141">
        <f t="shared" si="13"/>
        <v>1</v>
      </c>
      <c r="LC53" s="141">
        <f t="shared" si="14"/>
        <v>0</v>
      </c>
      <c r="LD53" s="141">
        <f t="shared" si="15"/>
        <v>0</v>
      </c>
      <c r="LE53" s="141" t="e">
        <f>((N(AU53)&gt;0)*(AX53&lt;&gt;"")+(N(AY53)&gt;0)*(BB53&lt;&gt;"")+(N(BC53)&gt;0)*(BF53&lt;&gt;"")+(N(BG53)&gt;0)*(BJ53&lt;&gt;"")+(N(BK53)&gt;0)*(BN53&lt;&gt;"")+(N(BO53)&gt;0)*(BR53&lt;&gt;"")+(N(BS53)&gt;0)*(BV53&lt;&gt;"")+(N(BW53)&gt;0)*(BZ53&lt;&gt;"")+(N(CA53)&gt;0)*(CD53&lt;&gt;"")+(N(CE53)&gt;0)*(CH53&lt;&gt;"")+(N(CI53)&gt;0)*(CL53&lt;&gt;"")+(N(CM53)&gt;0)*(CP53&lt;&gt;"")+(N(CQ53)&gt;0)*(CT53&lt;&gt;"")+(N(CU53)&gt;0)*(CX53&lt;&gt;"")+(N(CY53)&gt;0)*(DB53&lt;&gt;"")+(N(DC53)&gt;0)*(DF53&lt;&gt;"")+(N(DG53)&gt;0)*(DJ53&lt;&gt;"")+(N(DS53)&gt;0)*(DV53&lt;&gt;"")+(N(DW53)&gt;0)*(DZ53&lt;&gt;"")+(N(EA53)&gt;0)*(ED53&lt;&gt;"")+(N(EE53)&gt;0)*(EH53&lt;&gt;"")+(N(EI53)&gt;0)*(EL53&lt;&gt;"")+(N(EM53)&gt;0)*(EP53&lt;&gt;"")+(N(EQ53)&gt;0)*(ET53&lt;&gt;"")+(N(EU53)&gt;0)*(EX53&lt;&gt;"")+(N(#REF!)&gt;0)*(#REF!&lt;&gt;"")+(N(#REF!)&gt;0)*(#REF!&lt;&gt;"")+(N(FJ53)&gt;0)*(FM53&lt;&gt;"")+(N(FN53)&gt;0)*(FQ53&lt;&gt;"")+(N(#REF!)&gt;0)*(#REF!&lt;&gt;"")+(N(#REF!)&gt;0)*(#REF!&lt;&gt;"")+(N(HF53)&gt;0)*(HI53&lt;&gt;"")+(N(#REF!)&gt;0)*(#REF!&lt;&gt;"")+(N(HJ53)&gt;0)*(HM53&lt;&gt;"")+(N(HN53)&gt;0)*(HQ53&lt;&gt;"")+(N(HZ53)&gt;0)*(IC53&lt;&gt;"")+(N(ID53)&gt;0)*(IG53&lt;&gt;"")+(N(IH53)&gt;0)*(IK53&lt;&gt;"")+(N(IL53)&gt;0)*(IO53&lt;&gt;"")+(N(IX53)&gt;0)*(JA53&lt;&gt;"")+(N(JB53)&gt;0)*(JE53&lt;&gt;"")+(N(JF53)&gt;0)*(JH53&lt;&gt;"")+(N(JI53)&gt;0)*(JK53&lt;&gt;"")+(N(JL53)&gt;0)*(JN53&lt;&gt;"")+(N(JO53)&gt;0)*(JQ53&lt;&gt;""))</f>
        <v>#REF!</v>
      </c>
      <c r="LF53" s="141">
        <f t="shared" si="21"/>
        <v>0</v>
      </c>
      <c r="LG53" s="141">
        <f t="shared" si="16"/>
        <v>0</v>
      </c>
    </row>
    <row r="54" spans="2:319" ht="38.25" customHeight="1" x14ac:dyDescent="0.55000000000000004">
      <c r="B54" s="314" t="s">
        <v>408</v>
      </c>
      <c r="C54" s="218"/>
      <c r="D54" s="218"/>
      <c r="E54" s="218"/>
      <c r="F54" s="218"/>
      <c r="G54" s="218"/>
      <c r="H54" s="218"/>
      <c r="I54" s="162" cm="1">
        <f t="array" ref="I54">SUMPRODUCT(($AI$2:$KV$2&lt;&gt;"")*($AI54:$KV54&lt;&gt;""))</f>
        <v>0</v>
      </c>
      <c r="J54" s="142">
        <f t="shared" si="17"/>
        <v>0</v>
      </c>
      <c r="K54" s="142">
        <f t="shared" si="18"/>
        <v>0</v>
      </c>
      <c r="L54" s="268">
        <f t="shared" si="0"/>
        <v>7000</v>
      </c>
      <c r="M54" s="164">
        <f t="shared" si="8"/>
        <v>0</v>
      </c>
      <c r="N54" s="397"/>
      <c r="O54" s="165">
        <f t="shared" si="19"/>
        <v>0</v>
      </c>
      <c r="P54" s="165"/>
      <c r="Q54" s="165"/>
      <c r="R54" s="165">
        <f>(IFERROR(AM54/AN54,0)+IFERROR(AU54/AV54,0)+IFERROR(AY54/AZ54,0)+IFERROR(BC54/BD54,0)+IFERROR(BG54/BH54,0)+IFERROR(BK54/BL54,0)+IFERROR(BO54/BP54,0)+IFERROR(BS54/BT54,0)+IFERROR(BW54/BX54,0)+IFERROR(CA54/CB54,0)+IFERROR(CE54/CF54,0)+IFERROR(CI54/CJ54,0)+IFERROR(CM54/CN54,0)+IFERROR(CQ54/CR54,0)+IFERROR(CU54/CV54,0)+IFERROR(CY54/CZ54,0)+IFERROR(DC54/DD54,0)+IFERROR(DG54/DH54,0)+IFERROR(DS54/DT54,0)+IFERROR(DW54/DX54,0)+IFERROR(EA54/EB54,0)+IFERROR(EE54/EF54,0)+IFERROR(EI54/EJ54,0)+IFERROR(EM54/EN54,0)+IFERROR(EQ54/ER54,0)+IFERROR(EU54/EV54,0)+IFERROR(#REF!/#REF!,0)+IFERROR(#REF!/#REF!,0)+IFERROR(FJ54/FK54,0)+IFERROR(FN54/FO54,0)+IFERROR(#REF!/#REF!,0)+IFERROR(#REF!/#REF!,0)+IFERROR(HF54/HG54,0)+IFERROR(#REF!/#REF!,0)+IFERROR(HJ54/HK54,0)+IFERROR(HN54/HO54,0)+IFERROR(HZ54/IA54,0)+IFERROR(ID54/IE54,0)+IFERROR(IH54/II54,0)+IFERROR(IL54/IM54,0)+IFERROR(IX54/IY54,0)+IFERROR(JB54/JC54,0)+IFERROR(JF54/JG54,0)+IFERROR(JI54/JJ54,0)+IFERROR(JL54/JM54,0)+IFERROR(JO54/JP54,0))*L54*(C54+D54+E54+I54)</f>
        <v>0</v>
      </c>
      <c r="S54" s="165"/>
      <c r="T54" s="165">
        <f t="shared" si="9"/>
        <v>0</v>
      </c>
      <c r="U54" s="165"/>
      <c r="V54" s="165"/>
      <c r="W54" s="165"/>
      <c r="X54" s="165">
        <f>(IFERROR(FF54/FG54,0)+IFERROR(FC54/FD54,0)+IFERROR(#REF!/#REF!,0)+IFERROR(KP54/KQ54,0))*L54*(C54+D54+E54+I54)</f>
        <v>0</v>
      </c>
      <c r="Y54" s="484"/>
      <c r="Z54" s="484"/>
      <c r="AA54" s="484"/>
      <c r="AB54" s="484"/>
      <c r="AC54" s="150">
        <f t="shared" si="20"/>
        <v>0</v>
      </c>
      <c r="AD54" s="150"/>
      <c r="AE54" s="150">
        <f t="shared" si="10"/>
        <v>0</v>
      </c>
      <c r="AF54" s="161"/>
      <c r="AG54" s="143"/>
      <c r="AH54" s="154"/>
      <c r="AI54" s="144"/>
      <c r="AJ54" s="154"/>
      <c r="AK54" s="154"/>
      <c r="AL54" s="220"/>
      <c r="AM54" s="140"/>
      <c r="AN54" s="154"/>
      <c r="AO54" s="154"/>
      <c r="AP54" s="220"/>
      <c r="AQ54" s="145"/>
      <c r="AR54" s="154"/>
      <c r="AS54" s="154"/>
      <c r="AT54" s="220"/>
      <c r="AU54" s="140"/>
      <c r="AV54" s="277"/>
      <c r="AW54" s="277"/>
      <c r="AX54" s="277"/>
      <c r="AY54" s="140"/>
      <c r="AZ54" s="277"/>
      <c r="BA54" s="277"/>
      <c r="BB54" s="277"/>
      <c r="BC54" s="140"/>
      <c r="BD54" s="277"/>
      <c r="BE54" s="277"/>
      <c r="BF54" s="277"/>
      <c r="BG54" s="140"/>
      <c r="BH54" s="277"/>
      <c r="BI54" s="277"/>
      <c r="BJ54" s="277"/>
      <c r="BK54" s="140"/>
      <c r="BL54" s="277"/>
      <c r="BM54" s="277"/>
      <c r="BN54" s="277"/>
      <c r="BO54" s="140"/>
      <c r="BP54" s="277"/>
      <c r="BQ54" s="277"/>
      <c r="BR54" s="277"/>
      <c r="BS54" s="140"/>
      <c r="BT54" s="277"/>
      <c r="BU54" s="277"/>
      <c r="BV54" s="277"/>
      <c r="BW54" s="140"/>
      <c r="BX54" s="154"/>
      <c r="BY54" s="154"/>
      <c r="BZ54" s="220"/>
      <c r="CA54" s="140"/>
      <c r="CB54" s="154"/>
      <c r="CC54" s="154"/>
      <c r="CD54" s="220"/>
      <c r="CE54" s="140"/>
      <c r="CF54" s="271"/>
      <c r="CG54" s="271"/>
      <c r="CH54" s="271"/>
      <c r="CI54" s="140"/>
      <c r="CJ54" s="154"/>
      <c r="CK54" s="154"/>
      <c r="CL54" s="154"/>
      <c r="CM54" s="140"/>
      <c r="CN54" s="271"/>
      <c r="CO54" s="271"/>
      <c r="CP54" s="271"/>
      <c r="CQ54" s="140"/>
      <c r="CR54" s="154"/>
      <c r="CS54" s="154"/>
      <c r="CT54" s="154"/>
      <c r="CU54" s="140"/>
      <c r="CV54" s="154"/>
      <c r="CW54" s="154"/>
      <c r="CX54" s="220"/>
      <c r="CY54" s="140"/>
      <c r="CZ54" s="154"/>
      <c r="DA54" s="154"/>
      <c r="DB54" s="220"/>
      <c r="DC54" s="140"/>
      <c r="DD54" s="146"/>
      <c r="DE54" s="146"/>
      <c r="DF54" s="146"/>
      <c r="DG54" s="140"/>
      <c r="DH54" s="146"/>
      <c r="DI54" s="146"/>
      <c r="DJ54" s="146"/>
      <c r="DK54" s="146"/>
      <c r="DL54" s="146"/>
      <c r="DM54" s="146"/>
      <c r="DN54" s="146"/>
      <c r="DO54" s="146"/>
      <c r="DP54" s="146"/>
      <c r="DQ54" s="146"/>
      <c r="DR54" s="146"/>
      <c r="DS54" s="140"/>
      <c r="DT54" s="154"/>
      <c r="DU54" s="154"/>
      <c r="DV54" s="154"/>
      <c r="DW54" s="140"/>
      <c r="DX54" s="220"/>
      <c r="DY54" s="220"/>
      <c r="DZ54" s="220"/>
      <c r="EA54" s="140"/>
      <c r="EB54" s="220"/>
      <c r="EC54" s="220"/>
      <c r="ED54" s="220"/>
      <c r="EE54" s="140"/>
      <c r="EF54" s="154"/>
      <c r="EG54" s="154"/>
      <c r="EH54" s="154"/>
      <c r="EI54" s="140"/>
      <c r="EJ54" s="154"/>
      <c r="EK54" s="154"/>
      <c r="EL54" s="154"/>
      <c r="EM54" s="140"/>
      <c r="EN54" s="222"/>
      <c r="EO54" s="222"/>
      <c r="EP54" s="222"/>
      <c r="EQ54" s="140"/>
      <c r="ER54" s="222"/>
      <c r="ES54" s="222"/>
      <c r="ET54" s="222"/>
      <c r="EU54" s="140"/>
      <c r="EV54" s="222"/>
      <c r="EW54" s="222"/>
      <c r="EX54" s="222"/>
      <c r="EY54" s="344"/>
      <c r="EZ54" s="222"/>
      <c r="FA54" s="222"/>
      <c r="FB54" s="222"/>
      <c r="FC54" s="273"/>
      <c r="FD54" s="223"/>
      <c r="FE54" s="223"/>
      <c r="FF54" s="276"/>
      <c r="FG54" s="156"/>
      <c r="FH54" s="156"/>
      <c r="FI54" s="156"/>
      <c r="FJ54" s="140"/>
      <c r="FK54" s="277"/>
      <c r="FL54" s="277"/>
      <c r="FM54" s="277"/>
      <c r="FN54" s="140"/>
      <c r="FO54" s="277"/>
      <c r="FP54" s="277"/>
      <c r="FQ54" s="277"/>
      <c r="FR54" s="280"/>
      <c r="FS54" s="277"/>
      <c r="FT54" s="277"/>
      <c r="FU54" s="277"/>
      <c r="FV54" s="277"/>
      <c r="FW54" s="277"/>
      <c r="FX54" s="277"/>
      <c r="FY54" s="277"/>
      <c r="FZ54" s="277"/>
      <c r="GA54" s="277"/>
      <c r="GB54" s="277"/>
      <c r="GC54" s="277"/>
      <c r="GD54" s="277"/>
      <c r="GE54" s="277"/>
      <c r="GF54" s="277"/>
      <c r="GG54" s="277"/>
      <c r="GH54" s="277"/>
      <c r="GI54" s="277"/>
      <c r="GJ54" s="277"/>
      <c r="GK54" s="277"/>
      <c r="GL54" s="277"/>
      <c r="GM54" s="277"/>
      <c r="GN54" s="277"/>
      <c r="GO54" s="277"/>
      <c r="GP54" s="277"/>
      <c r="GQ54" s="277"/>
      <c r="GR54" s="277"/>
      <c r="GS54" s="277"/>
      <c r="GT54" s="277"/>
      <c r="GU54" s="277"/>
      <c r="GV54" s="277"/>
      <c r="GW54" s="277"/>
      <c r="GX54" s="277"/>
      <c r="GY54" s="277"/>
      <c r="GZ54" s="277"/>
      <c r="HA54" s="277"/>
      <c r="HB54" s="277"/>
      <c r="HC54" s="277"/>
      <c r="HD54" s="277"/>
      <c r="HE54" s="277"/>
      <c r="HF54" s="140"/>
      <c r="HG54" s="277"/>
      <c r="HH54" s="277"/>
      <c r="HI54" s="277"/>
      <c r="HJ54" s="140"/>
      <c r="HK54" s="277"/>
      <c r="HL54" s="277"/>
      <c r="HM54" s="277"/>
      <c r="HN54" s="140"/>
      <c r="HO54" s="277"/>
      <c r="HP54" s="277"/>
      <c r="HQ54" s="277"/>
      <c r="HR54" s="277"/>
      <c r="HS54" s="277"/>
      <c r="HT54" s="277"/>
      <c r="HU54" s="277"/>
      <c r="HV54" s="277"/>
      <c r="HW54" s="277"/>
      <c r="HX54" s="277"/>
      <c r="HY54" s="277"/>
      <c r="HZ54" s="140"/>
      <c r="IA54" s="277"/>
      <c r="IB54" s="277"/>
      <c r="IC54" s="277"/>
      <c r="ID54" s="140"/>
      <c r="IE54" s="277"/>
      <c r="IF54" s="277"/>
      <c r="IG54" s="277"/>
      <c r="IH54" s="140"/>
      <c r="II54" s="277"/>
      <c r="IJ54" s="277"/>
      <c r="IK54" s="277"/>
      <c r="IL54" s="140"/>
      <c r="IM54" s="277"/>
      <c r="IN54" s="277"/>
      <c r="IO54" s="277"/>
      <c r="IP54" s="277"/>
      <c r="IQ54" s="277"/>
      <c r="IR54" s="277"/>
      <c r="IS54" s="277"/>
      <c r="IT54" s="277"/>
      <c r="IU54" s="277"/>
      <c r="IV54" s="277"/>
      <c r="IW54" s="277"/>
      <c r="IX54" s="140"/>
      <c r="IY54" s="277"/>
      <c r="IZ54" s="277"/>
      <c r="JA54" s="277"/>
      <c r="JB54" s="140"/>
      <c r="JC54" s="277"/>
      <c r="JD54" s="277"/>
      <c r="JE54" s="277"/>
      <c r="JF54" s="140"/>
      <c r="JG54" s="277"/>
      <c r="JH54" s="277"/>
      <c r="JI54" s="140"/>
      <c r="JJ54" s="277"/>
      <c r="JK54" s="277"/>
      <c r="JL54" s="140"/>
      <c r="JM54" s="277"/>
      <c r="JN54" s="277"/>
      <c r="JO54" s="140"/>
      <c r="JP54" s="277"/>
      <c r="JQ54" s="277"/>
      <c r="JR54" s="277"/>
      <c r="JS54" s="277"/>
      <c r="JT54" s="277"/>
      <c r="JU54" s="277"/>
      <c r="JV54" s="277"/>
      <c r="JW54" s="277"/>
      <c r="JX54" s="277"/>
      <c r="JY54" s="277"/>
      <c r="JZ54" s="277"/>
      <c r="KA54" s="277"/>
      <c r="KB54" s="277"/>
      <c r="KC54" s="277"/>
      <c r="KD54" s="277"/>
      <c r="KE54" s="277"/>
      <c r="KF54" s="277"/>
      <c r="KG54" s="277"/>
      <c r="KH54" s="277"/>
      <c r="KI54" s="277"/>
      <c r="KJ54" s="277"/>
      <c r="KK54" s="277"/>
      <c r="KL54" s="277"/>
      <c r="KM54" s="277"/>
      <c r="KN54" s="277"/>
      <c r="KO54" s="277"/>
      <c r="KP54" s="274"/>
      <c r="KQ54" s="253"/>
      <c r="KR54" s="253"/>
      <c r="KY54" s="141">
        <f t="shared" si="11"/>
        <v>0</v>
      </c>
      <c r="KZ54" s="141">
        <f t="shared" si="12"/>
        <v>0</v>
      </c>
      <c r="LB54" s="141">
        <f t="shared" si="13"/>
        <v>0</v>
      </c>
      <c r="LC54" s="141">
        <f t="shared" si="14"/>
        <v>0</v>
      </c>
      <c r="LD54" s="141">
        <f t="shared" si="15"/>
        <v>0</v>
      </c>
      <c r="LE54" s="141" t="e">
        <f>((N(AU54)&gt;0)*(AX54&lt;&gt;"")+(N(AY54)&gt;0)*(BB54&lt;&gt;"")+(N(BC54)&gt;0)*(BF54&lt;&gt;"")+(N(BG54)&gt;0)*(BJ54&lt;&gt;"")+(N(BK54)&gt;0)*(BN54&lt;&gt;"")+(N(BO54)&gt;0)*(BR54&lt;&gt;"")+(N(BS54)&gt;0)*(BV54&lt;&gt;"")+(N(BW54)&gt;0)*(BZ54&lt;&gt;"")+(N(CA54)&gt;0)*(CD54&lt;&gt;"")+(N(CE54)&gt;0)*(CH54&lt;&gt;"")+(N(CI54)&gt;0)*(CL54&lt;&gt;"")+(N(CM54)&gt;0)*(CP54&lt;&gt;"")+(N(CQ54)&gt;0)*(CT54&lt;&gt;"")+(N(CU54)&gt;0)*(CX54&lt;&gt;"")+(N(CY54)&gt;0)*(DB54&lt;&gt;"")+(N(DC54)&gt;0)*(DF54&lt;&gt;"")+(N(DG54)&gt;0)*(DJ54&lt;&gt;"")+(N(DS54)&gt;0)*(DV54&lt;&gt;"")+(N(DW54)&gt;0)*(DZ54&lt;&gt;"")+(N(EA54)&gt;0)*(ED54&lt;&gt;"")+(N(EE54)&gt;0)*(EH54&lt;&gt;"")+(N(EI54)&gt;0)*(EL54&lt;&gt;"")+(N(EM54)&gt;0)*(EP54&lt;&gt;"")+(N(EQ54)&gt;0)*(ET54&lt;&gt;"")+(N(EU54)&gt;0)*(EX54&lt;&gt;"")+(N(#REF!)&gt;0)*(#REF!&lt;&gt;"")+(N(#REF!)&gt;0)*(#REF!&lt;&gt;"")+(N(FJ54)&gt;0)*(FM54&lt;&gt;"")+(N(FN54)&gt;0)*(FQ54&lt;&gt;"")+(N(#REF!)&gt;0)*(#REF!&lt;&gt;"")+(N(#REF!)&gt;0)*(#REF!&lt;&gt;"")+(N(HF54)&gt;0)*(HI54&lt;&gt;"")+(N(#REF!)&gt;0)*(#REF!&lt;&gt;"")+(N(HJ54)&gt;0)*(HM54&lt;&gt;"")+(N(HN54)&gt;0)*(HQ54&lt;&gt;"")+(N(HZ54)&gt;0)*(IC54&lt;&gt;"")+(N(ID54)&gt;0)*(IG54&lt;&gt;"")+(N(IH54)&gt;0)*(IK54&lt;&gt;"")+(N(IL54)&gt;0)*(IO54&lt;&gt;"")+(N(IX54)&gt;0)*(JA54&lt;&gt;"")+(N(JB54)&gt;0)*(JE54&lt;&gt;"")+(N(JF54)&gt;0)*(JH54&lt;&gt;"")+(N(JI54)&gt;0)*(JK54&lt;&gt;"")+(N(JL54)&gt;0)*(JN54&lt;&gt;"")+(N(JO54)&gt;0)*(JQ54&lt;&gt;""))</f>
        <v>#REF!</v>
      </c>
      <c r="LF54" s="141">
        <f t="shared" si="21"/>
        <v>0</v>
      </c>
      <c r="LG54" s="141">
        <f t="shared" si="16"/>
        <v>0</v>
      </c>
    </row>
    <row r="55" spans="2:319" ht="38.25" customHeight="1" x14ac:dyDescent="0.55000000000000004">
      <c r="B55" s="314" t="s">
        <v>418</v>
      </c>
      <c r="C55" s="218"/>
      <c r="D55" s="218"/>
      <c r="E55" s="218"/>
      <c r="F55" s="218"/>
      <c r="G55" s="218"/>
      <c r="H55" s="218"/>
      <c r="I55" s="162" cm="1">
        <f t="array" ref="I55">SUMPRODUCT(($AI$2:$KV$2&lt;&gt;"")*($AI55:$KV55&lt;&gt;""))</f>
        <v>5</v>
      </c>
      <c r="J55" s="142">
        <f t="shared" si="17"/>
        <v>0</v>
      </c>
      <c r="K55" s="142">
        <f t="shared" si="18"/>
        <v>0</v>
      </c>
      <c r="L55" s="268">
        <f t="shared" si="0"/>
        <v>7000</v>
      </c>
      <c r="M55" s="164">
        <f t="shared" si="8"/>
        <v>0</v>
      </c>
      <c r="N55" s="397"/>
      <c r="O55" s="165">
        <f t="shared" si="19"/>
        <v>0</v>
      </c>
      <c r="P55" s="165"/>
      <c r="Q55" s="165"/>
      <c r="R55" s="165">
        <f>(IFERROR(AM55/AN55,0)+IFERROR(AU55/AV55,0)+IFERROR(AY55/AZ55,0)+IFERROR(BC55/BD55,0)+IFERROR(BG55/BH55,0)+IFERROR(BK55/BL55,0)+IFERROR(BO55/BP55,0)+IFERROR(BS55/BT55,0)+IFERROR(BW55/BX55,0)+IFERROR(CA55/CB55,0)+IFERROR(CE55/CF55,0)+IFERROR(CI55/CJ55,0)+IFERROR(CM55/CN55,0)+IFERROR(CQ55/CR55,0)+IFERROR(CU55/CV55,0)+IFERROR(CY55/CZ55,0)+IFERROR(DC55/DD55,0)+IFERROR(DG55/DH55,0)+IFERROR(DS55/DT55,0)+IFERROR(DW55/DX55,0)+IFERROR(EA55/EB55,0)+IFERROR(EE55/EF55,0)+IFERROR(EI55/EJ55,0)+IFERROR(EM55/EN55,0)+IFERROR(EQ55/ER55,0)+IFERROR(EU55/EV55,0)+IFERROR(#REF!/#REF!,0)+IFERROR(#REF!/#REF!,0)+IFERROR(FJ55/FK55,0)+IFERROR(FN55/FO55,0)+IFERROR(#REF!/#REF!,0)+IFERROR(#REF!/#REF!,0)+IFERROR(HF55/HG55,0)+IFERROR(#REF!/#REF!,0)+IFERROR(HJ55/HK55,0)+IFERROR(HN55/HO55,0)+IFERROR(HZ55/IA55,0)+IFERROR(ID55/IE55,0)+IFERROR(IH55/II55,0)+IFERROR(IL55/IM55,0)+IFERROR(IX55/IY55,0)+IFERROR(JB55/JC55,0)+IFERROR(JF55/JG55,0)+IFERROR(JI55/JJ55,0)+IFERROR(JL55/JM55,0)+IFERROR(JO55/JP55,0))*L55*(C55+D55+E55+I55)</f>
        <v>0</v>
      </c>
      <c r="S55" s="165"/>
      <c r="T55" s="165">
        <f t="shared" si="9"/>
        <v>0</v>
      </c>
      <c r="U55" s="165"/>
      <c r="V55" s="165"/>
      <c r="W55" s="165"/>
      <c r="X55" s="165">
        <f>(IFERROR(FF55/FG55,0)+IFERROR(FC55/FD55,0)+IFERROR(#REF!/#REF!,0)+IFERROR(KP55/KQ55,0))*L55*(C55+D55+E55+I55)</f>
        <v>0</v>
      </c>
      <c r="Y55" s="484"/>
      <c r="Z55" s="484"/>
      <c r="AA55" s="484"/>
      <c r="AB55" s="484"/>
      <c r="AC55" s="150">
        <f t="shared" si="20"/>
        <v>0</v>
      </c>
      <c r="AD55" s="150"/>
      <c r="AE55" s="150">
        <f t="shared" si="10"/>
        <v>0</v>
      </c>
      <c r="AF55" s="161">
        <v>120</v>
      </c>
      <c r="AG55" s="143">
        <v>25</v>
      </c>
      <c r="AH55" s="154"/>
      <c r="AI55" s="144">
        <v>8.4</v>
      </c>
      <c r="AJ55" s="338"/>
      <c r="AK55" s="338"/>
      <c r="AL55" s="220" t="s">
        <v>509</v>
      </c>
      <c r="AM55" s="140">
        <v>16</v>
      </c>
      <c r="AN55" s="338"/>
      <c r="AO55" s="338"/>
      <c r="AP55" s="220" t="s">
        <v>507</v>
      </c>
      <c r="AQ55" s="145">
        <v>85</v>
      </c>
      <c r="AR55" s="338"/>
      <c r="AS55" s="338"/>
      <c r="AT55" s="220" t="s">
        <v>508</v>
      </c>
      <c r="AU55" s="140"/>
      <c r="AV55" s="277"/>
      <c r="AW55" s="277"/>
      <c r="AX55" s="277"/>
      <c r="AY55" s="140"/>
      <c r="AZ55" s="277"/>
      <c r="BA55" s="277"/>
      <c r="BB55" s="277"/>
      <c r="BC55" s="140"/>
      <c r="BD55" s="277"/>
      <c r="BE55" s="277"/>
      <c r="BF55" s="277"/>
      <c r="BG55" s="140"/>
      <c r="BH55" s="277"/>
      <c r="BI55" s="277"/>
      <c r="BJ55" s="277"/>
      <c r="BK55" s="140"/>
      <c r="BL55" s="277"/>
      <c r="BM55" s="277"/>
      <c r="BN55" s="277"/>
      <c r="BO55" s="140"/>
      <c r="BP55" s="277"/>
      <c r="BQ55" s="277"/>
      <c r="BR55" s="277"/>
      <c r="BS55" s="140"/>
      <c r="BT55" s="277"/>
      <c r="BU55" s="277"/>
      <c r="BV55" s="277"/>
      <c r="BW55" s="140"/>
      <c r="BX55" s="154"/>
      <c r="BY55" s="154"/>
      <c r="BZ55" s="220" t="s">
        <v>508</v>
      </c>
      <c r="CA55" s="140"/>
      <c r="CB55" s="154"/>
      <c r="CC55" s="154"/>
      <c r="CD55" s="220" t="s">
        <v>508</v>
      </c>
      <c r="CE55" s="140"/>
      <c r="CF55" s="271"/>
      <c r="CG55" s="271"/>
      <c r="CH55" s="271"/>
      <c r="CI55" s="140"/>
      <c r="CJ55" s="154"/>
      <c r="CK55" s="154"/>
      <c r="CL55" s="154"/>
      <c r="CM55" s="140"/>
      <c r="CN55" s="271"/>
      <c r="CO55" s="271"/>
      <c r="CP55" s="271"/>
      <c r="CQ55" s="140"/>
      <c r="CR55" s="154"/>
      <c r="CS55" s="154"/>
      <c r="CT55" s="154"/>
      <c r="CU55" s="140">
        <v>9.1</v>
      </c>
      <c r="CV55" s="338"/>
      <c r="CW55" s="338"/>
      <c r="CX55" s="220" t="s">
        <v>507</v>
      </c>
      <c r="CY55" s="140">
        <v>17</v>
      </c>
      <c r="CZ55" s="338"/>
      <c r="DA55" s="338"/>
      <c r="DB55" s="220" t="s">
        <v>507</v>
      </c>
      <c r="DC55" s="140"/>
      <c r="DD55" s="146"/>
      <c r="DE55" s="146"/>
      <c r="DF55" s="146"/>
      <c r="DG55" s="140"/>
      <c r="DH55" s="146"/>
      <c r="DI55" s="146"/>
      <c r="DJ55" s="146"/>
      <c r="DK55" s="146"/>
      <c r="DL55" s="146"/>
      <c r="DM55" s="146"/>
      <c r="DN55" s="146"/>
      <c r="DO55" s="146"/>
      <c r="DP55" s="146"/>
      <c r="DQ55" s="146"/>
      <c r="DR55" s="146"/>
      <c r="DS55" s="140"/>
      <c r="DT55" s="154"/>
      <c r="DU55" s="154"/>
      <c r="DV55" s="154"/>
      <c r="DW55" s="140"/>
      <c r="DX55" s="220"/>
      <c r="DY55" s="220"/>
      <c r="DZ55" s="220"/>
      <c r="EA55" s="140"/>
      <c r="EB55" s="220"/>
      <c r="EC55" s="220"/>
      <c r="ED55" s="220"/>
      <c r="EE55" s="140"/>
      <c r="EF55" s="154"/>
      <c r="EG55" s="154"/>
      <c r="EH55" s="154"/>
      <c r="EI55" s="140"/>
      <c r="EJ55" s="154"/>
      <c r="EK55" s="154"/>
      <c r="EL55" s="154"/>
      <c r="EM55" s="140"/>
      <c r="EN55" s="222"/>
      <c r="EO55" s="222"/>
      <c r="EP55" s="222"/>
      <c r="EQ55" s="140"/>
      <c r="ER55" s="222"/>
      <c r="ES55" s="222"/>
      <c r="ET55" s="222"/>
      <c r="EU55" s="140"/>
      <c r="EV55" s="222"/>
      <c r="EW55" s="222"/>
      <c r="EX55" s="222"/>
      <c r="EY55" s="344"/>
      <c r="EZ55" s="222"/>
      <c r="FA55" s="222"/>
      <c r="FB55" s="222"/>
      <c r="FC55" s="273"/>
      <c r="FD55" s="223"/>
      <c r="FE55" s="223"/>
      <c r="FF55" s="276"/>
      <c r="FG55" s="156"/>
      <c r="FH55" s="156"/>
      <c r="FI55" s="156"/>
      <c r="FJ55" s="140"/>
      <c r="FK55" s="277"/>
      <c r="FL55" s="277"/>
      <c r="FM55" s="277"/>
      <c r="FN55" s="140"/>
      <c r="FO55" s="277"/>
      <c r="FP55" s="277"/>
      <c r="FQ55" s="277"/>
      <c r="FR55" s="280"/>
      <c r="FS55" s="277"/>
      <c r="FT55" s="277"/>
      <c r="FU55" s="277"/>
      <c r="FV55" s="277"/>
      <c r="FW55" s="277"/>
      <c r="FX55" s="277"/>
      <c r="FY55" s="277"/>
      <c r="FZ55" s="277"/>
      <c r="GA55" s="277"/>
      <c r="GB55" s="277"/>
      <c r="GC55" s="277"/>
      <c r="GD55" s="277"/>
      <c r="GE55" s="277"/>
      <c r="GF55" s="277"/>
      <c r="GG55" s="277"/>
      <c r="GH55" s="277"/>
      <c r="GI55" s="277"/>
      <c r="GJ55" s="277"/>
      <c r="GK55" s="277"/>
      <c r="GL55" s="277"/>
      <c r="GM55" s="277"/>
      <c r="GN55" s="277"/>
      <c r="GO55" s="277"/>
      <c r="GP55" s="277"/>
      <c r="GQ55" s="277"/>
      <c r="GR55" s="277"/>
      <c r="GS55" s="277"/>
      <c r="GT55" s="277"/>
      <c r="GU55" s="277"/>
      <c r="GV55" s="277"/>
      <c r="GW55" s="277"/>
      <c r="GX55" s="277"/>
      <c r="GY55" s="277"/>
      <c r="GZ55" s="277"/>
      <c r="HA55" s="277"/>
      <c r="HB55" s="277"/>
      <c r="HC55" s="277"/>
      <c r="HD55" s="277"/>
      <c r="HE55" s="277"/>
      <c r="HF55" s="140"/>
      <c r="HG55" s="277"/>
      <c r="HH55" s="277"/>
      <c r="HI55" s="277"/>
      <c r="HJ55" s="140"/>
      <c r="HK55" s="277"/>
      <c r="HL55" s="277"/>
      <c r="HM55" s="277"/>
      <c r="HN55" s="140"/>
      <c r="HO55" s="277"/>
      <c r="HP55" s="277"/>
      <c r="HQ55" s="277"/>
      <c r="HR55" s="277"/>
      <c r="HS55" s="277"/>
      <c r="HT55" s="277"/>
      <c r="HU55" s="277"/>
      <c r="HV55" s="277"/>
      <c r="HW55" s="277"/>
      <c r="HX55" s="277"/>
      <c r="HY55" s="277"/>
      <c r="HZ55" s="140"/>
      <c r="IA55" s="277"/>
      <c r="IB55" s="277"/>
      <c r="IC55" s="277"/>
      <c r="ID55" s="140"/>
      <c r="IE55" s="277"/>
      <c r="IF55" s="277"/>
      <c r="IG55" s="277"/>
      <c r="IH55" s="140"/>
      <c r="II55" s="277"/>
      <c r="IJ55" s="277"/>
      <c r="IK55" s="277"/>
      <c r="IL55" s="140"/>
      <c r="IM55" s="277"/>
      <c r="IN55" s="277"/>
      <c r="IO55" s="277"/>
      <c r="IP55" s="277"/>
      <c r="IQ55" s="277"/>
      <c r="IR55" s="277"/>
      <c r="IS55" s="277"/>
      <c r="IT55" s="277"/>
      <c r="IU55" s="277"/>
      <c r="IV55" s="277"/>
      <c r="IW55" s="277"/>
      <c r="IX55" s="140"/>
      <c r="IY55" s="277"/>
      <c r="IZ55" s="277"/>
      <c r="JA55" s="277"/>
      <c r="JB55" s="140"/>
      <c r="JC55" s="277"/>
      <c r="JD55" s="277"/>
      <c r="JE55" s="277"/>
      <c r="JF55" s="140"/>
      <c r="JG55" s="277"/>
      <c r="JH55" s="277"/>
      <c r="JI55" s="140"/>
      <c r="JJ55" s="277"/>
      <c r="JK55" s="277"/>
      <c r="JL55" s="140"/>
      <c r="JM55" s="277"/>
      <c r="JN55" s="277"/>
      <c r="JO55" s="140"/>
      <c r="JP55" s="277"/>
      <c r="JQ55" s="277"/>
      <c r="JR55" s="277"/>
      <c r="JS55" s="277"/>
      <c r="JT55" s="277"/>
      <c r="JU55" s="277"/>
      <c r="JV55" s="277"/>
      <c r="JW55" s="277"/>
      <c r="JX55" s="277"/>
      <c r="JY55" s="277"/>
      <c r="JZ55" s="277"/>
      <c r="KA55" s="277"/>
      <c r="KB55" s="277"/>
      <c r="KC55" s="277"/>
      <c r="KD55" s="277"/>
      <c r="KE55" s="277"/>
      <c r="KF55" s="277"/>
      <c r="KG55" s="277"/>
      <c r="KH55" s="277"/>
      <c r="KI55" s="277"/>
      <c r="KJ55" s="277"/>
      <c r="KK55" s="277"/>
      <c r="KL55" s="277"/>
      <c r="KM55" s="277"/>
      <c r="KN55" s="277"/>
      <c r="KO55" s="277"/>
      <c r="KP55" s="274"/>
      <c r="KQ55" s="253"/>
      <c r="KR55" s="253"/>
      <c r="KY55" s="141">
        <f t="shared" si="11"/>
        <v>0</v>
      </c>
      <c r="KZ55" s="141">
        <f t="shared" si="12"/>
        <v>0</v>
      </c>
      <c r="LB55" s="141">
        <f t="shared" si="13"/>
        <v>1</v>
      </c>
      <c r="LC55" s="141">
        <f t="shared" si="14"/>
        <v>1</v>
      </c>
      <c r="LD55" s="141">
        <f t="shared" si="15"/>
        <v>1</v>
      </c>
      <c r="LE55" s="141" t="e">
        <f>((N(AU55)&gt;0)*(AX55&lt;&gt;"")+(N(AY55)&gt;0)*(BB55&lt;&gt;"")+(N(BC55)&gt;0)*(BF55&lt;&gt;"")+(N(BG55)&gt;0)*(BJ55&lt;&gt;"")+(N(BK55)&gt;0)*(BN55&lt;&gt;"")+(N(BO55)&gt;0)*(BR55&lt;&gt;"")+(N(BS55)&gt;0)*(BV55&lt;&gt;"")+(N(BW55)&gt;0)*(BZ55&lt;&gt;"")+(N(CA55)&gt;0)*(CD55&lt;&gt;"")+(N(CE55)&gt;0)*(CH55&lt;&gt;"")+(N(CI55)&gt;0)*(CL55&lt;&gt;"")+(N(CM55)&gt;0)*(CP55&lt;&gt;"")+(N(CQ55)&gt;0)*(CT55&lt;&gt;"")+(N(CU55)&gt;0)*(CX55&lt;&gt;"")+(N(CY55)&gt;0)*(DB55&lt;&gt;"")+(N(DC55)&gt;0)*(DF55&lt;&gt;"")+(N(DG55)&gt;0)*(DJ55&lt;&gt;"")+(N(DS55)&gt;0)*(DV55&lt;&gt;"")+(N(DW55)&gt;0)*(DZ55&lt;&gt;"")+(N(EA55)&gt;0)*(ED55&lt;&gt;"")+(N(EE55)&gt;0)*(EH55&lt;&gt;"")+(N(EI55)&gt;0)*(EL55&lt;&gt;"")+(N(EM55)&gt;0)*(EP55&lt;&gt;"")+(N(EQ55)&gt;0)*(ET55&lt;&gt;"")+(N(EU55)&gt;0)*(EX55&lt;&gt;"")+(N(#REF!)&gt;0)*(#REF!&lt;&gt;"")+(N(#REF!)&gt;0)*(#REF!&lt;&gt;"")+(N(FJ55)&gt;0)*(FM55&lt;&gt;"")+(N(FN55)&gt;0)*(FQ55&lt;&gt;"")+(N(#REF!)&gt;0)*(#REF!&lt;&gt;"")+(N(#REF!)&gt;0)*(#REF!&lt;&gt;"")+(N(HF55)&gt;0)*(HI55&lt;&gt;"")+(N(#REF!)&gt;0)*(#REF!&lt;&gt;"")+(N(HJ55)&gt;0)*(HM55&lt;&gt;"")+(N(HN55)&gt;0)*(HQ55&lt;&gt;"")+(N(HZ55)&gt;0)*(IC55&lt;&gt;"")+(N(ID55)&gt;0)*(IG55&lt;&gt;"")+(N(IH55)&gt;0)*(IK55&lt;&gt;"")+(N(IL55)&gt;0)*(IO55&lt;&gt;"")+(N(IX55)&gt;0)*(JA55&lt;&gt;"")+(N(JB55)&gt;0)*(JE55&lt;&gt;"")+(N(JF55)&gt;0)*(JH55&lt;&gt;"")+(N(JI55)&gt;0)*(JK55&lt;&gt;"")+(N(JL55)&gt;0)*(JN55&lt;&gt;"")+(N(JO55)&gt;0)*(JQ55&lt;&gt;""))</f>
        <v>#REF!</v>
      </c>
      <c r="LF55" s="141">
        <f t="shared" si="21"/>
        <v>0</v>
      </c>
      <c r="LG55" s="141">
        <f t="shared" si="16"/>
        <v>0</v>
      </c>
    </row>
    <row r="56" spans="2:319" ht="38.25" customHeight="1" x14ac:dyDescent="0.55000000000000004">
      <c r="B56" s="314" t="s">
        <v>419</v>
      </c>
      <c r="C56" s="218"/>
      <c r="D56" s="218"/>
      <c r="E56" s="218"/>
      <c r="F56" s="218"/>
      <c r="G56" s="218"/>
      <c r="H56" s="218"/>
      <c r="I56" s="162" cm="1">
        <f t="array" ref="I56">SUMPRODUCT(($AI$2:$KV$2&lt;&gt;"")*($AI56:$KV56&lt;&gt;""))</f>
        <v>1</v>
      </c>
      <c r="J56" s="142">
        <f t="shared" si="17"/>
        <v>0</v>
      </c>
      <c r="K56" s="142">
        <f t="shared" si="18"/>
        <v>0</v>
      </c>
      <c r="L56" s="268">
        <f t="shared" si="0"/>
        <v>7000</v>
      </c>
      <c r="M56" s="164">
        <f t="shared" si="8"/>
        <v>0</v>
      </c>
      <c r="N56" s="397"/>
      <c r="O56" s="165">
        <f t="shared" si="19"/>
        <v>0</v>
      </c>
      <c r="P56" s="165"/>
      <c r="Q56" s="165"/>
      <c r="R56" s="165">
        <f>(IFERROR(AM56/AN56,0)+IFERROR(AU56/AV56,0)+IFERROR(AY56/AZ56,0)+IFERROR(BC56/BD56,0)+IFERROR(BG56/BH56,0)+IFERROR(BK56/BL56,0)+IFERROR(BO56/BP56,0)+IFERROR(BS56/BT56,0)+IFERROR(BW56/BX56,0)+IFERROR(CA56/CB56,0)+IFERROR(CE56/CF56,0)+IFERROR(CI56/CJ56,0)+IFERROR(CM56/CN56,0)+IFERROR(CQ56/CR56,0)+IFERROR(CU56/CV56,0)+IFERROR(CY56/CZ56,0)+IFERROR(DC56/DD56,0)+IFERROR(DG56/DH56,0)+IFERROR(DS56/DT56,0)+IFERROR(DW56/DX56,0)+IFERROR(EA56/EB56,0)+IFERROR(EE56/EF56,0)+IFERROR(EI56/EJ56,0)+IFERROR(EM56/EN56,0)+IFERROR(EQ56/ER56,0)+IFERROR(EU56/EV56,0)+IFERROR(#REF!/#REF!,0)+IFERROR(#REF!/#REF!,0)+IFERROR(FJ56/FK56,0)+IFERROR(FN56/FO56,0)+IFERROR(#REF!/#REF!,0)+IFERROR(#REF!/#REF!,0)+IFERROR(HF56/HG56,0)+IFERROR(#REF!/#REF!,0)+IFERROR(HJ56/HK56,0)+IFERROR(HN56/HO56,0)+IFERROR(HZ56/IA56,0)+IFERROR(ID56/IE56,0)+IFERROR(IH56/II56,0)+IFERROR(IL56/IM56,0)+IFERROR(IX56/IY56,0)+IFERROR(JB56/JC56,0)+IFERROR(JF56/JG56,0)+IFERROR(JI56/JJ56,0)+IFERROR(JL56/JM56,0)+IFERROR(JO56/JP56,0))*L56*(C56+D56+E56+I56)</f>
        <v>0</v>
      </c>
      <c r="S56" s="165"/>
      <c r="T56" s="165">
        <f t="shared" si="9"/>
        <v>0</v>
      </c>
      <c r="U56" s="165"/>
      <c r="V56" s="165"/>
      <c r="W56" s="165"/>
      <c r="X56" s="165">
        <f>(IFERROR(FF56/FG56,0)+IFERROR(FC56/FD56,0)+IFERROR(#REF!/#REF!,0)+IFERROR(KP56/KQ56,0))*L56*(C56+D56+E56+I56)</f>
        <v>0</v>
      </c>
      <c r="Y56" s="484"/>
      <c r="Z56" s="484"/>
      <c r="AA56" s="484"/>
      <c r="AB56" s="484"/>
      <c r="AC56" s="150">
        <f t="shared" si="20"/>
        <v>0</v>
      </c>
      <c r="AD56" s="150"/>
      <c r="AE56" s="150">
        <f t="shared" si="10"/>
        <v>0</v>
      </c>
      <c r="AF56" s="161">
        <v>90</v>
      </c>
      <c r="AG56" s="143">
        <v>10</v>
      </c>
      <c r="AH56" s="154"/>
      <c r="AI56" s="144">
        <v>8</v>
      </c>
      <c r="AJ56" s="338"/>
      <c r="AK56" s="338"/>
      <c r="AL56" s="220" t="s">
        <v>510</v>
      </c>
      <c r="AM56" s="140"/>
      <c r="AN56" s="154"/>
      <c r="AO56" s="154"/>
      <c r="AP56" s="220"/>
      <c r="AQ56" s="145"/>
      <c r="AR56" s="154"/>
      <c r="AS56" s="154"/>
      <c r="AT56" s="220"/>
      <c r="AU56" s="140"/>
      <c r="AV56" s="277"/>
      <c r="AW56" s="277"/>
      <c r="AX56" s="277"/>
      <c r="AY56" s="140"/>
      <c r="AZ56" s="277"/>
      <c r="BA56" s="277"/>
      <c r="BB56" s="277"/>
      <c r="BC56" s="140"/>
      <c r="BD56" s="277"/>
      <c r="BE56" s="277"/>
      <c r="BF56" s="277"/>
      <c r="BG56" s="140"/>
      <c r="BH56" s="277"/>
      <c r="BI56" s="277"/>
      <c r="BJ56" s="277"/>
      <c r="BK56" s="140"/>
      <c r="BL56" s="277"/>
      <c r="BM56" s="277"/>
      <c r="BN56" s="277"/>
      <c r="BO56" s="140"/>
      <c r="BP56" s="277"/>
      <c r="BQ56" s="277"/>
      <c r="BR56" s="277"/>
      <c r="BS56" s="140"/>
      <c r="BT56" s="277"/>
      <c r="BU56" s="277"/>
      <c r="BV56" s="277"/>
      <c r="BW56" s="140"/>
      <c r="BX56" s="154"/>
      <c r="BY56" s="154"/>
      <c r="BZ56" s="220"/>
      <c r="CA56" s="140"/>
      <c r="CB56" s="154"/>
      <c r="CC56" s="154"/>
      <c r="CD56" s="220"/>
      <c r="CE56" s="140"/>
      <c r="CF56" s="271"/>
      <c r="CG56" s="271"/>
      <c r="CH56" s="271"/>
      <c r="CI56" s="140"/>
      <c r="CJ56" s="154"/>
      <c r="CK56" s="154"/>
      <c r="CL56" s="154"/>
      <c r="CM56" s="140"/>
      <c r="CN56" s="271"/>
      <c r="CO56" s="271"/>
      <c r="CP56" s="271"/>
      <c r="CQ56" s="140"/>
      <c r="CR56" s="154"/>
      <c r="CS56" s="154"/>
      <c r="CT56" s="154"/>
      <c r="CU56" s="140"/>
      <c r="CV56" s="154"/>
      <c r="CW56" s="154"/>
      <c r="CX56" s="220"/>
      <c r="CY56" s="140"/>
      <c r="CZ56" s="154"/>
      <c r="DA56" s="154"/>
      <c r="DB56" s="220"/>
      <c r="DC56" s="140"/>
      <c r="DD56" s="146"/>
      <c r="DE56" s="146"/>
      <c r="DF56" s="146"/>
      <c r="DG56" s="140"/>
      <c r="DH56" s="146"/>
      <c r="DI56" s="146"/>
      <c r="DJ56" s="146"/>
      <c r="DK56" s="146"/>
      <c r="DL56" s="146"/>
      <c r="DM56" s="146"/>
      <c r="DN56" s="146"/>
      <c r="DO56" s="146"/>
      <c r="DP56" s="146"/>
      <c r="DQ56" s="146"/>
      <c r="DR56" s="146"/>
      <c r="DS56" s="140"/>
      <c r="DT56" s="154"/>
      <c r="DU56" s="154"/>
      <c r="DV56" s="154"/>
      <c r="DW56" s="140"/>
      <c r="DX56" s="220"/>
      <c r="DY56" s="220"/>
      <c r="DZ56" s="220"/>
      <c r="EA56" s="140"/>
      <c r="EB56" s="220"/>
      <c r="EC56" s="220"/>
      <c r="ED56" s="220"/>
      <c r="EE56" s="140"/>
      <c r="EF56" s="154"/>
      <c r="EG56" s="154"/>
      <c r="EH56" s="154"/>
      <c r="EI56" s="140"/>
      <c r="EJ56" s="154"/>
      <c r="EK56" s="154"/>
      <c r="EL56" s="154"/>
      <c r="EM56" s="140"/>
      <c r="EN56" s="222"/>
      <c r="EO56" s="222"/>
      <c r="EP56" s="222"/>
      <c r="EQ56" s="140"/>
      <c r="ER56" s="222"/>
      <c r="ES56" s="222"/>
      <c r="ET56" s="222"/>
      <c r="EU56" s="140"/>
      <c r="EV56" s="222"/>
      <c r="EW56" s="222"/>
      <c r="EX56" s="222"/>
      <c r="EY56" s="344"/>
      <c r="EZ56" s="222"/>
      <c r="FA56" s="222"/>
      <c r="FB56" s="222"/>
      <c r="FC56" s="273"/>
      <c r="FD56" s="223"/>
      <c r="FE56" s="223"/>
      <c r="FF56" s="276"/>
      <c r="FG56" s="156"/>
      <c r="FH56" s="156"/>
      <c r="FI56" s="156"/>
      <c r="FJ56" s="140"/>
      <c r="FK56" s="277"/>
      <c r="FL56" s="277"/>
      <c r="FM56" s="277"/>
      <c r="FN56" s="140"/>
      <c r="FO56" s="277"/>
      <c r="FP56" s="277"/>
      <c r="FQ56" s="277"/>
      <c r="FR56" s="280"/>
      <c r="FS56" s="277"/>
      <c r="FT56" s="277"/>
      <c r="FU56" s="277"/>
      <c r="FV56" s="277"/>
      <c r="FW56" s="277"/>
      <c r="FX56" s="277"/>
      <c r="FY56" s="277"/>
      <c r="FZ56" s="277"/>
      <c r="GA56" s="277"/>
      <c r="GB56" s="277"/>
      <c r="GC56" s="277"/>
      <c r="GD56" s="277"/>
      <c r="GE56" s="277"/>
      <c r="GF56" s="277"/>
      <c r="GG56" s="277"/>
      <c r="GH56" s="277"/>
      <c r="GI56" s="277"/>
      <c r="GJ56" s="277"/>
      <c r="GK56" s="277"/>
      <c r="GL56" s="277"/>
      <c r="GM56" s="277"/>
      <c r="GN56" s="277"/>
      <c r="GO56" s="277"/>
      <c r="GP56" s="277"/>
      <c r="GQ56" s="277"/>
      <c r="GR56" s="277"/>
      <c r="GS56" s="277"/>
      <c r="GT56" s="277"/>
      <c r="GU56" s="277"/>
      <c r="GV56" s="277"/>
      <c r="GW56" s="277"/>
      <c r="GX56" s="277"/>
      <c r="GY56" s="277"/>
      <c r="GZ56" s="277"/>
      <c r="HA56" s="277"/>
      <c r="HB56" s="277"/>
      <c r="HC56" s="277"/>
      <c r="HD56" s="277"/>
      <c r="HE56" s="277"/>
      <c r="HF56" s="140"/>
      <c r="HG56" s="277"/>
      <c r="HH56" s="277"/>
      <c r="HI56" s="277"/>
      <c r="HJ56" s="140"/>
      <c r="HK56" s="277"/>
      <c r="HL56" s="277"/>
      <c r="HM56" s="277"/>
      <c r="HN56" s="140"/>
      <c r="HO56" s="277"/>
      <c r="HP56" s="277"/>
      <c r="HQ56" s="277"/>
      <c r="HR56" s="277"/>
      <c r="HS56" s="277"/>
      <c r="HT56" s="277"/>
      <c r="HU56" s="277"/>
      <c r="HV56" s="277"/>
      <c r="HW56" s="277"/>
      <c r="HX56" s="277"/>
      <c r="HY56" s="277"/>
      <c r="HZ56" s="140"/>
      <c r="IA56" s="277"/>
      <c r="IB56" s="277"/>
      <c r="IC56" s="277"/>
      <c r="ID56" s="140"/>
      <c r="IE56" s="277"/>
      <c r="IF56" s="277"/>
      <c r="IG56" s="277"/>
      <c r="IH56" s="140"/>
      <c r="II56" s="277"/>
      <c r="IJ56" s="277"/>
      <c r="IK56" s="277"/>
      <c r="IL56" s="140"/>
      <c r="IM56" s="277"/>
      <c r="IN56" s="277"/>
      <c r="IO56" s="277"/>
      <c r="IP56" s="277"/>
      <c r="IQ56" s="277"/>
      <c r="IR56" s="277"/>
      <c r="IS56" s="277"/>
      <c r="IT56" s="277"/>
      <c r="IU56" s="277"/>
      <c r="IV56" s="277"/>
      <c r="IW56" s="277"/>
      <c r="IX56" s="140"/>
      <c r="IY56" s="277"/>
      <c r="IZ56" s="277"/>
      <c r="JA56" s="277"/>
      <c r="JB56" s="140"/>
      <c r="JC56" s="277"/>
      <c r="JD56" s="277"/>
      <c r="JE56" s="277"/>
      <c r="JF56" s="140"/>
      <c r="JG56" s="277"/>
      <c r="JH56" s="277"/>
      <c r="JI56" s="140"/>
      <c r="JJ56" s="277"/>
      <c r="JK56" s="277"/>
      <c r="JL56" s="140"/>
      <c r="JM56" s="277"/>
      <c r="JN56" s="277"/>
      <c r="JO56" s="140"/>
      <c r="JP56" s="277"/>
      <c r="JQ56" s="277"/>
      <c r="JR56" s="277"/>
      <c r="JS56" s="277"/>
      <c r="JT56" s="277"/>
      <c r="JU56" s="277"/>
      <c r="JV56" s="277"/>
      <c r="JW56" s="277"/>
      <c r="JX56" s="277"/>
      <c r="JY56" s="277"/>
      <c r="JZ56" s="277"/>
      <c r="KA56" s="277"/>
      <c r="KB56" s="277"/>
      <c r="KC56" s="277"/>
      <c r="KD56" s="277"/>
      <c r="KE56" s="277"/>
      <c r="KF56" s="277"/>
      <c r="KG56" s="277"/>
      <c r="KH56" s="277"/>
      <c r="KI56" s="277"/>
      <c r="KJ56" s="277"/>
      <c r="KK56" s="277"/>
      <c r="KL56" s="277"/>
      <c r="KM56" s="277"/>
      <c r="KN56" s="277"/>
      <c r="KO56" s="277"/>
      <c r="KP56" s="274"/>
      <c r="KQ56" s="253"/>
      <c r="KR56" s="253"/>
      <c r="KY56" s="141">
        <f t="shared" si="11"/>
        <v>0</v>
      </c>
      <c r="KZ56" s="141">
        <f t="shared" si="12"/>
        <v>0</v>
      </c>
      <c r="LB56" s="141">
        <f t="shared" si="13"/>
        <v>1</v>
      </c>
      <c r="LC56" s="141">
        <f t="shared" si="14"/>
        <v>0</v>
      </c>
      <c r="LD56" s="141">
        <f t="shared" si="15"/>
        <v>0</v>
      </c>
      <c r="LE56" s="141" t="e">
        <f>((N(AU56)&gt;0)*(AX56&lt;&gt;"")+(N(AY56)&gt;0)*(BB56&lt;&gt;"")+(N(BC56)&gt;0)*(BF56&lt;&gt;"")+(N(BG56)&gt;0)*(BJ56&lt;&gt;"")+(N(BK56)&gt;0)*(BN56&lt;&gt;"")+(N(BO56)&gt;0)*(BR56&lt;&gt;"")+(N(BS56)&gt;0)*(BV56&lt;&gt;"")+(N(BW56)&gt;0)*(BZ56&lt;&gt;"")+(N(CA56)&gt;0)*(CD56&lt;&gt;"")+(N(CE56)&gt;0)*(CH56&lt;&gt;"")+(N(CI56)&gt;0)*(CL56&lt;&gt;"")+(N(CM56)&gt;0)*(CP56&lt;&gt;"")+(N(CQ56)&gt;0)*(CT56&lt;&gt;"")+(N(CU56)&gt;0)*(CX56&lt;&gt;"")+(N(CY56)&gt;0)*(DB56&lt;&gt;"")+(N(DC56)&gt;0)*(DF56&lt;&gt;"")+(N(DG56)&gt;0)*(DJ56&lt;&gt;"")+(N(DS56)&gt;0)*(DV56&lt;&gt;"")+(N(DW56)&gt;0)*(DZ56&lt;&gt;"")+(N(EA56)&gt;0)*(ED56&lt;&gt;"")+(N(EE56)&gt;0)*(EH56&lt;&gt;"")+(N(EI56)&gt;0)*(EL56&lt;&gt;"")+(N(EM56)&gt;0)*(EP56&lt;&gt;"")+(N(EQ56)&gt;0)*(ET56&lt;&gt;"")+(N(EU56)&gt;0)*(EX56&lt;&gt;"")+(N(#REF!)&gt;0)*(#REF!&lt;&gt;"")+(N(#REF!)&gt;0)*(#REF!&lt;&gt;"")+(N(FJ56)&gt;0)*(FM56&lt;&gt;"")+(N(FN56)&gt;0)*(FQ56&lt;&gt;"")+(N(#REF!)&gt;0)*(#REF!&lt;&gt;"")+(N(#REF!)&gt;0)*(#REF!&lt;&gt;"")+(N(HF56)&gt;0)*(HI56&lt;&gt;"")+(N(#REF!)&gt;0)*(#REF!&lt;&gt;"")+(N(HJ56)&gt;0)*(HM56&lt;&gt;"")+(N(HN56)&gt;0)*(HQ56&lt;&gt;"")+(N(HZ56)&gt;0)*(IC56&lt;&gt;"")+(N(ID56)&gt;0)*(IG56&lt;&gt;"")+(N(IH56)&gt;0)*(IK56&lt;&gt;"")+(N(IL56)&gt;0)*(IO56&lt;&gt;"")+(N(IX56)&gt;0)*(JA56&lt;&gt;"")+(N(JB56)&gt;0)*(JE56&lt;&gt;"")+(N(JF56)&gt;0)*(JH56&lt;&gt;"")+(N(JI56)&gt;0)*(JK56&lt;&gt;"")+(N(JL56)&gt;0)*(JN56&lt;&gt;"")+(N(JO56)&gt;0)*(JQ56&lt;&gt;""))</f>
        <v>#REF!</v>
      </c>
      <c r="LF56" s="141">
        <f t="shared" si="21"/>
        <v>0</v>
      </c>
      <c r="LG56" s="141">
        <f t="shared" si="16"/>
        <v>0</v>
      </c>
    </row>
    <row r="57" spans="2:319" ht="38.25" customHeight="1" x14ac:dyDescent="0.55000000000000004">
      <c r="B57" s="314" t="s">
        <v>490</v>
      </c>
      <c r="C57" s="218"/>
      <c r="D57" s="218"/>
      <c r="E57" s="218"/>
      <c r="F57" s="218"/>
      <c r="G57" s="218"/>
      <c r="H57" s="218"/>
      <c r="I57" s="162" cm="1">
        <f t="array" ref="I57">SUMPRODUCT(($AI$2:$KV$2&lt;&gt;"")*($AI57:$KV57&lt;&gt;""))</f>
        <v>0</v>
      </c>
      <c r="J57" s="142">
        <f t="shared" si="17"/>
        <v>0</v>
      </c>
      <c r="K57" s="142">
        <f t="shared" si="18"/>
        <v>0</v>
      </c>
      <c r="L57" s="268">
        <f t="shared" si="0"/>
        <v>7000</v>
      </c>
      <c r="M57" s="164">
        <f t="shared" si="8"/>
        <v>0</v>
      </c>
      <c r="N57" s="397"/>
      <c r="O57" s="165">
        <f t="shared" si="19"/>
        <v>0</v>
      </c>
      <c r="P57" s="165"/>
      <c r="Q57" s="165"/>
      <c r="R57" s="165">
        <f>(IFERROR(AM57/AN57,0)+IFERROR(AU57/AV57,0)+IFERROR(AY57/AZ57,0)+IFERROR(BC57/BD57,0)+IFERROR(BG57/BH57,0)+IFERROR(BK57/BL57,0)+IFERROR(BO57/BP57,0)+IFERROR(BS57/BT57,0)+IFERROR(BW57/BX57,0)+IFERROR(CA57/CB57,0)+IFERROR(CE57/CF57,0)+IFERROR(CI57/CJ57,0)+IFERROR(CM57/CN57,0)+IFERROR(CQ57/CR57,0)+IFERROR(CU57/CV57,0)+IFERROR(CY57/CZ57,0)+IFERROR(DC57/DD57,0)+IFERROR(DG57/DH57,0)+IFERROR(DS57/DT57,0)+IFERROR(DW57/DX57,0)+IFERROR(EA57/EB57,0)+IFERROR(EE57/EF57,0)+IFERROR(EI57/EJ57,0)+IFERROR(EM57/EN57,0)+IFERROR(EQ57/ER57,0)+IFERROR(EU57/EV57,0)+IFERROR(#REF!/#REF!,0)+IFERROR(#REF!/#REF!,0)+IFERROR(FJ57/FK57,0)+IFERROR(FN57/FO57,0)+IFERROR(#REF!/#REF!,0)+IFERROR(#REF!/#REF!,0)+IFERROR(HF57/HG57,0)+IFERROR(#REF!/#REF!,0)+IFERROR(HJ57/HK57,0)+IFERROR(HN57/HO57,0)+IFERROR(HZ57/IA57,0)+IFERROR(ID57/IE57,0)+IFERROR(IH57/II57,0)+IFERROR(IL57/IM57,0)+IFERROR(IX57/IY57,0)+IFERROR(JB57/JC57,0)+IFERROR(JF57/JG57,0)+IFERROR(JI57/JJ57,0)+IFERROR(JL57/JM57,0)+IFERROR(JO57/JP57,0))*L57*(C57+D57+E57+I57)</f>
        <v>0</v>
      </c>
      <c r="S57" s="165"/>
      <c r="T57" s="165">
        <f t="shared" si="9"/>
        <v>0</v>
      </c>
      <c r="U57" s="165"/>
      <c r="V57" s="165"/>
      <c r="W57" s="165"/>
      <c r="X57" s="165">
        <f>(IFERROR(FF57/FG57,0)+IFERROR(FC57/FD57,0)+IFERROR(#REF!/#REF!,0)+IFERROR(KP57/KQ57,0))*L57*(C57+D57+E57+I57)</f>
        <v>0</v>
      </c>
      <c r="Y57" s="484"/>
      <c r="Z57" s="484"/>
      <c r="AA57" s="484"/>
      <c r="AB57" s="484"/>
      <c r="AC57" s="150">
        <f t="shared" si="20"/>
        <v>0</v>
      </c>
      <c r="AD57" s="150"/>
      <c r="AE57" s="150">
        <f t="shared" si="10"/>
        <v>0</v>
      </c>
      <c r="AF57" s="161"/>
      <c r="AG57" s="143"/>
      <c r="AH57" s="154"/>
      <c r="AI57" s="144"/>
      <c r="AJ57" s="154"/>
      <c r="AK57" s="154"/>
      <c r="AL57" s="220"/>
      <c r="AM57" s="140"/>
      <c r="AN57" s="154"/>
      <c r="AO57" s="154"/>
      <c r="AP57" s="220"/>
      <c r="AQ57" s="145"/>
      <c r="AR57" s="154"/>
      <c r="AS57" s="154"/>
      <c r="AT57" s="220"/>
      <c r="AU57" s="140"/>
      <c r="AV57" s="277"/>
      <c r="AW57" s="277"/>
      <c r="AX57" s="277"/>
      <c r="AY57" s="140"/>
      <c r="AZ57" s="277"/>
      <c r="BA57" s="277"/>
      <c r="BB57" s="277"/>
      <c r="BC57" s="140"/>
      <c r="BD57" s="277"/>
      <c r="BE57" s="277"/>
      <c r="BF57" s="277"/>
      <c r="BG57" s="140"/>
      <c r="BH57" s="277"/>
      <c r="BI57" s="277"/>
      <c r="BJ57" s="277"/>
      <c r="BK57" s="140"/>
      <c r="BL57" s="277"/>
      <c r="BM57" s="277"/>
      <c r="BN57" s="277"/>
      <c r="BO57" s="140"/>
      <c r="BP57" s="277"/>
      <c r="BQ57" s="277"/>
      <c r="BR57" s="277"/>
      <c r="BS57" s="140"/>
      <c r="BT57" s="277"/>
      <c r="BU57" s="277"/>
      <c r="BV57" s="277"/>
      <c r="BW57" s="140"/>
      <c r="BX57" s="154"/>
      <c r="BY57" s="154"/>
      <c r="BZ57" s="220"/>
      <c r="CA57" s="140"/>
      <c r="CB57" s="154"/>
      <c r="CC57" s="154"/>
      <c r="CD57" s="220"/>
      <c r="CE57" s="140"/>
      <c r="CF57" s="271"/>
      <c r="CG57" s="271"/>
      <c r="CH57" s="271"/>
      <c r="CI57" s="140"/>
      <c r="CJ57" s="154"/>
      <c r="CK57" s="154"/>
      <c r="CL57" s="154"/>
      <c r="CM57" s="140"/>
      <c r="CN57" s="271"/>
      <c r="CO57" s="271"/>
      <c r="CP57" s="271"/>
      <c r="CQ57" s="140"/>
      <c r="CR57" s="154"/>
      <c r="CS57" s="154"/>
      <c r="CT57" s="154"/>
      <c r="CU57" s="140"/>
      <c r="CV57" s="154"/>
      <c r="CW57" s="154"/>
      <c r="CX57" s="220"/>
      <c r="CY57" s="140"/>
      <c r="CZ57" s="154"/>
      <c r="DA57" s="154"/>
      <c r="DB57" s="220"/>
      <c r="DC57" s="140"/>
      <c r="DD57" s="146"/>
      <c r="DE57" s="146"/>
      <c r="DF57" s="146"/>
      <c r="DG57" s="140"/>
      <c r="DH57" s="146"/>
      <c r="DI57" s="146"/>
      <c r="DJ57" s="146"/>
      <c r="DK57" s="146"/>
      <c r="DL57" s="146"/>
      <c r="DM57" s="146"/>
      <c r="DN57" s="146"/>
      <c r="DO57" s="146"/>
      <c r="DP57" s="146"/>
      <c r="DQ57" s="146"/>
      <c r="DR57" s="146"/>
      <c r="DS57" s="140"/>
      <c r="DT57" s="154"/>
      <c r="DU57" s="154"/>
      <c r="DV57" s="154"/>
      <c r="DW57" s="140"/>
      <c r="DX57" s="220"/>
      <c r="DY57" s="220"/>
      <c r="DZ57" s="220"/>
      <c r="EA57" s="140"/>
      <c r="EB57" s="220"/>
      <c r="EC57" s="220"/>
      <c r="ED57" s="220"/>
      <c r="EE57" s="140"/>
      <c r="EF57" s="154"/>
      <c r="EG57" s="154"/>
      <c r="EH57" s="154"/>
      <c r="EI57" s="140"/>
      <c r="EJ57" s="154"/>
      <c r="EK57" s="154"/>
      <c r="EL57" s="154"/>
      <c r="EM57" s="140"/>
      <c r="EN57" s="222"/>
      <c r="EO57" s="222"/>
      <c r="EP57" s="222"/>
      <c r="EQ57" s="140"/>
      <c r="ER57" s="222"/>
      <c r="ES57" s="222"/>
      <c r="ET57" s="222"/>
      <c r="EU57" s="140"/>
      <c r="EV57" s="222"/>
      <c r="EW57" s="222"/>
      <c r="EX57" s="222"/>
      <c r="EY57" s="344"/>
      <c r="EZ57" s="222"/>
      <c r="FA57" s="222"/>
      <c r="FB57" s="222"/>
      <c r="FC57" s="273"/>
      <c r="FD57" s="223"/>
      <c r="FE57" s="223"/>
      <c r="FF57" s="276"/>
      <c r="FG57" s="156"/>
      <c r="FH57" s="156"/>
      <c r="FI57" s="156"/>
      <c r="FJ57" s="140"/>
      <c r="FK57" s="277"/>
      <c r="FL57" s="277"/>
      <c r="FM57" s="277"/>
      <c r="FN57" s="140"/>
      <c r="FO57" s="277"/>
      <c r="FP57" s="277"/>
      <c r="FQ57" s="277"/>
      <c r="FR57" s="280"/>
      <c r="FS57" s="277"/>
      <c r="FT57" s="277"/>
      <c r="FU57" s="277"/>
      <c r="FV57" s="277"/>
      <c r="FW57" s="277"/>
      <c r="FX57" s="277"/>
      <c r="FY57" s="277"/>
      <c r="FZ57" s="277"/>
      <c r="GA57" s="277"/>
      <c r="GB57" s="277"/>
      <c r="GC57" s="277"/>
      <c r="GD57" s="277"/>
      <c r="GE57" s="277"/>
      <c r="GF57" s="277"/>
      <c r="GG57" s="277"/>
      <c r="GH57" s="277"/>
      <c r="GI57" s="277"/>
      <c r="GJ57" s="277"/>
      <c r="GK57" s="277"/>
      <c r="GL57" s="277"/>
      <c r="GM57" s="277"/>
      <c r="GN57" s="277"/>
      <c r="GO57" s="277"/>
      <c r="GP57" s="277"/>
      <c r="GQ57" s="277"/>
      <c r="GR57" s="277"/>
      <c r="GS57" s="277"/>
      <c r="GT57" s="277"/>
      <c r="GU57" s="277"/>
      <c r="GV57" s="277"/>
      <c r="GW57" s="277"/>
      <c r="GX57" s="277"/>
      <c r="GY57" s="277"/>
      <c r="GZ57" s="277"/>
      <c r="HA57" s="277"/>
      <c r="HB57" s="277"/>
      <c r="HC57" s="277"/>
      <c r="HD57" s="277"/>
      <c r="HE57" s="277"/>
      <c r="HF57" s="140"/>
      <c r="HG57" s="277"/>
      <c r="HH57" s="277"/>
      <c r="HI57" s="277"/>
      <c r="HJ57" s="140"/>
      <c r="HK57" s="277"/>
      <c r="HL57" s="277"/>
      <c r="HM57" s="277"/>
      <c r="HN57" s="140"/>
      <c r="HO57" s="277"/>
      <c r="HP57" s="277"/>
      <c r="HQ57" s="277"/>
      <c r="HR57" s="277"/>
      <c r="HS57" s="277"/>
      <c r="HT57" s="277"/>
      <c r="HU57" s="277"/>
      <c r="HV57" s="277"/>
      <c r="HW57" s="277"/>
      <c r="HX57" s="277"/>
      <c r="HY57" s="277"/>
      <c r="HZ57" s="140"/>
      <c r="IA57" s="277"/>
      <c r="IB57" s="277"/>
      <c r="IC57" s="277"/>
      <c r="ID57" s="140"/>
      <c r="IE57" s="277"/>
      <c r="IF57" s="277"/>
      <c r="IG57" s="277"/>
      <c r="IH57" s="140"/>
      <c r="II57" s="277"/>
      <c r="IJ57" s="277"/>
      <c r="IK57" s="277"/>
      <c r="IL57" s="140"/>
      <c r="IM57" s="277"/>
      <c r="IN57" s="277"/>
      <c r="IO57" s="277"/>
      <c r="IP57" s="277"/>
      <c r="IQ57" s="277"/>
      <c r="IR57" s="277"/>
      <c r="IS57" s="277"/>
      <c r="IT57" s="277"/>
      <c r="IU57" s="277"/>
      <c r="IV57" s="277"/>
      <c r="IW57" s="277"/>
      <c r="IX57" s="140"/>
      <c r="IY57" s="277"/>
      <c r="IZ57" s="277"/>
      <c r="JA57" s="277"/>
      <c r="JB57" s="140"/>
      <c r="JC57" s="277"/>
      <c r="JD57" s="277"/>
      <c r="JE57" s="277"/>
      <c r="JF57" s="140"/>
      <c r="JG57" s="277"/>
      <c r="JH57" s="277"/>
      <c r="JI57" s="140"/>
      <c r="JJ57" s="277"/>
      <c r="JK57" s="277"/>
      <c r="JL57" s="140"/>
      <c r="JM57" s="277"/>
      <c r="JN57" s="277"/>
      <c r="JO57" s="140"/>
      <c r="JP57" s="277"/>
      <c r="JQ57" s="277"/>
      <c r="JR57" s="277"/>
      <c r="JS57" s="277"/>
      <c r="JT57" s="277"/>
      <c r="JU57" s="277"/>
      <c r="JV57" s="277"/>
      <c r="JW57" s="277"/>
      <c r="JX57" s="277"/>
      <c r="JY57" s="277"/>
      <c r="JZ57" s="277"/>
      <c r="KA57" s="277"/>
      <c r="KB57" s="277"/>
      <c r="KC57" s="277"/>
      <c r="KD57" s="277"/>
      <c r="KE57" s="277"/>
      <c r="KF57" s="277"/>
      <c r="KG57" s="277"/>
      <c r="KH57" s="277"/>
      <c r="KI57" s="277"/>
      <c r="KJ57" s="277"/>
      <c r="KK57" s="277"/>
      <c r="KL57" s="277"/>
      <c r="KM57" s="277"/>
      <c r="KN57" s="277"/>
      <c r="KO57" s="277"/>
      <c r="KP57" s="274"/>
      <c r="KQ57" s="253"/>
      <c r="KR57" s="253"/>
      <c r="KY57" s="141">
        <f t="shared" si="11"/>
        <v>0</v>
      </c>
      <c r="KZ57" s="141">
        <f t="shared" si="12"/>
        <v>0</v>
      </c>
      <c r="LB57" s="141">
        <f t="shared" si="13"/>
        <v>0</v>
      </c>
      <c r="LC57" s="141">
        <f t="shared" si="14"/>
        <v>0</v>
      </c>
      <c r="LD57" s="141">
        <f t="shared" si="15"/>
        <v>0</v>
      </c>
      <c r="LE57" s="141" t="e">
        <f>((N(AU57)&gt;0)*(AX57&lt;&gt;"")+(N(AY57)&gt;0)*(BB57&lt;&gt;"")+(N(BC57)&gt;0)*(BF57&lt;&gt;"")+(N(BG57)&gt;0)*(BJ57&lt;&gt;"")+(N(BK57)&gt;0)*(BN57&lt;&gt;"")+(N(BO57)&gt;0)*(BR57&lt;&gt;"")+(N(BS57)&gt;0)*(BV57&lt;&gt;"")+(N(BW57)&gt;0)*(BZ57&lt;&gt;"")+(N(CA57)&gt;0)*(CD57&lt;&gt;"")+(N(CE57)&gt;0)*(CH57&lt;&gt;"")+(N(CI57)&gt;0)*(CL57&lt;&gt;"")+(N(CM57)&gt;0)*(CP57&lt;&gt;"")+(N(CQ57)&gt;0)*(CT57&lt;&gt;"")+(N(CU57)&gt;0)*(CX57&lt;&gt;"")+(N(CY57)&gt;0)*(DB57&lt;&gt;"")+(N(DC57)&gt;0)*(DF57&lt;&gt;"")+(N(DG57)&gt;0)*(DJ57&lt;&gt;"")+(N(DS57)&gt;0)*(DV57&lt;&gt;"")+(N(DW57)&gt;0)*(DZ57&lt;&gt;"")+(N(EA57)&gt;0)*(ED57&lt;&gt;"")+(N(EE57)&gt;0)*(EH57&lt;&gt;"")+(N(EI57)&gt;0)*(EL57&lt;&gt;"")+(N(EM57)&gt;0)*(EP57&lt;&gt;"")+(N(EQ57)&gt;0)*(ET57&lt;&gt;"")+(N(EU57)&gt;0)*(EX57&lt;&gt;"")+(N(#REF!)&gt;0)*(#REF!&lt;&gt;"")+(N(#REF!)&gt;0)*(#REF!&lt;&gt;"")+(N(FJ57)&gt;0)*(FM57&lt;&gt;"")+(N(FN57)&gt;0)*(FQ57&lt;&gt;"")+(N(#REF!)&gt;0)*(#REF!&lt;&gt;"")+(N(#REF!)&gt;0)*(#REF!&lt;&gt;"")+(N(HF57)&gt;0)*(HI57&lt;&gt;"")+(N(#REF!)&gt;0)*(#REF!&lt;&gt;"")+(N(HJ57)&gt;0)*(HM57&lt;&gt;"")+(N(HN57)&gt;0)*(HQ57&lt;&gt;"")+(N(HZ57)&gt;0)*(IC57&lt;&gt;"")+(N(ID57)&gt;0)*(IG57&lt;&gt;"")+(N(IH57)&gt;0)*(IK57&lt;&gt;"")+(N(IL57)&gt;0)*(IO57&lt;&gt;"")+(N(IX57)&gt;0)*(JA57&lt;&gt;"")+(N(JB57)&gt;0)*(JE57&lt;&gt;"")+(N(JF57)&gt;0)*(JH57&lt;&gt;"")+(N(JI57)&gt;0)*(JK57&lt;&gt;"")+(N(JL57)&gt;0)*(JN57&lt;&gt;"")+(N(JO57)&gt;0)*(JQ57&lt;&gt;""))</f>
        <v>#REF!</v>
      </c>
      <c r="LF57" s="141">
        <f t="shared" si="21"/>
        <v>0</v>
      </c>
      <c r="LG57" s="141">
        <f t="shared" si="16"/>
        <v>0</v>
      </c>
    </row>
    <row r="58" spans="2:319" ht="38.25" customHeight="1" x14ac:dyDescent="0.55000000000000004">
      <c r="B58" s="314" t="s">
        <v>488</v>
      </c>
      <c r="C58" s="218"/>
      <c r="D58" s="218"/>
      <c r="E58" s="218"/>
      <c r="F58" s="218"/>
      <c r="G58" s="218"/>
      <c r="H58" s="218"/>
      <c r="I58" s="162" cm="1">
        <f t="array" ref="I58">SUMPRODUCT(($AI$2:$KV$2&lt;&gt;"")*($AI58:$KV58&lt;&gt;""))</f>
        <v>0</v>
      </c>
      <c r="J58" s="142">
        <f t="shared" si="17"/>
        <v>0</v>
      </c>
      <c r="K58" s="142">
        <f t="shared" si="18"/>
        <v>0</v>
      </c>
      <c r="L58" s="268">
        <f t="shared" si="0"/>
        <v>7000</v>
      </c>
      <c r="M58" s="164">
        <f t="shared" si="8"/>
        <v>0</v>
      </c>
      <c r="N58" s="397"/>
      <c r="O58" s="165">
        <f t="shared" si="19"/>
        <v>0</v>
      </c>
      <c r="P58" s="165"/>
      <c r="Q58" s="165"/>
      <c r="R58" s="165">
        <f>(IFERROR(AM58/AN58,0)+IFERROR(AU58/AV58,0)+IFERROR(AY58/AZ58,0)+IFERROR(BC58/BD58,0)+IFERROR(BG58/BH58,0)+IFERROR(BK58/BL58,0)+IFERROR(BO58/BP58,0)+IFERROR(BS58/BT58,0)+IFERROR(BW58/BX58,0)+IFERROR(CA58/CB58,0)+IFERROR(CE58/CF58,0)+IFERROR(CI58/CJ58,0)+IFERROR(CM58/CN58,0)+IFERROR(CQ58/CR58,0)+IFERROR(CU58/CV58,0)+IFERROR(CY58/CZ58,0)+IFERROR(DC58/DD58,0)+IFERROR(DG58/DH58,0)+IFERROR(DS58/DT58,0)+IFERROR(DW58/DX58,0)+IFERROR(EA58/EB58,0)+IFERROR(EE58/EF58,0)+IFERROR(EI58/EJ58,0)+IFERROR(EM58/EN58,0)+IFERROR(EQ58/ER58,0)+IFERROR(EU58/EV58,0)+IFERROR(#REF!/#REF!,0)+IFERROR(#REF!/#REF!,0)+IFERROR(FJ58/FK58,0)+IFERROR(FN58/FO58,0)+IFERROR(#REF!/#REF!,0)+IFERROR(#REF!/#REF!,0)+IFERROR(HF58/HG58,0)+IFERROR(#REF!/#REF!,0)+IFERROR(HJ58/HK58,0)+IFERROR(HN58/HO58,0)+IFERROR(HZ58/IA58,0)+IFERROR(ID58/IE58,0)+IFERROR(IH58/II58,0)+IFERROR(IL58/IM58,0)+IFERROR(IX58/IY58,0)+IFERROR(JB58/JC58,0)+IFERROR(JF58/JG58,0)+IFERROR(JI58/JJ58,0)+IFERROR(JL58/JM58,0)+IFERROR(JO58/JP58,0))*L58*(C58+D58+E58+I58)</f>
        <v>0</v>
      </c>
      <c r="S58" s="165"/>
      <c r="T58" s="165">
        <f t="shared" si="9"/>
        <v>0</v>
      </c>
      <c r="U58" s="165"/>
      <c r="V58" s="165"/>
      <c r="W58" s="165"/>
      <c r="X58" s="165">
        <f>(IFERROR(FF58/FG58,0)+IFERROR(FC58/FD58,0)+IFERROR(#REF!/#REF!,0)+IFERROR(KP58/KQ58,0))*L58*(C58+D58+E58+I58)</f>
        <v>0</v>
      </c>
      <c r="Y58" s="484"/>
      <c r="Z58" s="484"/>
      <c r="AA58" s="484"/>
      <c r="AB58" s="484"/>
      <c r="AC58" s="150">
        <f t="shared" si="20"/>
        <v>0</v>
      </c>
      <c r="AD58" s="150"/>
      <c r="AE58" s="150">
        <f t="shared" si="10"/>
        <v>0</v>
      </c>
      <c r="AF58" s="161"/>
      <c r="AG58" s="143"/>
      <c r="AH58" s="154"/>
      <c r="AI58" s="144"/>
      <c r="AJ58" s="154"/>
      <c r="AK58" s="154"/>
      <c r="AL58" s="220"/>
      <c r="AM58" s="140"/>
      <c r="AN58" s="154"/>
      <c r="AO58" s="154"/>
      <c r="AP58" s="220"/>
      <c r="AQ58" s="145"/>
      <c r="AR58" s="154"/>
      <c r="AS58" s="154"/>
      <c r="AT58" s="220"/>
      <c r="AU58" s="140"/>
      <c r="AV58" s="277"/>
      <c r="AW58" s="277"/>
      <c r="AX58" s="277"/>
      <c r="AY58" s="140"/>
      <c r="AZ58" s="277"/>
      <c r="BA58" s="277"/>
      <c r="BB58" s="277"/>
      <c r="BC58" s="140"/>
      <c r="BD58" s="277"/>
      <c r="BE58" s="277"/>
      <c r="BF58" s="277"/>
      <c r="BG58" s="140"/>
      <c r="BH58" s="277"/>
      <c r="BI58" s="277"/>
      <c r="BJ58" s="277"/>
      <c r="BK58" s="140"/>
      <c r="BL58" s="277"/>
      <c r="BM58" s="277"/>
      <c r="BN58" s="277"/>
      <c r="BO58" s="140"/>
      <c r="BP58" s="277"/>
      <c r="BQ58" s="277"/>
      <c r="BR58" s="277"/>
      <c r="BS58" s="140"/>
      <c r="BT58" s="277"/>
      <c r="BU58" s="277"/>
      <c r="BV58" s="277"/>
      <c r="BW58" s="140"/>
      <c r="BX58" s="154"/>
      <c r="BY58" s="154"/>
      <c r="BZ58" s="220"/>
      <c r="CA58" s="140"/>
      <c r="CB58" s="154"/>
      <c r="CC58" s="154"/>
      <c r="CD58" s="220"/>
      <c r="CE58" s="140"/>
      <c r="CF58" s="271"/>
      <c r="CG58" s="271"/>
      <c r="CH58" s="271"/>
      <c r="CI58" s="140"/>
      <c r="CJ58" s="154"/>
      <c r="CK58" s="154"/>
      <c r="CL58" s="154"/>
      <c r="CM58" s="140"/>
      <c r="CN58" s="271"/>
      <c r="CO58" s="271"/>
      <c r="CP58" s="271"/>
      <c r="CQ58" s="140"/>
      <c r="CR58" s="154"/>
      <c r="CS58" s="154"/>
      <c r="CT58" s="154"/>
      <c r="CU58" s="140"/>
      <c r="CV58" s="154"/>
      <c r="CW58" s="154"/>
      <c r="CX58" s="220"/>
      <c r="CY58" s="140"/>
      <c r="CZ58" s="154"/>
      <c r="DA58" s="154"/>
      <c r="DB58" s="220"/>
      <c r="DC58" s="140"/>
      <c r="DD58" s="146"/>
      <c r="DE58" s="146"/>
      <c r="DF58" s="146"/>
      <c r="DG58" s="140"/>
      <c r="DH58" s="146"/>
      <c r="DI58" s="146"/>
      <c r="DJ58" s="146"/>
      <c r="DK58" s="146"/>
      <c r="DL58" s="146"/>
      <c r="DM58" s="146"/>
      <c r="DN58" s="146"/>
      <c r="DO58" s="146"/>
      <c r="DP58" s="146"/>
      <c r="DQ58" s="146"/>
      <c r="DR58" s="146"/>
      <c r="DS58" s="140"/>
      <c r="DT58" s="154"/>
      <c r="DU58" s="154"/>
      <c r="DV58" s="154"/>
      <c r="DW58" s="140"/>
      <c r="DX58" s="220"/>
      <c r="DY58" s="220"/>
      <c r="DZ58" s="220"/>
      <c r="EA58" s="140"/>
      <c r="EB58" s="220"/>
      <c r="EC58" s="220"/>
      <c r="ED58" s="220"/>
      <c r="EE58" s="140"/>
      <c r="EF58" s="154"/>
      <c r="EG58" s="154"/>
      <c r="EH58" s="154"/>
      <c r="EI58" s="140"/>
      <c r="EJ58" s="154"/>
      <c r="EK58" s="154"/>
      <c r="EL58" s="154"/>
      <c r="EM58" s="140"/>
      <c r="EN58" s="222"/>
      <c r="EO58" s="222"/>
      <c r="EP58" s="222"/>
      <c r="EQ58" s="140"/>
      <c r="ER58" s="222"/>
      <c r="ES58" s="222"/>
      <c r="ET58" s="222"/>
      <c r="EU58" s="140"/>
      <c r="EV58" s="222"/>
      <c r="EW58" s="222"/>
      <c r="EX58" s="222"/>
      <c r="EY58" s="344"/>
      <c r="EZ58" s="222"/>
      <c r="FA58" s="222"/>
      <c r="FB58" s="222"/>
      <c r="FC58" s="273"/>
      <c r="FD58" s="223"/>
      <c r="FE58" s="223"/>
      <c r="FF58" s="276"/>
      <c r="FG58" s="156"/>
      <c r="FH58" s="156"/>
      <c r="FI58" s="156"/>
      <c r="FJ58" s="140"/>
      <c r="FK58" s="277"/>
      <c r="FL58" s="277"/>
      <c r="FM58" s="277"/>
      <c r="FN58" s="140"/>
      <c r="FO58" s="277"/>
      <c r="FP58" s="277"/>
      <c r="FQ58" s="277"/>
      <c r="FR58" s="280"/>
      <c r="FS58" s="277"/>
      <c r="FT58" s="277"/>
      <c r="FU58" s="277"/>
      <c r="FV58" s="277"/>
      <c r="FW58" s="277"/>
      <c r="FX58" s="277"/>
      <c r="FY58" s="277"/>
      <c r="FZ58" s="277"/>
      <c r="GA58" s="277"/>
      <c r="GB58" s="277"/>
      <c r="GC58" s="277"/>
      <c r="GD58" s="277"/>
      <c r="GE58" s="277"/>
      <c r="GF58" s="277"/>
      <c r="GG58" s="277"/>
      <c r="GH58" s="277"/>
      <c r="GI58" s="277"/>
      <c r="GJ58" s="277"/>
      <c r="GK58" s="277"/>
      <c r="GL58" s="277"/>
      <c r="GM58" s="277"/>
      <c r="GN58" s="277"/>
      <c r="GO58" s="277"/>
      <c r="GP58" s="277"/>
      <c r="GQ58" s="277"/>
      <c r="GR58" s="277"/>
      <c r="GS58" s="277"/>
      <c r="GT58" s="277"/>
      <c r="GU58" s="277"/>
      <c r="GV58" s="277"/>
      <c r="GW58" s="277"/>
      <c r="GX58" s="277"/>
      <c r="GY58" s="277"/>
      <c r="GZ58" s="277"/>
      <c r="HA58" s="277"/>
      <c r="HB58" s="277"/>
      <c r="HC58" s="277"/>
      <c r="HD58" s="277"/>
      <c r="HE58" s="277"/>
      <c r="HF58" s="140"/>
      <c r="HG58" s="277"/>
      <c r="HH58" s="277"/>
      <c r="HI58" s="277"/>
      <c r="HJ58" s="140"/>
      <c r="HK58" s="277"/>
      <c r="HL58" s="277"/>
      <c r="HM58" s="277"/>
      <c r="HN58" s="140"/>
      <c r="HO58" s="277"/>
      <c r="HP58" s="277"/>
      <c r="HQ58" s="277"/>
      <c r="HR58" s="277"/>
      <c r="HS58" s="277"/>
      <c r="HT58" s="277"/>
      <c r="HU58" s="277"/>
      <c r="HV58" s="277"/>
      <c r="HW58" s="277"/>
      <c r="HX58" s="277"/>
      <c r="HY58" s="277"/>
      <c r="HZ58" s="140"/>
      <c r="IA58" s="277"/>
      <c r="IB58" s="277"/>
      <c r="IC58" s="277"/>
      <c r="ID58" s="140"/>
      <c r="IE58" s="277"/>
      <c r="IF58" s="277"/>
      <c r="IG58" s="277"/>
      <c r="IH58" s="140"/>
      <c r="II58" s="277"/>
      <c r="IJ58" s="277"/>
      <c r="IK58" s="277"/>
      <c r="IL58" s="140"/>
      <c r="IM58" s="277"/>
      <c r="IN58" s="277"/>
      <c r="IO58" s="277"/>
      <c r="IP58" s="277"/>
      <c r="IQ58" s="277"/>
      <c r="IR58" s="277"/>
      <c r="IS58" s="277"/>
      <c r="IT58" s="277"/>
      <c r="IU58" s="277"/>
      <c r="IV58" s="277"/>
      <c r="IW58" s="277"/>
      <c r="IX58" s="140"/>
      <c r="IY58" s="277"/>
      <c r="IZ58" s="277"/>
      <c r="JA58" s="277"/>
      <c r="JB58" s="140"/>
      <c r="JC58" s="277"/>
      <c r="JD58" s="277"/>
      <c r="JE58" s="277"/>
      <c r="JF58" s="140"/>
      <c r="JG58" s="277"/>
      <c r="JH58" s="277"/>
      <c r="JI58" s="140"/>
      <c r="JJ58" s="277"/>
      <c r="JK58" s="277"/>
      <c r="JL58" s="140"/>
      <c r="JM58" s="277"/>
      <c r="JN58" s="277"/>
      <c r="JO58" s="140"/>
      <c r="JP58" s="277"/>
      <c r="JQ58" s="277"/>
      <c r="JR58" s="277"/>
      <c r="JS58" s="277"/>
      <c r="JT58" s="277"/>
      <c r="JU58" s="277"/>
      <c r="JV58" s="277"/>
      <c r="JW58" s="277"/>
      <c r="JX58" s="277"/>
      <c r="JY58" s="277"/>
      <c r="JZ58" s="277"/>
      <c r="KA58" s="277"/>
      <c r="KB58" s="277"/>
      <c r="KC58" s="277"/>
      <c r="KD58" s="277"/>
      <c r="KE58" s="277"/>
      <c r="KF58" s="277"/>
      <c r="KG58" s="277"/>
      <c r="KH58" s="277"/>
      <c r="KI58" s="277"/>
      <c r="KJ58" s="277"/>
      <c r="KK58" s="277"/>
      <c r="KL58" s="277"/>
      <c r="KM58" s="277"/>
      <c r="KN58" s="277"/>
      <c r="KO58" s="277"/>
      <c r="KP58" s="274"/>
      <c r="KQ58" s="253"/>
      <c r="KR58" s="253"/>
      <c r="KY58" s="141">
        <f t="shared" si="11"/>
        <v>0</v>
      </c>
      <c r="KZ58" s="141">
        <f t="shared" si="12"/>
        <v>0</v>
      </c>
      <c r="LB58" s="141">
        <f t="shared" si="13"/>
        <v>0</v>
      </c>
      <c r="LC58" s="141">
        <f t="shared" si="14"/>
        <v>0</v>
      </c>
      <c r="LD58" s="141">
        <f t="shared" si="15"/>
        <v>0</v>
      </c>
      <c r="LE58" s="141" t="e">
        <f>((N(AU58)&gt;0)*(AX58&lt;&gt;"")+(N(AY58)&gt;0)*(BB58&lt;&gt;"")+(N(BC58)&gt;0)*(BF58&lt;&gt;"")+(N(BG58)&gt;0)*(BJ58&lt;&gt;"")+(N(BK58)&gt;0)*(BN58&lt;&gt;"")+(N(BO58)&gt;0)*(BR58&lt;&gt;"")+(N(BS58)&gt;0)*(BV58&lt;&gt;"")+(N(BW58)&gt;0)*(BZ58&lt;&gt;"")+(N(CA58)&gt;0)*(CD58&lt;&gt;"")+(N(CE58)&gt;0)*(CH58&lt;&gt;"")+(N(CI58)&gt;0)*(CL58&lt;&gt;"")+(N(CM58)&gt;0)*(CP58&lt;&gt;"")+(N(CQ58)&gt;0)*(CT58&lt;&gt;"")+(N(CU58)&gt;0)*(CX58&lt;&gt;"")+(N(CY58)&gt;0)*(DB58&lt;&gt;"")+(N(DC58)&gt;0)*(DF58&lt;&gt;"")+(N(DG58)&gt;0)*(DJ58&lt;&gt;"")+(N(DS58)&gt;0)*(DV58&lt;&gt;"")+(N(DW58)&gt;0)*(DZ58&lt;&gt;"")+(N(EA58)&gt;0)*(ED58&lt;&gt;"")+(N(EE58)&gt;0)*(EH58&lt;&gt;"")+(N(EI58)&gt;0)*(EL58&lt;&gt;"")+(N(EM58)&gt;0)*(EP58&lt;&gt;"")+(N(EQ58)&gt;0)*(ET58&lt;&gt;"")+(N(EU58)&gt;0)*(EX58&lt;&gt;"")+(N(#REF!)&gt;0)*(#REF!&lt;&gt;"")+(N(#REF!)&gt;0)*(#REF!&lt;&gt;"")+(N(FJ58)&gt;0)*(FM58&lt;&gt;"")+(N(FN58)&gt;0)*(FQ58&lt;&gt;"")+(N(#REF!)&gt;0)*(#REF!&lt;&gt;"")+(N(#REF!)&gt;0)*(#REF!&lt;&gt;"")+(N(HF58)&gt;0)*(HI58&lt;&gt;"")+(N(#REF!)&gt;0)*(#REF!&lt;&gt;"")+(N(HJ58)&gt;0)*(HM58&lt;&gt;"")+(N(HN58)&gt;0)*(HQ58&lt;&gt;"")+(N(HZ58)&gt;0)*(IC58&lt;&gt;"")+(N(ID58)&gt;0)*(IG58&lt;&gt;"")+(N(IH58)&gt;0)*(IK58&lt;&gt;"")+(N(IL58)&gt;0)*(IO58&lt;&gt;"")+(N(IX58)&gt;0)*(JA58&lt;&gt;"")+(N(JB58)&gt;0)*(JE58&lt;&gt;"")+(N(JF58)&gt;0)*(JH58&lt;&gt;"")+(N(JI58)&gt;0)*(JK58&lt;&gt;"")+(N(JL58)&gt;0)*(JN58&lt;&gt;"")+(N(JO58)&gt;0)*(JQ58&lt;&gt;""))</f>
        <v>#REF!</v>
      </c>
      <c r="LF58" s="141">
        <f t="shared" si="21"/>
        <v>0</v>
      </c>
      <c r="LG58" s="141">
        <f t="shared" si="16"/>
        <v>0</v>
      </c>
    </row>
    <row r="59" spans="2:319" ht="38.25" customHeight="1" x14ac:dyDescent="0.55000000000000004">
      <c r="B59" s="314" t="s">
        <v>495</v>
      </c>
      <c r="C59" s="218"/>
      <c r="D59" s="218"/>
      <c r="E59" s="218"/>
      <c r="F59" s="218"/>
      <c r="G59" s="218"/>
      <c r="H59" s="218"/>
      <c r="I59" s="162" cm="1">
        <f t="array" ref="I59">SUMPRODUCT(($AI$2:$KV$2&lt;&gt;"")*($AI59:$KV59&lt;&gt;""))</f>
        <v>0</v>
      </c>
      <c r="J59" s="142">
        <f t="shared" si="17"/>
        <v>0</v>
      </c>
      <c r="K59" s="142">
        <f t="shared" si="18"/>
        <v>0</v>
      </c>
      <c r="L59" s="268">
        <f t="shared" si="0"/>
        <v>7000</v>
      </c>
      <c r="M59" s="164">
        <f t="shared" si="8"/>
        <v>0</v>
      </c>
      <c r="N59" s="397"/>
      <c r="O59" s="165">
        <f t="shared" si="19"/>
        <v>0</v>
      </c>
      <c r="P59" s="165"/>
      <c r="Q59" s="165"/>
      <c r="R59" s="165">
        <f>(IFERROR(AM59/AN59,0)+IFERROR(AU59/AV59,0)+IFERROR(AY59/AZ59,0)+IFERROR(BC59/BD59,0)+IFERROR(BG59/BH59,0)+IFERROR(BK59/BL59,0)+IFERROR(BO59/BP59,0)+IFERROR(BS59/BT59,0)+IFERROR(BW59/BX59,0)+IFERROR(CA59/CB59,0)+IFERROR(CE59/CF59,0)+IFERROR(CI59/CJ59,0)+IFERROR(CM59/CN59,0)+IFERROR(CQ59/CR59,0)+IFERROR(CU59/CV59,0)+IFERROR(CY59/CZ59,0)+IFERROR(DC59/DD59,0)+IFERROR(DG59/DH59,0)+IFERROR(DS59/DT59,0)+IFERROR(DW59/DX59,0)+IFERROR(EA59/EB59,0)+IFERROR(EE59/EF59,0)+IFERROR(EI59/EJ59,0)+IFERROR(EM59/EN59,0)+IFERROR(EQ59/ER59,0)+IFERROR(EU59/EV59,0)+IFERROR(#REF!/#REF!,0)+IFERROR(#REF!/#REF!,0)+IFERROR(FJ59/FK59,0)+IFERROR(FN59/FO59,0)+IFERROR(#REF!/#REF!,0)+IFERROR(#REF!/#REF!,0)+IFERROR(HF59/HG59,0)+IFERROR(#REF!/#REF!,0)+IFERROR(HJ59/HK59,0)+IFERROR(HN59/HO59,0)+IFERROR(HZ59/IA59,0)+IFERROR(ID59/IE59,0)+IFERROR(IH59/II59,0)+IFERROR(IL59/IM59,0)+IFERROR(IX59/IY59,0)+IFERROR(JB59/JC59,0)+IFERROR(JF59/JG59,0)+IFERROR(JI59/JJ59,0)+IFERROR(JL59/JM59,0)+IFERROR(JO59/JP59,0))*L59*(C59+D59+E59+I59)</f>
        <v>0</v>
      </c>
      <c r="S59" s="165"/>
      <c r="T59" s="165">
        <f t="shared" si="9"/>
        <v>0</v>
      </c>
      <c r="U59" s="165"/>
      <c r="V59" s="165"/>
      <c r="W59" s="165"/>
      <c r="X59" s="165">
        <f>(IFERROR(FF59/FG59,0)+IFERROR(FC59/FD59,0)+IFERROR(#REF!/#REF!,0)+IFERROR(KP59/KQ59,0))*L59*(C59+D59+E59+I59)</f>
        <v>0</v>
      </c>
      <c r="Y59" s="484"/>
      <c r="Z59" s="484"/>
      <c r="AA59" s="484"/>
      <c r="AB59" s="484"/>
      <c r="AC59" s="150">
        <f t="shared" si="20"/>
        <v>0</v>
      </c>
      <c r="AD59" s="150"/>
      <c r="AE59" s="150">
        <f t="shared" si="10"/>
        <v>0</v>
      </c>
      <c r="AF59" s="161"/>
      <c r="AG59" s="143"/>
      <c r="AH59" s="154"/>
      <c r="AI59" s="144"/>
      <c r="AJ59" s="154"/>
      <c r="AK59" s="154"/>
      <c r="AL59" s="220"/>
      <c r="AM59" s="140"/>
      <c r="AN59" s="154"/>
      <c r="AO59" s="154"/>
      <c r="AP59" s="220"/>
      <c r="AQ59" s="145"/>
      <c r="AR59" s="154"/>
      <c r="AS59" s="154"/>
      <c r="AT59" s="220"/>
      <c r="AU59" s="140"/>
      <c r="AV59" s="277"/>
      <c r="AW59" s="277"/>
      <c r="AX59" s="277"/>
      <c r="AY59" s="140"/>
      <c r="AZ59" s="277"/>
      <c r="BA59" s="277"/>
      <c r="BB59" s="277"/>
      <c r="BC59" s="140"/>
      <c r="BD59" s="277"/>
      <c r="BE59" s="277"/>
      <c r="BF59" s="277"/>
      <c r="BG59" s="140"/>
      <c r="BH59" s="277"/>
      <c r="BI59" s="277"/>
      <c r="BJ59" s="277"/>
      <c r="BK59" s="140"/>
      <c r="BL59" s="277"/>
      <c r="BM59" s="277"/>
      <c r="BN59" s="277"/>
      <c r="BO59" s="140"/>
      <c r="BP59" s="277"/>
      <c r="BQ59" s="277"/>
      <c r="BR59" s="277"/>
      <c r="BS59" s="140"/>
      <c r="BT59" s="277"/>
      <c r="BU59" s="277"/>
      <c r="BV59" s="277"/>
      <c r="BW59" s="140"/>
      <c r="BX59" s="154"/>
      <c r="BY59" s="154"/>
      <c r="BZ59" s="220"/>
      <c r="CA59" s="140"/>
      <c r="CB59" s="154"/>
      <c r="CC59" s="154"/>
      <c r="CD59" s="220"/>
      <c r="CE59" s="140"/>
      <c r="CF59" s="271"/>
      <c r="CG59" s="271"/>
      <c r="CH59" s="271"/>
      <c r="CI59" s="140"/>
      <c r="CJ59" s="154"/>
      <c r="CK59" s="154"/>
      <c r="CL59" s="154"/>
      <c r="CM59" s="140"/>
      <c r="CN59" s="271"/>
      <c r="CO59" s="271"/>
      <c r="CP59" s="271"/>
      <c r="CQ59" s="140"/>
      <c r="CR59" s="154"/>
      <c r="CS59" s="154"/>
      <c r="CT59" s="154"/>
      <c r="CU59" s="140"/>
      <c r="CV59" s="154"/>
      <c r="CW59" s="154"/>
      <c r="CX59" s="220"/>
      <c r="CY59" s="140"/>
      <c r="CZ59" s="154"/>
      <c r="DA59" s="154"/>
      <c r="DB59" s="220"/>
      <c r="DC59" s="140"/>
      <c r="DD59" s="146"/>
      <c r="DE59" s="146"/>
      <c r="DF59" s="146"/>
      <c r="DG59" s="140"/>
      <c r="DH59" s="146"/>
      <c r="DI59" s="146"/>
      <c r="DJ59" s="146"/>
      <c r="DK59" s="146"/>
      <c r="DL59" s="146"/>
      <c r="DM59" s="146"/>
      <c r="DN59" s="146"/>
      <c r="DO59" s="146"/>
      <c r="DP59" s="146"/>
      <c r="DQ59" s="146"/>
      <c r="DR59" s="146"/>
      <c r="DS59" s="140"/>
      <c r="DT59" s="154"/>
      <c r="DU59" s="154"/>
      <c r="DV59" s="154"/>
      <c r="DW59" s="140"/>
      <c r="DX59" s="220"/>
      <c r="DY59" s="220"/>
      <c r="DZ59" s="220"/>
      <c r="EA59" s="140"/>
      <c r="EB59" s="220"/>
      <c r="EC59" s="220"/>
      <c r="ED59" s="220"/>
      <c r="EE59" s="140"/>
      <c r="EF59" s="154"/>
      <c r="EG59" s="154"/>
      <c r="EH59" s="154"/>
      <c r="EI59" s="140"/>
      <c r="EJ59" s="154"/>
      <c r="EK59" s="154"/>
      <c r="EL59" s="154"/>
      <c r="EM59" s="140"/>
      <c r="EN59" s="222"/>
      <c r="EO59" s="222"/>
      <c r="EP59" s="222"/>
      <c r="EQ59" s="140"/>
      <c r="ER59" s="222"/>
      <c r="ES59" s="222"/>
      <c r="ET59" s="222"/>
      <c r="EU59" s="140"/>
      <c r="EV59" s="222"/>
      <c r="EW59" s="222"/>
      <c r="EX59" s="222"/>
      <c r="EY59" s="344"/>
      <c r="EZ59" s="222"/>
      <c r="FA59" s="222"/>
      <c r="FB59" s="222"/>
      <c r="FC59" s="273"/>
      <c r="FD59" s="223"/>
      <c r="FE59" s="223"/>
      <c r="FF59" s="276"/>
      <c r="FG59" s="156"/>
      <c r="FH59" s="156"/>
      <c r="FI59" s="156"/>
      <c r="FJ59" s="140"/>
      <c r="FK59" s="277"/>
      <c r="FL59" s="277"/>
      <c r="FM59" s="277"/>
      <c r="FN59" s="140"/>
      <c r="FO59" s="277"/>
      <c r="FP59" s="277"/>
      <c r="FQ59" s="277"/>
      <c r="FR59" s="280"/>
      <c r="FS59" s="277"/>
      <c r="FT59" s="277"/>
      <c r="FU59" s="277"/>
      <c r="FV59" s="277"/>
      <c r="FW59" s="277"/>
      <c r="FX59" s="277"/>
      <c r="FY59" s="277"/>
      <c r="FZ59" s="277"/>
      <c r="GA59" s="277"/>
      <c r="GB59" s="277"/>
      <c r="GC59" s="277"/>
      <c r="GD59" s="277"/>
      <c r="GE59" s="277"/>
      <c r="GF59" s="277"/>
      <c r="GG59" s="277"/>
      <c r="GH59" s="277"/>
      <c r="GI59" s="277"/>
      <c r="GJ59" s="277"/>
      <c r="GK59" s="277"/>
      <c r="GL59" s="277"/>
      <c r="GM59" s="277"/>
      <c r="GN59" s="277"/>
      <c r="GO59" s="277"/>
      <c r="GP59" s="277"/>
      <c r="GQ59" s="277"/>
      <c r="GR59" s="277"/>
      <c r="GS59" s="277"/>
      <c r="GT59" s="277"/>
      <c r="GU59" s="277"/>
      <c r="GV59" s="277"/>
      <c r="GW59" s="277"/>
      <c r="GX59" s="277"/>
      <c r="GY59" s="277"/>
      <c r="GZ59" s="277"/>
      <c r="HA59" s="277"/>
      <c r="HB59" s="277"/>
      <c r="HC59" s="277"/>
      <c r="HD59" s="277"/>
      <c r="HE59" s="277"/>
      <c r="HF59" s="140"/>
      <c r="HG59" s="277"/>
      <c r="HH59" s="277"/>
      <c r="HI59" s="277"/>
      <c r="HJ59" s="140"/>
      <c r="HK59" s="277"/>
      <c r="HL59" s="277"/>
      <c r="HM59" s="277"/>
      <c r="HN59" s="140"/>
      <c r="HO59" s="277"/>
      <c r="HP59" s="277"/>
      <c r="HQ59" s="277"/>
      <c r="HR59" s="277"/>
      <c r="HS59" s="277"/>
      <c r="HT59" s="277"/>
      <c r="HU59" s="277"/>
      <c r="HV59" s="277"/>
      <c r="HW59" s="277"/>
      <c r="HX59" s="277"/>
      <c r="HY59" s="277"/>
      <c r="HZ59" s="140"/>
      <c r="IA59" s="277"/>
      <c r="IB59" s="277"/>
      <c r="IC59" s="277"/>
      <c r="ID59" s="140"/>
      <c r="IE59" s="277"/>
      <c r="IF59" s="277"/>
      <c r="IG59" s="277"/>
      <c r="IH59" s="140"/>
      <c r="II59" s="277"/>
      <c r="IJ59" s="277"/>
      <c r="IK59" s="277"/>
      <c r="IL59" s="140"/>
      <c r="IM59" s="277"/>
      <c r="IN59" s="277"/>
      <c r="IO59" s="277"/>
      <c r="IP59" s="277"/>
      <c r="IQ59" s="277"/>
      <c r="IR59" s="277"/>
      <c r="IS59" s="277"/>
      <c r="IT59" s="277"/>
      <c r="IU59" s="277"/>
      <c r="IV59" s="277"/>
      <c r="IW59" s="277"/>
      <c r="IX59" s="140"/>
      <c r="IY59" s="277"/>
      <c r="IZ59" s="277"/>
      <c r="JA59" s="277"/>
      <c r="JB59" s="140"/>
      <c r="JC59" s="277"/>
      <c r="JD59" s="277"/>
      <c r="JE59" s="277"/>
      <c r="JF59" s="140"/>
      <c r="JG59" s="277"/>
      <c r="JH59" s="277"/>
      <c r="JI59" s="140"/>
      <c r="JJ59" s="277"/>
      <c r="JK59" s="277"/>
      <c r="JL59" s="140"/>
      <c r="JM59" s="277"/>
      <c r="JN59" s="277"/>
      <c r="JO59" s="140"/>
      <c r="JP59" s="277"/>
      <c r="JQ59" s="277"/>
      <c r="JR59" s="277"/>
      <c r="JS59" s="277"/>
      <c r="JT59" s="277"/>
      <c r="JU59" s="277"/>
      <c r="JV59" s="277"/>
      <c r="JW59" s="277"/>
      <c r="JX59" s="277"/>
      <c r="JY59" s="277"/>
      <c r="JZ59" s="277"/>
      <c r="KA59" s="277"/>
      <c r="KB59" s="277"/>
      <c r="KC59" s="277"/>
      <c r="KD59" s="277"/>
      <c r="KE59" s="277"/>
      <c r="KF59" s="277"/>
      <c r="KG59" s="277"/>
      <c r="KH59" s="277"/>
      <c r="KI59" s="277"/>
      <c r="KJ59" s="277"/>
      <c r="KK59" s="277"/>
      <c r="KL59" s="277"/>
      <c r="KM59" s="277"/>
      <c r="KN59" s="277"/>
      <c r="KO59" s="277"/>
      <c r="KP59" s="274"/>
      <c r="KQ59" s="253"/>
      <c r="KR59" s="253"/>
      <c r="KY59" s="141">
        <f t="shared" si="11"/>
        <v>0</v>
      </c>
      <c r="KZ59" s="141">
        <f t="shared" si="12"/>
        <v>0</v>
      </c>
      <c r="LB59" s="141">
        <f t="shared" si="13"/>
        <v>0</v>
      </c>
      <c r="LC59" s="141">
        <f t="shared" si="14"/>
        <v>0</v>
      </c>
      <c r="LD59" s="141">
        <f t="shared" si="15"/>
        <v>0</v>
      </c>
      <c r="LE59" s="141" t="e">
        <f>((N(AU59)&gt;0)*(AX59&lt;&gt;"")+(N(AY59)&gt;0)*(BB59&lt;&gt;"")+(N(BC59)&gt;0)*(BF59&lt;&gt;"")+(N(BG59)&gt;0)*(BJ59&lt;&gt;"")+(N(BK59)&gt;0)*(BN59&lt;&gt;"")+(N(BO59)&gt;0)*(BR59&lt;&gt;"")+(N(BS59)&gt;0)*(BV59&lt;&gt;"")+(N(BW59)&gt;0)*(BZ59&lt;&gt;"")+(N(CA59)&gt;0)*(CD59&lt;&gt;"")+(N(CE59)&gt;0)*(CH59&lt;&gt;"")+(N(CI59)&gt;0)*(CL59&lt;&gt;"")+(N(CM59)&gt;0)*(CP59&lt;&gt;"")+(N(CQ59)&gt;0)*(CT59&lt;&gt;"")+(N(CU59)&gt;0)*(CX59&lt;&gt;"")+(N(CY59)&gt;0)*(DB59&lt;&gt;"")+(N(DC59)&gt;0)*(DF59&lt;&gt;"")+(N(DG59)&gt;0)*(DJ59&lt;&gt;"")+(N(DS59)&gt;0)*(DV59&lt;&gt;"")+(N(DW59)&gt;0)*(DZ59&lt;&gt;"")+(N(EA59)&gt;0)*(ED59&lt;&gt;"")+(N(EE59)&gt;0)*(EH59&lt;&gt;"")+(N(EI59)&gt;0)*(EL59&lt;&gt;"")+(N(EM59)&gt;0)*(EP59&lt;&gt;"")+(N(EQ59)&gt;0)*(ET59&lt;&gt;"")+(N(EU59)&gt;0)*(EX59&lt;&gt;"")+(N(#REF!)&gt;0)*(#REF!&lt;&gt;"")+(N(#REF!)&gt;0)*(#REF!&lt;&gt;"")+(N(FJ59)&gt;0)*(FM59&lt;&gt;"")+(N(FN59)&gt;0)*(FQ59&lt;&gt;"")+(N(#REF!)&gt;0)*(#REF!&lt;&gt;"")+(N(#REF!)&gt;0)*(#REF!&lt;&gt;"")+(N(HF59)&gt;0)*(HI59&lt;&gt;"")+(N(#REF!)&gt;0)*(#REF!&lt;&gt;"")+(N(HJ59)&gt;0)*(HM59&lt;&gt;"")+(N(HN59)&gt;0)*(HQ59&lt;&gt;"")+(N(HZ59)&gt;0)*(IC59&lt;&gt;"")+(N(ID59)&gt;0)*(IG59&lt;&gt;"")+(N(IH59)&gt;0)*(IK59&lt;&gt;"")+(N(IL59)&gt;0)*(IO59&lt;&gt;"")+(N(IX59)&gt;0)*(JA59&lt;&gt;"")+(N(JB59)&gt;0)*(JE59&lt;&gt;"")+(N(JF59)&gt;0)*(JH59&lt;&gt;"")+(N(JI59)&gt;0)*(JK59&lt;&gt;"")+(N(JL59)&gt;0)*(JN59&lt;&gt;"")+(N(JO59)&gt;0)*(JQ59&lt;&gt;""))</f>
        <v>#REF!</v>
      </c>
      <c r="LF59" s="141">
        <f t="shared" si="21"/>
        <v>0</v>
      </c>
      <c r="LG59" s="141">
        <f t="shared" si="16"/>
        <v>0</v>
      </c>
    </row>
    <row r="60" spans="2:319" ht="38.25" customHeight="1" x14ac:dyDescent="0.55000000000000004">
      <c r="B60" s="314" t="s">
        <v>485</v>
      </c>
      <c r="C60" s="218"/>
      <c r="D60" s="218"/>
      <c r="E60" s="218"/>
      <c r="F60" s="218"/>
      <c r="G60" s="218"/>
      <c r="H60" s="218"/>
      <c r="I60" s="162" cm="1">
        <f t="array" ref="I60">SUMPRODUCT(($AI$2:$KV$2&lt;&gt;"")*($AI60:$KV60&lt;&gt;""))</f>
        <v>0</v>
      </c>
      <c r="J60" s="142">
        <f t="shared" si="17"/>
        <v>0</v>
      </c>
      <c r="K60" s="142">
        <f t="shared" si="18"/>
        <v>0</v>
      </c>
      <c r="L60" s="268">
        <f t="shared" si="0"/>
        <v>7000</v>
      </c>
      <c r="M60" s="164">
        <f t="shared" si="8"/>
        <v>0</v>
      </c>
      <c r="N60" s="397"/>
      <c r="O60" s="165">
        <f t="shared" si="19"/>
        <v>0</v>
      </c>
      <c r="P60" s="165"/>
      <c r="Q60" s="165"/>
      <c r="R60" s="165">
        <f>(IFERROR(AM60/AN60,0)+IFERROR(AU60/AV60,0)+IFERROR(AY60/AZ60,0)+IFERROR(BC60/BD60,0)+IFERROR(BG60/BH60,0)+IFERROR(BK60/BL60,0)+IFERROR(BO60/BP60,0)+IFERROR(BS60/BT60,0)+IFERROR(BW60/BX60,0)+IFERROR(CA60/CB60,0)+IFERROR(CE60/CF60,0)+IFERROR(CI60/CJ60,0)+IFERROR(CM60/CN60,0)+IFERROR(CQ60/CR60,0)+IFERROR(CU60/CV60,0)+IFERROR(CY60/CZ60,0)+IFERROR(DC60/DD60,0)+IFERROR(DG60/DH60,0)+IFERROR(DS60/DT60,0)+IFERROR(DW60/DX60,0)+IFERROR(EA60/EB60,0)+IFERROR(EE60/EF60,0)+IFERROR(EI60/EJ60,0)+IFERROR(EM60/EN60,0)+IFERROR(EQ60/ER60,0)+IFERROR(EU60/EV60,0)+IFERROR(#REF!/#REF!,0)+IFERROR(#REF!/#REF!,0)+IFERROR(FJ60/FK60,0)+IFERROR(FN60/FO60,0)+IFERROR(#REF!/#REF!,0)+IFERROR(#REF!/#REF!,0)+IFERROR(HF60/HG60,0)+IFERROR(#REF!/#REF!,0)+IFERROR(HJ60/HK60,0)+IFERROR(HN60/HO60,0)+IFERROR(HZ60/IA60,0)+IFERROR(ID60/IE60,0)+IFERROR(IH60/II60,0)+IFERROR(IL60/IM60,0)+IFERROR(IX60/IY60,0)+IFERROR(JB60/JC60,0)+IFERROR(JF60/JG60,0)+IFERROR(JI60/JJ60,0)+IFERROR(JL60/JM60,0)+IFERROR(JO60/JP60,0))*L60*(C60+D60+E60+I60)</f>
        <v>0</v>
      </c>
      <c r="S60" s="165"/>
      <c r="T60" s="165">
        <f t="shared" si="9"/>
        <v>0</v>
      </c>
      <c r="U60" s="165"/>
      <c r="V60" s="165"/>
      <c r="W60" s="165"/>
      <c r="X60" s="165">
        <f>(IFERROR(FF60/FG60,0)+IFERROR(FC60/FD60,0)+IFERROR(#REF!/#REF!,0)+IFERROR(KP60/KQ60,0))*L60*(C60+D60+E60+I60)</f>
        <v>0</v>
      </c>
      <c r="Y60" s="484"/>
      <c r="Z60" s="484"/>
      <c r="AA60" s="484"/>
      <c r="AB60" s="484"/>
      <c r="AC60" s="150">
        <f t="shared" si="20"/>
        <v>0</v>
      </c>
      <c r="AD60" s="150"/>
      <c r="AE60" s="150">
        <f t="shared" si="10"/>
        <v>0</v>
      </c>
      <c r="AF60" s="161"/>
      <c r="AG60" s="143"/>
      <c r="AH60" s="154"/>
      <c r="AI60" s="144"/>
      <c r="AJ60" s="154"/>
      <c r="AK60" s="154"/>
      <c r="AL60" s="220"/>
      <c r="AM60" s="140"/>
      <c r="AN60" s="154"/>
      <c r="AO60" s="154"/>
      <c r="AP60" s="220"/>
      <c r="AQ60" s="145"/>
      <c r="AR60" s="154"/>
      <c r="AS60" s="154"/>
      <c r="AT60" s="220"/>
      <c r="AU60" s="140"/>
      <c r="AV60" s="277"/>
      <c r="AW60" s="277"/>
      <c r="AX60" s="277"/>
      <c r="AY60" s="140"/>
      <c r="AZ60" s="277"/>
      <c r="BA60" s="277"/>
      <c r="BB60" s="277"/>
      <c r="BC60" s="140"/>
      <c r="BD60" s="277"/>
      <c r="BE60" s="277"/>
      <c r="BF60" s="277"/>
      <c r="BG60" s="140"/>
      <c r="BH60" s="277"/>
      <c r="BI60" s="277"/>
      <c r="BJ60" s="277"/>
      <c r="BK60" s="140"/>
      <c r="BL60" s="277"/>
      <c r="BM60" s="277"/>
      <c r="BN60" s="277"/>
      <c r="BO60" s="140"/>
      <c r="BP60" s="277"/>
      <c r="BQ60" s="277"/>
      <c r="BR60" s="277"/>
      <c r="BS60" s="140"/>
      <c r="BT60" s="277"/>
      <c r="BU60" s="277"/>
      <c r="BV60" s="277"/>
      <c r="BW60" s="140"/>
      <c r="BX60" s="154"/>
      <c r="BY60" s="154"/>
      <c r="BZ60" s="220"/>
      <c r="CA60" s="140"/>
      <c r="CB60" s="154"/>
      <c r="CC60" s="154"/>
      <c r="CD60" s="220"/>
      <c r="CE60" s="140"/>
      <c r="CF60" s="271"/>
      <c r="CG60" s="271"/>
      <c r="CH60" s="271"/>
      <c r="CI60" s="140"/>
      <c r="CJ60" s="154"/>
      <c r="CK60" s="154"/>
      <c r="CL60" s="154"/>
      <c r="CM60" s="140"/>
      <c r="CN60" s="271"/>
      <c r="CO60" s="271"/>
      <c r="CP60" s="271"/>
      <c r="CQ60" s="140"/>
      <c r="CR60" s="154"/>
      <c r="CS60" s="154"/>
      <c r="CT60" s="154"/>
      <c r="CU60" s="140"/>
      <c r="CV60" s="154"/>
      <c r="CW60" s="154"/>
      <c r="CX60" s="220"/>
      <c r="CY60" s="140"/>
      <c r="CZ60" s="154"/>
      <c r="DA60" s="154"/>
      <c r="DB60" s="220"/>
      <c r="DC60" s="140"/>
      <c r="DD60" s="146"/>
      <c r="DE60" s="146"/>
      <c r="DF60" s="146"/>
      <c r="DG60" s="140"/>
      <c r="DH60" s="146"/>
      <c r="DI60" s="146"/>
      <c r="DJ60" s="146"/>
      <c r="DK60" s="146"/>
      <c r="DL60" s="146"/>
      <c r="DM60" s="146"/>
      <c r="DN60" s="146"/>
      <c r="DO60" s="146"/>
      <c r="DP60" s="146"/>
      <c r="DQ60" s="146"/>
      <c r="DR60" s="146"/>
      <c r="DS60" s="140"/>
      <c r="DT60" s="154"/>
      <c r="DU60" s="154"/>
      <c r="DV60" s="154"/>
      <c r="DW60" s="140"/>
      <c r="DX60" s="220"/>
      <c r="DY60" s="220"/>
      <c r="DZ60" s="220"/>
      <c r="EA60" s="140"/>
      <c r="EB60" s="220"/>
      <c r="EC60" s="220"/>
      <c r="ED60" s="220"/>
      <c r="EE60" s="140"/>
      <c r="EF60" s="154"/>
      <c r="EG60" s="154"/>
      <c r="EH60" s="154"/>
      <c r="EI60" s="140"/>
      <c r="EJ60" s="154"/>
      <c r="EK60" s="154"/>
      <c r="EL60" s="154"/>
      <c r="EM60" s="140"/>
      <c r="EN60" s="222"/>
      <c r="EO60" s="222"/>
      <c r="EP60" s="222"/>
      <c r="EQ60" s="140"/>
      <c r="ER60" s="222"/>
      <c r="ES60" s="222"/>
      <c r="ET60" s="222"/>
      <c r="EU60" s="140"/>
      <c r="EV60" s="222"/>
      <c r="EW60" s="222"/>
      <c r="EX60" s="222"/>
      <c r="EY60" s="344"/>
      <c r="EZ60" s="222"/>
      <c r="FA60" s="222"/>
      <c r="FB60" s="222"/>
      <c r="FC60" s="273"/>
      <c r="FD60" s="223"/>
      <c r="FE60" s="223"/>
      <c r="FF60" s="276"/>
      <c r="FG60" s="156"/>
      <c r="FH60" s="156"/>
      <c r="FI60" s="156"/>
      <c r="FJ60" s="140"/>
      <c r="FK60" s="277"/>
      <c r="FL60" s="277"/>
      <c r="FM60" s="277"/>
      <c r="FN60" s="140"/>
      <c r="FO60" s="277"/>
      <c r="FP60" s="277"/>
      <c r="FQ60" s="277"/>
      <c r="FR60" s="280"/>
      <c r="FS60" s="277"/>
      <c r="FT60" s="277"/>
      <c r="FU60" s="277"/>
      <c r="FV60" s="277"/>
      <c r="FW60" s="277"/>
      <c r="FX60" s="277"/>
      <c r="FY60" s="277"/>
      <c r="FZ60" s="277"/>
      <c r="GA60" s="277"/>
      <c r="GB60" s="277"/>
      <c r="GC60" s="277"/>
      <c r="GD60" s="277"/>
      <c r="GE60" s="277"/>
      <c r="GF60" s="277"/>
      <c r="GG60" s="277"/>
      <c r="GH60" s="277"/>
      <c r="GI60" s="277"/>
      <c r="GJ60" s="277"/>
      <c r="GK60" s="277"/>
      <c r="GL60" s="277"/>
      <c r="GM60" s="277"/>
      <c r="GN60" s="277"/>
      <c r="GO60" s="277"/>
      <c r="GP60" s="277"/>
      <c r="GQ60" s="277"/>
      <c r="GR60" s="277"/>
      <c r="GS60" s="277"/>
      <c r="GT60" s="277"/>
      <c r="GU60" s="277"/>
      <c r="GV60" s="277"/>
      <c r="GW60" s="277"/>
      <c r="GX60" s="277"/>
      <c r="GY60" s="277"/>
      <c r="GZ60" s="277"/>
      <c r="HA60" s="277"/>
      <c r="HB60" s="277"/>
      <c r="HC60" s="277"/>
      <c r="HD60" s="277"/>
      <c r="HE60" s="277"/>
      <c r="HF60" s="140"/>
      <c r="HG60" s="277"/>
      <c r="HH60" s="277"/>
      <c r="HI60" s="277"/>
      <c r="HJ60" s="140"/>
      <c r="HK60" s="277"/>
      <c r="HL60" s="277"/>
      <c r="HM60" s="277"/>
      <c r="HN60" s="140"/>
      <c r="HO60" s="277"/>
      <c r="HP60" s="277"/>
      <c r="HQ60" s="277"/>
      <c r="HR60" s="277"/>
      <c r="HS60" s="277"/>
      <c r="HT60" s="277"/>
      <c r="HU60" s="277"/>
      <c r="HV60" s="277"/>
      <c r="HW60" s="277"/>
      <c r="HX60" s="277"/>
      <c r="HY60" s="277"/>
      <c r="HZ60" s="140"/>
      <c r="IA60" s="277"/>
      <c r="IB60" s="277"/>
      <c r="IC60" s="277"/>
      <c r="ID60" s="140"/>
      <c r="IE60" s="277"/>
      <c r="IF60" s="277"/>
      <c r="IG60" s="277"/>
      <c r="IH60" s="140"/>
      <c r="II60" s="277"/>
      <c r="IJ60" s="277"/>
      <c r="IK60" s="277"/>
      <c r="IL60" s="140"/>
      <c r="IM60" s="277"/>
      <c r="IN60" s="277"/>
      <c r="IO60" s="277"/>
      <c r="IP60" s="277"/>
      <c r="IQ60" s="277"/>
      <c r="IR60" s="277"/>
      <c r="IS60" s="277"/>
      <c r="IT60" s="277"/>
      <c r="IU60" s="277"/>
      <c r="IV60" s="277"/>
      <c r="IW60" s="277"/>
      <c r="IX60" s="140"/>
      <c r="IY60" s="277"/>
      <c r="IZ60" s="277"/>
      <c r="JA60" s="277"/>
      <c r="JB60" s="140"/>
      <c r="JC60" s="277"/>
      <c r="JD60" s="277"/>
      <c r="JE60" s="277"/>
      <c r="JF60" s="140"/>
      <c r="JG60" s="277"/>
      <c r="JH60" s="277"/>
      <c r="JI60" s="140"/>
      <c r="JJ60" s="277"/>
      <c r="JK60" s="277"/>
      <c r="JL60" s="140"/>
      <c r="JM60" s="277"/>
      <c r="JN60" s="277"/>
      <c r="JO60" s="140"/>
      <c r="JP60" s="277"/>
      <c r="JQ60" s="277"/>
      <c r="JR60" s="277"/>
      <c r="JS60" s="277"/>
      <c r="JT60" s="277"/>
      <c r="JU60" s="277"/>
      <c r="JV60" s="277"/>
      <c r="JW60" s="277"/>
      <c r="JX60" s="277"/>
      <c r="JY60" s="277"/>
      <c r="JZ60" s="277"/>
      <c r="KA60" s="277"/>
      <c r="KB60" s="277"/>
      <c r="KC60" s="277"/>
      <c r="KD60" s="277"/>
      <c r="KE60" s="277"/>
      <c r="KF60" s="277"/>
      <c r="KG60" s="277"/>
      <c r="KH60" s="277"/>
      <c r="KI60" s="277"/>
      <c r="KJ60" s="277"/>
      <c r="KK60" s="277"/>
      <c r="KL60" s="277"/>
      <c r="KM60" s="277"/>
      <c r="KN60" s="277"/>
      <c r="KO60" s="277"/>
      <c r="KP60" s="274"/>
      <c r="KQ60" s="253"/>
      <c r="KR60" s="253"/>
      <c r="KY60" s="141">
        <f t="shared" si="11"/>
        <v>0</v>
      </c>
      <c r="KZ60" s="141">
        <f t="shared" si="12"/>
        <v>0</v>
      </c>
      <c r="LB60" s="141">
        <f t="shared" si="13"/>
        <v>0</v>
      </c>
      <c r="LC60" s="141">
        <f t="shared" si="14"/>
        <v>0</v>
      </c>
      <c r="LD60" s="141">
        <f t="shared" si="15"/>
        <v>0</v>
      </c>
      <c r="LE60" s="141" t="e">
        <f>((N(AU60)&gt;0)*(AX60&lt;&gt;"")+(N(AY60)&gt;0)*(BB60&lt;&gt;"")+(N(BC60)&gt;0)*(BF60&lt;&gt;"")+(N(BG60)&gt;0)*(BJ60&lt;&gt;"")+(N(BK60)&gt;0)*(BN60&lt;&gt;"")+(N(BO60)&gt;0)*(BR60&lt;&gt;"")+(N(BS60)&gt;0)*(BV60&lt;&gt;"")+(N(BW60)&gt;0)*(BZ60&lt;&gt;"")+(N(CA60)&gt;0)*(CD60&lt;&gt;"")+(N(CE60)&gt;0)*(CH60&lt;&gt;"")+(N(CI60)&gt;0)*(CL60&lt;&gt;"")+(N(CM60)&gt;0)*(CP60&lt;&gt;"")+(N(CQ60)&gt;0)*(CT60&lt;&gt;"")+(N(CU60)&gt;0)*(CX60&lt;&gt;"")+(N(CY60)&gt;0)*(DB60&lt;&gt;"")+(N(DC60)&gt;0)*(DF60&lt;&gt;"")+(N(DG60)&gt;0)*(DJ60&lt;&gt;"")+(N(DS60)&gt;0)*(DV60&lt;&gt;"")+(N(DW60)&gt;0)*(DZ60&lt;&gt;"")+(N(EA60)&gt;0)*(ED60&lt;&gt;"")+(N(EE60)&gt;0)*(EH60&lt;&gt;"")+(N(EI60)&gt;0)*(EL60&lt;&gt;"")+(N(EM60)&gt;0)*(EP60&lt;&gt;"")+(N(EQ60)&gt;0)*(ET60&lt;&gt;"")+(N(EU60)&gt;0)*(EX60&lt;&gt;"")+(N(#REF!)&gt;0)*(#REF!&lt;&gt;"")+(N(#REF!)&gt;0)*(#REF!&lt;&gt;"")+(N(FJ60)&gt;0)*(FM60&lt;&gt;"")+(N(FN60)&gt;0)*(FQ60&lt;&gt;"")+(N(#REF!)&gt;0)*(#REF!&lt;&gt;"")+(N(#REF!)&gt;0)*(#REF!&lt;&gt;"")+(N(HF60)&gt;0)*(HI60&lt;&gt;"")+(N(#REF!)&gt;0)*(#REF!&lt;&gt;"")+(N(HJ60)&gt;0)*(HM60&lt;&gt;"")+(N(HN60)&gt;0)*(HQ60&lt;&gt;"")+(N(HZ60)&gt;0)*(IC60&lt;&gt;"")+(N(ID60)&gt;0)*(IG60&lt;&gt;"")+(N(IH60)&gt;0)*(IK60&lt;&gt;"")+(N(IL60)&gt;0)*(IO60&lt;&gt;"")+(N(IX60)&gt;0)*(JA60&lt;&gt;"")+(N(JB60)&gt;0)*(JE60&lt;&gt;"")+(N(JF60)&gt;0)*(JH60&lt;&gt;"")+(N(JI60)&gt;0)*(JK60&lt;&gt;"")+(N(JL60)&gt;0)*(JN60&lt;&gt;"")+(N(JO60)&gt;0)*(JQ60&lt;&gt;""))</f>
        <v>#REF!</v>
      </c>
      <c r="LF60" s="141">
        <f t="shared" si="21"/>
        <v>0</v>
      </c>
      <c r="LG60" s="141">
        <f t="shared" si="16"/>
        <v>0</v>
      </c>
    </row>
    <row r="61" spans="2:319" ht="38.25" customHeight="1" x14ac:dyDescent="0.55000000000000004">
      <c r="B61" s="314" t="s">
        <v>420</v>
      </c>
      <c r="C61" s="218"/>
      <c r="D61" s="218"/>
      <c r="E61" s="218"/>
      <c r="F61" s="218"/>
      <c r="G61" s="218"/>
      <c r="H61" s="218"/>
      <c r="I61" s="162" cm="1">
        <f t="array" ref="I61">SUMPRODUCT(($AI$2:$KV$2&lt;&gt;"")*($AI61:$KV61&lt;&gt;""))</f>
        <v>1</v>
      </c>
      <c r="J61" s="142">
        <f t="shared" si="17"/>
        <v>0</v>
      </c>
      <c r="K61" s="142">
        <f t="shared" si="18"/>
        <v>0</v>
      </c>
      <c r="L61" s="268">
        <f t="shared" si="0"/>
        <v>7000</v>
      </c>
      <c r="M61" s="164">
        <f t="shared" si="8"/>
        <v>196</v>
      </c>
      <c r="N61" s="397"/>
      <c r="O61" s="165">
        <f t="shared" si="19"/>
        <v>0</v>
      </c>
      <c r="P61" s="165"/>
      <c r="Q61" s="165"/>
      <c r="R61" s="165">
        <f>(IFERROR(AM61/AN61,0)+IFERROR(AU61/AV61,0)+IFERROR(AY61/AZ61,0)+IFERROR(BC61/BD61,0)+IFERROR(BG61/BH61,0)+IFERROR(BK61/BL61,0)+IFERROR(BO61/BP61,0)+IFERROR(BS61/BT61,0)+IFERROR(BW61/BX61,0)+IFERROR(CA61/CB61,0)+IFERROR(CE61/CF61,0)+IFERROR(CI61/CJ61,0)+IFERROR(CM61/CN61,0)+IFERROR(CQ61/CR61,0)+IFERROR(CU61/CV61,0)+IFERROR(CY61/CZ61,0)+IFERROR(DC61/DD61,0)+IFERROR(DG61/DH61,0)+IFERROR(DS61/DT61,0)+IFERROR(DW61/DX61,0)+IFERROR(EA61/EB61,0)+IFERROR(EE61/EF61,0)+IFERROR(EI61/EJ61,0)+IFERROR(EM61/EN61,0)+IFERROR(EQ61/ER61,0)+IFERROR(EU61/EV61,0)+IFERROR(#REF!/#REF!,0)+IFERROR(#REF!/#REF!,0)+IFERROR(FJ61/FK61,0)+IFERROR(FN61/FO61,0)+IFERROR(#REF!/#REF!,0)+IFERROR(#REF!/#REF!,0)+IFERROR(HF61/HG61,0)+IFERROR(#REF!/#REF!,0)+IFERROR(HJ61/HK61,0)+IFERROR(HN61/HO61,0)+IFERROR(HZ61/IA61,0)+IFERROR(ID61/IE61,0)+IFERROR(IH61/II61,0)+IFERROR(IL61/IM61,0)+IFERROR(IX61/IY61,0)+IFERROR(JB61/JC61,0)+IFERROR(JF61/JG61,0)+IFERROR(JI61/JJ61,0)+IFERROR(JL61/JM61,0)+IFERROR(JO61/JP61,0))*L61*(C61+D61+E61+I61)</f>
        <v>0</v>
      </c>
      <c r="S61" s="165"/>
      <c r="T61" s="165">
        <f t="shared" si="9"/>
        <v>0</v>
      </c>
      <c r="U61" s="165"/>
      <c r="V61" s="165"/>
      <c r="W61" s="165"/>
      <c r="X61" s="165">
        <f>(IFERROR(FF61/FG61,0)+IFERROR(FC61/FD61,0)+IFERROR(#REF!/#REF!,0)+IFERROR(KP61/KQ61,0))*L61*(C61+D61+E61+I61)</f>
        <v>0</v>
      </c>
      <c r="Y61" s="484"/>
      <c r="Z61" s="484"/>
      <c r="AA61" s="484"/>
      <c r="AB61" s="484"/>
      <c r="AC61" s="150">
        <f t="shared" si="20"/>
        <v>0</v>
      </c>
      <c r="AD61" s="150"/>
      <c r="AE61" s="150">
        <f t="shared" si="10"/>
        <v>0</v>
      </c>
      <c r="AF61" s="161"/>
      <c r="AG61" s="143"/>
      <c r="AH61" s="154"/>
      <c r="AI61" s="342">
        <v>7</v>
      </c>
      <c r="AJ61" s="342">
        <v>250</v>
      </c>
      <c r="AK61" s="342"/>
      <c r="AL61" s="343" t="s">
        <v>760</v>
      </c>
      <c r="AM61" s="140"/>
      <c r="AN61" s="154"/>
      <c r="AO61" s="154"/>
      <c r="AP61" s="220"/>
      <c r="AQ61" s="145"/>
      <c r="AR61" s="154"/>
      <c r="AS61" s="154"/>
      <c r="AT61" s="220"/>
      <c r="AU61" s="140"/>
      <c r="AV61" s="277"/>
      <c r="AW61" s="277"/>
      <c r="AX61" s="277"/>
      <c r="AY61" s="140"/>
      <c r="AZ61" s="277"/>
      <c r="BA61" s="277"/>
      <c r="BB61" s="277"/>
      <c r="BC61" s="140"/>
      <c r="BD61" s="277"/>
      <c r="BE61" s="277"/>
      <c r="BF61" s="277"/>
      <c r="BG61" s="140"/>
      <c r="BH61" s="277"/>
      <c r="BI61" s="277"/>
      <c r="BJ61" s="277"/>
      <c r="BK61" s="140"/>
      <c r="BL61" s="277"/>
      <c r="BM61" s="277"/>
      <c r="BN61" s="277"/>
      <c r="BO61" s="140"/>
      <c r="BP61" s="277"/>
      <c r="BQ61" s="277"/>
      <c r="BR61" s="277"/>
      <c r="BS61" s="140"/>
      <c r="BT61" s="277"/>
      <c r="BU61" s="277"/>
      <c r="BV61" s="277"/>
      <c r="BW61" s="140"/>
      <c r="BX61" s="154"/>
      <c r="BY61" s="154"/>
      <c r="BZ61" s="220"/>
      <c r="CA61" s="140"/>
      <c r="CB61" s="154"/>
      <c r="CC61" s="154"/>
      <c r="CD61" s="220"/>
      <c r="CE61" s="140"/>
      <c r="CF61" s="271"/>
      <c r="CG61" s="271"/>
      <c r="CH61" s="271"/>
      <c r="CI61" s="140"/>
      <c r="CJ61" s="154"/>
      <c r="CK61" s="154"/>
      <c r="CL61" s="154"/>
      <c r="CM61" s="140"/>
      <c r="CN61" s="271"/>
      <c r="CO61" s="271"/>
      <c r="CP61" s="271"/>
      <c r="CQ61" s="140"/>
      <c r="CR61" s="154"/>
      <c r="CS61" s="154"/>
      <c r="CT61" s="154"/>
      <c r="CU61" s="140"/>
      <c r="CV61" s="154"/>
      <c r="CW61" s="154"/>
      <c r="CX61" s="220"/>
      <c r="CY61" s="140"/>
      <c r="CZ61" s="154"/>
      <c r="DA61" s="154"/>
      <c r="DB61" s="220"/>
      <c r="DC61" s="140"/>
      <c r="DD61" s="146"/>
      <c r="DE61" s="146"/>
      <c r="DF61" s="146"/>
      <c r="DG61" s="140"/>
      <c r="DH61" s="146"/>
      <c r="DI61" s="146"/>
      <c r="DJ61" s="146"/>
      <c r="DK61" s="146"/>
      <c r="DL61" s="146"/>
      <c r="DM61" s="146"/>
      <c r="DN61" s="146"/>
      <c r="DO61" s="146"/>
      <c r="DP61" s="146"/>
      <c r="DQ61" s="146"/>
      <c r="DR61" s="146"/>
      <c r="DS61" s="140"/>
      <c r="DT61" s="154"/>
      <c r="DU61" s="154"/>
      <c r="DV61" s="154"/>
      <c r="DW61" s="140"/>
      <c r="DX61" s="220"/>
      <c r="DY61" s="220"/>
      <c r="DZ61" s="220"/>
      <c r="EA61" s="140"/>
      <c r="EB61" s="220"/>
      <c r="EC61" s="220"/>
      <c r="ED61" s="220"/>
      <c r="EE61" s="140"/>
      <c r="EF61" s="154"/>
      <c r="EG61" s="154"/>
      <c r="EH61" s="154"/>
      <c r="EI61" s="140"/>
      <c r="EJ61" s="154"/>
      <c r="EK61" s="154"/>
      <c r="EL61" s="154"/>
      <c r="EM61" s="140"/>
      <c r="EN61" s="222"/>
      <c r="EO61" s="222"/>
      <c r="EP61" s="222"/>
      <c r="EQ61" s="140"/>
      <c r="ER61" s="222"/>
      <c r="ES61" s="222"/>
      <c r="ET61" s="222"/>
      <c r="EU61" s="140"/>
      <c r="EV61" s="222"/>
      <c r="EW61" s="222"/>
      <c r="EX61" s="222"/>
      <c r="EY61" s="344"/>
      <c r="EZ61" s="222"/>
      <c r="FA61" s="222"/>
      <c r="FB61" s="222"/>
      <c r="FC61" s="273"/>
      <c r="FD61" s="223"/>
      <c r="FE61" s="223"/>
      <c r="FF61" s="276"/>
      <c r="FG61" s="156"/>
      <c r="FH61" s="156"/>
      <c r="FI61" s="156"/>
      <c r="FJ61" s="140"/>
      <c r="FK61" s="277"/>
      <c r="FL61" s="277"/>
      <c r="FM61" s="277"/>
      <c r="FN61" s="140"/>
      <c r="FO61" s="277"/>
      <c r="FP61" s="277"/>
      <c r="FQ61" s="277"/>
      <c r="FR61" s="280"/>
      <c r="FS61" s="277"/>
      <c r="FT61" s="277"/>
      <c r="FU61" s="277"/>
      <c r="FV61" s="277"/>
      <c r="FW61" s="277"/>
      <c r="FX61" s="277"/>
      <c r="FY61" s="277"/>
      <c r="FZ61" s="277"/>
      <c r="GA61" s="277"/>
      <c r="GB61" s="277"/>
      <c r="GC61" s="277"/>
      <c r="GD61" s="277"/>
      <c r="GE61" s="277"/>
      <c r="GF61" s="277"/>
      <c r="GG61" s="277"/>
      <c r="GH61" s="277"/>
      <c r="GI61" s="277"/>
      <c r="GJ61" s="277"/>
      <c r="GK61" s="277"/>
      <c r="GL61" s="277"/>
      <c r="GM61" s="277"/>
      <c r="GN61" s="277"/>
      <c r="GO61" s="277"/>
      <c r="GP61" s="277"/>
      <c r="GQ61" s="277"/>
      <c r="GR61" s="277"/>
      <c r="GS61" s="277"/>
      <c r="GT61" s="277"/>
      <c r="GU61" s="277"/>
      <c r="GV61" s="277"/>
      <c r="GW61" s="277"/>
      <c r="GX61" s="277"/>
      <c r="GY61" s="277"/>
      <c r="GZ61" s="277"/>
      <c r="HA61" s="277"/>
      <c r="HB61" s="277"/>
      <c r="HC61" s="277"/>
      <c r="HD61" s="277"/>
      <c r="HE61" s="277"/>
      <c r="HF61" s="140"/>
      <c r="HG61" s="277"/>
      <c r="HH61" s="277"/>
      <c r="HI61" s="277"/>
      <c r="HJ61" s="140"/>
      <c r="HK61" s="277"/>
      <c r="HL61" s="277"/>
      <c r="HM61" s="277"/>
      <c r="HN61" s="140"/>
      <c r="HO61" s="277"/>
      <c r="HP61" s="277"/>
      <c r="HQ61" s="277"/>
      <c r="HR61" s="277"/>
      <c r="HS61" s="277"/>
      <c r="HT61" s="277"/>
      <c r="HU61" s="277"/>
      <c r="HV61" s="277"/>
      <c r="HW61" s="277"/>
      <c r="HX61" s="277"/>
      <c r="HY61" s="277"/>
      <c r="HZ61" s="140"/>
      <c r="IA61" s="277"/>
      <c r="IB61" s="277"/>
      <c r="IC61" s="277"/>
      <c r="ID61" s="140"/>
      <c r="IE61" s="277"/>
      <c r="IF61" s="277"/>
      <c r="IG61" s="277"/>
      <c r="IH61" s="140"/>
      <c r="II61" s="277"/>
      <c r="IJ61" s="277"/>
      <c r="IK61" s="277"/>
      <c r="IL61" s="140"/>
      <c r="IM61" s="277"/>
      <c r="IN61" s="277"/>
      <c r="IO61" s="277"/>
      <c r="IP61" s="277"/>
      <c r="IQ61" s="277"/>
      <c r="IR61" s="277"/>
      <c r="IS61" s="277"/>
      <c r="IT61" s="277"/>
      <c r="IU61" s="277"/>
      <c r="IV61" s="277"/>
      <c r="IW61" s="277"/>
      <c r="IX61" s="140"/>
      <c r="IY61" s="277"/>
      <c r="IZ61" s="277"/>
      <c r="JA61" s="277"/>
      <c r="JB61" s="140"/>
      <c r="JC61" s="277"/>
      <c r="JD61" s="277"/>
      <c r="JE61" s="277"/>
      <c r="JF61" s="140"/>
      <c r="JG61" s="277"/>
      <c r="JH61" s="277"/>
      <c r="JI61" s="140"/>
      <c r="JJ61" s="277"/>
      <c r="JK61" s="277"/>
      <c r="JL61" s="140"/>
      <c r="JM61" s="277"/>
      <c r="JN61" s="277"/>
      <c r="JO61" s="140"/>
      <c r="JP61" s="277"/>
      <c r="JQ61" s="277"/>
      <c r="JR61" s="277"/>
      <c r="JS61" s="277"/>
      <c r="JT61" s="277"/>
      <c r="JU61" s="277"/>
      <c r="JV61" s="277"/>
      <c r="JW61" s="277"/>
      <c r="JX61" s="277"/>
      <c r="JY61" s="277"/>
      <c r="JZ61" s="277"/>
      <c r="KA61" s="277"/>
      <c r="KB61" s="277"/>
      <c r="KC61" s="277"/>
      <c r="KD61" s="277"/>
      <c r="KE61" s="277"/>
      <c r="KF61" s="277"/>
      <c r="KG61" s="277"/>
      <c r="KH61" s="277"/>
      <c r="KI61" s="277"/>
      <c r="KJ61" s="277"/>
      <c r="KK61" s="277"/>
      <c r="KL61" s="277"/>
      <c r="KM61" s="277"/>
      <c r="KN61" s="277"/>
      <c r="KO61" s="277"/>
      <c r="KP61" s="274"/>
      <c r="KQ61" s="253"/>
      <c r="KR61" s="253"/>
      <c r="KY61" s="141">
        <f t="shared" si="11"/>
        <v>0</v>
      </c>
      <c r="KZ61" s="141">
        <f t="shared" si="12"/>
        <v>0</v>
      </c>
      <c r="LB61" s="141">
        <f t="shared" si="13"/>
        <v>1</v>
      </c>
      <c r="LC61" s="141">
        <f t="shared" si="14"/>
        <v>0</v>
      </c>
      <c r="LD61" s="141">
        <f t="shared" si="15"/>
        <v>0</v>
      </c>
      <c r="LE61" s="141" t="e">
        <f>((N(AU61)&gt;0)*(AX61&lt;&gt;"")+(N(AY61)&gt;0)*(BB61&lt;&gt;"")+(N(BC61)&gt;0)*(BF61&lt;&gt;"")+(N(BG61)&gt;0)*(BJ61&lt;&gt;"")+(N(BK61)&gt;0)*(BN61&lt;&gt;"")+(N(BO61)&gt;0)*(BR61&lt;&gt;"")+(N(BS61)&gt;0)*(BV61&lt;&gt;"")+(N(BW61)&gt;0)*(BZ61&lt;&gt;"")+(N(CA61)&gt;0)*(CD61&lt;&gt;"")+(N(CE61)&gt;0)*(CH61&lt;&gt;"")+(N(CI61)&gt;0)*(CL61&lt;&gt;"")+(N(CM61)&gt;0)*(CP61&lt;&gt;"")+(N(CQ61)&gt;0)*(CT61&lt;&gt;"")+(N(CU61)&gt;0)*(CX61&lt;&gt;"")+(N(CY61)&gt;0)*(DB61&lt;&gt;"")+(N(DC61)&gt;0)*(DF61&lt;&gt;"")+(N(DG61)&gt;0)*(DJ61&lt;&gt;"")+(N(DS61)&gt;0)*(DV61&lt;&gt;"")+(N(DW61)&gt;0)*(DZ61&lt;&gt;"")+(N(EA61)&gt;0)*(ED61&lt;&gt;"")+(N(EE61)&gt;0)*(EH61&lt;&gt;"")+(N(EI61)&gt;0)*(EL61&lt;&gt;"")+(N(EM61)&gt;0)*(EP61&lt;&gt;"")+(N(EQ61)&gt;0)*(ET61&lt;&gt;"")+(N(EU61)&gt;0)*(EX61&lt;&gt;"")+(N(#REF!)&gt;0)*(#REF!&lt;&gt;"")+(N(#REF!)&gt;0)*(#REF!&lt;&gt;"")+(N(FJ61)&gt;0)*(FM61&lt;&gt;"")+(N(FN61)&gt;0)*(FQ61&lt;&gt;"")+(N(#REF!)&gt;0)*(#REF!&lt;&gt;"")+(N(#REF!)&gt;0)*(#REF!&lt;&gt;"")+(N(HF61)&gt;0)*(HI61&lt;&gt;"")+(N(#REF!)&gt;0)*(#REF!&lt;&gt;"")+(N(HJ61)&gt;0)*(HM61&lt;&gt;"")+(N(HN61)&gt;0)*(HQ61&lt;&gt;"")+(N(HZ61)&gt;0)*(IC61&lt;&gt;"")+(N(ID61)&gt;0)*(IG61&lt;&gt;"")+(N(IH61)&gt;0)*(IK61&lt;&gt;"")+(N(IL61)&gt;0)*(IO61&lt;&gt;"")+(N(IX61)&gt;0)*(JA61&lt;&gt;"")+(N(JB61)&gt;0)*(JE61&lt;&gt;"")+(N(JF61)&gt;0)*(JH61&lt;&gt;"")+(N(JI61)&gt;0)*(JK61&lt;&gt;"")+(N(JL61)&gt;0)*(JN61&lt;&gt;"")+(N(JO61)&gt;0)*(JQ61&lt;&gt;""))</f>
        <v>#REF!</v>
      </c>
      <c r="LF61" s="141">
        <f t="shared" si="21"/>
        <v>0</v>
      </c>
      <c r="LG61" s="141">
        <f t="shared" si="16"/>
        <v>0</v>
      </c>
    </row>
    <row r="62" spans="2:319" ht="38.25" customHeight="1" x14ac:dyDescent="0.55000000000000004">
      <c r="B62" s="314" t="s">
        <v>511</v>
      </c>
      <c r="C62" s="218"/>
      <c r="D62" s="218"/>
      <c r="E62" s="218"/>
      <c r="F62" s="218"/>
      <c r="G62" s="218"/>
      <c r="H62" s="218"/>
      <c r="I62" s="162" cm="1">
        <f t="array" ref="I62">SUMPRODUCT(($AI$2:$KV$2&lt;&gt;"")*($AI62:$KV62&lt;&gt;""))</f>
        <v>0</v>
      </c>
      <c r="J62" s="142">
        <f t="shared" si="17"/>
        <v>0</v>
      </c>
      <c r="K62" s="142">
        <f t="shared" si="18"/>
        <v>0</v>
      </c>
      <c r="L62" s="268">
        <f t="shared" si="0"/>
        <v>7000</v>
      </c>
      <c r="M62" s="164">
        <f t="shared" si="8"/>
        <v>0</v>
      </c>
      <c r="N62" s="397"/>
      <c r="O62" s="165">
        <f t="shared" si="19"/>
        <v>0</v>
      </c>
      <c r="P62" s="165"/>
      <c r="Q62" s="165"/>
      <c r="R62" s="165">
        <f>(IFERROR(AM62/AN62,0)+IFERROR(AU62/AV62,0)+IFERROR(AY62/AZ62,0)+IFERROR(BC62/BD62,0)+IFERROR(BG62/BH62,0)+IFERROR(BK62/BL62,0)+IFERROR(BO62/BP62,0)+IFERROR(BS62/BT62,0)+IFERROR(BW62/BX62,0)+IFERROR(CA62/CB62,0)+IFERROR(CE62/CF62,0)+IFERROR(CI62/CJ62,0)+IFERROR(CM62/CN62,0)+IFERROR(CQ62/CR62,0)+IFERROR(CU62/CV62,0)+IFERROR(CY62/CZ62,0)+IFERROR(DC62/DD62,0)+IFERROR(DG62/DH62,0)+IFERROR(DS62/DT62,0)+IFERROR(DW62/DX62,0)+IFERROR(EA62/EB62,0)+IFERROR(EE62/EF62,0)+IFERROR(EI62/EJ62,0)+IFERROR(EM62/EN62,0)+IFERROR(EQ62/ER62,0)+IFERROR(EU62/EV62,0)+IFERROR(#REF!/#REF!,0)+IFERROR(#REF!/#REF!,0)+IFERROR(FJ62/FK62,0)+IFERROR(FN62/FO62,0)+IFERROR(#REF!/#REF!,0)+IFERROR(#REF!/#REF!,0)+IFERROR(HF62/HG62,0)+IFERROR(#REF!/#REF!,0)+IFERROR(HJ62/HK62,0)+IFERROR(HN62/HO62,0)+IFERROR(HZ62/IA62,0)+IFERROR(ID62/IE62,0)+IFERROR(IH62/II62,0)+IFERROR(IL62/IM62,0)+IFERROR(IX62/IY62,0)+IFERROR(JB62/JC62,0)+IFERROR(JF62/JG62,0)+IFERROR(JI62/JJ62,0)+IFERROR(JL62/JM62,0)+IFERROR(JO62/JP62,0))*L62*(C62+D62+E62+I62)</f>
        <v>0</v>
      </c>
      <c r="S62" s="165"/>
      <c r="T62" s="165">
        <f t="shared" si="9"/>
        <v>0</v>
      </c>
      <c r="U62" s="165"/>
      <c r="V62" s="165"/>
      <c r="W62" s="165"/>
      <c r="X62" s="165">
        <f>(IFERROR(FF62/FG62,0)+IFERROR(FC62/FD62,0)+IFERROR(#REF!/#REF!,0)+IFERROR(KP62/KQ62,0))*L62*(C62+D62+E62+I62)</f>
        <v>0</v>
      </c>
      <c r="Y62" s="484"/>
      <c r="Z62" s="484"/>
      <c r="AA62" s="484"/>
      <c r="AB62" s="484"/>
      <c r="AC62" s="150">
        <f t="shared" si="20"/>
        <v>0</v>
      </c>
      <c r="AD62" s="150"/>
      <c r="AE62" s="150">
        <f t="shared" si="10"/>
        <v>0</v>
      </c>
      <c r="AF62" s="161"/>
      <c r="AG62" s="143"/>
      <c r="AH62" s="154"/>
      <c r="AI62" s="144"/>
      <c r="AJ62" s="154"/>
      <c r="AK62" s="154"/>
      <c r="AL62" s="220"/>
      <c r="AM62" s="140"/>
      <c r="AN62" s="154"/>
      <c r="AO62" s="154"/>
      <c r="AP62" s="220"/>
      <c r="AQ62" s="145"/>
      <c r="AR62" s="154"/>
      <c r="AS62" s="154"/>
      <c r="AT62" s="220"/>
      <c r="AU62" s="140"/>
      <c r="AV62" s="277"/>
      <c r="AW62" s="277"/>
      <c r="AX62" s="277"/>
      <c r="AY62" s="140"/>
      <c r="AZ62" s="277"/>
      <c r="BA62" s="277"/>
      <c r="BB62" s="277"/>
      <c r="BC62" s="140"/>
      <c r="BD62" s="277"/>
      <c r="BE62" s="277"/>
      <c r="BF62" s="277"/>
      <c r="BG62" s="140"/>
      <c r="BH62" s="277"/>
      <c r="BI62" s="277"/>
      <c r="BJ62" s="277"/>
      <c r="BK62" s="140"/>
      <c r="BL62" s="277"/>
      <c r="BM62" s="277"/>
      <c r="BN62" s="277"/>
      <c r="BO62" s="140"/>
      <c r="BP62" s="277"/>
      <c r="BQ62" s="277"/>
      <c r="BR62" s="277"/>
      <c r="BS62" s="140"/>
      <c r="BT62" s="277"/>
      <c r="BU62" s="277"/>
      <c r="BV62" s="277"/>
      <c r="BW62" s="140"/>
      <c r="BX62" s="154"/>
      <c r="BY62" s="154"/>
      <c r="BZ62" s="220"/>
      <c r="CA62" s="140"/>
      <c r="CB62" s="154"/>
      <c r="CC62" s="154"/>
      <c r="CD62" s="220"/>
      <c r="CE62" s="140"/>
      <c r="CF62" s="271"/>
      <c r="CG62" s="271"/>
      <c r="CH62" s="271"/>
      <c r="CI62" s="140"/>
      <c r="CJ62" s="154"/>
      <c r="CK62" s="154"/>
      <c r="CL62" s="154"/>
      <c r="CM62" s="140"/>
      <c r="CN62" s="271"/>
      <c r="CO62" s="271"/>
      <c r="CP62" s="271"/>
      <c r="CQ62" s="140"/>
      <c r="CR62" s="154"/>
      <c r="CS62" s="154"/>
      <c r="CT62" s="154"/>
      <c r="CU62" s="140"/>
      <c r="CV62" s="154"/>
      <c r="CW62" s="154"/>
      <c r="CX62" s="220"/>
      <c r="CY62" s="140"/>
      <c r="CZ62" s="154"/>
      <c r="DA62" s="154"/>
      <c r="DB62" s="220"/>
      <c r="DC62" s="140"/>
      <c r="DD62" s="146"/>
      <c r="DE62" s="146"/>
      <c r="DF62" s="146"/>
      <c r="DG62" s="140"/>
      <c r="DH62" s="146"/>
      <c r="DI62" s="146"/>
      <c r="DJ62" s="146"/>
      <c r="DK62" s="146"/>
      <c r="DL62" s="146"/>
      <c r="DM62" s="146"/>
      <c r="DN62" s="146"/>
      <c r="DO62" s="146"/>
      <c r="DP62" s="146"/>
      <c r="DQ62" s="146"/>
      <c r="DR62" s="146"/>
      <c r="DS62" s="140"/>
      <c r="DT62" s="154"/>
      <c r="DU62" s="154"/>
      <c r="DV62" s="154"/>
      <c r="DW62" s="140"/>
      <c r="DX62" s="220"/>
      <c r="DY62" s="220"/>
      <c r="DZ62" s="220"/>
      <c r="EA62" s="140"/>
      <c r="EB62" s="220"/>
      <c r="EC62" s="220"/>
      <c r="ED62" s="220"/>
      <c r="EE62" s="140"/>
      <c r="EF62" s="154"/>
      <c r="EG62" s="154"/>
      <c r="EH62" s="154"/>
      <c r="EI62" s="140"/>
      <c r="EJ62" s="154"/>
      <c r="EK62" s="154"/>
      <c r="EL62" s="154"/>
      <c r="EM62" s="140"/>
      <c r="EN62" s="222"/>
      <c r="EO62" s="222"/>
      <c r="EP62" s="222"/>
      <c r="EQ62" s="140"/>
      <c r="ER62" s="222"/>
      <c r="ES62" s="222"/>
      <c r="ET62" s="222"/>
      <c r="EU62" s="140"/>
      <c r="EV62" s="222"/>
      <c r="EW62" s="222"/>
      <c r="EX62" s="222"/>
      <c r="EY62" s="344"/>
      <c r="EZ62" s="222"/>
      <c r="FA62" s="222"/>
      <c r="FB62" s="222"/>
      <c r="FC62" s="273"/>
      <c r="FD62" s="223"/>
      <c r="FE62" s="223"/>
      <c r="FF62" s="276"/>
      <c r="FG62" s="156"/>
      <c r="FH62" s="156"/>
      <c r="FI62" s="156"/>
      <c r="FJ62" s="140"/>
      <c r="FK62" s="277"/>
      <c r="FL62" s="277"/>
      <c r="FM62" s="277"/>
      <c r="FN62" s="140"/>
      <c r="FO62" s="277"/>
      <c r="FP62" s="277"/>
      <c r="FQ62" s="277"/>
      <c r="FR62" s="280"/>
      <c r="FS62" s="277"/>
      <c r="FT62" s="277"/>
      <c r="FU62" s="277"/>
      <c r="FV62" s="277"/>
      <c r="FW62" s="277"/>
      <c r="FX62" s="277"/>
      <c r="FY62" s="277"/>
      <c r="FZ62" s="277"/>
      <c r="GA62" s="277"/>
      <c r="GB62" s="277"/>
      <c r="GC62" s="277"/>
      <c r="GD62" s="277"/>
      <c r="GE62" s="277"/>
      <c r="GF62" s="277"/>
      <c r="GG62" s="277"/>
      <c r="GH62" s="277"/>
      <c r="GI62" s="277"/>
      <c r="GJ62" s="277"/>
      <c r="GK62" s="277"/>
      <c r="GL62" s="277"/>
      <c r="GM62" s="277"/>
      <c r="GN62" s="277"/>
      <c r="GO62" s="277"/>
      <c r="GP62" s="277"/>
      <c r="GQ62" s="277"/>
      <c r="GR62" s="277"/>
      <c r="GS62" s="277"/>
      <c r="GT62" s="277"/>
      <c r="GU62" s="277"/>
      <c r="GV62" s="277"/>
      <c r="GW62" s="277"/>
      <c r="GX62" s="277"/>
      <c r="GY62" s="277"/>
      <c r="GZ62" s="277"/>
      <c r="HA62" s="277"/>
      <c r="HB62" s="277"/>
      <c r="HC62" s="277"/>
      <c r="HD62" s="277"/>
      <c r="HE62" s="277"/>
      <c r="HF62" s="140"/>
      <c r="HG62" s="277"/>
      <c r="HH62" s="277"/>
      <c r="HI62" s="277"/>
      <c r="HJ62" s="140"/>
      <c r="HK62" s="277"/>
      <c r="HL62" s="277"/>
      <c r="HM62" s="277"/>
      <c r="HN62" s="140"/>
      <c r="HO62" s="277"/>
      <c r="HP62" s="277"/>
      <c r="HQ62" s="277"/>
      <c r="HR62" s="277"/>
      <c r="HS62" s="277"/>
      <c r="HT62" s="277"/>
      <c r="HU62" s="277"/>
      <c r="HV62" s="277"/>
      <c r="HW62" s="277"/>
      <c r="HX62" s="277"/>
      <c r="HY62" s="277"/>
      <c r="HZ62" s="140"/>
      <c r="IA62" s="277"/>
      <c r="IB62" s="277"/>
      <c r="IC62" s="277"/>
      <c r="ID62" s="140"/>
      <c r="IE62" s="277"/>
      <c r="IF62" s="277"/>
      <c r="IG62" s="277"/>
      <c r="IH62" s="140"/>
      <c r="II62" s="277"/>
      <c r="IJ62" s="277"/>
      <c r="IK62" s="277"/>
      <c r="IL62" s="140"/>
      <c r="IM62" s="277"/>
      <c r="IN62" s="277"/>
      <c r="IO62" s="277"/>
      <c r="IP62" s="277"/>
      <c r="IQ62" s="277"/>
      <c r="IR62" s="277"/>
      <c r="IS62" s="277"/>
      <c r="IT62" s="277"/>
      <c r="IU62" s="277"/>
      <c r="IV62" s="277"/>
      <c r="IW62" s="277"/>
      <c r="IX62" s="140"/>
      <c r="IY62" s="277"/>
      <c r="IZ62" s="277"/>
      <c r="JA62" s="277"/>
      <c r="JB62" s="140"/>
      <c r="JC62" s="277"/>
      <c r="JD62" s="277"/>
      <c r="JE62" s="277"/>
      <c r="JF62" s="140"/>
      <c r="JG62" s="277"/>
      <c r="JH62" s="277"/>
      <c r="JI62" s="140"/>
      <c r="JJ62" s="277"/>
      <c r="JK62" s="277"/>
      <c r="JL62" s="140"/>
      <c r="JM62" s="277"/>
      <c r="JN62" s="277"/>
      <c r="JO62" s="140"/>
      <c r="JP62" s="277"/>
      <c r="JQ62" s="277"/>
      <c r="JR62" s="277"/>
      <c r="JS62" s="277"/>
      <c r="JT62" s="277"/>
      <c r="JU62" s="277"/>
      <c r="JV62" s="277"/>
      <c r="JW62" s="277"/>
      <c r="JX62" s="277"/>
      <c r="JY62" s="277"/>
      <c r="JZ62" s="277"/>
      <c r="KA62" s="277"/>
      <c r="KB62" s="277"/>
      <c r="KC62" s="277"/>
      <c r="KD62" s="277"/>
      <c r="KE62" s="277"/>
      <c r="KF62" s="277"/>
      <c r="KG62" s="277"/>
      <c r="KH62" s="277"/>
      <c r="KI62" s="277"/>
      <c r="KJ62" s="277"/>
      <c r="KK62" s="277"/>
      <c r="KL62" s="277"/>
      <c r="KM62" s="277"/>
      <c r="KN62" s="277"/>
      <c r="KO62" s="277"/>
      <c r="KP62" s="274"/>
      <c r="KQ62" s="253"/>
      <c r="KR62" s="253"/>
      <c r="KY62" s="141">
        <f t="shared" si="11"/>
        <v>0</v>
      </c>
      <c r="KZ62" s="141">
        <f t="shared" si="12"/>
        <v>0</v>
      </c>
      <c r="LB62" s="141">
        <f t="shared" si="13"/>
        <v>0</v>
      </c>
      <c r="LC62" s="141">
        <f t="shared" si="14"/>
        <v>0</v>
      </c>
      <c r="LD62" s="141">
        <f t="shared" si="15"/>
        <v>0</v>
      </c>
      <c r="LE62" s="141" t="e">
        <f>((N(AU62)&gt;0)*(AX62&lt;&gt;"")+(N(AY62)&gt;0)*(BB62&lt;&gt;"")+(N(BC62)&gt;0)*(BF62&lt;&gt;"")+(N(BG62)&gt;0)*(BJ62&lt;&gt;"")+(N(BK62)&gt;0)*(BN62&lt;&gt;"")+(N(BO62)&gt;0)*(BR62&lt;&gt;"")+(N(BS62)&gt;0)*(BV62&lt;&gt;"")+(N(BW62)&gt;0)*(BZ62&lt;&gt;"")+(N(CA62)&gt;0)*(CD62&lt;&gt;"")+(N(CE62)&gt;0)*(CH62&lt;&gt;"")+(N(CI62)&gt;0)*(CL62&lt;&gt;"")+(N(CM62)&gt;0)*(CP62&lt;&gt;"")+(N(CQ62)&gt;0)*(CT62&lt;&gt;"")+(N(CU62)&gt;0)*(CX62&lt;&gt;"")+(N(CY62)&gt;0)*(DB62&lt;&gt;"")+(N(DC62)&gt;0)*(DF62&lt;&gt;"")+(N(DG62)&gt;0)*(DJ62&lt;&gt;"")+(N(DS62)&gt;0)*(DV62&lt;&gt;"")+(N(DW62)&gt;0)*(DZ62&lt;&gt;"")+(N(EA62)&gt;0)*(ED62&lt;&gt;"")+(N(EE62)&gt;0)*(EH62&lt;&gt;"")+(N(EI62)&gt;0)*(EL62&lt;&gt;"")+(N(EM62)&gt;0)*(EP62&lt;&gt;"")+(N(EQ62)&gt;0)*(ET62&lt;&gt;"")+(N(EU62)&gt;0)*(EX62&lt;&gt;"")+(N(#REF!)&gt;0)*(#REF!&lt;&gt;"")+(N(#REF!)&gt;0)*(#REF!&lt;&gt;"")+(N(FJ62)&gt;0)*(FM62&lt;&gt;"")+(N(FN62)&gt;0)*(FQ62&lt;&gt;"")+(N(#REF!)&gt;0)*(#REF!&lt;&gt;"")+(N(#REF!)&gt;0)*(#REF!&lt;&gt;"")+(N(HF62)&gt;0)*(HI62&lt;&gt;"")+(N(#REF!)&gt;0)*(#REF!&lt;&gt;"")+(N(HJ62)&gt;0)*(HM62&lt;&gt;"")+(N(HN62)&gt;0)*(HQ62&lt;&gt;"")+(N(HZ62)&gt;0)*(IC62&lt;&gt;"")+(N(ID62)&gt;0)*(IG62&lt;&gt;"")+(N(IH62)&gt;0)*(IK62&lt;&gt;"")+(N(IL62)&gt;0)*(IO62&lt;&gt;"")+(N(IX62)&gt;0)*(JA62&lt;&gt;"")+(N(JB62)&gt;0)*(JE62&lt;&gt;"")+(N(JF62)&gt;0)*(JH62&lt;&gt;"")+(N(JI62)&gt;0)*(JK62&lt;&gt;"")+(N(JL62)&gt;0)*(JN62&lt;&gt;"")+(N(JO62)&gt;0)*(JQ62&lt;&gt;""))</f>
        <v>#REF!</v>
      </c>
      <c r="LF62" s="141">
        <f t="shared" si="21"/>
        <v>0</v>
      </c>
      <c r="LG62" s="141">
        <f t="shared" si="16"/>
        <v>0</v>
      </c>
    </row>
    <row r="63" spans="2:319" ht="38.25" customHeight="1" x14ac:dyDescent="0.55000000000000004">
      <c r="B63" s="314" t="s">
        <v>421</v>
      </c>
      <c r="C63" s="218"/>
      <c r="D63" s="218"/>
      <c r="E63" s="218"/>
      <c r="F63" s="218"/>
      <c r="G63" s="218"/>
      <c r="H63" s="218"/>
      <c r="I63" s="162" cm="1">
        <f t="array" ref="I63">SUMPRODUCT(($AI$2:$KV$2&lt;&gt;"")*($AI63:$KV63&lt;&gt;""))</f>
        <v>1</v>
      </c>
      <c r="J63" s="142">
        <f t="shared" si="17"/>
        <v>0</v>
      </c>
      <c r="K63" s="142">
        <f t="shared" si="18"/>
        <v>0</v>
      </c>
      <c r="L63" s="268">
        <f t="shared" si="0"/>
        <v>7000</v>
      </c>
      <c r="M63" s="164">
        <f t="shared" ref="M63:M94" si="22">IFERROR(IF(N(AJ63)=0,0,(AI63/AJ63)*L63*(C63+D63+E63+I63)),0)</f>
        <v>168</v>
      </c>
      <c r="N63" s="397"/>
      <c r="O63" s="165">
        <f t="shared" si="19"/>
        <v>0</v>
      </c>
      <c r="P63" s="165"/>
      <c r="Q63" s="165"/>
      <c r="R63" s="165">
        <f>(IFERROR(AM63/AN63,0)+IFERROR(AU63/AV63,0)+IFERROR(AY63/AZ63,0)+IFERROR(BC63/BD63,0)+IFERROR(BG63/BH63,0)+IFERROR(BK63/BL63,0)+IFERROR(BO63/BP63,0)+IFERROR(BS63/BT63,0)+IFERROR(BW63/BX63,0)+IFERROR(CA63/CB63,0)+IFERROR(CE63/CF63,0)+IFERROR(CI63/CJ63,0)+IFERROR(CM63/CN63,0)+IFERROR(CQ63/CR63,0)+IFERROR(CU63/CV63,0)+IFERROR(CY63/CZ63,0)+IFERROR(DC63/DD63,0)+IFERROR(DG63/DH63,0)+IFERROR(DS63/DT63,0)+IFERROR(DW63/DX63,0)+IFERROR(EA63/EB63,0)+IFERROR(EE63/EF63,0)+IFERROR(EI63/EJ63,0)+IFERROR(EM63/EN63,0)+IFERROR(EQ63/ER63,0)+IFERROR(EU63/EV63,0)+IFERROR(#REF!/#REF!,0)+IFERROR(#REF!/#REF!,0)+IFERROR(FJ63/FK63,0)+IFERROR(FN63/FO63,0)+IFERROR(#REF!/#REF!,0)+IFERROR(#REF!/#REF!,0)+IFERROR(HF63/HG63,0)+IFERROR(#REF!/#REF!,0)+IFERROR(HJ63/HK63,0)+IFERROR(HN63/HO63,0)+IFERROR(HZ63/IA63,0)+IFERROR(ID63/IE63,0)+IFERROR(IH63/II63,0)+IFERROR(IL63/IM63,0)+IFERROR(IX63/IY63,0)+IFERROR(JB63/JC63,0)+IFERROR(JF63/JG63,0)+IFERROR(JI63/JJ63,0)+IFERROR(JL63/JM63,0)+IFERROR(JO63/JP63,0))*L63*(C63+D63+E63+I63)</f>
        <v>0</v>
      </c>
      <c r="S63" s="165"/>
      <c r="T63" s="165">
        <f t="shared" ref="T63:T94" si="23">IFERROR(IF(N(FS63)=0,0,(FR63/FS63)*L63*(C63+D63+E63+I63)),0)</f>
        <v>0</v>
      </c>
      <c r="U63" s="165"/>
      <c r="V63" s="165"/>
      <c r="W63" s="165"/>
      <c r="X63" s="165">
        <f>(IFERROR(FF63/FG63,0)+IFERROR(FC63/FD63,0)+IFERROR(#REF!/#REF!,0)+IFERROR(KP63/KQ63,0))*L63*(C63+D63+E63+I63)</f>
        <v>0</v>
      </c>
      <c r="Y63" s="484"/>
      <c r="Z63" s="484"/>
      <c r="AA63" s="484"/>
      <c r="AB63" s="484"/>
      <c r="AC63" s="150">
        <f t="shared" si="20"/>
        <v>0</v>
      </c>
      <c r="AD63" s="150"/>
      <c r="AE63" s="150">
        <f t="shared" ref="AE63:AE94" si="24">IFERROR(IF(N(EZ63)=0,0,(EY63/EZ63)*L63*(C63+D63+E63+I63)),0)</f>
        <v>0</v>
      </c>
      <c r="AF63" s="161"/>
      <c r="AG63" s="143"/>
      <c r="AH63" s="154"/>
      <c r="AI63" s="342">
        <v>6</v>
      </c>
      <c r="AJ63" s="342">
        <v>250</v>
      </c>
      <c r="AK63" s="342"/>
      <c r="AL63" s="343" t="s">
        <v>761</v>
      </c>
      <c r="AM63" s="140"/>
      <c r="AN63" s="154"/>
      <c r="AO63" s="154"/>
      <c r="AP63" s="220"/>
      <c r="AQ63" s="145"/>
      <c r="AR63" s="154"/>
      <c r="AS63" s="154"/>
      <c r="AT63" s="220"/>
      <c r="AU63" s="140"/>
      <c r="AV63" s="277"/>
      <c r="AW63" s="277"/>
      <c r="AX63" s="277"/>
      <c r="AY63" s="140"/>
      <c r="AZ63" s="277"/>
      <c r="BA63" s="277"/>
      <c r="BB63" s="277"/>
      <c r="BC63" s="140"/>
      <c r="BD63" s="277"/>
      <c r="BE63" s="277"/>
      <c r="BF63" s="277"/>
      <c r="BG63" s="140"/>
      <c r="BH63" s="277"/>
      <c r="BI63" s="277"/>
      <c r="BJ63" s="277"/>
      <c r="BK63" s="140"/>
      <c r="BL63" s="277"/>
      <c r="BM63" s="277"/>
      <c r="BN63" s="277"/>
      <c r="BO63" s="140"/>
      <c r="BP63" s="277"/>
      <c r="BQ63" s="277"/>
      <c r="BR63" s="277"/>
      <c r="BS63" s="140"/>
      <c r="BT63" s="277"/>
      <c r="BU63" s="277"/>
      <c r="BV63" s="277"/>
      <c r="BW63" s="140"/>
      <c r="BX63" s="154"/>
      <c r="BY63" s="154"/>
      <c r="BZ63" s="220"/>
      <c r="CA63" s="140"/>
      <c r="CB63" s="154"/>
      <c r="CC63" s="154"/>
      <c r="CD63" s="220"/>
      <c r="CE63" s="140"/>
      <c r="CF63" s="271"/>
      <c r="CG63" s="271"/>
      <c r="CH63" s="271"/>
      <c r="CI63" s="140"/>
      <c r="CJ63" s="154"/>
      <c r="CK63" s="154"/>
      <c r="CL63" s="154"/>
      <c r="CM63" s="140"/>
      <c r="CN63" s="271"/>
      <c r="CO63" s="271"/>
      <c r="CP63" s="271"/>
      <c r="CQ63" s="140"/>
      <c r="CR63" s="154"/>
      <c r="CS63" s="154"/>
      <c r="CT63" s="154"/>
      <c r="CU63" s="140"/>
      <c r="CV63" s="154"/>
      <c r="CW63" s="154"/>
      <c r="CX63" s="220"/>
      <c r="CY63" s="140"/>
      <c r="CZ63" s="154"/>
      <c r="DA63" s="154"/>
      <c r="DB63" s="220"/>
      <c r="DC63" s="140"/>
      <c r="DD63" s="146"/>
      <c r="DE63" s="146"/>
      <c r="DF63" s="146"/>
      <c r="DG63" s="140"/>
      <c r="DH63" s="146"/>
      <c r="DI63" s="146"/>
      <c r="DJ63" s="146"/>
      <c r="DK63" s="146"/>
      <c r="DL63" s="146"/>
      <c r="DM63" s="146"/>
      <c r="DN63" s="146"/>
      <c r="DO63" s="146"/>
      <c r="DP63" s="146"/>
      <c r="DQ63" s="146"/>
      <c r="DR63" s="146"/>
      <c r="DS63" s="140"/>
      <c r="DT63" s="154"/>
      <c r="DU63" s="154"/>
      <c r="DV63" s="154"/>
      <c r="DW63" s="140"/>
      <c r="DX63" s="220"/>
      <c r="DY63" s="220"/>
      <c r="DZ63" s="220"/>
      <c r="EA63" s="140"/>
      <c r="EB63" s="220"/>
      <c r="EC63" s="220"/>
      <c r="ED63" s="220"/>
      <c r="EE63" s="140"/>
      <c r="EF63" s="154"/>
      <c r="EG63" s="154"/>
      <c r="EH63" s="154"/>
      <c r="EI63" s="140"/>
      <c r="EJ63" s="154"/>
      <c r="EK63" s="154"/>
      <c r="EL63" s="154"/>
      <c r="EM63" s="140"/>
      <c r="EN63" s="222"/>
      <c r="EO63" s="222"/>
      <c r="EP63" s="222"/>
      <c r="EQ63" s="140"/>
      <c r="ER63" s="222"/>
      <c r="ES63" s="222"/>
      <c r="ET63" s="222"/>
      <c r="EU63" s="140"/>
      <c r="EV63" s="222"/>
      <c r="EW63" s="222"/>
      <c r="EX63" s="222"/>
      <c r="EY63" s="344"/>
      <c r="EZ63" s="222"/>
      <c r="FA63" s="222"/>
      <c r="FB63" s="222"/>
      <c r="FC63" s="273"/>
      <c r="FD63" s="223"/>
      <c r="FE63" s="223"/>
      <c r="FF63" s="276"/>
      <c r="FG63" s="156"/>
      <c r="FH63" s="156"/>
      <c r="FI63" s="156"/>
      <c r="FJ63" s="140"/>
      <c r="FK63" s="277"/>
      <c r="FL63" s="277"/>
      <c r="FM63" s="277"/>
      <c r="FN63" s="140"/>
      <c r="FO63" s="277"/>
      <c r="FP63" s="277"/>
      <c r="FQ63" s="277"/>
      <c r="FR63" s="280"/>
      <c r="FS63" s="277"/>
      <c r="FT63" s="277"/>
      <c r="FU63" s="277"/>
      <c r="FV63" s="277"/>
      <c r="FW63" s="277"/>
      <c r="FX63" s="277"/>
      <c r="FY63" s="277"/>
      <c r="FZ63" s="277"/>
      <c r="GA63" s="277"/>
      <c r="GB63" s="277"/>
      <c r="GC63" s="277"/>
      <c r="GD63" s="277"/>
      <c r="GE63" s="277"/>
      <c r="GF63" s="277"/>
      <c r="GG63" s="277"/>
      <c r="GH63" s="277"/>
      <c r="GI63" s="277"/>
      <c r="GJ63" s="277"/>
      <c r="GK63" s="277"/>
      <c r="GL63" s="277"/>
      <c r="GM63" s="277"/>
      <c r="GN63" s="277"/>
      <c r="GO63" s="277"/>
      <c r="GP63" s="277"/>
      <c r="GQ63" s="277"/>
      <c r="GR63" s="277"/>
      <c r="GS63" s="277"/>
      <c r="GT63" s="277"/>
      <c r="GU63" s="277"/>
      <c r="GV63" s="277"/>
      <c r="GW63" s="277"/>
      <c r="GX63" s="277"/>
      <c r="GY63" s="277"/>
      <c r="GZ63" s="277"/>
      <c r="HA63" s="277"/>
      <c r="HB63" s="277"/>
      <c r="HC63" s="277"/>
      <c r="HD63" s="277"/>
      <c r="HE63" s="277"/>
      <c r="HF63" s="140"/>
      <c r="HG63" s="277"/>
      <c r="HH63" s="277"/>
      <c r="HI63" s="277"/>
      <c r="HJ63" s="140"/>
      <c r="HK63" s="277"/>
      <c r="HL63" s="277"/>
      <c r="HM63" s="277"/>
      <c r="HN63" s="140"/>
      <c r="HO63" s="277"/>
      <c r="HP63" s="277"/>
      <c r="HQ63" s="277"/>
      <c r="HR63" s="277"/>
      <c r="HS63" s="277"/>
      <c r="HT63" s="277"/>
      <c r="HU63" s="277"/>
      <c r="HV63" s="277"/>
      <c r="HW63" s="277"/>
      <c r="HX63" s="277"/>
      <c r="HY63" s="277"/>
      <c r="HZ63" s="140"/>
      <c r="IA63" s="277"/>
      <c r="IB63" s="277"/>
      <c r="IC63" s="277"/>
      <c r="ID63" s="140"/>
      <c r="IE63" s="277"/>
      <c r="IF63" s="277"/>
      <c r="IG63" s="277"/>
      <c r="IH63" s="140"/>
      <c r="II63" s="277"/>
      <c r="IJ63" s="277"/>
      <c r="IK63" s="277"/>
      <c r="IL63" s="140"/>
      <c r="IM63" s="277"/>
      <c r="IN63" s="277"/>
      <c r="IO63" s="277"/>
      <c r="IP63" s="277"/>
      <c r="IQ63" s="277"/>
      <c r="IR63" s="277"/>
      <c r="IS63" s="277"/>
      <c r="IT63" s="277"/>
      <c r="IU63" s="277"/>
      <c r="IV63" s="277"/>
      <c r="IW63" s="277"/>
      <c r="IX63" s="140"/>
      <c r="IY63" s="277"/>
      <c r="IZ63" s="277"/>
      <c r="JA63" s="277"/>
      <c r="JB63" s="140"/>
      <c r="JC63" s="277"/>
      <c r="JD63" s="277"/>
      <c r="JE63" s="277"/>
      <c r="JF63" s="140"/>
      <c r="JG63" s="277"/>
      <c r="JH63" s="277"/>
      <c r="JI63" s="140"/>
      <c r="JJ63" s="277"/>
      <c r="JK63" s="277"/>
      <c r="JL63" s="140"/>
      <c r="JM63" s="277"/>
      <c r="JN63" s="277"/>
      <c r="JO63" s="140"/>
      <c r="JP63" s="277"/>
      <c r="JQ63" s="277"/>
      <c r="JR63" s="277"/>
      <c r="JS63" s="277"/>
      <c r="JT63" s="277"/>
      <c r="JU63" s="277"/>
      <c r="JV63" s="277"/>
      <c r="JW63" s="277"/>
      <c r="JX63" s="277"/>
      <c r="JY63" s="277"/>
      <c r="JZ63" s="277"/>
      <c r="KA63" s="277"/>
      <c r="KB63" s="277"/>
      <c r="KC63" s="277"/>
      <c r="KD63" s="277"/>
      <c r="KE63" s="277"/>
      <c r="KF63" s="277"/>
      <c r="KG63" s="277"/>
      <c r="KH63" s="277"/>
      <c r="KI63" s="277"/>
      <c r="KJ63" s="277"/>
      <c r="KK63" s="277"/>
      <c r="KL63" s="277"/>
      <c r="KM63" s="277"/>
      <c r="KN63" s="277"/>
      <c r="KO63" s="277"/>
      <c r="KP63" s="274"/>
      <c r="KQ63" s="253"/>
      <c r="KR63" s="253"/>
      <c r="KY63" s="141">
        <f t="shared" ref="KY63:KY94" si="25">IFERROR(IF(N(KT63)=0,0,(KS63/KT63)*L63*(C63+D63+E63+I63)),0)</f>
        <v>0</v>
      </c>
      <c r="KZ63" s="141">
        <f t="shared" ref="KZ63:KZ94" si="26">IFERROR(IF(N(KW63)=0,0,(KV63/KW63)*L63*(C63+D63+E63+I63)),0)</f>
        <v>0</v>
      </c>
      <c r="LB63" s="141">
        <f t="shared" ref="LB63:LB94" si="27">(N(AI63)&gt;0)*(AL63&lt;&gt;"")</f>
        <v>1</v>
      </c>
      <c r="LC63" s="141">
        <f t="shared" ref="LC63:LC94" si="28">(N(AM63)&gt;0)*(AP63&lt;&gt;"")</f>
        <v>0</v>
      </c>
      <c r="LD63" s="141">
        <f t="shared" ref="LD63:LD94" si="29">(N(AQ63)&gt;0)*(AT63&lt;&gt;"")</f>
        <v>0</v>
      </c>
      <c r="LE63" s="141" t="e">
        <f>((N(AU63)&gt;0)*(AX63&lt;&gt;"")+(N(AY63)&gt;0)*(BB63&lt;&gt;"")+(N(BC63)&gt;0)*(BF63&lt;&gt;"")+(N(BG63)&gt;0)*(BJ63&lt;&gt;"")+(N(BK63)&gt;0)*(BN63&lt;&gt;"")+(N(BO63)&gt;0)*(BR63&lt;&gt;"")+(N(BS63)&gt;0)*(BV63&lt;&gt;"")+(N(BW63)&gt;0)*(BZ63&lt;&gt;"")+(N(CA63)&gt;0)*(CD63&lt;&gt;"")+(N(CE63)&gt;0)*(CH63&lt;&gt;"")+(N(CI63)&gt;0)*(CL63&lt;&gt;"")+(N(CM63)&gt;0)*(CP63&lt;&gt;"")+(N(CQ63)&gt;0)*(CT63&lt;&gt;"")+(N(CU63)&gt;0)*(CX63&lt;&gt;"")+(N(CY63)&gt;0)*(DB63&lt;&gt;"")+(N(DC63)&gt;0)*(DF63&lt;&gt;"")+(N(DG63)&gt;0)*(DJ63&lt;&gt;"")+(N(DS63)&gt;0)*(DV63&lt;&gt;"")+(N(DW63)&gt;0)*(DZ63&lt;&gt;"")+(N(EA63)&gt;0)*(ED63&lt;&gt;"")+(N(EE63)&gt;0)*(EH63&lt;&gt;"")+(N(EI63)&gt;0)*(EL63&lt;&gt;"")+(N(EM63)&gt;0)*(EP63&lt;&gt;"")+(N(EQ63)&gt;0)*(ET63&lt;&gt;"")+(N(EU63)&gt;0)*(EX63&lt;&gt;"")+(N(#REF!)&gt;0)*(#REF!&lt;&gt;"")+(N(#REF!)&gt;0)*(#REF!&lt;&gt;"")+(N(FJ63)&gt;0)*(FM63&lt;&gt;"")+(N(FN63)&gt;0)*(FQ63&lt;&gt;"")+(N(#REF!)&gt;0)*(#REF!&lt;&gt;"")+(N(#REF!)&gt;0)*(#REF!&lt;&gt;"")+(N(HF63)&gt;0)*(HI63&lt;&gt;"")+(N(#REF!)&gt;0)*(#REF!&lt;&gt;"")+(N(HJ63)&gt;0)*(HM63&lt;&gt;"")+(N(HN63)&gt;0)*(HQ63&lt;&gt;"")+(N(HZ63)&gt;0)*(IC63&lt;&gt;"")+(N(ID63)&gt;0)*(IG63&lt;&gt;"")+(N(IH63)&gt;0)*(IK63&lt;&gt;"")+(N(IL63)&gt;0)*(IO63&lt;&gt;"")+(N(IX63)&gt;0)*(JA63&lt;&gt;"")+(N(JB63)&gt;0)*(JE63&lt;&gt;"")+(N(JF63)&gt;0)*(JH63&lt;&gt;"")+(N(JI63)&gt;0)*(JK63&lt;&gt;"")+(N(JL63)&gt;0)*(JN63&lt;&gt;"")+(N(JO63)&gt;0)*(JQ63&lt;&gt;""))</f>
        <v>#REF!</v>
      </c>
      <c r="LF63" s="141">
        <f t="shared" si="21"/>
        <v>0</v>
      </c>
      <c r="LG63" s="141">
        <f t="shared" ref="LG63:LG94" si="30">(N(AG63)&gt;0)*(N(AH63)&gt;0)</f>
        <v>0</v>
      </c>
    </row>
    <row r="64" spans="2:319" ht="38.25" customHeight="1" x14ac:dyDescent="0.55000000000000004">
      <c r="B64" s="315" t="s">
        <v>422</v>
      </c>
      <c r="C64" s="159"/>
      <c r="D64" s="159"/>
      <c r="E64" s="159"/>
      <c r="F64" s="159"/>
      <c r="G64" s="159"/>
      <c r="H64" s="159"/>
      <c r="I64" s="142" cm="1">
        <f t="array" ref="I64">SUMPRODUCT(($AI$2:$KV$2&lt;&gt;"")*($AI64:$KV64&lt;&gt;""))</f>
        <v>1</v>
      </c>
      <c r="J64" s="142">
        <f t="shared" si="17"/>
        <v>0</v>
      </c>
      <c r="K64" s="142">
        <f t="shared" si="18"/>
        <v>0</v>
      </c>
      <c r="L64" s="268">
        <f t="shared" si="0"/>
        <v>7000</v>
      </c>
      <c r="M64" s="164">
        <f t="shared" si="22"/>
        <v>784</v>
      </c>
      <c r="N64" s="397"/>
      <c r="O64" s="165">
        <f t="shared" si="19"/>
        <v>0</v>
      </c>
      <c r="P64" s="165"/>
      <c r="Q64" s="165"/>
      <c r="R64" s="165">
        <f>(IFERROR(AM64/AN64,0)+IFERROR(AU64/AV64,0)+IFERROR(AY64/AZ64,0)+IFERROR(BC64/BD64,0)+IFERROR(BG64/BH64,0)+IFERROR(BK64/BL64,0)+IFERROR(BO64/BP64,0)+IFERROR(BS64/BT64,0)+IFERROR(BW64/BX64,0)+IFERROR(CA64/CB64,0)+IFERROR(CE64/CF64,0)+IFERROR(CI64/CJ64,0)+IFERROR(CM64/CN64,0)+IFERROR(CQ64/CR64,0)+IFERROR(CU64/CV64,0)+IFERROR(CY64/CZ64,0)+IFERROR(DC64/DD64,0)+IFERROR(DG64/DH64,0)+IFERROR(DS64/DT64,0)+IFERROR(DW64/DX64,0)+IFERROR(EA64/EB64,0)+IFERROR(EE64/EF64,0)+IFERROR(EI64/EJ64,0)+IFERROR(EM64/EN64,0)+IFERROR(EQ64/ER64,0)+IFERROR(EU64/EV64,0)+IFERROR(#REF!/#REF!,0)+IFERROR(#REF!/#REF!,0)+IFERROR(FJ64/FK64,0)+IFERROR(FN64/FO64,0)+IFERROR(#REF!/#REF!,0)+IFERROR(#REF!/#REF!,0)+IFERROR(HF64/HG64,0)+IFERROR(#REF!/#REF!,0)+IFERROR(HJ64/HK64,0)+IFERROR(HN64/HO64,0)+IFERROR(HZ64/IA64,0)+IFERROR(ID64/IE64,0)+IFERROR(IH64/II64,0)+IFERROR(IL64/IM64,0)+IFERROR(IX64/IY64,0)+IFERROR(JB64/JC64,0)+IFERROR(JF64/JG64,0)+IFERROR(JI64/JJ64,0)+IFERROR(JL64/JM64,0)+IFERROR(JO64/JP64,0))*L64*(C64+D64+E64+I64)</f>
        <v>0</v>
      </c>
      <c r="S64" s="165"/>
      <c r="T64" s="165">
        <f t="shared" si="23"/>
        <v>0</v>
      </c>
      <c r="U64" s="165"/>
      <c r="V64" s="165"/>
      <c r="W64" s="165"/>
      <c r="X64" s="165">
        <f>(IFERROR(FF64/FG64,0)+IFERROR(FC64/FD64,0)+IFERROR(#REF!/#REF!,0)+IFERROR(KP64/KQ64,0))*L64*(C64+D64+E64+I64)</f>
        <v>0</v>
      </c>
      <c r="Y64" s="484"/>
      <c r="Z64" s="484"/>
      <c r="AA64" s="484"/>
      <c r="AB64" s="484"/>
      <c r="AC64" s="150">
        <f t="shared" si="20"/>
        <v>0</v>
      </c>
      <c r="AD64" s="150"/>
      <c r="AE64" s="150">
        <f t="shared" si="24"/>
        <v>0</v>
      </c>
      <c r="AF64" s="161"/>
      <c r="AG64" s="143"/>
      <c r="AH64" s="154"/>
      <c r="AI64" s="342">
        <v>28</v>
      </c>
      <c r="AJ64" s="342">
        <v>250</v>
      </c>
      <c r="AK64" s="342"/>
      <c r="AL64" s="343" t="s">
        <v>545</v>
      </c>
      <c r="AM64" s="140"/>
      <c r="AN64" s="154"/>
      <c r="AO64" s="154"/>
      <c r="AP64" s="220"/>
      <c r="AQ64" s="145"/>
      <c r="AR64" s="154"/>
      <c r="AS64" s="154"/>
      <c r="AT64" s="220"/>
      <c r="AU64" s="140"/>
      <c r="AV64" s="277"/>
      <c r="AW64" s="277"/>
      <c r="AX64" s="277"/>
      <c r="AY64" s="140"/>
      <c r="AZ64" s="277"/>
      <c r="BA64" s="277"/>
      <c r="BB64" s="277"/>
      <c r="BC64" s="140"/>
      <c r="BD64" s="277"/>
      <c r="BE64" s="277"/>
      <c r="BF64" s="277"/>
      <c r="BG64" s="140"/>
      <c r="BH64" s="277"/>
      <c r="BI64" s="277"/>
      <c r="BJ64" s="277"/>
      <c r="BK64" s="140"/>
      <c r="BL64" s="277"/>
      <c r="BM64" s="277"/>
      <c r="BN64" s="277"/>
      <c r="BO64" s="140"/>
      <c r="BP64" s="277"/>
      <c r="BQ64" s="277"/>
      <c r="BR64" s="277"/>
      <c r="BS64" s="140"/>
      <c r="BT64" s="277"/>
      <c r="BU64" s="277"/>
      <c r="BV64" s="277"/>
      <c r="BW64" s="140"/>
      <c r="BX64" s="154"/>
      <c r="BY64" s="154"/>
      <c r="BZ64" s="220"/>
      <c r="CA64" s="140"/>
      <c r="CB64" s="154"/>
      <c r="CC64" s="154"/>
      <c r="CD64" s="220"/>
      <c r="CE64" s="140"/>
      <c r="CF64" s="271"/>
      <c r="CG64" s="271"/>
      <c r="CH64" s="271"/>
      <c r="CI64" s="140"/>
      <c r="CJ64" s="154"/>
      <c r="CK64" s="154"/>
      <c r="CL64" s="154"/>
      <c r="CM64" s="140"/>
      <c r="CN64" s="271"/>
      <c r="CO64" s="271"/>
      <c r="CP64" s="271"/>
      <c r="CQ64" s="140"/>
      <c r="CR64" s="154"/>
      <c r="CS64" s="154"/>
      <c r="CT64" s="154"/>
      <c r="CU64" s="140"/>
      <c r="CV64" s="154"/>
      <c r="CW64" s="154"/>
      <c r="CX64" s="220"/>
      <c r="CY64" s="140"/>
      <c r="CZ64" s="154"/>
      <c r="DA64" s="154"/>
      <c r="DB64" s="220"/>
      <c r="DC64" s="140"/>
      <c r="DD64" s="146"/>
      <c r="DE64" s="146"/>
      <c r="DF64" s="146"/>
      <c r="DG64" s="140"/>
      <c r="DH64" s="146"/>
      <c r="DI64" s="146"/>
      <c r="DJ64" s="146"/>
      <c r="DK64" s="146"/>
      <c r="DL64" s="146"/>
      <c r="DM64" s="146"/>
      <c r="DN64" s="146"/>
      <c r="DO64" s="146"/>
      <c r="DP64" s="146"/>
      <c r="DQ64" s="146"/>
      <c r="DR64" s="146"/>
      <c r="DS64" s="140"/>
      <c r="DT64" s="154"/>
      <c r="DU64" s="154"/>
      <c r="DV64" s="154"/>
      <c r="DW64" s="140"/>
      <c r="DX64" s="220"/>
      <c r="DY64" s="220"/>
      <c r="DZ64" s="220"/>
      <c r="EA64" s="140"/>
      <c r="EB64" s="220"/>
      <c r="EC64" s="220"/>
      <c r="ED64" s="220"/>
      <c r="EE64" s="140"/>
      <c r="EF64" s="154"/>
      <c r="EG64" s="154"/>
      <c r="EH64" s="154"/>
      <c r="EI64" s="140"/>
      <c r="EJ64" s="154"/>
      <c r="EK64" s="154"/>
      <c r="EL64" s="154"/>
      <c r="EM64" s="140"/>
      <c r="EN64" s="269"/>
      <c r="EO64" s="269"/>
      <c r="EP64" s="269"/>
      <c r="EQ64" s="140"/>
      <c r="ER64" s="269"/>
      <c r="ES64" s="269"/>
      <c r="ET64" s="269"/>
      <c r="EU64" s="140"/>
      <c r="EV64" s="222"/>
      <c r="EW64" s="222"/>
      <c r="EX64" s="222"/>
      <c r="EY64" s="344"/>
      <c r="EZ64" s="222"/>
      <c r="FA64" s="222"/>
      <c r="FB64" s="222"/>
      <c r="FC64" s="273"/>
      <c r="FD64" s="223"/>
      <c r="FE64" s="223"/>
      <c r="FF64" s="276"/>
      <c r="FG64" s="156"/>
      <c r="FH64" s="156"/>
      <c r="FI64" s="156"/>
      <c r="FJ64" s="140"/>
      <c r="FK64" s="277"/>
      <c r="FL64" s="277"/>
      <c r="FM64" s="277"/>
      <c r="FN64" s="140"/>
      <c r="FO64" s="277"/>
      <c r="FP64" s="277"/>
      <c r="FQ64" s="277"/>
      <c r="FR64" s="280"/>
      <c r="FS64" s="277"/>
      <c r="FT64" s="277"/>
      <c r="FU64" s="277"/>
      <c r="FV64" s="277"/>
      <c r="FW64" s="277"/>
      <c r="FX64" s="277"/>
      <c r="FY64" s="277"/>
      <c r="FZ64" s="277"/>
      <c r="GA64" s="277"/>
      <c r="GB64" s="277"/>
      <c r="GC64" s="277"/>
      <c r="GD64" s="277"/>
      <c r="GE64" s="277"/>
      <c r="GF64" s="277"/>
      <c r="GG64" s="277"/>
      <c r="GH64" s="277"/>
      <c r="GI64" s="277"/>
      <c r="GJ64" s="277"/>
      <c r="GK64" s="277"/>
      <c r="GL64" s="277"/>
      <c r="GM64" s="277"/>
      <c r="GN64" s="277"/>
      <c r="GO64" s="277"/>
      <c r="GP64" s="277"/>
      <c r="GQ64" s="277"/>
      <c r="GR64" s="277"/>
      <c r="GS64" s="277"/>
      <c r="GT64" s="277"/>
      <c r="GU64" s="277"/>
      <c r="GV64" s="277"/>
      <c r="GW64" s="277"/>
      <c r="GX64" s="277"/>
      <c r="GY64" s="277"/>
      <c r="GZ64" s="277"/>
      <c r="HA64" s="277"/>
      <c r="HB64" s="277"/>
      <c r="HC64" s="277"/>
      <c r="HD64" s="277"/>
      <c r="HE64" s="277"/>
      <c r="HF64" s="140"/>
      <c r="HG64" s="277"/>
      <c r="HH64" s="277"/>
      <c r="HI64" s="277"/>
      <c r="HJ64" s="140"/>
      <c r="HK64" s="277"/>
      <c r="HL64" s="277"/>
      <c r="HM64" s="277"/>
      <c r="HN64" s="140"/>
      <c r="HO64" s="277"/>
      <c r="HP64" s="277"/>
      <c r="HQ64" s="277"/>
      <c r="HR64" s="277"/>
      <c r="HS64" s="277"/>
      <c r="HT64" s="277"/>
      <c r="HU64" s="277"/>
      <c r="HV64" s="277"/>
      <c r="HW64" s="277"/>
      <c r="HX64" s="277"/>
      <c r="HY64" s="277"/>
      <c r="HZ64" s="140"/>
      <c r="IA64" s="277"/>
      <c r="IB64" s="277"/>
      <c r="IC64" s="277"/>
      <c r="ID64" s="140"/>
      <c r="IE64" s="277"/>
      <c r="IF64" s="277"/>
      <c r="IG64" s="277"/>
      <c r="IH64" s="140"/>
      <c r="II64" s="277"/>
      <c r="IJ64" s="277"/>
      <c r="IK64" s="277"/>
      <c r="IL64" s="140"/>
      <c r="IM64" s="277"/>
      <c r="IN64" s="277"/>
      <c r="IO64" s="277"/>
      <c r="IP64" s="277"/>
      <c r="IQ64" s="277"/>
      <c r="IR64" s="277"/>
      <c r="IS64" s="277"/>
      <c r="IT64" s="277"/>
      <c r="IU64" s="277"/>
      <c r="IV64" s="277"/>
      <c r="IW64" s="277"/>
      <c r="IX64" s="140"/>
      <c r="IY64" s="277"/>
      <c r="IZ64" s="277"/>
      <c r="JA64" s="277"/>
      <c r="JB64" s="140"/>
      <c r="JC64" s="277"/>
      <c r="JD64" s="277"/>
      <c r="JE64" s="277"/>
      <c r="JF64" s="140"/>
      <c r="JG64" s="277"/>
      <c r="JH64" s="277"/>
      <c r="JI64" s="140"/>
      <c r="JJ64" s="277"/>
      <c r="JK64" s="277"/>
      <c r="JL64" s="140"/>
      <c r="JM64" s="277"/>
      <c r="JN64" s="277"/>
      <c r="JO64" s="140"/>
      <c r="JP64" s="277"/>
      <c r="JQ64" s="277"/>
      <c r="JR64" s="277"/>
      <c r="JS64" s="277"/>
      <c r="JT64" s="277"/>
      <c r="JU64" s="277"/>
      <c r="JV64" s="277"/>
      <c r="JW64" s="277"/>
      <c r="JX64" s="277"/>
      <c r="JY64" s="277"/>
      <c r="JZ64" s="277"/>
      <c r="KA64" s="277"/>
      <c r="KB64" s="277"/>
      <c r="KC64" s="277"/>
      <c r="KD64" s="277"/>
      <c r="KE64" s="277"/>
      <c r="KF64" s="277"/>
      <c r="KG64" s="277"/>
      <c r="KH64" s="277"/>
      <c r="KI64" s="277"/>
      <c r="KJ64" s="277"/>
      <c r="KK64" s="277"/>
      <c r="KL64" s="277"/>
      <c r="KM64" s="277"/>
      <c r="KN64" s="277"/>
      <c r="KO64" s="277"/>
      <c r="KP64" s="274"/>
      <c r="KQ64" s="253"/>
      <c r="KR64" s="253"/>
      <c r="KY64" s="141">
        <f t="shared" si="25"/>
        <v>0</v>
      </c>
      <c r="KZ64" s="141">
        <f t="shared" si="26"/>
        <v>0</v>
      </c>
      <c r="LB64" s="141">
        <f t="shared" si="27"/>
        <v>1</v>
      </c>
      <c r="LC64" s="141">
        <f t="shared" si="28"/>
        <v>0</v>
      </c>
      <c r="LD64" s="141">
        <f t="shared" si="29"/>
        <v>0</v>
      </c>
      <c r="LE64" s="141" t="e">
        <f>((N(AU64)&gt;0)*(AX64&lt;&gt;"")+(N(AY64)&gt;0)*(BB64&lt;&gt;"")+(N(BC64)&gt;0)*(BF64&lt;&gt;"")+(N(BG64)&gt;0)*(BJ64&lt;&gt;"")+(N(BK64)&gt;0)*(BN64&lt;&gt;"")+(N(BO64)&gt;0)*(BR64&lt;&gt;"")+(N(BS64)&gt;0)*(BV64&lt;&gt;"")+(N(BW64)&gt;0)*(BZ64&lt;&gt;"")+(N(CA64)&gt;0)*(CD64&lt;&gt;"")+(N(CE64)&gt;0)*(CH64&lt;&gt;"")+(N(CI64)&gt;0)*(CL64&lt;&gt;"")+(N(CM64)&gt;0)*(CP64&lt;&gt;"")+(N(CQ64)&gt;0)*(CT64&lt;&gt;"")+(N(CU64)&gt;0)*(CX64&lt;&gt;"")+(N(CY64)&gt;0)*(DB64&lt;&gt;"")+(N(DC64)&gt;0)*(DF64&lt;&gt;"")+(N(DG64)&gt;0)*(DJ64&lt;&gt;"")+(N(DS64)&gt;0)*(DV64&lt;&gt;"")+(N(DW64)&gt;0)*(DZ64&lt;&gt;"")+(N(EA64)&gt;0)*(ED64&lt;&gt;"")+(N(EE64)&gt;0)*(EH64&lt;&gt;"")+(N(EI64)&gt;0)*(EL64&lt;&gt;"")+(N(EM64)&gt;0)*(EP64&lt;&gt;"")+(N(EQ64)&gt;0)*(ET64&lt;&gt;"")+(N(EU64)&gt;0)*(EX64&lt;&gt;"")+(N(#REF!)&gt;0)*(#REF!&lt;&gt;"")+(N(#REF!)&gt;0)*(#REF!&lt;&gt;"")+(N(FJ64)&gt;0)*(FM64&lt;&gt;"")+(N(FN64)&gt;0)*(FQ64&lt;&gt;"")+(N(#REF!)&gt;0)*(#REF!&lt;&gt;"")+(N(#REF!)&gt;0)*(#REF!&lt;&gt;"")+(N(HF64)&gt;0)*(HI64&lt;&gt;"")+(N(#REF!)&gt;0)*(#REF!&lt;&gt;"")+(N(HJ64)&gt;0)*(HM64&lt;&gt;"")+(N(HN64)&gt;0)*(HQ64&lt;&gt;"")+(N(HZ64)&gt;0)*(IC64&lt;&gt;"")+(N(ID64)&gt;0)*(IG64&lt;&gt;"")+(N(IH64)&gt;0)*(IK64&lt;&gt;"")+(N(IL64)&gt;0)*(IO64&lt;&gt;"")+(N(IX64)&gt;0)*(JA64&lt;&gt;"")+(N(JB64)&gt;0)*(JE64&lt;&gt;"")+(N(JF64)&gt;0)*(JH64&lt;&gt;"")+(N(JI64)&gt;0)*(JK64&lt;&gt;"")+(N(JL64)&gt;0)*(JN64&lt;&gt;"")+(N(JO64)&gt;0)*(JQ64&lt;&gt;""))</f>
        <v>#REF!</v>
      </c>
      <c r="LF64" s="141">
        <f t="shared" si="21"/>
        <v>0</v>
      </c>
      <c r="LG64" s="141">
        <f t="shared" si="30"/>
        <v>0</v>
      </c>
    </row>
    <row r="65" spans="1:319" ht="38.25" customHeight="1" x14ac:dyDescent="0.55000000000000004">
      <c r="B65" s="315" t="s">
        <v>425</v>
      </c>
      <c r="C65" s="159"/>
      <c r="D65" s="159"/>
      <c r="E65" s="159"/>
      <c r="F65" s="159"/>
      <c r="G65" s="159"/>
      <c r="H65" s="159"/>
      <c r="I65" s="142" cm="1">
        <f t="array" ref="I65">SUMPRODUCT(($AI$2:$KV$2&lt;&gt;"")*($AI65:$KV65&lt;&gt;""))</f>
        <v>1</v>
      </c>
      <c r="J65" s="142">
        <f t="shared" si="17"/>
        <v>0</v>
      </c>
      <c r="K65" s="142">
        <f t="shared" si="18"/>
        <v>0</v>
      </c>
      <c r="L65" s="268">
        <f t="shared" si="0"/>
        <v>7000</v>
      </c>
      <c r="M65" s="164">
        <f t="shared" si="22"/>
        <v>0</v>
      </c>
      <c r="N65" s="397"/>
      <c r="O65" s="165">
        <f t="shared" si="19"/>
        <v>0</v>
      </c>
      <c r="P65" s="165"/>
      <c r="Q65" s="165"/>
      <c r="R65" s="165">
        <f>(IFERROR(AM65/AN65,0)+IFERROR(AU65/AV65,0)+IFERROR(AY65/AZ65,0)+IFERROR(BC65/BD65,0)+IFERROR(BG65/BH65,0)+IFERROR(BK65/BL65,0)+IFERROR(BO65/BP65,0)+IFERROR(BS65/BT65,0)+IFERROR(BW65/BX65,0)+IFERROR(CA65/CB65,0)+IFERROR(CE65/CF65,0)+IFERROR(CI65/CJ65,0)+IFERROR(CM65/CN65,0)+IFERROR(CQ65/CR65,0)+IFERROR(CU65/CV65,0)+IFERROR(CY65/CZ65,0)+IFERROR(DC65/DD65,0)+IFERROR(DG65/DH65,0)+IFERROR(DS65/DT65,0)+IFERROR(DW65/DX65,0)+IFERROR(EA65/EB65,0)+IFERROR(EE65/EF65,0)+IFERROR(EI65/EJ65,0)+IFERROR(EM65/EN65,0)+IFERROR(EQ65/ER65,0)+IFERROR(EU65/EV65,0)+IFERROR(#REF!/#REF!,0)+IFERROR(#REF!/#REF!,0)+IFERROR(FJ65/FK65,0)+IFERROR(FN65/FO65,0)+IFERROR(#REF!/#REF!,0)+IFERROR(#REF!/#REF!,0)+IFERROR(HF65/HG65,0)+IFERROR(#REF!/#REF!,0)+IFERROR(HJ65/HK65,0)+IFERROR(HN65/HO65,0)+IFERROR(HZ65/IA65,0)+IFERROR(ID65/IE65,0)+IFERROR(IH65/II65,0)+IFERROR(IL65/IM65,0)+IFERROR(IX65/IY65,0)+IFERROR(JB65/JC65,0)+IFERROR(JF65/JG65,0)+IFERROR(JI65/JJ65,0)+IFERROR(JL65/JM65,0)+IFERROR(JO65/JP65,0))*L65*(C65+D65+E65+I65)</f>
        <v>0</v>
      </c>
      <c r="S65" s="165"/>
      <c r="T65" s="165">
        <f t="shared" si="23"/>
        <v>0</v>
      </c>
      <c r="U65" s="165"/>
      <c r="V65" s="165"/>
      <c r="W65" s="165"/>
      <c r="X65" s="165">
        <f>(IFERROR(FF65/FG65,0)+IFERROR(FC65/FD65,0)+IFERROR(#REF!/#REF!,0)+IFERROR(KP65/KQ65,0))*L65*(C65+D65+E65+I65)</f>
        <v>0</v>
      </c>
      <c r="Y65" s="484"/>
      <c r="Z65" s="484"/>
      <c r="AA65" s="484"/>
      <c r="AB65" s="484"/>
      <c r="AC65" s="150">
        <f t="shared" si="20"/>
        <v>0</v>
      </c>
      <c r="AD65" s="150"/>
      <c r="AE65" s="150">
        <f t="shared" si="24"/>
        <v>0</v>
      </c>
      <c r="AF65" s="161">
        <v>120</v>
      </c>
      <c r="AG65" s="143"/>
      <c r="AH65" s="154"/>
      <c r="AI65" s="144">
        <v>2.5</v>
      </c>
      <c r="AJ65" s="338"/>
      <c r="AK65" s="338"/>
      <c r="AL65" s="343" t="s">
        <v>545</v>
      </c>
      <c r="AM65" s="140"/>
      <c r="AN65" s="154"/>
      <c r="AO65" s="154"/>
      <c r="AP65" s="220"/>
      <c r="AQ65" s="145"/>
      <c r="AR65" s="154"/>
      <c r="AS65" s="154"/>
      <c r="AT65" s="220"/>
      <c r="AU65" s="140"/>
      <c r="AV65" s="277"/>
      <c r="AW65" s="277"/>
      <c r="AX65" s="277"/>
      <c r="AY65" s="140"/>
      <c r="AZ65" s="277"/>
      <c r="BA65" s="277"/>
      <c r="BB65" s="277"/>
      <c r="BC65" s="140"/>
      <c r="BD65" s="277"/>
      <c r="BE65" s="277"/>
      <c r="BF65" s="277"/>
      <c r="BG65" s="140"/>
      <c r="BH65" s="277"/>
      <c r="BI65" s="277"/>
      <c r="BJ65" s="277"/>
      <c r="BK65" s="140"/>
      <c r="BL65" s="277"/>
      <c r="BM65" s="277"/>
      <c r="BN65" s="277"/>
      <c r="BO65" s="140"/>
      <c r="BP65" s="277"/>
      <c r="BQ65" s="277"/>
      <c r="BR65" s="277"/>
      <c r="BS65" s="140"/>
      <c r="BT65" s="277"/>
      <c r="BU65" s="277"/>
      <c r="BV65" s="277"/>
      <c r="BW65" s="140"/>
      <c r="BX65" s="154"/>
      <c r="BY65" s="154"/>
      <c r="BZ65" s="220"/>
      <c r="CA65" s="140"/>
      <c r="CB65" s="154"/>
      <c r="CC65" s="154"/>
      <c r="CD65" s="220"/>
      <c r="CE65" s="140"/>
      <c r="CF65" s="271"/>
      <c r="CG65" s="271"/>
      <c r="CH65" s="271"/>
      <c r="CI65" s="140"/>
      <c r="CJ65" s="154"/>
      <c r="CK65" s="154"/>
      <c r="CL65" s="154"/>
      <c r="CM65" s="140"/>
      <c r="CN65" s="271"/>
      <c r="CO65" s="271"/>
      <c r="CP65" s="271"/>
      <c r="CQ65" s="140"/>
      <c r="CR65" s="154"/>
      <c r="CS65" s="154"/>
      <c r="CT65" s="154"/>
      <c r="CU65" s="140"/>
      <c r="CV65" s="154"/>
      <c r="CW65" s="154"/>
      <c r="CX65" s="220"/>
      <c r="CY65" s="140"/>
      <c r="CZ65" s="154"/>
      <c r="DA65" s="154"/>
      <c r="DB65" s="220"/>
      <c r="DC65" s="140"/>
      <c r="DD65" s="146"/>
      <c r="DE65" s="146"/>
      <c r="DF65" s="146"/>
      <c r="DG65" s="140"/>
      <c r="DH65" s="146"/>
      <c r="DI65" s="146"/>
      <c r="DJ65" s="146"/>
      <c r="DK65" s="146"/>
      <c r="DL65" s="146"/>
      <c r="DM65" s="146"/>
      <c r="DN65" s="146"/>
      <c r="DO65" s="146"/>
      <c r="DP65" s="146"/>
      <c r="DQ65" s="146"/>
      <c r="DR65" s="146"/>
      <c r="DS65" s="140"/>
      <c r="DT65" s="154"/>
      <c r="DU65" s="154"/>
      <c r="DV65" s="154"/>
      <c r="DW65" s="140"/>
      <c r="DX65" s="220"/>
      <c r="DY65" s="220"/>
      <c r="DZ65" s="220"/>
      <c r="EA65" s="140"/>
      <c r="EB65" s="220"/>
      <c r="EC65" s="220"/>
      <c r="ED65" s="220"/>
      <c r="EE65" s="140"/>
      <c r="EF65" s="154"/>
      <c r="EG65" s="154"/>
      <c r="EH65" s="154"/>
      <c r="EI65" s="140"/>
      <c r="EJ65" s="154"/>
      <c r="EK65" s="154"/>
      <c r="EL65" s="154"/>
      <c r="EM65" s="140"/>
      <c r="EN65" s="269"/>
      <c r="EO65" s="269"/>
      <c r="EP65" s="269"/>
      <c r="EQ65" s="140"/>
      <c r="ER65" s="269"/>
      <c r="ES65" s="269"/>
      <c r="ET65" s="269"/>
      <c r="EU65" s="140"/>
      <c r="EV65" s="222"/>
      <c r="EW65" s="222"/>
      <c r="EX65" s="222"/>
      <c r="EY65" s="344"/>
      <c r="EZ65" s="222"/>
      <c r="FA65" s="222"/>
      <c r="FB65" s="222"/>
      <c r="FC65" s="273"/>
      <c r="FD65" s="223"/>
      <c r="FE65" s="223"/>
      <c r="FF65" s="276"/>
      <c r="FG65" s="156"/>
      <c r="FH65" s="156"/>
      <c r="FI65" s="156"/>
      <c r="FJ65" s="140"/>
      <c r="FK65" s="277"/>
      <c r="FL65" s="277"/>
      <c r="FM65" s="277"/>
      <c r="FN65" s="140"/>
      <c r="FO65" s="277"/>
      <c r="FP65" s="277"/>
      <c r="FQ65" s="277"/>
      <c r="FR65" s="280"/>
      <c r="FS65" s="277"/>
      <c r="FT65" s="277"/>
      <c r="FU65" s="277"/>
      <c r="FV65" s="277"/>
      <c r="FW65" s="277"/>
      <c r="FX65" s="277"/>
      <c r="FY65" s="277"/>
      <c r="FZ65" s="277"/>
      <c r="GA65" s="277"/>
      <c r="GB65" s="277"/>
      <c r="GC65" s="277"/>
      <c r="GD65" s="277"/>
      <c r="GE65" s="277"/>
      <c r="GF65" s="277"/>
      <c r="GG65" s="277"/>
      <c r="GH65" s="277"/>
      <c r="GI65" s="277"/>
      <c r="GJ65" s="277"/>
      <c r="GK65" s="277"/>
      <c r="GL65" s="277"/>
      <c r="GM65" s="277"/>
      <c r="GN65" s="277"/>
      <c r="GO65" s="277"/>
      <c r="GP65" s="277"/>
      <c r="GQ65" s="277"/>
      <c r="GR65" s="277"/>
      <c r="GS65" s="277"/>
      <c r="GT65" s="277"/>
      <c r="GU65" s="277"/>
      <c r="GV65" s="277"/>
      <c r="GW65" s="277"/>
      <c r="GX65" s="277"/>
      <c r="GY65" s="277"/>
      <c r="GZ65" s="277"/>
      <c r="HA65" s="277"/>
      <c r="HB65" s="277"/>
      <c r="HC65" s="277"/>
      <c r="HD65" s="277"/>
      <c r="HE65" s="277"/>
      <c r="HF65" s="140"/>
      <c r="HG65" s="277"/>
      <c r="HH65" s="277"/>
      <c r="HI65" s="277"/>
      <c r="HJ65" s="140"/>
      <c r="HK65" s="277"/>
      <c r="HL65" s="277"/>
      <c r="HM65" s="277"/>
      <c r="HN65" s="140"/>
      <c r="HO65" s="277"/>
      <c r="HP65" s="277"/>
      <c r="HQ65" s="277"/>
      <c r="HR65" s="277"/>
      <c r="HS65" s="277"/>
      <c r="HT65" s="277"/>
      <c r="HU65" s="277"/>
      <c r="HV65" s="277"/>
      <c r="HW65" s="277"/>
      <c r="HX65" s="277"/>
      <c r="HY65" s="277"/>
      <c r="HZ65" s="140"/>
      <c r="IA65" s="277"/>
      <c r="IB65" s="277"/>
      <c r="IC65" s="277"/>
      <c r="ID65" s="140"/>
      <c r="IE65" s="277"/>
      <c r="IF65" s="277"/>
      <c r="IG65" s="277"/>
      <c r="IH65" s="140"/>
      <c r="II65" s="277"/>
      <c r="IJ65" s="277"/>
      <c r="IK65" s="277"/>
      <c r="IL65" s="140"/>
      <c r="IM65" s="277"/>
      <c r="IN65" s="277"/>
      <c r="IO65" s="277"/>
      <c r="IP65" s="277"/>
      <c r="IQ65" s="277"/>
      <c r="IR65" s="277"/>
      <c r="IS65" s="277"/>
      <c r="IT65" s="277"/>
      <c r="IU65" s="277"/>
      <c r="IV65" s="277"/>
      <c r="IW65" s="277"/>
      <c r="IX65" s="140"/>
      <c r="IY65" s="277"/>
      <c r="IZ65" s="277"/>
      <c r="JA65" s="277"/>
      <c r="JB65" s="140"/>
      <c r="JC65" s="277"/>
      <c r="JD65" s="277"/>
      <c r="JE65" s="277"/>
      <c r="JF65" s="140"/>
      <c r="JG65" s="277"/>
      <c r="JH65" s="277"/>
      <c r="JI65" s="140"/>
      <c r="JJ65" s="277"/>
      <c r="JK65" s="277"/>
      <c r="JL65" s="140"/>
      <c r="JM65" s="277"/>
      <c r="JN65" s="277"/>
      <c r="JO65" s="140"/>
      <c r="JP65" s="277"/>
      <c r="JQ65" s="277"/>
      <c r="JR65" s="277"/>
      <c r="JS65" s="277"/>
      <c r="JT65" s="277"/>
      <c r="JU65" s="277"/>
      <c r="JV65" s="277"/>
      <c r="JW65" s="277"/>
      <c r="JX65" s="277"/>
      <c r="JY65" s="277"/>
      <c r="JZ65" s="277"/>
      <c r="KA65" s="277"/>
      <c r="KB65" s="277"/>
      <c r="KC65" s="277"/>
      <c r="KD65" s="277"/>
      <c r="KE65" s="277"/>
      <c r="KF65" s="277"/>
      <c r="KG65" s="277"/>
      <c r="KH65" s="277"/>
      <c r="KI65" s="277"/>
      <c r="KJ65" s="277"/>
      <c r="KK65" s="277"/>
      <c r="KL65" s="277"/>
      <c r="KM65" s="277"/>
      <c r="KN65" s="277"/>
      <c r="KO65" s="277"/>
      <c r="KP65" s="274"/>
      <c r="KQ65" s="253"/>
      <c r="KR65" s="253"/>
      <c r="KY65" s="141">
        <f t="shared" si="25"/>
        <v>0</v>
      </c>
      <c r="KZ65" s="141">
        <f t="shared" si="26"/>
        <v>0</v>
      </c>
      <c r="LB65" s="141">
        <f t="shared" si="27"/>
        <v>1</v>
      </c>
      <c r="LC65" s="141">
        <f t="shared" si="28"/>
        <v>0</v>
      </c>
      <c r="LD65" s="141">
        <f t="shared" si="29"/>
        <v>0</v>
      </c>
      <c r="LE65" s="141" t="e">
        <f>((N(AU65)&gt;0)*(AX65&lt;&gt;"")+(N(AY65)&gt;0)*(BB65&lt;&gt;"")+(N(BC65)&gt;0)*(BF65&lt;&gt;"")+(N(BG65)&gt;0)*(BJ65&lt;&gt;"")+(N(BK65)&gt;0)*(BN65&lt;&gt;"")+(N(BO65)&gt;0)*(BR65&lt;&gt;"")+(N(BS65)&gt;0)*(BV65&lt;&gt;"")+(N(BW65)&gt;0)*(BZ65&lt;&gt;"")+(N(CA65)&gt;0)*(CD65&lt;&gt;"")+(N(CE65)&gt;0)*(CH65&lt;&gt;"")+(N(CI65)&gt;0)*(CL65&lt;&gt;"")+(N(CM65)&gt;0)*(CP65&lt;&gt;"")+(N(CQ65)&gt;0)*(CT65&lt;&gt;"")+(N(CU65)&gt;0)*(CX65&lt;&gt;"")+(N(CY65)&gt;0)*(DB65&lt;&gt;"")+(N(DC65)&gt;0)*(DF65&lt;&gt;"")+(N(DG65)&gt;0)*(DJ65&lt;&gt;"")+(N(DS65)&gt;0)*(DV65&lt;&gt;"")+(N(DW65)&gt;0)*(DZ65&lt;&gt;"")+(N(EA65)&gt;0)*(ED65&lt;&gt;"")+(N(EE65)&gt;0)*(EH65&lt;&gt;"")+(N(EI65)&gt;0)*(EL65&lt;&gt;"")+(N(EM65)&gt;0)*(EP65&lt;&gt;"")+(N(EQ65)&gt;0)*(ET65&lt;&gt;"")+(N(EU65)&gt;0)*(EX65&lt;&gt;"")+(N(#REF!)&gt;0)*(#REF!&lt;&gt;"")+(N(#REF!)&gt;0)*(#REF!&lt;&gt;"")+(N(FJ65)&gt;0)*(FM65&lt;&gt;"")+(N(FN65)&gt;0)*(FQ65&lt;&gt;"")+(N(#REF!)&gt;0)*(#REF!&lt;&gt;"")+(N(#REF!)&gt;0)*(#REF!&lt;&gt;"")+(N(HF65)&gt;0)*(HI65&lt;&gt;"")+(N(#REF!)&gt;0)*(#REF!&lt;&gt;"")+(N(HJ65)&gt;0)*(HM65&lt;&gt;"")+(N(HN65)&gt;0)*(HQ65&lt;&gt;"")+(N(HZ65)&gt;0)*(IC65&lt;&gt;"")+(N(ID65)&gt;0)*(IG65&lt;&gt;"")+(N(IH65)&gt;0)*(IK65&lt;&gt;"")+(N(IL65)&gt;0)*(IO65&lt;&gt;"")+(N(IX65)&gt;0)*(JA65&lt;&gt;"")+(N(JB65)&gt;0)*(JE65&lt;&gt;"")+(N(JF65)&gt;0)*(JH65&lt;&gt;"")+(N(JI65)&gt;0)*(JK65&lt;&gt;"")+(N(JL65)&gt;0)*(JN65&lt;&gt;"")+(N(JO65)&gt;0)*(JQ65&lt;&gt;""))</f>
        <v>#REF!</v>
      </c>
      <c r="LF65" s="141">
        <f t="shared" si="21"/>
        <v>0</v>
      </c>
      <c r="LG65" s="141">
        <f t="shared" si="30"/>
        <v>0</v>
      </c>
    </row>
    <row r="66" spans="1:319" ht="38.25" customHeight="1" x14ac:dyDescent="0.55000000000000004">
      <c r="B66" s="315" t="s">
        <v>481</v>
      </c>
      <c r="C66" s="159"/>
      <c r="D66" s="159"/>
      <c r="E66" s="159"/>
      <c r="F66" s="159"/>
      <c r="G66" s="159"/>
      <c r="H66" s="159"/>
      <c r="I66" s="142" cm="1">
        <f t="array" ref="I66">SUMPRODUCT(($AI$2:$KV$2&lt;&gt;"")*($AI66:$KV66&lt;&gt;""))</f>
        <v>0</v>
      </c>
      <c r="J66" s="142">
        <f t="shared" si="17"/>
        <v>0</v>
      </c>
      <c r="K66" s="142">
        <f t="shared" si="18"/>
        <v>0</v>
      </c>
      <c r="L66" s="268">
        <f t="shared" si="0"/>
        <v>7000</v>
      </c>
      <c r="M66" s="164">
        <f t="shared" si="22"/>
        <v>0</v>
      </c>
      <c r="N66" s="397"/>
      <c r="O66" s="165">
        <f t="shared" si="19"/>
        <v>0</v>
      </c>
      <c r="P66" s="165"/>
      <c r="Q66" s="165"/>
      <c r="R66" s="165">
        <f>(IFERROR(AM66/AN66,0)+IFERROR(AU66/AV66,0)+IFERROR(AY66/AZ66,0)+IFERROR(BC66/BD66,0)+IFERROR(BG66/BH66,0)+IFERROR(BK66/BL66,0)+IFERROR(BO66/BP66,0)+IFERROR(BS66/BT66,0)+IFERROR(BW66/BX66,0)+IFERROR(CA66/CB66,0)+IFERROR(CE66/CF66,0)+IFERROR(CI66/CJ66,0)+IFERROR(CM66/CN66,0)+IFERROR(CQ66/CR66,0)+IFERROR(CU66/CV66,0)+IFERROR(CY66/CZ66,0)+IFERROR(DC66/DD66,0)+IFERROR(DG66/DH66,0)+IFERROR(DS66/DT66,0)+IFERROR(DW66/DX66,0)+IFERROR(EA66/EB66,0)+IFERROR(EE66/EF66,0)+IFERROR(EI66/EJ66,0)+IFERROR(EM66/EN66,0)+IFERROR(EQ66/ER66,0)+IFERROR(EU66/EV66,0)+IFERROR(#REF!/#REF!,0)+IFERROR(#REF!/#REF!,0)+IFERROR(FJ66/FK66,0)+IFERROR(FN66/FO66,0)+IFERROR(#REF!/#REF!,0)+IFERROR(#REF!/#REF!,0)+IFERROR(HF66/HG66,0)+IFERROR(#REF!/#REF!,0)+IFERROR(HJ66/HK66,0)+IFERROR(HN66/HO66,0)+IFERROR(HZ66/IA66,0)+IFERROR(ID66/IE66,0)+IFERROR(IH66/II66,0)+IFERROR(IL66/IM66,0)+IFERROR(IX66/IY66,0)+IFERROR(JB66/JC66,0)+IFERROR(JF66/JG66,0)+IFERROR(JI66/JJ66,0)+IFERROR(JL66/JM66,0)+IFERROR(JO66/JP66,0))*L66*(C66+D66+E66+I66)</f>
        <v>0</v>
      </c>
      <c r="S66" s="165"/>
      <c r="T66" s="165">
        <f t="shared" si="23"/>
        <v>0</v>
      </c>
      <c r="U66" s="165"/>
      <c r="V66" s="165"/>
      <c r="W66" s="165"/>
      <c r="X66" s="165">
        <f>(IFERROR(FF66/FG66,0)+IFERROR(FC66/FD66,0)+IFERROR(#REF!/#REF!,0)+IFERROR(KP66/KQ66,0))*L66*(C66+D66+E66+I66)</f>
        <v>0</v>
      </c>
      <c r="Y66" s="484"/>
      <c r="Z66" s="484"/>
      <c r="AA66" s="484"/>
      <c r="AB66" s="484"/>
      <c r="AC66" s="150">
        <f t="shared" si="20"/>
        <v>0</v>
      </c>
      <c r="AD66" s="150"/>
      <c r="AE66" s="150">
        <f t="shared" si="24"/>
        <v>0</v>
      </c>
      <c r="AF66" s="161"/>
      <c r="AG66" s="143"/>
      <c r="AH66" s="154"/>
      <c r="AI66" s="144"/>
      <c r="AJ66" s="154"/>
      <c r="AK66" s="154"/>
      <c r="AL66" s="220"/>
      <c r="AM66" s="140"/>
      <c r="AN66" s="154"/>
      <c r="AO66" s="154"/>
      <c r="AP66" s="220"/>
      <c r="AQ66" s="145"/>
      <c r="AR66" s="154"/>
      <c r="AS66" s="154"/>
      <c r="AT66" s="220"/>
      <c r="AU66" s="140"/>
      <c r="AV66" s="277"/>
      <c r="AW66" s="277"/>
      <c r="AX66" s="277"/>
      <c r="AY66" s="140"/>
      <c r="AZ66" s="277"/>
      <c r="BA66" s="277"/>
      <c r="BB66" s="277"/>
      <c r="BC66" s="140"/>
      <c r="BD66" s="277"/>
      <c r="BE66" s="277"/>
      <c r="BF66" s="277"/>
      <c r="BG66" s="140"/>
      <c r="BH66" s="277"/>
      <c r="BI66" s="277"/>
      <c r="BJ66" s="277"/>
      <c r="BK66" s="140"/>
      <c r="BL66" s="277"/>
      <c r="BM66" s="277"/>
      <c r="BN66" s="277"/>
      <c r="BO66" s="140"/>
      <c r="BP66" s="277"/>
      <c r="BQ66" s="277"/>
      <c r="BR66" s="277"/>
      <c r="BS66" s="140"/>
      <c r="BT66" s="277"/>
      <c r="BU66" s="277"/>
      <c r="BV66" s="277"/>
      <c r="BW66" s="140"/>
      <c r="BX66" s="154"/>
      <c r="BY66" s="154"/>
      <c r="BZ66" s="220"/>
      <c r="CA66" s="140"/>
      <c r="CB66" s="154"/>
      <c r="CC66" s="154"/>
      <c r="CD66" s="220"/>
      <c r="CE66" s="140"/>
      <c r="CF66" s="271"/>
      <c r="CG66" s="271"/>
      <c r="CH66" s="271"/>
      <c r="CI66" s="140"/>
      <c r="CJ66" s="154"/>
      <c r="CK66" s="154"/>
      <c r="CL66" s="154"/>
      <c r="CM66" s="140"/>
      <c r="CN66" s="271"/>
      <c r="CO66" s="271"/>
      <c r="CP66" s="271"/>
      <c r="CQ66" s="140"/>
      <c r="CR66" s="154"/>
      <c r="CS66" s="154"/>
      <c r="CT66" s="154"/>
      <c r="CU66" s="140"/>
      <c r="CV66" s="154"/>
      <c r="CW66" s="154"/>
      <c r="CX66" s="220"/>
      <c r="CY66" s="140"/>
      <c r="CZ66" s="154"/>
      <c r="DA66" s="154"/>
      <c r="DB66" s="220"/>
      <c r="DC66" s="140"/>
      <c r="DD66" s="146"/>
      <c r="DE66" s="146"/>
      <c r="DF66" s="146"/>
      <c r="DG66" s="140"/>
      <c r="DH66" s="146"/>
      <c r="DI66" s="146"/>
      <c r="DJ66" s="146"/>
      <c r="DK66" s="146"/>
      <c r="DL66" s="146"/>
      <c r="DM66" s="146"/>
      <c r="DN66" s="146"/>
      <c r="DO66" s="146"/>
      <c r="DP66" s="146"/>
      <c r="DQ66" s="146"/>
      <c r="DR66" s="146"/>
      <c r="DS66" s="140"/>
      <c r="DT66" s="154"/>
      <c r="DU66" s="154"/>
      <c r="DV66" s="154"/>
      <c r="DW66" s="140"/>
      <c r="DX66" s="220"/>
      <c r="DY66" s="220"/>
      <c r="DZ66" s="220"/>
      <c r="EA66" s="140"/>
      <c r="EB66" s="220"/>
      <c r="EC66" s="220"/>
      <c r="ED66" s="220"/>
      <c r="EE66" s="140"/>
      <c r="EF66" s="154"/>
      <c r="EG66" s="154"/>
      <c r="EH66" s="154"/>
      <c r="EI66" s="140"/>
      <c r="EJ66" s="154"/>
      <c r="EK66" s="154"/>
      <c r="EL66" s="154"/>
      <c r="EM66" s="140"/>
      <c r="EN66" s="269"/>
      <c r="EO66" s="269"/>
      <c r="EP66" s="269"/>
      <c r="EQ66" s="140"/>
      <c r="ER66" s="269"/>
      <c r="ES66" s="269"/>
      <c r="ET66" s="269"/>
      <c r="EU66" s="140"/>
      <c r="EV66" s="222"/>
      <c r="EW66" s="222"/>
      <c r="EX66" s="222"/>
      <c r="EY66" s="344"/>
      <c r="EZ66" s="222"/>
      <c r="FA66" s="222"/>
      <c r="FB66" s="222"/>
      <c r="FC66" s="273"/>
      <c r="FD66" s="223"/>
      <c r="FE66" s="223"/>
      <c r="FF66" s="276"/>
      <c r="FG66" s="156"/>
      <c r="FH66" s="156"/>
      <c r="FI66" s="156"/>
      <c r="FJ66" s="140"/>
      <c r="FK66" s="277"/>
      <c r="FL66" s="277"/>
      <c r="FM66" s="277"/>
      <c r="FN66" s="140"/>
      <c r="FO66" s="277"/>
      <c r="FP66" s="277"/>
      <c r="FQ66" s="277"/>
      <c r="FR66" s="280"/>
      <c r="FS66" s="277"/>
      <c r="FT66" s="277"/>
      <c r="FU66" s="277"/>
      <c r="FV66" s="277"/>
      <c r="FW66" s="277"/>
      <c r="FX66" s="277"/>
      <c r="FY66" s="277"/>
      <c r="FZ66" s="277"/>
      <c r="GA66" s="277"/>
      <c r="GB66" s="277"/>
      <c r="GC66" s="277"/>
      <c r="GD66" s="277"/>
      <c r="GE66" s="277"/>
      <c r="GF66" s="277"/>
      <c r="GG66" s="277"/>
      <c r="GH66" s="277"/>
      <c r="GI66" s="277"/>
      <c r="GJ66" s="277"/>
      <c r="GK66" s="277"/>
      <c r="GL66" s="277"/>
      <c r="GM66" s="277"/>
      <c r="GN66" s="277"/>
      <c r="GO66" s="277"/>
      <c r="GP66" s="277"/>
      <c r="GQ66" s="277"/>
      <c r="GR66" s="277"/>
      <c r="GS66" s="277"/>
      <c r="GT66" s="277"/>
      <c r="GU66" s="277"/>
      <c r="GV66" s="277"/>
      <c r="GW66" s="277"/>
      <c r="GX66" s="277"/>
      <c r="GY66" s="277"/>
      <c r="GZ66" s="277"/>
      <c r="HA66" s="277"/>
      <c r="HB66" s="277"/>
      <c r="HC66" s="277"/>
      <c r="HD66" s="277"/>
      <c r="HE66" s="277"/>
      <c r="HF66" s="140"/>
      <c r="HG66" s="277"/>
      <c r="HH66" s="277"/>
      <c r="HI66" s="277"/>
      <c r="HJ66" s="140"/>
      <c r="HK66" s="277"/>
      <c r="HL66" s="277"/>
      <c r="HM66" s="277"/>
      <c r="HN66" s="140"/>
      <c r="HO66" s="277"/>
      <c r="HP66" s="277"/>
      <c r="HQ66" s="277"/>
      <c r="HR66" s="277"/>
      <c r="HS66" s="277"/>
      <c r="HT66" s="277"/>
      <c r="HU66" s="277"/>
      <c r="HV66" s="277"/>
      <c r="HW66" s="277"/>
      <c r="HX66" s="277"/>
      <c r="HY66" s="277"/>
      <c r="HZ66" s="140"/>
      <c r="IA66" s="277"/>
      <c r="IB66" s="277"/>
      <c r="IC66" s="277"/>
      <c r="ID66" s="140"/>
      <c r="IE66" s="277"/>
      <c r="IF66" s="277"/>
      <c r="IG66" s="277"/>
      <c r="IH66" s="140"/>
      <c r="II66" s="277"/>
      <c r="IJ66" s="277"/>
      <c r="IK66" s="277"/>
      <c r="IL66" s="140"/>
      <c r="IM66" s="277"/>
      <c r="IN66" s="277"/>
      <c r="IO66" s="277"/>
      <c r="IP66" s="277"/>
      <c r="IQ66" s="277"/>
      <c r="IR66" s="277"/>
      <c r="IS66" s="277"/>
      <c r="IT66" s="277"/>
      <c r="IU66" s="277"/>
      <c r="IV66" s="277"/>
      <c r="IW66" s="277"/>
      <c r="IX66" s="140"/>
      <c r="IY66" s="277"/>
      <c r="IZ66" s="277"/>
      <c r="JA66" s="277"/>
      <c r="JB66" s="140"/>
      <c r="JC66" s="277"/>
      <c r="JD66" s="277"/>
      <c r="JE66" s="277"/>
      <c r="JF66" s="140"/>
      <c r="JG66" s="277"/>
      <c r="JH66" s="277"/>
      <c r="JI66" s="140"/>
      <c r="JJ66" s="277"/>
      <c r="JK66" s="277"/>
      <c r="JL66" s="140"/>
      <c r="JM66" s="277"/>
      <c r="JN66" s="277"/>
      <c r="JO66" s="140"/>
      <c r="JP66" s="277"/>
      <c r="JQ66" s="277"/>
      <c r="JR66" s="277"/>
      <c r="JS66" s="277"/>
      <c r="JT66" s="277"/>
      <c r="JU66" s="277"/>
      <c r="JV66" s="277"/>
      <c r="JW66" s="277"/>
      <c r="JX66" s="277"/>
      <c r="JY66" s="277"/>
      <c r="JZ66" s="277"/>
      <c r="KA66" s="277"/>
      <c r="KB66" s="277"/>
      <c r="KC66" s="277"/>
      <c r="KD66" s="277"/>
      <c r="KE66" s="277"/>
      <c r="KF66" s="277"/>
      <c r="KG66" s="277"/>
      <c r="KH66" s="277"/>
      <c r="KI66" s="277"/>
      <c r="KJ66" s="277"/>
      <c r="KK66" s="277"/>
      <c r="KL66" s="277"/>
      <c r="KM66" s="277"/>
      <c r="KN66" s="277"/>
      <c r="KO66" s="277"/>
      <c r="KP66" s="274"/>
      <c r="KQ66" s="253"/>
      <c r="KR66" s="253"/>
      <c r="KY66" s="141">
        <f t="shared" si="25"/>
        <v>0</v>
      </c>
      <c r="KZ66" s="141">
        <f t="shared" si="26"/>
        <v>0</v>
      </c>
      <c r="LB66" s="141">
        <f t="shared" si="27"/>
        <v>0</v>
      </c>
      <c r="LC66" s="141">
        <f t="shared" si="28"/>
        <v>0</v>
      </c>
      <c r="LD66" s="141">
        <f t="shared" si="29"/>
        <v>0</v>
      </c>
      <c r="LE66" s="141" t="e">
        <f>((N(AU66)&gt;0)*(AX66&lt;&gt;"")+(N(AY66)&gt;0)*(BB66&lt;&gt;"")+(N(BC66)&gt;0)*(BF66&lt;&gt;"")+(N(BG66)&gt;0)*(BJ66&lt;&gt;"")+(N(BK66)&gt;0)*(BN66&lt;&gt;"")+(N(BO66)&gt;0)*(BR66&lt;&gt;"")+(N(BS66)&gt;0)*(BV66&lt;&gt;"")+(N(BW66)&gt;0)*(BZ66&lt;&gt;"")+(N(CA66)&gt;0)*(CD66&lt;&gt;"")+(N(CE66)&gt;0)*(CH66&lt;&gt;"")+(N(CI66)&gt;0)*(CL66&lt;&gt;"")+(N(CM66)&gt;0)*(CP66&lt;&gt;"")+(N(CQ66)&gt;0)*(CT66&lt;&gt;"")+(N(CU66)&gt;0)*(CX66&lt;&gt;"")+(N(CY66)&gt;0)*(DB66&lt;&gt;"")+(N(DC66)&gt;0)*(DF66&lt;&gt;"")+(N(DG66)&gt;0)*(DJ66&lt;&gt;"")+(N(DS66)&gt;0)*(DV66&lt;&gt;"")+(N(DW66)&gt;0)*(DZ66&lt;&gt;"")+(N(EA66)&gt;0)*(ED66&lt;&gt;"")+(N(EE66)&gt;0)*(EH66&lt;&gt;"")+(N(EI66)&gt;0)*(EL66&lt;&gt;"")+(N(EM66)&gt;0)*(EP66&lt;&gt;"")+(N(EQ66)&gt;0)*(ET66&lt;&gt;"")+(N(EU66)&gt;0)*(EX66&lt;&gt;"")+(N(#REF!)&gt;0)*(#REF!&lt;&gt;"")+(N(#REF!)&gt;0)*(#REF!&lt;&gt;"")+(N(FJ66)&gt;0)*(FM66&lt;&gt;"")+(N(FN66)&gt;0)*(FQ66&lt;&gt;"")+(N(#REF!)&gt;0)*(#REF!&lt;&gt;"")+(N(#REF!)&gt;0)*(#REF!&lt;&gt;"")+(N(HF66)&gt;0)*(HI66&lt;&gt;"")+(N(#REF!)&gt;0)*(#REF!&lt;&gt;"")+(N(HJ66)&gt;0)*(HM66&lt;&gt;"")+(N(HN66)&gt;0)*(HQ66&lt;&gt;"")+(N(HZ66)&gt;0)*(IC66&lt;&gt;"")+(N(ID66)&gt;0)*(IG66&lt;&gt;"")+(N(IH66)&gt;0)*(IK66&lt;&gt;"")+(N(IL66)&gt;0)*(IO66&lt;&gt;"")+(N(IX66)&gt;0)*(JA66&lt;&gt;"")+(N(JB66)&gt;0)*(JE66&lt;&gt;"")+(N(JF66)&gt;0)*(JH66&lt;&gt;"")+(N(JI66)&gt;0)*(JK66&lt;&gt;"")+(N(JL66)&gt;0)*(JN66&lt;&gt;"")+(N(JO66)&gt;0)*(JQ66&lt;&gt;""))</f>
        <v>#REF!</v>
      </c>
      <c r="LF66" s="141">
        <f t="shared" si="21"/>
        <v>0</v>
      </c>
      <c r="LG66" s="141">
        <f t="shared" si="30"/>
        <v>0</v>
      </c>
    </row>
    <row r="67" spans="1:319" s="153" customFormat="1" ht="38.25" customHeight="1" x14ac:dyDescent="0.55000000000000004">
      <c r="A67" s="141"/>
      <c r="B67" s="513" t="s">
        <v>358</v>
      </c>
      <c r="C67" s="159">
        <v>1</v>
      </c>
      <c r="D67" s="159">
        <v>2</v>
      </c>
      <c r="E67" s="159">
        <v>2</v>
      </c>
      <c r="F67" s="162">
        <f>($AI$67/$AJ$67)*$L$67*C67</f>
        <v>210</v>
      </c>
      <c r="G67" s="162">
        <f>($AI$67/$AJ$67)*$L$67*D67</f>
        <v>420</v>
      </c>
      <c r="H67" s="162">
        <f>($AI$67/$AJ$67)*$L$67*E67</f>
        <v>420</v>
      </c>
      <c r="I67" s="142" cm="1">
        <f t="array" ref="I67">SUMPRODUCT(($AI$2:$KV$2&lt;&gt;"")*($AI67:$KV67&lt;&gt;""))</f>
        <v>7</v>
      </c>
      <c r="J67" s="142">
        <f>I67*C67</f>
        <v>7</v>
      </c>
      <c r="K67" s="142">
        <f t="shared" si="18"/>
        <v>98</v>
      </c>
      <c r="L67" s="268">
        <f t="shared" ref="L67:L100" si="31">$L$1</f>
        <v>7000</v>
      </c>
      <c r="M67" s="164">
        <f t="shared" si="22"/>
        <v>2520</v>
      </c>
      <c r="N67" s="397"/>
      <c r="O67" s="165">
        <f t="shared" si="19"/>
        <v>4200</v>
      </c>
      <c r="P67" s="165"/>
      <c r="Q67" s="165"/>
      <c r="R67" s="165">
        <f>(IFERROR(AM67/AN67,0)+IFERROR(AU67/AV67,0)+IFERROR(AY67/AZ67,0)+IFERROR(BC67/BD67,0)+IFERROR(BG67/BH67,0)+IFERROR(BK67/BL67,0)+IFERROR(BO67/BP67,0)+IFERROR(BS67/BT67,0)+IFERROR(BW67/BX67,0)+IFERROR(CA67/CB67,0)+IFERROR(CE67/CF67,0)+IFERROR(CI67/CJ67,0)+IFERROR(CM67/CN67,0)+IFERROR(CQ67/CR67,0)+IFERROR(CU67/CV67,0)+IFERROR(CY67/CZ67,0)+IFERROR(DC67/DD67,0)+IFERROR(DG67/DH67,0)+IFERROR(DS67/DT67,0)+IFERROR(DW67/DX67,0)+IFERROR(EA67/EB67,0)+IFERROR(EE67/EF67,0)+IFERROR(EI67/EJ67,0)+IFERROR(EM67/EN67,0)+IFERROR(EQ67/ER67,0)+IFERROR(EU67/EV67,0)+IFERROR(#REF!/#REF!,0)+IFERROR(#REF!/#REF!,0)+IFERROR(FJ67/FK67,0)+IFERROR(FN67/FO67,0)+IFERROR(#REF!/#REF!,0)+IFERROR(#REF!/#REF!,0)+IFERROR(HF67/HG67,0)+IFERROR(#REF!/#REF!,0)+IFERROR(HJ67/HK67,0)+IFERROR(HN67/HO67,0)+IFERROR(HZ67/IA67,0)+IFERROR(ID67/IE67,0)+IFERROR(IH67/II67,0)+IFERROR(IL67/IM67,0)+IFERROR(IX67/IY67,0)+IFERROR(JB67/JC67,0)+IFERROR(JF67/JG67,0)+IFERROR(JI67/JJ67,0)+IFERROR(JL67/JM67,0)+IFERROR(JO67/JP67,0))*L67*(C67+D67+E67+I67)</f>
        <v>924</v>
      </c>
      <c r="S67" s="165"/>
      <c r="T67" s="165">
        <f t="shared" si="23"/>
        <v>0</v>
      </c>
      <c r="U67" s="165"/>
      <c r="V67" s="165"/>
      <c r="W67" s="165"/>
      <c r="X67" s="165">
        <f>(IFERROR(FF67/FG67,0)+IFERROR(FC67/FD67,0)+IFERROR(#REF!/#REF!,0)+IFERROR(KP67/KQ67,0))*L67*(C67+D67+E67+I67)</f>
        <v>0</v>
      </c>
      <c r="Y67" s="484"/>
      <c r="Z67" s="484"/>
      <c r="AA67" s="484"/>
      <c r="AB67" s="484"/>
      <c r="AC67" s="150">
        <f t="shared" si="20"/>
        <v>1302</v>
      </c>
      <c r="AD67" s="150"/>
      <c r="AE67" s="150">
        <f t="shared" si="24"/>
        <v>0</v>
      </c>
      <c r="AF67" s="161">
        <v>250</v>
      </c>
      <c r="AG67" s="143">
        <v>31</v>
      </c>
      <c r="AH67" s="154">
        <v>2000</v>
      </c>
      <c r="AI67" s="144">
        <v>15</v>
      </c>
      <c r="AJ67" s="154">
        <v>500</v>
      </c>
      <c r="AK67" s="489" t="s">
        <v>81</v>
      </c>
      <c r="AL67" s="220" t="s">
        <v>1152</v>
      </c>
      <c r="AM67" s="140"/>
      <c r="AN67" s="154"/>
      <c r="AO67" s="154"/>
      <c r="AP67" s="220"/>
      <c r="AQ67" s="496">
        <v>100</v>
      </c>
      <c r="AR67" s="154">
        <v>2000</v>
      </c>
      <c r="AS67" s="496" t="s">
        <v>1078</v>
      </c>
      <c r="AT67" s="154" t="s">
        <v>1105</v>
      </c>
      <c r="AU67" s="140"/>
      <c r="AV67" s="277"/>
      <c r="AW67" s="277"/>
      <c r="AX67" s="277"/>
      <c r="AY67" s="140"/>
      <c r="AZ67" s="277"/>
      <c r="BA67" s="277"/>
      <c r="BB67" s="277"/>
      <c r="BC67" s="140"/>
      <c r="BD67" s="277"/>
      <c r="BE67" s="277"/>
      <c r="BF67" s="277"/>
      <c r="BG67" s="140"/>
      <c r="BH67" s="277"/>
      <c r="BI67" s="277"/>
      <c r="BJ67" s="277"/>
      <c r="BK67" s="140"/>
      <c r="BL67" s="277"/>
      <c r="BM67" s="277"/>
      <c r="BN67" s="277"/>
      <c r="BO67" s="140"/>
      <c r="BP67" s="277"/>
      <c r="BQ67" s="277"/>
      <c r="BR67" s="277"/>
      <c r="BS67" s="140"/>
      <c r="BT67" s="277"/>
      <c r="BU67" s="277"/>
      <c r="BV67" s="277"/>
      <c r="BW67" s="140"/>
      <c r="BX67" s="154"/>
      <c r="BY67" s="154"/>
      <c r="BZ67" s="220"/>
      <c r="CA67" s="140"/>
      <c r="CB67" s="154"/>
      <c r="CC67" s="154"/>
      <c r="CD67" s="220"/>
      <c r="CE67" s="480">
        <v>1.5</v>
      </c>
      <c r="CF67" s="277">
        <v>1000</v>
      </c>
      <c r="CG67" s="480" t="s">
        <v>1085</v>
      </c>
      <c r="CH67" s="277" t="s">
        <v>562</v>
      </c>
      <c r="CI67" s="480">
        <v>1.5</v>
      </c>
      <c r="CJ67" s="277">
        <v>1000</v>
      </c>
      <c r="CK67" s="480" t="s">
        <v>1085</v>
      </c>
      <c r="CL67" s="277" t="s">
        <v>562</v>
      </c>
      <c r="CM67" s="140"/>
      <c r="CN67" s="271"/>
      <c r="CO67" s="271"/>
      <c r="CP67" s="271"/>
      <c r="CQ67" s="140"/>
      <c r="CR67" s="154"/>
      <c r="CS67" s="154"/>
      <c r="CT67" s="154"/>
      <c r="CU67" s="140"/>
      <c r="CV67" s="154"/>
      <c r="CW67" s="154"/>
      <c r="CX67" s="220"/>
      <c r="CY67" s="140"/>
      <c r="CZ67" s="154"/>
      <c r="DA67" s="154"/>
      <c r="DB67" s="220"/>
      <c r="DC67" s="140"/>
      <c r="DD67" s="146"/>
      <c r="DE67" s="146"/>
      <c r="DF67" s="146"/>
      <c r="DG67" s="140"/>
      <c r="DH67" s="146"/>
      <c r="DI67" s="146"/>
      <c r="DJ67" s="146"/>
      <c r="DK67" s="146"/>
      <c r="DL67" s="146"/>
      <c r="DM67" s="146"/>
      <c r="DN67" s="146"/>
      <c r="DO67" s="146"/>
      <c r="DP67" s="146"/>
      <c r="DQ67" s="146"/>
      <c r="DR67" s="146"/>
      <c r="DS67" s="140"/>
      <c r="DT67" s="154"/>
      <c r="DU67" s="154"/>
      <c r="DV67" s="154"/>
      <c r="DW67" s="140"/>
      <c r="DX67" s="220"/>
      <c r="DY67" s="220"/>
      <c r="DZ67" s="220"/>
      <c r="EA67" s="140"/>
      <c r="EB67" s="220"/>
      <c r="EC67" s="220"/>
      <c r="ED67" s="220"/>
      <c r="EE67" s="140"/>
      <c r="EF67" s="154"/>
      <c r="EG67" s="154"/>
      <c r="EH67" s="154"/>
      <c r="EI67" s="140"/>
      <c r="EJ67" s="154"/>
      <c r="EK67" s="154"/>
      <c r="EL67" s="154"/>
      <c r="EM67" s="140"/>
      <c r="EN67" s="222"/>
      <c r="EO67" s="222"/>
      <c r="EP67" s="222"/>
      <c r="EQ67" s="140"/>
      <c r="ER67" s="222"/>
      <c r="ES67" s="222"/>
      <c r="ET67" s="222"/>
      <c r="EU67" s="480">
        <v>4</v>
      </c>
      <c r="EV67" s="512">
        <v>1000</v>
      </c>
      <c r="EW67" s="480" t="s">
        <v>1085</v>
      </c>
      <c r="EX67" s="277" t="s">
        <v>562</v>
      </c>
      <c r="EY67" s="336"/>
      <c r="EZ67" s="222"/>
      <c r="FA67" s="336" t="s">
        <v>152</v>
      </c>
      <c r="FB67" s="220" t="s">
        <v>1153</v>
      </c>
      <c r="FC67" s="273"/>
      <c r="FD67" s="223"/>
      <c r="FE67" s="223"/>
      <c r="FF67" s="276">
        <v>10</v>
      </c>
      <c r="FG67" s="340"/>
      <c r="FH67" s="340"/>
      <c r="FI67" s="347" t="s">
        <v>764</v>
      </c>
      <c r="FJ67" s="140"/>
      <c r="FK67" s="277"/>
      <c r="FL67" s="277"/>
      <c r="FM67" s="277"/>
      <c r="FN67" s="140"/>
      <c r="FO67" s="277"/>
      <c r="FP67" s="277"/>
      <c r="FQ67" s="277"/>
      <c r="FR67" s="140"/>
      <c r="FS67" s="277"/>
      <c r="FT67" s="277"/>
      <c r="FU67" s="277"/>
      <c r="FV67" s="277"/>
      <c r="FW67" s="277"/>
      <c r="FX67" s="277"/>
      <c r="FY67" s="277"/>
      <c r="FZ67" s="277"/>
      <c r="GA67" s="277"/>
      <c r="GB67" s="277"/>
      <c r="GC67" s="277"/>
      <c r="GD67" s="277"/>
      <c r="GE67" s="277"/>
      <c r="GF67" s="277"/>
      <c r="GG67" s="277"/>
      <c r="GH67" s="277"/>
      <c r="GI67" s="277"/>
      <c r="GJ67" s="277"/>
      <c r="GK67" s="277"/>
      <c r="GL67" s="277"/>
      <c r="GM67" s="277"/>
      <c r="GN67" s="277"/>
      <c r="GO67" s="277"/>
      <c r="GP67" s="277"/>
      <c r="GQ67" s="277"/>
      <c r="GR67" s="277"/>
      <c r="GS67" s="277"/>
      <c r="GT67" s="277"/>
      <c r="GU67" s="277"/>
      <c r="GV67" s="277"/>
      <c r="GW67" s="277"/>
      <c r="GX67" s="277"/>
      <c r="GY67" s="277"/>
      <c r="GZ67" s="277"/>
      <c r="HA67" s="277"/>
      <c r="HB67" s="277"/>
      <c r="HC67" s="277"/>
      <c r="HD67" s="277"/>
      <c r="HE67" s="277"/>
      <c r="HF67" s="140"/>
      <c r="HG67" s="277"/>
      <c r="HH67" s="277"/>
      <c r="HI67" s="277"/>
      <c r="HJ67" s="140"/>
      <c r="HK67" s="277"/>
      <c r="HL67" s="277"/>
      <c r="HM67" s="277"/>
      <c r="HN67" s="140"/>
      <c r="HO67" s="277"/>
      <c r="HP67" s="277"/>
      <c r="HQ67" s="277"/>
      <c r="HR67" s="277"/>
      <c r="HS67" s="277"/>
      <c r="HT67" s="277"/>
      <c r="HU67" s="277"/>
      <c r="HV67" s="277"/>
      <c r="HW67" s="277"/>
      <c r="HX67" s="277"/>
      <c r="HY67" s="277"/>
      <c r="HZ67" s="140"/>
      <c r="IA67" s="277"/>
      <c r="IB67" s="277"/>
      <c r="IC67" s="277"/>
      <c r="ID67" s="140"/>
      <c r="IE67" s="277"/>
      <c r="IF67" s="277"/>
      <c r="IG67" s="277"/>
      <c r="IH67" s="140"/>
      <c r="II67" s="277"/>
      <c r="IJ67" s="277"/>
      <c r="IK67" s="277"/>
      <c r="IL67" s="140"/>
      <c r="IM67" s="277"/>
      <c r="IN67" s="277"/>
      <c r="IO67" s="277"/>
      <c r="IP67" s="277"/>
      <c r="IQ67" s="277"/>
      <c r="IR67" s="277"/>
      <c r="IS67" s="277"/>
      <c r="IT67" s="277"/>
      <c r="IU67" s="277"/>
      <c r="IV67" s="277"/>
      <c r="IW67" s="277"/>
      <c r="IX67" s="140"/>
      <c r="IY67" s="277"/>
      <c r="IZ67" s="277"/>
      <c r="JA67" s="277"/>
      <c r="JB67" s="480">
        <v>4</v>
      </c>
      <c r="JC67" s="512">
        <v>1000</v>
      </c>
      <c r="JD67" s="480" t="s">
        <v>1085</v>
      </c>
      <c r="JE67" s="277" t="s">
        <v>562</v>
      </c>
      <c r="JF67" s="140"/>
      <c r="JG67" s="277"/>
      <c r="JH67" s="277"/>
      <c r="JI67" s="140"/>
      <c r="JJ67" s="277"/>
      <c r="JK67" s="277"/>
      <c r="JL67" s="140"/>
      <c r="JM67" s="277"/>
      <c r="JN67" s="277"/>
      <c r="JO67" s="140"/>
      <c r="JP67" s="277"/>
      <c r="JQ67" s="277"/>
      <c r="JR67" s="277"/>
      <c r="JS67" s="277"/>
      <c r="JT67" s="277"/>
      <c r="JU67" s="277"/>
      <c r="JV67" s="277"/>
      <c r="JW67" s="277"/>
      <c r="JX67" s="277"/>
      <c r="JY67" s="277"/>
      <c r="JZ67" s="277"/>
      <c r="KA67" s="277"/>
      <c r="KB67" s="277"/>
      <c r="KC67" s="277"/>
      <c r="KD67" s="277"/>
      <c r="KE67" s="277"/>
      <c r="KF67" s="277"/>
      <c r="KG67" s="277"/>
      <c r="KH67" s="277"/>
      <c r="KI67" s="277"/>
      <c r="KJ67" s="277"/>
      <c r="KK67" s="277"/>
      <c r="KL67" s="277"/>
      <c r="KM67" s="277"/>
      <c r="KN67" s="277"/>
      <c r="KO67" s="277"/>
      <c r="KP67" s="274"/>
      <c r="KQ67" s="254"/>
      <c r="KR67" s="254"/>
      <c r="KY67" s="153">
        <f t="shared" si="25"/>
        <v>0</v>
      </c>
      <c r="KZ67" s="153">
        <f t="shared" si="26"/>
        <v>0</v>
      </c>
      <c r="LB67" s="153">
        <f t="shared" si="27"/>
        <v>1</v>
      </c>
      <c r="LC67" s="153">
        <f t="shared" si="28"/>
        <v>0</v>
      </c>
      <c r="LD67" s="153">
        <f t="shared" si="29"/>
        <v>1</v>
      </c>
      <c r="LE67" s="153" t="e">
        <f>((N(AU67)&gt;0)*(AX67&lt;&gt;"")+(N(AY67)&gt;0)*(BB67&lt;&gt;"")+(N(BC67)&gt;0)*(BF67&lt;&gt;"")+(N(BG67)&gt;0)*(BJ67&lt;&gt;"")+(N(BK67)&gt;0)*(BN67&lt;&gt;"")+(N(BO67)&gt;0)*(BR67&lt;&gt;"")+(N(BS67)&gt;0)*(BV67&lt;&gt;"")+(N(BW67)&gt;0)*(BZ67&lt;&gt;"")+(N(CA67)&gt;0)*(CD67&lt;&gt;"")+(N(CE67)&gt;0)*(CH67&lt;&gt;"")+(N(CI67)&gt;0)*(CL67&lt;&gt;"")+(N(CM67)&gt;0)*(CP67&lt;&gt;"")+(N(CQ67)&gt;0)*(CT67&lt;&gt;"")+(N(CU67)&gt;0)*(CX67&lt;&gt;"")+(N(CY67)&gt;0)*(DB67&lt;&gt;"")+(N(DC67)&gt;0)*(DF67&lt;&gt;"")+(N(DG67)&gt;0)*(DJ67&lt;&gt;"")+(N(DS67)&gt;0)*(DV67&lt;&gt;"")+(N(DW67)&gt;0)*(DZ67&lt;&gt;"")+(N(EA67)&gt;0)*(ED67&lt;&gt;"")+(N(EE67)&gt;0)*(EH67&lt;&gt;"")+(N(EI67)&gt;0)*(EL67&lt;&gt;"")+(N(EM67)&gt;0)*(EP67&lt;&gt;"")+(N(EQ67)&gt;0)*(ET67&lt;&gt;"")+(N(EU67)&gt;0)*(EX67&lt;&gt;"")+(N(#REF!)&gt;0)*(#REF!&lt;&gt;"")+(N(#REF!)&gt;0)*(#REF!&lt;&gt;"")+(N(FJ67)&gt;0)*(FM67&lt;&gt;"")+(N(FN67)&gt;0)*(FQ67&lt;&gt;"")+(N(#REF!)&gt;0)*(#REF!&lt;&gt;"")+(N(#REF!)&gt;0)*(#REF!&lt;&gt;"")+(N(HF67)&gt;0)*(HI67&lt;&gt;"")+(N(#REF!)&gt;0)*(#REF!&lt;&gt;"")+(N(HJ67)&gt;0)*(HM67&lt;&gt;"")+(N(HN67)&gt;0)*(HQ67&lt;&gt;"")+(N(HZ67)&gt;0)*(IC67&lt;&gt;"")+(N(ID67)&gt;0)*(IG67&lt;&gt;"")+(N(IH67)&gt;0)*(IK67&lt;&gt;"")+(N(IL67)&gt;0)*(IO67&lt;&gt;"")+(N(IX67)&gt;0)*(JA67&lt;&gt;"")+(N(JB67)&gt;0)*(JE67&lt;&gt;"")+(N(JF67)&gt;0)*(JH67&lt;&gt;"")+(N(JI67)&gt;0)*(JK67&lt;&gt;"")+(N(JL67)&gt;0)*(JN67&lt;&gt;"")+(N(JO67)&gt;0)*(JQ67&lt;&gt;""))</f>
        <v>#REF!</v>
      </c>
      <c r="LF67" s="153">
        <f t="shared" si="21"/>
        <v>0</v>
      </c>
      <c r="LG67" s="153">
        <f t="shared" si="30"/>
        <v>1</v>
      </c>
    </row>
    <row r="68" spans="1:319" ht="38.25" customHeight="1" x14ac:dyDescent="0.55000000000000004">
      <c r="A68" s="141" t="s">
        <v>134</v>
      </c>
      <c r="B68" s="515" t="s">
        <v>140</v>
      </c>
      <c r="C68" s="142">
        <v>2</v>
      </c>
      <c r="D68" s="142">
        <v>2</v>
      </c>
      <c r="E68" s="142">
        <v>2</v>
      </c>
      <c r="F68" s="162">
        <f>($AI$68/$AJ$68)*$L$68*C68</f>
        <v>3920.0000000000005</v>
      </c>
      <c r="G68" s="162">
        <f>($AI$68/$AJ$68)*$L$68*D68</f>
        <v>3920.0000000000005</v>
      </c>
      <c r="H68" s="162">
        <f>($AI$68/$AJ$68)*$L$68*E68</f>
        <v>3920.0000000000005</v>
      </c>
      <c r="I68" s="142" cm="1">
        <f t="array" ref="I68">SUMPRODUCT(($AI$2:$KV$2&lt;&gt;"")*($AI68:$KV68&lt;&gt;""))</f>
        <v>7</v>
      </c>
      <c r="J68" s="142">
        <f t="shared" si="17"/>
        <v>14</v>
      </c>
      <c r="K68" s="142">
        <f t="shared" si="18"/>
        <v>196</v>
      </c>
      <c r="L68" s="268">
        <f t="shared" si="31"/>
        <v>7000</v>
      </c>
      <c r="M68" s="164">
        <f t="shared" si="22"/>
        <v>25480.000000000004</v>
      </c>
      <c r="N68" s="397"/>
      <c r="O68" s="165">
        <f t="shared" si="19"/>
        <v>61425</v>
      </c>
      <c r="P68" s="165"/>
      <c r="Q68" s="165"/>
      <c r="R68" s="165">
        <f>(IFERROR(AM68/AN68,0)+IFERROR(AU68/AV68,0)+IFERROR(AY68/AZ68,0)+IFERROR(BC68/BD68,0)+IFERROR(BG68/BH68,0)+IFERROR(BK68/BL68,0)+IFERROR(BO68/BP68,0)+IFERROR(BS68/BT68,0)+IFERROR(BW68/BX68,0)+IFERROR(CA68/CB68,0)+IFERROR(CE68/CF68,0)+IFERROR(CI68/CJ68,0)+IFERROR(CM68/CN68,0)+IFERROR(CQ68/CR68,0)+IFERROR(CU68/CV68,0)+IFERROR(CY68/CZ68,0)+IFERROR(DC68/DD68,0)+IFERROR(DG68/DH68,0)+IFERROR(DS68/DT68,0)+IFERROR(DW68/DX68,0)+IFERROR(EA68/EB68,0)+IFERROR(EE68/EF68,0)+IFERROR(EI68/EJ68,0)+IFERROR(EM68/EN68,0)+IFERROR(EQ68/ER68,0)+IFERROR(EU68/EV68,0)+IFERROR(#REF!/#REF!,0)+IFERROR(#REF!/#REF!,0)+IFERROR(FJ68/FK68,0)+IFERROR(FN68/FO68,0)+IFERROR(#REF!/#REF!,0)+IFERROR(#REF!/#REF!,0)+IFERROR(HF68/HG68,0)+IFERROR(#REF!/#REF!,0)+IFERROR(HJ68/HK68,0)+IFERROR(HN68/HO68,0)+IFERROR(HZ68/IA68,0)+IFERROR(ID68/IE68,0)+IFERROR(IH68/II68,0)+IFERROR(IL68/IM68,0)+IFERROR(IX68/IY68,0)+IFERROR(JB68/JC68,0)+IFERROR(JF68/JG68,0)+IFERROR(JI68/JJ68,0)+IFERROR(JL68/JM68,0)+IFERROR(JO68/JP68,0))*L68*(C68+D68+E68+I68)</f>
        <v>11193</v>
      </c>
      <c r="S68" s="165"/>
      <c r="T68" s="165">
        <f t="shared" si="23"/>
        <v>0</v>
      </c>
      <c r="U68" s="165"/>
      <c r="V68" s="165"/>
      <c r="W68" s="165"/>
      <c r="X68" s="165">
        <f>(IFERROR(FF68/FG68,0)+IFERROR(FC68/FD68,0)+IFERROR(#REF!/#REF!,0)+IFERROR(KP68/KQ68,0))*L68*(C68+D68+E68+I68)</f>
        <v>0</v>
      </c>
      <c r="Y68" s="484"/>
      <c r="Z68" s="484"/>
      <c r="AA68" s="484"/>
      <c r="AB68" s="484"/>
      <c r="AC68" s="150">
        <f t="shared" si="20"/>
        <v>2866.5</v>
      </c>
      <c r="AD68" s="150"/>
      <c r="AE68" s="150">
        <f t="shared" si="24"/>
        <v>0</v>
      </c>
      <c r="AF68" s="151">
        <v>1720</v>
      </c>
      <c r="AG68" s="143">
        <v>126</v>
      </c>
      <c r="AH68" s="154">
        <v>4000</v>
      </c>
      <c r="AI68" s="144">
        <v>70</v>
      </c>
      <c r="AJ68" s="154">
        <v>250</v>
      </c>
      <c r="AK68" s="489" t="s">
        <v>81</v>
      </c>
      <c r="AL68" s="497" t="s">
        <v>1155</v>
      </c>
      <c r="AM68" s="140"/>
      <c r="AN68" s="154"/>
      <c r="AO68" s="154"/>
      <c r="AP68" s="154"/>
      <c r="AQ68" s="492">
        <v>1350</v>
      </c>
      <c r="AR68" s="154">
        <v>2000</v>
      </c>
      <c r="AS68" s="492" t="s">
        <v>1082</v>
      </c>
      <c r="AT68" s="497" t="s">
        <v>1156</v>
      </c>
      <c r="AU68" s="140"/>
      <c r="AV68" s="277"/>
      <c r="AW68" s="277"/>
      <c r="AX68" s="277"/>
      <c r="AY68" s="140"/>
      <c r="AZ68" s="277"/>
      <c r="BA68" s="277"/>
      <c r="BB68" s="277"/>
      <c r="BC68" s="140"/>
      <c r="BD68" s="277"/>
      <c r="BE68" s="277"/>
      <c r="BF68" s="277"/>
      <c r="BG68" s="140"/>
      <c r="BH68" s="277"/>
      <c r="BI68" s="277"/>
      <c r="BJ68" s="277"/>
      <c r="BK68" s="140"/>
      <c r="BL68" s="277"/>
      <c r="BM68" s="277"/>
      <c r="BN68" s="277"/>
      <c r="BO68" s="140"/>
      <c r="BP68" s="277"/>
      <c r="BQ68" s="277"/>
      <c r="BR68" s="277"/>
      <c r="BS68" s="140"/>
      <c r="BT68" s="277"/>
      <c r="BU68" s="277"/>
      <c r="BV68" s="277"/>
      <c r="BW68" s="140"/>
      <c r="BX68" s="160"/>
      <c r="BY68" s="160"/>
      <c r="BZ68" s="160"/>
      <c r="CA68" s="140"/>
      <c r="CB68" s="160"/>
      <c r="CC68" s="160"/>
      <c r="CD68" s="160"/>
      <c r="CE68" s="493">
        <v>43</v>
      </c>
      <c r="CF68" s="160">
        <v>2000</v>
      </c>
      <c r="CG68" s="493" t="s">
        <v>345</v>
      </c>
      <c r="CH68" s="497" t="s">
        <v>1157</v>
      </c>
      <c r="CI68" s="493">
        <v>43</v>
      </c>
      <c r="CJ68" s="160">
        <v>2000</v>
      </c>
      <c r="CK68" s="493" t="s">
        <v>345</v>
      </c>
      <c r="CL68" s="497" t="s">
        <v>1157</v>
      </c>
      <c r="CM68" s="140"/>
      <c r="CN68" s="152"/>
      <c r="CO68" s="152"/>
      <c r="CP68" s="152"/>
      <c r="CQ68" s="140"/>
      <c r="CR68" s="160"/>
      <c r="CS68" s="160"/>
      <c r="CT68" s="160"/>
      <c r="CU68" s="140"/>
      <c r="CV68" s="160"/>
      <c r="CW68" s="160"/>
      <c r="CX68" s="220"/>
      <c r="CY68" s="140"/>
      <c r="CZ68" s="160"/>
      <c r="DA68" s="160"/>
      <c r="DB68" s="220"/>
      <c r="DC68" s="140"/>
      <c r="DD68" s="146"/>
      <c r="DE68" s="146"/>
      <c r="DF68" s="146"/>
      <c r="DG68" s="140"/>
      <c r="DH68" s="146"/>
      <c r="DI68" s="146"/>
      <c r="DJ68" s="146"/>
      <c r="DK68" s="146"/>
      <c r="DL68" s="146"/>
      <c r="DM68" s="146"/>
      <c r="DN68" s="146"/>
      <c r="DO68" s="146"/>
      <c r="DP68" s="146"/>
      <c r="DQ68" s="146"/>
      <c r="DR68" s="146"/>
      <c r="DS68" s="140"/>
      <c r="DT68" s="154"/>
      <c r="DU68" s="154"/>
      <c r="DV68" s="154"/>
      <c r="DW68" s="493">
        <v>15</v>
      </c>
      <c r="DX68" s="160">
        <v>500</v>
      </c>
      <c r="DY68" s="493" t="s">
        <v>345</v>
      </c>
      <c r="DZ68" s="514" t="s">
        <v>1157</v>
      </c>
      <c r="EA68" s="140"/>
      <c r="EB68" s="152"/>
      <c r="EC68" s="152"/>
      <c r="ED68" s="152"/>
      <c r="EE68" s="493">
        <v>25</v>
      </c>
      <c r="EF68" s="160">
        <v>1000</v>
      </c>
      <c r="EG68" s="493" t="s">
        <v>345</v>
      </c>
      <c r="EH68" s="514" t="s">
        <v>1157</v>
      </c>
      <c r="EI68" s="493">
        <v>25</v>
      </c>
      <c r="EJ68" s="154">
        <v>1000</v>
      </c>
      <c r="EK68" s="493" t="s">
        <v>345</v>
      </c>
      <c r="EL68" s="514" t="s">
        <v>1157</v>
      </c>
      <c r="EM68" s="140"/>
      <c r="EN68" s="146"/>
      <c r="EO68" s="146"/>
      <c r="EP68" s="146"/>
      <c r="EQ68" s="140"/>
      <c r="ER68" s="146"/>
      <c r="ES68" s="146"/>
      <c r="ET68" s="146"/>
      <c r="EU68" s="140"/>
      <c r="EV68" s="146"/>
      <c r="EW68" s="146"/>
      <c r="EX68" s="146"/>
      <c r="EY68" s="342"/>
      <c r="EZ68" s="146"/>
      <c r="FA68" s="146"/>
      <c r="FB68" s="146"/>
      <c r="FC68" s="275"/>
      <c r="FD68" s="223"/>
      <c r="FE68" s="223"/>
      <c r="FF68" s="276"/>
      <c r="FG68" s="156"/>
      <c r="FH68" s="156"/>
      <c r="FI68" s="156"/>
      <c r="FJ68" s="140"/>
      <c r="FK68" s="277"/>
      <c r="FL68" s="277"/>
      <c r="FM68" s="277"/>
      <c r="FN68" s="140"/>
      <c r="FO68" s="277"/>
      <c r="FP68" s="277"/>
      <c r="FQ68" s="277"/>
      <c r="FR68" s="280"/>
      <c r="FS68" s="277"/>
      <c r="FT68" s="277"/>
      <c r="FU68" s="277"/>
      <c r="FV68" s="277"/>
      <c r="FW68" s="277"/>
      <c r="FX68" s="277"/>
      <c r="FY68" s="277"/>
      <c r="FZ68" s="277"/>
      <c r="GA68" s="277"/>
      <c r="GB68" s="277"/>
      <c r="GC68" s="277"/>
      <c r="GD68" s="277"/>
      <c r="GE68" s="277"/>
      <c r="GF68" s="277"/>
      <c r="GG68" s="277"/>
      <c r="GH68" s="277"/>
      <c r="GI68" s="277"/>
      <c r="GJ68" s="277"/>
      <c r="GK68" s="277"/>
      <c r="GL68" s="277"/>
      <c r="GM68" s="277"/>
      <c r="GN68" s="277"/>
      <c r="GO68" s="277"/>
      <c r="GP68" s="277"/>
      <c r="GQ68" s="277"/>
      <c r="GR68" s="277"/>
      <c r="GS68" s="277"/>
      <c r="GT68" s="277"/>
      <c r="GU68" s="277"/>
      <c r="GV68" s="277"/>
      <c r="GW68" s="277"/>
      <c r="GX68" s="277"/>
      <c r="GY68" s="277"/>
      <c r="GZ68" s="277"/>
      <c r="HA68" s="277"/>
      <c r="HB68" s="277"/>
      <c r="HC68" s="277"/>
      <c r="HD68" s="277"/>
      <c r="HE68" s="277"/>
      <c r="HF68" s="140"/>
      <c r="HG68" s="277"/>
      <c r="HH68" s="277"/>
      <c r="HI68" s="277"/>
      <c r="HJ68" s="140"/>
      <c r="HK68" s="277"/>
      <c r="HL68" s="277"/>
      <c r="HM68" s="277"/>
      <c r="HN68" s="140"/>
      <c r="HO68" s="277"/>
      <c r="HP68" s="277"/>
      <c r="HQ68" s="277"/>
      <c r="HR68" s="277"/>
      <c r="HS68" s="277"/>
      <c r="HT68" s="277"/>
      <c r="HU68" s="277"/>
      <c r="HV68" s="277"/>
      <c r="HW68" s="277"/>
      <c r="HX68" s="277"/>
      <c r="HY68" s="277"/>
      <c r="HZ68" s="140"/>
      <c r="IA68" s="277"/>
      <c r="IB68" s="277"/>
      <c r="IC68" s="277"/>
      <c r="ID68" s="140"/>
      <c r="IE68" s="277"/>
      <c r="IF68" s="277"/>
      <c r="IG68" s="277"/>
      <c r="IH68" s="140"/>
      <c r="II68" s="277"/>
      <c r="IJ68" s="277"/>
      <c r="IK68" s="277"/>
      <c r="IL68" s="140"/>
      <c r="IM68" s="277"/>
      <c r="IN68" s="277"/>
      <c r="IO68" s="277"/>
      <c r="IP68" s="277"/>
      <c r="IQ68" s="277"/>
      <c r="IR68" s="277"/>
      <c r="IS68" s="277"/>
      <c r="IT68" s="277"/>
      <c r="IU68" s="277"/>
      <c r="IV68" s="277"/>
      <c r="IW68" s="277"/>
      <c r="IX68" s="140"/>
      <c r="IY68" s="277"/>
      <c r="IZ68" s="277"/>
      <c r="JA68" s="277"/>
      <c r="JB68" s="140"/>
      <c r="JC68" s="277"/>
      <c r="JD68" s="277"/>
      <c r="JE68" s="277"/>
      <c r="JF68" s="140"/>
      <c r="JG68" s="277"/>
      <c r="JH68" s="277"/>
      <c r="JI68" s="140"/>
      <c r="JJ68" s="277"/>
      <c r="JK68" s="277"/>
      <c r="JL68" s="140"/>
      <c r="JM68" s="277"/>
      <c r="JN68" s="277"/>
      <c r="JO68" s="140"/>
      <c r="JP68" s="277"/>
      <c r="JQ68" s="277"/>
      <c r="JR68" s="277"/>
      <c r="JS68" s="277"/>
      <c r="JT68" s="277"/>
      <c r="JU68" s="277"/>
      <c r="JV68" s="277"/>
      <c r="JW68" s="277"/>
      <c r="JX68" s="277"/>
      <c r="JY68" s="277"/>
      <c r="JZ68" s="277"/>
      <c r="KA68" s="277"/>
      <c r="KB68" s="277"/>
      <c r="KC68" s="277"/>
      <c r="KD68" s="277"/>
      <c r="KE68" s="277"/>
      <c r="KF68" s="277"/>
      <c r="KG68" s="277"/>
      <c r="KH68" s="277"/>
      <c r="KI68" s="277"/>
      <c r="KJ68" s="277"/>
      <c r="KK68" s="277"/>
      <c r="KL68" s="277"/>
      <c r="KM68" s="277"/>
      <c r="KN68" s="277"/>
      <c r="KO68" s="277"/>
      <c r="KP68" s="274"/>
      <c r="KQ68" s="253"/>
      <c r="KR68" s="253"/>
      <c r="KY68" s="141">
        <f t="shared" si="25"/>
        <v>0</v>
      </c>
      <c r="KZ68" s="141">
        <f t="shared" si="26"/>
        <v>0</v>
      </c>
      <c r="LB68" s="141">
        <f t="shared" si="27"/>
        <v>1</v>
      </c>
      <c r="LC68" s="141">
        <f t="shared" si="28"/>
        <v>0</v>
      </c>
      <c r="LD68" s="141">
        <f t="shared" si="29"/>
        <v>1</v>
      </c>
      <c r="LE68" s="141" t="e">
        <f>((N(AU68)&gt;0)*(AX68&lt;&gt;"")+(N(AY68)&gt;0)*(BB68&lt;&gt;"")+(N(BC68)&gt;0)*(BF68&lt;&gt;"")+(N(BG68)&gt;0)*(BJ68&lt;&gt;"")+(N(BK68)&gt;0)*(BN68&lt;&gt;"")+(N(BO68)&gt;0)*(BR68&lt;&gt;"")+(N(BS68)&gt;0)*(BV68&lt;&gt;"")+(N(BW68)&gt;0)*(BZ68&lt;&gt;"")+(N(CA68)&gt;0)*(CD68&lt;&gt;"")+(N(CE68)&gt;0)*(CH68&lt;&gt;"")+(N(CI68)&gt;0)*(CL68&lt;&gt;"")+(N(CM68)&gt;0)*(CP68&lt;&gt;"")+(N(CQ68)&gt;0)*(CT68&lt;&gt;"")+(N(CU68)&gt;0)*(CX68&lt;&gt;"")+(N(CY68)&gt;0)*(DB68&lt;&gt;"")+(N(DC68)&gt;0)*(DF68&lt;&gt;"")+(N(DG68)&gt;0)*(DJ68&lt;&gt;"")+(N(DS68)&gt;0)*(DV68&lt;&gt;"")+(N(DW68)&gt;0)*(DZ68&lt;&gt;"")+(N(EA68)&gt;0)*(ED68&lt;&gt;"")+(N(EE68)&gt;0)*(EH68&lt;&gt;"")+(N(EI68)&gt;0)*(EL68&lt;&gt;"")+(N(EM68)&gt;0)*(EP68&lt;&gt;"")+(N(EQ68)&gt;0)*(ET68&lt;&gt;"")+(N(EU68)&gt;0)*(EX68&lt;&gt;"")+(N(#REF!)&gt;0)*(#REF!&lt;&gt;"")+(N(#REF!)&gt;0)*(#REF!&lt;&gt;"")+(N(FJ68)&gt;0)*(FM68&lt;&gt;"")+(N(FN68)&gt;0)*(FQ68&lt;&gt;"")+(N(#REF!)&gt;0)*(#REF!&lt;&gt;"")+(N(#REF!)&gt;0)*(#REF!&lt;&gt;"")+(N(HF68)&gt;0)*(HI68&lt;&gt;"")+(N(#REF!)&gt;0)*(#REF!&lt;&gt;"")+(N(HJ68)&gt;0)*(HM68&lt;&gt;"")+(N(HN68)&gt;0)*(HQ68&lt;&gt;"")+(N(HZ68)&gt;0)*(IC68&lt;&gt;"")+(N(ID68)&gt;0)*(IG68&lt;&gt;"")+(N(IH68)&gt;0)*(IK68&lt;&gt;"")+(N(IL68)&gt;0)*(IO68&lt;&gt;"")+(N(IX68)&gt;0)*(JA68&lt;&gt;"")+(N(JB68)&gt;0)*(JE68&lt;&gt;"")+(N(JF68)&gt;0)*(JH68&lt;&gt;"")+(N(JI68)&gt;0)*(JK68&lt;&gt;"")+(N(JL68)&gt;0)*(JN68&lt;&gt;"")+(N(JO68)&gt;0)*(JQ68&lt;&gt;""))</f>
        <v>#REF!</v>
      </c>
      <c r="LF68" s="141">
        <f t="shared" si="21"/>
        <v>0</v>
      </c>
      <c r="LG68" s="141">
        <f t="shared" si="30"/>
        <v>1</v>
      </c>
    </row>
    <row r="69" spans="1:319" ht="38.25" customHeight="1" x14ac:dyDescent="0.55000000000000004">
      <c r="A69" s="141" t="s">
        <v>134</v>
      </c>
      <c r="B69" s="515" t="s">
        <v>141</v>
      </c>
      <c r="C69" s="142">
        <v>1</v>
      </c>
      <c r="D69" s="142">
        <v>1</v>
      </c>
      <c r="E69" s="142">
        <v>1</v>
      </c>
      <c r="F69" s="162">
        <f>($AI$69/$AJ$69)*$L$69*C69</f>
        <v>1960.0000000000002</v>
      </c>
      <c r="G69" s="162">
        <f>($AI$69/$AJ$69)*$L$69*D69</f>
        <v>1960.0000000000002</v>
      </c>
      <c r="H69" s="162">
        <f>($AI$69/$AJ$69)*$L$69*E69</f>
        <v>1960.0000000000002</v>
      </c>
      <c r="I69" s="142" cm="1">
        <f t="array" ref="I69">SUMPRODUCT(($AI$2:$KV$2&lt;&gt;"")*($AI69:$KV69&lt;&gt;""))</f>
        <v>7</v>
      </c>
      <c r="J69" s="142">
        <f t="shared" si="17"/>
        <v>7</v>
      </c>
      <c r="K69" s="142">
        <f t="shared" si="18"/>
        <v>98</v>
      </c>
      <c r="L69" s="268">
        <f t="shared" si="31"/>
        <v>7000</v>
      </c>
      <c r="M69" s="164">
        <f t="shared" si="22"/>
        <v>19600.000000000004</v>
      </c>
      <c r="N69" s="397"/>
      <c r="O69" s="165">
        <f t="shared" si="19"/>
        <v>47250</v>
      </c>
      <c r="P69" s="165"/>
      <c r="Q69" s="165"/>
      <c r="R69" s="165">
        <f>(IFERROR(AM69/AN69,0)+IFERROR(AU69/AV69,0)+IFERROR(AY69/AZ69,0)+IFERROR(BC69/BD69,0)+IFERROR(BG69/BH69,0)+IFERROR(BK69/BL69,0)+IFERROR(BO69/BP69,0)+IFERROR(BS69/BT69,0)+IFERROR(BW69/BX69,0)+IFERROR(CA69/CB69,0)+IFERROR(CE69/CF69,0)+IFERROR(CI69/CJ69,0)+IFERROR(CM69/CN69,0)+IFERROR(CQ69/CR69,0)+IFERROR(CU69/CV69,0)+IFERROR(CY69/CZ69,0)+IFERROR(DC69/DD69,0)+IFERROR(DG69/DH69,0)+IFERROR(DS69/DT69,0)+IFERROR(DW69/DX69,0)+IFERROR(EA69/EB69,0)+IFERROR(EE69/EF69,0)+IFERROR(EI69/EJ69,0)+IFERROR(EM69/EN69,0)+IFERROR(EQ69/ER69,0)+IFERROR(EU69/EV69,0)+IFERROR(#REF!/#REF!,0)+IFERROR(#REF!/#REF!,0)+IFERROR(FJ69/FK69,0)+IFERROR(FN69/FO69,0)+IFERROR(#REF!/#REF!,0)+IFERROR(#REF!/#REF!,0)+IFERROR(HF69/HG69,0)+IFERROR(#REF!/#REF!,0)+IFERROR(HJ69/HK69,0)+IFERROR(HN69/HO69,0)+IFERROR(HZ69/IA69,0)+IFERROR(ID69/IE69,0)+IFERROR(IH69/II69,0)+IFERROR(IL69/IM69,0)+IFERROR(IX69/IY69,0)+IFERROR(JB69/JC69,0)+IFERROR(JF69/JG69,0)+IFERROR(JI69/JJ69,0)+IFERROR(JL69/JM69,0)+IFERROR(JO69/JP69,0))*L69*(C69+D69+E69+I69)</f>
        <v>8610</v>
      </c>
      <c r="S69" s="165"/>
      <c r="T69" s="165">
        <f t="shared" si="23"/>
        <v>0</v>
      </c>
      <c r="U69" s="165"/>
      <c r="V69" s="165"/>
      <c r="W69" s="165"/>
      <c r="X69" s="165">
        <f>(IFERROR(FF69/FG69,0)+IFERROR(FC69/FD69,0)+IFERROR(#REF!/#REF!,0)+IFERROR(KP69/KQ69,0))*L69*(C69+D69+E69+I69)</f>
        <v>0</v>
      </c>
      <c r="Y69" s="484"/>
      <c r="Z69" s="484"/>
      <c r="AA69" s="484"/>
      <c r="AB69" s="484"/>
      <c r="AC69" s="150">
        <f t="shared" si="20"/>
        <v>2205</v>
      </c>
      <c r="AD69" s="150"/>
      <c r="AE69" s="150">
        <f t="shared" si="24"/>
        <v>0</v>
      </c>
      <c r="AF69" s="151">
        <v>1720</v>
      </c>
      <c r="AG69" s="143">
        <v>126</v>
      </c>
      <c r="AH69" s="154">
        <v>4000</v>
      </c>
      <c r="AI69" s="144">
        <v>70</v>
      </c>
      <c r="AJ69" s="154">
        <v>250</v>
      </c>
      <c r="AK69" s="489" t="s">
        <v>81</v>
      </c>
      <c r="AL69" s="497" t="s">
        <v>1155</v>
      </c>
      <c r="AM69" s="140"/>
      <c r="AN69" s="154"/>
      <c r="AO69" s="154"/>
      <c r="AP69" s="154"/>
      <c r="AQ69" s="492">
        <v>1350</v>
      </c>
      <c r="AR69" s="154">
        <v>2000</v>
      </c>
      <c r="AS69" s="492" t="s">
        <v>1082</v>
      </c>
      <c r="AT69" s="497" t="s">
        <v>1156</v>
      </c>
      <c r="AU69" s="140"/>
      <c r="AV69" s="277"/>
      <c r="AW69" s="277"/>
      <c r="AX69" s="277"/>
      <c r="AY69" s="140"/>
      <c r="AZ69" s="277"/>
      <c r="BA69" s="277"/>
      <c r="BB69" s="277"/>
      <c r="BC69" s="140"/>
      <c r="BD69" s="277"/>
      <c r="BE69" s="277"/>
      <c r="BF69" s="277"/>
      <c r="BG69" s="140"/>
      <c r="BH69" s="277"/>
      <c r="BI69" s="277"/>
      <c r="BJ69" s="277"/>
      <c r="BK69" s="140"/>
      <c r="BL69" s="277"/>
      <c r="BM69" s="277"/>
      <c r="BN69" s="277"/>
      <c r="BO69" s="140"/>
      <c r="BP69" s="277"/>
      <c r="BQ69" s="277"/>
      <c r="BR69" s="277"/>
      <c r="BS69" s="140"/>
      <c r="BT69" s="277"/>
      <c r="BU69" s="277"/>
      <c r="BV69" s="277"/>
      <c r="BW69" s="140"/>
      <c r="BX69" s="160"/>
      <c r="BY69" s="160"/>
      <c r="BZ69" s="160"/>
      <c r="CA69" s="140"/>
      <c r="CB69" s="160"/>
      <c r="CC69" s="160"/>
      <c r="CD69" s="160"/>
      <c r="CE69" s="493">
        <v>43</v>
      </c>
      <c r="CF69" s="160">
        <v>2000</v>
      </c>
      <c r="CG69" s="493" t="s">
        <v>345</v>
      </c>
      <c r="CH69" s="497" t="s">
        <v>1157</v>
      </c>
      <c r="CI69" s="493">
        <v>43</v>
      </c>
      <c r="CJ69" s="160">
        <v>2000</v>
      </c>
      <c r="CK69" s="493" t="s">
        <v>345</v>
      </c>
      <c r="CL69" s="497" t="s">
        <v>1157</v>
      </c>
      <c r="CM69" s="140"/>
      <c r="CN69" s="146"/>
      <c r="CO69" s="146"/>
      <c r="CP69" s="146"/>
      <c r="CQ69" s="140"/>
      <c r="CR69" s="154"/>
      <c r="CS69" s="154"/>
      <c r="CT69" s="154"/>
      <c r="CU69" s="140"/>
      <c r="CV69" s="154"/>
      <c r="CW69" s="154"/>
      <c r="CX69" s="220"/>
      <c r="CY69" s="140"/>
      <c r="CZ69" s="154"/>
      <c r="DA69" s="154"/>
      <c r="DB69" s="220"/>
      <c r="DC69" s="140"/>
      <c r="DD69" s="146"/>
      <c r="DE69" s="146"/>
      <c r="DF69" s="146"/>
      <c r="DG69" s="140"/>
      <c r="DH69" s="146"/>
      <c r="DI69" s="146"/>
      <c r="DJ69" s="146"/>
      <c r="DK69" s="146"/>
      <c r="DL69" s="146"/>
      <c r="DM69" s="146"/>
      <c r="DN69" s="146"/>
      <c r="DO69" s="146"/>
      <c r="DP69" s="146"/>
      <c r="DQ69" s="146"/>
      <c r="DR69" s="146"/>
      <c r="DS69" s="140"/>
      <c r="DT69" s="154"/>
      <c r="DU69" s="154"/>
      <c r="DV69" s="154"/>
      <c r="DW69" s="493">
        <v>15</v>
      </c>
      <c r="DX69" s="160">
        <v>500</v>
      </c>
      <c r="DY69" s="493" t="s">
        <v>345</v>
      </c>
      <c r="DZ69" s="514" t="s">
        <v>1157</v>
      </c>
      <c r="EA69" s="140"/>
      <c r="EB69" s="146"/>
      <c r="EC69" s="146"/>
      <c r="ED69" s="146"/>
      <c r="EE69" s="493">
        <v>25</v>
      </c>
      <c r="EF69" s="160">
        <v>1000</v>
      </c>
      <c r="EG69" s="493" t="s">
        <v>345</v>
      </c>
      <c r="EH69" s="514" t="s">
        <v>1157</v>
      </c>
      <c r="EI69" s="493">
        <v>25</v>
      </c>
      <c r="EJ69" s="154">
        <v>1000</v>
      </c>
      <c r="EK69" s="493" t="s">
        <v>345</v>
      </c>
      <c r="EL69" s="514" t="s">
        <v>1157</v>
      </c>
      <c r="EM69" s="140"/>
      <c r="EN69" s="146"/>
      <c r="EO69" s="146"/>
      <c r="EP69" s="146"/>
      <c r="EQ69" s="140"/>
      <c r="ER69" s="146"/>
      <c r="ES69" s="146"/>
      <c r="ET69" s="146"/>
      <c r="EU69" s="140"/>
      <c r="EV69" s="146"/>
      <c r="EW69" s="146"/>
      <c r="EX69" s="146"/>
      <c r="EY69" s="342"/>
      <c r="EZ69" s="146"/>
      <c r="FA69" s="146"/>
      <c r="FB69" s="146"/>
      <c r="FC69" s="275"/>
      <c r="FD69" s="223"/>
      <c r="FE69" s="223"/>
      <c r="FF69" s="276"/>
      <c r="FG69" s="156"/>
      <c r="FH69" s="156"/>
      <c r="FI69" s="156"/>
      <c r="FJ69" s="140"/>
      <c r="FK69" s="277"/>
      <c r="FL69" s="277"/>
      <c r="FM69" s="277"/>
      <c r="FN69" s="140"/>
      <c r="FO69" s="277"/>
      <c r="FP69" s="277"/>
      <c r="FQ69" s="277"/>
      <c r="FR69" s="280"/>
      <c r="FS69" s="277"/>
      <c r="FT69" s="277"/>
      <c r="FU69" s="277"/>
      <c r="FV69" s="277"/>
      <c r="FW69" s="277"/>
      <c r="FX69" s="277"/>
      <c r="FY69" s="277"/>
      <c r="FZ69" s="277"/>
      <c r="GA69" s="277"/>
      <c r="GB69" s="277"/>
      <c r="GC69" s="277"/>
      <c r="GD69" s="277"/>
      <c r="GE69" s="277"/>
      <c r="GF69" s="277"/>
      <c r="GG69" s="277"/>
      <c r="GH69" s="277"/>
      <c r="GI69" s="277"/>
      <c r="GJ69" s="277"/>
      <c r="GK69" s="277"/>
      <c r="GL69" s="277"/>
      <c r="GM69" s="277"/>
      <c r="GN69" s="277"/>
      <c r="GO69" s="277"/>
      <c r="GP69" s="277"/>
      <c r="GQ69" s="277"/>
      <c r="GR69" s="277"/>
      <c r="GS69" s="277"/>
      <c r="GT69" s="277"/>
      <c r="GU69" s="277"/>
      <c r="GV69" s="277"/>
      <c r="GW69" s="277"/>
      <c r="GX69" s="277"/>
      <c r="GY69" s="277"/>
      <c r="GZ69" s="277"/>
      <c r="HA69" s="277"/>
      <c r="HB69" s="277"/>
      <c r="HC69" s="277"/>
      <c r="HD69" s="277"/>
      <c r="HE69" s="277"/>
      <c r="HF69" s="140"/>
      <c r="HG69" s="277"/>
      <c r="HH69" s="277"/>
      <c r="HI69" s="277"/>
      <c r="HJ69" s="140"/>
      <c r="HK69" s="277"/>
      <c r="HL69" s="277"/>
      <c r="HM69" s="277"/>
      <c r="HN69" s="140"/>
      <c r="HO69" s="277"/>
      <c r="HP69" s="277"/>
      <c r="HQ69" s="277"/>
      <c r="HR69" s="277"/>
      <c r="HS69" s="277"/>
      <c r="HT69" s="277"/>
      <c r="HU69" s="277"/>
      <c r="HV69" s="277"/>
      <c r="HW69" s="277"/>
      <c r="HX69" s="277"/>
      <c r="HY69" s="277"/>
      <c r="HZ69" s="140"/>
      <c r="IA69" s="277"/>
      <c r="IB69" s="277"/>
      <c r="IC69" s="277"/>
      <c r="ID69" s="140"/>
      <c r="IE69" s="277"/>
      <c r="IF69" s="277"/>
      <c r="IG69" s="277"/>
      <c r="IH69" s="140"/>
      <c r="II69" s="277"/>
      <c r="IJ69" s="277"/>
      <c r="IK69" s="277"/>
      <c r="IL69" s="140"/>
      <c r="IM69" s="277"/>
      <c r="IN69" s="277"/>
      <c r="IO69" s="277"/>
      <c r="IP69" s="277"/>
      <c r="IQ69" s="277"/>
      <c r="IR69" s="277"/>
      <c r="IS69" s="277"/>
      <c r="IT69" s="277"/>
      <c r="IU69" s="277"/>
      <c r="IV69" s="277"/>
      <c r="IW69" s="277"/>
      <c r="IX69" s="140"/>
      <c r="IY69" s="277"/>
      <c r="IZ69" s="277"/>
      <c r="JA69" s="277"/>
      <c r="JB69" s="140"/>
      <c r="JC69" s="277"/>
      <c r="JD69" s="277"/>
      <c r="JE69" s="277"/>
      <c r="JF69" s="140"/>
      <c r="JG69" s="277"/>
      <c r="JH69" s="277"/>
      <c r="JI69" s="140"/>
      <c r="JJ69" s="277"/>
      <c r="JK69" s="277"/>
      <c r="JL69" s="140"/>
      <c r="JM69" s="277"/>
      <c r="JN69" s="277"/>
      <c r="JO69" s="140"/>
      <c r="JP69" s="277"/>
      <c r="JQ69" s="277"/>
      <c r="JR69" s="277"/>
      <c r="JS69" s="277"/>
      <c r="JT69" s="277"/>
      <c r="JU69" s="277"/>
      <c r="JV69" s="277"/>
      <c r="JW69" s="277"/>
      <c r="JX69" s="277"/>
      <c r="JY69" s="277"/>
      <c r="JZ69" s="277"/>
      <c r="KA69" s="277"/>
      <c r="KB69" s="277"/>
      <c r="KC69" s="277"/>
      <c r="KD69" s="277"/>
      <c r="KE69" s="277"/>
      <c r="KF69" s="277"/>
      <c r="KG69" s="277"/>
      <c r="KH69" s="277"/>
      <c r="KI69" s="277"/>
      <c r="KJ69" s="277"/>
      <c r="KK69" s="277"/>
      <c r="KL69" s="277"/>
      <c r="KM69" s="277"/>
      <c r="KN69" s="277"/>
      <c r="KO69" s="277"/>
      <c r="KP69" s="274"/>
      <c r="KQ69" s="253"/>
      <c r="KR69" s="253"/>
      <c r="KY69" s="141">
        <f t="shared" si="25"/>
        <v>0</v>
      </c>
      <c r="KZ69" s="141">
        <f t="shared" si="26"/>
        <v>0</v>
      </c>
      <c r="LB69" s="141">
        <f t="shared" si="27"/>
        <v>1</v>
      </c>
      <c r="LC69" s="141">
        <f t="shared" si="28"/>
        <v>0</v>
      </c>
      <c r="LD69" s="141">
        <f t="shared" si="29"/>
        <v>1</v>
      </c>
      <c r="LE69" s="141" t="e">
        <f>((N(AU69)&gt;0)*(AX69&lt;&gt;"")+(N(AY69)&gt;0)*(BB69&lt;&gt;"")+(N(BC69)&gt;0)*(BF69&lt;&gt;"")+(N(BG69)&gt;0)*(BJ69&lt;&gt;"")+(N(BK69)&gt;0)*(BN69&lt;&gt;"")+(N(BO69)&gt;0)*(BR69&lt;&gt;"")+(N(BS69)&gt;0)*(BV69&lt;&gt;"")+(N(BW69)&gt;0)*(BZ69&lt;&gt;"")+(N(CA69)&gt;0)*(CD69&lt;&gt;"")+(N(CE69)&gt;0)*(CH69&lt;&gt;"")+(N(CI69)&gt;0)*(CL69&lt;&gt;"")+(N(CM69)&gt;0)*(CP69&lt;&gt;"")+(N(CQ69)&gt;0)*(CT69&lt;&gt;"")+(N(CU69)&gt;0)*(CX69&lt;&gt;"")+(N(CY69)&gt;0)*(DB69&lt;&gt;"")+(N(DC69)&gt;0)*(DF69&lt;&gt;"")+(N(DG69)&gt;0)*(DJ69&lt;&gt;"")+(N(DS69)&gt;0)*(DV69&lt;&gt;"")+(N(DW69)&gt;0)*(DZ69&lt;&gt;"")+(N(EA69)&gt;0)*(ED69&lt;&gt;"")+(N(EE69)&gt;0)*(EH69&lt;&gt;"")+(N(EI69)&gt;0)*(EL69&lt;&gt;"")+(N(EM69)&gt;0)*(EP69&lt;&gt;"")+(N(EQ69)&gt;0)*(ET69&lt;&gt;"")+(N(EU69)&gt;0)*(EX69&lt;&gt;"")+(N(#REF!)&gt;0)*(#REF!&lt;&gt;"")+(N(#REF!)&gt;0)*(#REF!&lt;&gt;"")+(N(FJ69)&gt;0)*(FM69&lt;&gt;"")+(N(FN69)&gt;0)*(FQ69&lt;&gt;"")+(N(#REF!)&gt;0)*(#REF!&lt;&gt;"")+(N(#REF!)&gt;0)*(#REF!&lt;&gt;"")+(N(HF69)&gt;0)*(HI69&lt;&gt;"")+(N(#REF!)&gt;0)*(#REF!&lt;&gt;"")+(N(HJ69)&gt;0)*(HM69&lt;&gt;"")+(N(HN69)&gt;0)*(HQ69&lt;&gt;"")+(N(HZ69)&gt;0)*(IC69&lt;&gt;"")+(N(ID69)&gt;0)*(IG69&lt;&gt;"")+(N(IH69)&gt;0)*(IK69&lt;&gt;"")+(N(IL69)&gt;0)*(IO69&lt;&gt;"")+(N(IX69)&gt;0)*(JA69&lt;&gt;"")+(N(JB69)&gt;0)*(JE69&lt;&gt;"")+(N(JF69)&gt;0)*(JH69&lt;&gt;"")+(N(JI69)&gt;0)*(JK69&lt;&gt;"")+(N(JL69)&gt;0)*(JN69&lt;&gt;"")+(N(JO69)&gt;0)*(JQ69&lt;&gt;""))</f>
        <v>#REF!</v>
      </c>
      <c r="LF69" s="141">
        <f t="shared" si="21"/>
        <v>0</v>
      </c>
      <c r="LG69" s="141">
        <f t="shared" si="30"/>
        <v>1</v>
      </c>
    </row>
    <row r="70" spans="1:319" ht="38.25" customHeight="1" x14ac:dyDescent="0.55000000000000004">
      <c r="B70" s="506" t="s">
        <v>163</v>
      </c>
      <c r="C70" s="218">
        <v>4</v>
      </c>
      <c r="D70" s="218">
        <v>4</v>
      </c>
      <c r="E70" s="218">
        <v>4</v>
      </c>
      <c r="F70" s="162">
        <f>($AI$70/$AJ$70)*$L$70*C70</f>
        <v>4031.9999999999995</v>
      </c>
      <c r="G70" s="162">
        <f>($AI$70/$AJ$70)*$L$70*D70</f>
        <v>4031.9999999999995</v>
      </c>
      <c r="H70" s="162">
        <f>($AI$70/$AJ$70)*$L$70*E70</f>
        <v>4031.9999999999995</v>
      </c>
      <c r="I70" s="162" cm="1">
        <f t="array" ref="I70">SUMPRODUCT(($AI$2:$KV$2&lt;&gt;"")*($AI70:$KV70&lt;&gt;""))</f>
        <v>6</v>
      </c>
      <c r="J70" s="142">
        <f t="shared" si="17"/>
        <v>24</v>
      </c>
      <c r="K70" s="142">
        <f t="shared" si="18"/>
        <v>336</v>
      </c>
      <c r="L70" s="268">
        <f t="shared" si="31"/>
        <v>7000</v>
      </c>
      <c r="M70" s="164">
        <f t="shared" si="22"/>
        <v>18143.999999999996</v>
      </c>
      <c r="N70" s="397"/>
      <c r="O70" s="165">
        <f t="shared" si="19"/>
        <v>21420</v>
      </c>
      <c r="P70" s="165"/>
      <c r="Q70" s="165"/>
      <c r="R70" s="165">
        <f>(IFERROR(AM70/AN70,0)+IFERROR(AU70/AV70,0)+IFERROR(AY70/AZ70,0)+IFERROR(BC70/BD70,0)+IFERROR(BG70/BH70,0)+IFERROR(BK70/BL70,0)+IFERROR(BO70/BP70,0)+IFERROR(BS70/BT70,0)+IFERROR(BW70/BX70,0)+IFERROR(CA70/CB70,0)+IFERROR(CE70/CF70,0)+IFERROR(CI70/CJ70,0)+IFERROR(CM70/CN70,0)+IFERROR(CQ70/CR70,0)+IFERROR(CU70/CV70,0)+IFERROR(CY70/CZ70,0)+IFERROR(DC70/DD70,0)+IFERROR(DG70/DH70,0)+IFERROR(DW70/DX70,0)+IFERROR(#REF!/#REF!,0)+IFERROR(EA70/EB70,0)+IFERROR(EE70/EF70,0)+IFERROR(EI70/EJ70,0)+IFERROR(EM70/EN70,0)+IFERROR(EQ70/ER70,0)+IFERROR(EU70/EV70,0)+IFERROR(#REF!/#REF!,0)+IFERROR(#REF!/#REF!,0)+IFERROR(FJ70/FK70,0)+IFERROR(FN70/FO70,0)+IFERROR(#REF!/#REF!,0)+IFERROR(#REF!/#REF!,0)+IFERROR(HF70/HG70,0)+IFERROR(#REF!/#REF!,0)+IFERROR(HJ70/HK70,0)+IFERROR(HN70/HO70,0)+IFERROR(HZ70/IA70,0)+IFERROR(ID70/IE70,0)+IFERROR(IH70/II70,0)+IFERROR(IL70/IM70,0)+IFERROR(IX70/IY70,0)+IFERROR(JB70/JC70,0)+IFERROR(JF70/JG70,0)+IFERROR(JI70/JJ70,0)+IFERROR(JL70/JM70,0)+IFERROR(JO70/JP70,0))*L70*(C70+D70+E70+I70)</f>
        <v>3137.3999999999996</v>
      </c>
      <c r="S70" s="165"/>
      <c r="T70" s="165">
        <f t="shared" si="23"/>
        <v>0</v>
      </c>
      <c r="U70" s="165"/>
      <c r="V70" s="165"/>
      <c r="W70" s="165"/>
      <c r="X70" s="165">
        <f>(IFERROR(FF70/FG70,0)+IFERROR(FC70/FD70,0)+IFERROR(#REF!/#REF!,0)+IFERROR(KP70/KQ70,0))*L70*(C70+D70+E70+I70)</f>
        <v>598.5</v>
      </c>
      <c r="Y70" s="484"/>
      <c r="Z70" s="484"/>
      <c r="AA70" s="484"/>
      <c r="AB70" s="484"/>
      <c r="AC70" s="150">
        <f t="shared" si="20"/>
        <v>1008</v>
      </c>
      <c r="AD70" s="150"/>
      <c r="AE70" s="150">
        <f t="shared" si="24"/>
        <v>0</v>
      </c>
      <c r="AF70" s="161">
        <v>630</v>
      </c>
      <c r="AG70" s="143">
        <v>32</v>
      </c>
      <c r="AH70" s="154">
        <v>4000</v>
      </c>
      <c r="AI70" s="144">
        <v>36</v>
      </c>
      <c r="AJ70" s="154">
        <v>250</v>
      </c>
      <c r="AK70" s="489" t="s">
        <v>81</v>
      </c>
      <c r="AL70" s="497" t="s">
        <v>1160</v>
      </c>
      <c r="AM70" s="140"/>
      <c r="AN70" s="154"/>
      <c r="AO70" s="154"/>
      <c r="AP70" s="220"/>
      <c r="AQ70" s="492">
        <v>340</v>
      </c>
      <c r="AR70" s="154">
        <v>2000</v>
      </c>
      <c r="AS70" s="492" t="s">
        <v>1082</v>
      </c>
      <c r="AT70" s="497" t="s">
        <v>1156</v>
      </c>
      <c r="AU70" s="140"/>
      <c r="AV70" s="277"/>
      <c r="AW70" s="277"/>
      <c r="AX70" s="277"/>
      <c r="AY70" s="140"/>
      <c r="AZ70" s="277"/>
      <c r="BA70" s="277"/>
      <c r="BB70" s="277"/>
      <c r="BC70" s="140"/>
      <c r="BD70" s="277"/>
      <c r="BE70" s="277"/>
      <c r="BF70" s="277"/>
      <c r="BG70" s="140"/>
      <c r="BH70" s="277"/>
      <c r="BI70" s="277"/>
      <c r="BJ70" s="277"/>
      <c r="BK70" s="140"/>
      <c r="BL70" s="277"/>
      <c r="BM70" s="277"/>
      <c r="BN70" s="277"/>
      <c r="BO70" s="140"/>
      <c r="BP70" s="277"/>
      <c r="BQ70" s="277"/>
      <c r="BR70" s="277"/>
      <c r="BS70" s="140"/>
      <c r="BT70" s="277"/>
      <c r="BU70" s="277"/>
      <c r="BV70" s="277"/>
      <c r="BW70" s="140"/>
      <c r="BX70" s="154"/>
      <c r="BY70" s="154"/>
      <c r="BZ70" s="154"/>
      <c r="CA70" s="140"/>
      <c r="CB70" s="154"/>
      <c r="CC70" s="154"/>
      <c r="CD70" s="154"/>
      <c r="CE70" s="493">
        <v>9.1999999999999993</v>
      </c>
      <c r="CF70" s="160">
        <v>2000</v>
      </c>
      <c r="CG70" s="493" t="s">
        <v>345</v>
      </c>
      <c r="CH70" s="497" t="s">
        <v>1158</v>
      </c>
      <c r="CI70" s="493">
        <v>9.1999999999999993</v>
      </c>
      <c r="CJ70" s="160">
        <v>2000</v>
      </c>
      <c r="CK70" s="493" t="s">
        <v>345</v>
      </c>
      <c r="CL70" s="497" t="s">
        <v>1158</v>
      </c>
      <c r="CM70" s="140"/>
      <c r="CN70" s="271"/>
      <c r="CO70" s="271"/>
      <c r="CP70" s="271"/>
      <c r="CQ70" s="140"/>
      <c r="CR70" s="154"/>
      <c r="CS70" s="154"/>
      <c r="CT70" s="154"/>
      <c r="CU70" s="140"/>
      <c r="CV70" s="154"/>
      <c r="CW70" s="154"/>
      <c r="CX70" s="154"/>
      <c r="CY70" s="140"/>
      <c r="CZ70" s="154"/>
      <c r="DA70" s="154"/>
      <c r="DB70" s="220"/>
      <c r="DC70" s="140"/>
      <c r="DD70" s="146"/>
      <c r="DE70" s="146"/>
      <c r="DF70" s="146"/>
      <c r="DG70" s="140"/>
      <c r="DH70" s="146"/>
      <c r="DI70" s="146"/>
      <c r="DJ70" s="146"/>
      <c r="DK70" s="146"/>
      <c r="DL70" s="146"/>
      <c r="DM70" s="146"/>
      <c r="DN70" s="146"/>
      <c r="DO70" s="146"/>
      <c r="DP70" s="146"/>
      <c r="DQ70" s="146"/>
      <c r="DR70" s="146"/>
      <c r="DS70" s="140"/>
      <c r="DT70" s="147"/>
      <c r="DU70" s="147"/>
      <c r="DV70" s="147"/>
      <c r="DW70" s="489"/>
      <c r="DX70" s="154">
        <v>1000</v>
      </c>
      <c r="DY70" s="489" t="s">
        <v>81</v>
      </c>
      <c r="DZ70" s="154" t="s">
        <v>1159</v>
      </c>
      <c r="EA70" s="140"/>
      <c r="EB70" s="147"/>
      <c r="EC70" s="147"/>
      <c r="ED70" s="147"/>
      <c r="EE70" s="493">
        <v>15.7</v>
      </c>
      <c r="EF70" s="160">
        <v>1000</v>
      </c>
      <c r="EG70" s="493" t="s">
        <v>345</v>
      </c>
      <c r="EH70" s="514" t="s">
        <v>1158</v>
      </c>
      <c r="EI70" s="140"/>
      <c r="EJ70" s="147"/>
      <c r="EK70" s="147"/>
      <c r="EL70" s="147"/>
      <c r="EM70" s="140"/>
      <c r="EN70" s="148"/>
      <c r="EO70" s="148"/>
      <c r="EP70" s="148"/>
      <c r="EQ70" s="140"/>
      <c r="ER70" s="148"/>
      <c r="ES70" s="148"/>
      <c r="ET70" s="148"/>
      <c r="EU70" s="140"/>
      <c r="EV70" s="148"/>
      <c r="EW70" s="148"/>
      <c r="EX70" s="148"/>
      <c r="EY70" s="344"/>
      <c r="EZ70" s="148"/>
      <c r="FA70" s="148"/>
      <c r="FB70" s="148"/>
      <c r="FC70" s="273"/>
      <c r="FD70" s="149"/>
      <c r="FE70" s="149"/>
      <c r="FF70" s="276">
        <v>19</v>
      </c>
      <c r="FG70" s="156">
        <v>4000</v>
      </c>
      <c r="FH70" s="156"/>
      <c r="FI70" s="347" t="s">
        <v>764</v>
      </c>
      <c r="FJ70" s="140"/>
      <c r="FK70" s="277"/>
      <c r="FL70" s="277"/>
      <c r="FM70" s="277"/>
      <c r="FN70" s="140"/>
      <c r="FO70" s="277"/>
      <c r="FP70" s="277"/>
      <c r="FQ70" s="277"/>
      <c r="FR70" s="280"/>
      <c r="FS70" s="277"/>
      <c r="FT70" s="277"/>
      <c r="FU70" s="277"/>
      <c r="FV70" s="277"/>
      <c r="FW70" s="277"/>
      <c r="FX70" s="277"/>
      <c r="FY70" s="277"/>
      <c r="FZ70" s="277"/>
      <c r="GA70" s="277"/>
      <c r="GB70" s="277"/>
      <c r="GC70" s="277"/>
      <c r="GD70" s="277"/>
      <c r="GE70" s="277"/>
      <c r="GF70" s="277"/>
      <c r="GG70" s="277"/>
      <c r="GH70" s="277"/>
      <c r="GI70" s="277"/>
      <c r="GJ70" s="277"/>
      <c r="GK70" s="277"/>
      <c r="GL70" s="277"/>
      <c r="GM70" s="277"/>
      <c r="GN70" s="277"/>
      <c r="GO70" s="277"/>
      <c r="GP70" s="277"/>
      <c r="GQ70" s="277"/>
      <c r="GR70" s="277"/>
      <c r="GS70" s="277"/>
      <c r="GT70" s="277"/>
      <c r="GU70" s="277"/>
      <c r="GV70" s="277"/>
      <c r="GW70" s="277"/>
      <c r="GX70" s="277"/>
      <c r="GY70" s="277"/>
      <c r="GZ70" s="277"/>
      <c r="HA70" s="277"/>
      <c r="HB70" s="277"/>
      <c r="HC70" s="277"/>
      <c r="HD70" s="277"/>
      <c r="HE70" s="277"/>
      <c r="HF70" s="140"/>
      <c r="HG70" s="277"/>
      <c r="HH70" s="277"/>
      <c r="HI70" s="277"/>
      <c r="HJ70" s="140"/>
      <c r="HK70" s="277"/>
      <c r="HL70" s="277"/>
      <c r="HM70" s="277"/>
      <c r="HN70" s="140"/>
      <c r="HO70" s="277"/>
      <c r="HP70" s="277"/>
      <c r="HQ70" s="277"/>
      <c r="HR70" s="277"/>
      <c r="HS70" s="277"/>
      <c r="HT70" s="277"/>
      <c r="HU70" s="277"/>
      <c r="HV70" s="277"/>
      <c r="HW70" s="277"/>
      <c r="HX70" s="277"/>
      <c r="HY70" s="277"/>
      <c r="HZ70" s="140"/>
      <c r="IA70" s="277"/>
      <c r="IB70" s="277"/>
      <c r="IC70" s="277"/>
      <c r="ID70" s="140"/>
      <c r="IE70" s="277"/>
      <c r="IF70" s="277"/>
      <c r="IG70" s="277"/>
      <c r="IH70" s="140"/>
      <c r="II70" s="277"/>
      <c r="IJ70" s="277"/>
      <c r="IK70" s="277"/>
      <c r="IL70" s="140"/>
      <c r="IM70" s="277"/>
      <c r="IN70" s="277"/>
      <c r="IO70" s="277"/>
      <c r="IP70" s="277"/>
      <c r="IQ70" s="277"/>
      <c r="IR70" s="277"/>
      <c r="IS70" s="277"/>
      <c r="IT70" s="277"/>
      <c r="IU70" s="277"/>
      <c r="IV70" s="277"/>
      <c r="IW70" s="277"/>
      <c r="IX70" s="140"/>
      <c r="IY70" s="277"/>
      <c r="IZ70" s="277"/>
      <c r="JA70" s="277"/>
      <c r="JB70" s="140"/>
      <c r="JC70" s="277"/>
      <c r="JD70" s="277"/>
      <c r="JE70" s="277"/>
      <c r="JF70" s="140"/>
      <c r="JG70" s="277"/>
      <c r="JH70" s="277"/>
      <c r="JI70" s="140"/>
      <c r="JJ70" s="277"/>
      <c r="JK70" s="277"/>
      <c r="JL70" s="140"/>
      <c r="JM70" s="277"/>
      <c r="JN70" s="277"/>
      <c r="JO70" s="140"/>
      <c r="JP70" s="277"/>
      <c r="JQ70" s="277"/>
      <c r="JR70" s="277"/>
      <c r="JS70" s="277"/>
      <c r="JT70" s="277"/>
      <c r="JU70" s="277"/>
      <c r="JV70" s="277"/>
      <c r="JW70" s="277"/>
      <c r="JX70" s="277"/>
      <c r="JY70" s="277"/>
      <c r="JZ70" s="277"/>
      <c r="KA70" s="277"/>
      <c r="KB70" s="277"/>
      <c r="KC70" s="277"/>
      <c r="KD70" s="277"/>
      <c r="KE70" s="277"/>
      <c r="KF70" s="277"/>
      <c r="KG70" s="277"/>
      <c r="KH70" s="277"/>
      <c r="KI70" s="277"/>
      <c r="KJ70" s="277"/>
      <c r="KK70" s="277"/>
      <c r="KL70" s="277"/>
      <c r="KM70" s="277"/>
      <c r="KN70" s="277"/>
      <c r="KO70" s="277"/>
      <c r="KP70" s="274"/>
      <c r="KQ70" s="253"/>
      <c r="KR70" s="253"/>
      <c r="KY70" s="141">
        <f t="shared" si="25"/>
        <v>0</v>
      </c>
      <c r="KZ70" s="141">
        <f t="shared" si="26"/>
        <v>0</v>
      </c>
      <c r="LB70" s="141">
        <f t="shared" si="27"/>
        <v>1</v>
      </c>
      <c r="LC70" s="141">
        <f t="shared" si="28"/>
        <v>0</v>
      </c>
      <c r="LD70" s="141">
        <f t="shared" si="29"/>
        <v>1</v>
      </c>
      <c r="LE70" s="141" t="e">
        <f>((N(AU70)&gt;0)*(AX70&lt;&gt;"")+(N(AY70)&gt;0)*(BB70&lt;&gt;"")+(N(BC70)&gt;0)*(BF70&lt;&gt;"")+(N(BG70)&gt;0)*(BJ70&lt;&gt;"")+(N(BK70)&gt;0)*(BN70&lt;&gt;"")+(N(BO70)&gt;0)*(BR70&lt;&gt;"")+(N(BS70)&gt;0)*(BV70&lt;&gt;"")+(N(BW70)&gt;0)*(BZ70&lt;&gt;"")+(N(CA70)&gt;0)*(CD70&lt;&gt;"")+(N(CE70)&gt;0)*(CH70&lt;&gt;"")+(N(CI70)&gt;0)*(CL70&lt;&gt;"")+(N(CM70)&gt;0)*(CP70&lt;&gt;"")+(N(CQ70)&gt;0)*(CT70&lt;&gt;"")+(N(CU70)&gt;0)*(CX70&lt;&gt;"")+(N(CY70)&gt;0)*(DB70&lt;&gt;"")+(N(DC70)&gt;0)*(DF70&lt;&gt;"")+(N(DG70)&gt;0)*(DJ70&lt;&gt;"")+(N(DW70)&gt;0)*(DZ70&lt;&gt;"")+(N(#REF!)&gt;0)*(#REF!&lt;&gt;"")+(N(EA70)&gt;0)*(ED70&lt;&gt;"")+(N(EE70)&gt;0)*(EH70&lt;&gt;"")+(N(EI70)&gt;0)*(EL70&lt;&gt;"")+(N(EM70)&gt;0)*(EP70&lt;&gt;"")+(N(EQ70)&gt;0)*(ET70&lt;&gt;"")+(N(EU70)&gt;0)*(EX70&lt;&gt;"")+(N(#REF!)&gt;0)*(#REF!&lt;&gt;"")+(N(#REF!)&gt;0)*(#REF!&lt;&gt;"")+(N(FJ70)&gt;0)*(FM70&lt;&gt;"")+(N(FN70)&gt;0)*(FQ70&lt;&gt;"")+(N(#REF!)&gt;0)*(#REF!&lt;&gt;"")+(N(#REF!)&gt;0)*(#REF!&lt;&gt;"")+(N(HF70)&gt;0)*(HI70&lt;&gt;"")+(N(#REF!)&gt;0)*(#REF!&lt;&gt;"")+(N(HJ70)&gt;0)*(HM70&lt;&gt;"")+(N(HN70)&gt;0)*(HQ70&lt;&gt;"")+(N(HZ70)&gt;0)*(IC70&lt;&gt;"")+(N(ID70)&gt;0)*(IG70&lt;&gt;"")+(N(IH70)&gt;0)*(IK70&lt;&gt;"")+(N(IL70)&gt;0)*(IO70&lt;&gt;"")+(N(IX70)&gt;0)*(JA70&lt;&gt;"")+(N(JB70)&gt;0)*(JE70&lt;&gt;"")+(N(JF70)&gt;0)*(JH70&lt;&gt;"")+(N(JI70)&gt;0)*(JK70&lt;&gt;"")+(N(JL70)&gt;0)*(JN70&lt;&gt;"")+(N(JO70)&gt;0)*(JQ70&lt;&gt;""))</f>
        <v>#REF!</v>
      </c>
      <c r="LF70" s="141">
        <f t="shared" si="21"/>
        <v>0</v>
      </c>
      <c r="LG70" s="141">
        <f t="shared" si="30"/>
        <v>1</v>
      </c>
    </row>
    <row r="71" spans="1:319" ht="38.25" customHeight="1" x14ac:dyDescent="0.55000000000000004">
      <c r="B71" s="506" t="s">
        <v>162</v>
      </c>
      <c r="C71" s="218">
        <v>4</v>
      </c>
      <c r="D71" s="218">
        <v>4</v>
      </c>
      <c r="E71" s="218">
        <v>4</v>
      </c>
      <c r="F71" s="162">
        <f>($AI$71/$AJ$71)*$L$71*C71</f>
        <v>6160</v>
      </c>
      <c r="G71" s="162">
        <f>($AI$71/$AJ$71)*$L$71*D71</f>
        <v>6160</v>
      </c>
      <c r="H71" s="162">
        <f>($AI$71/$AJ$71)*$L$71*E71</f>
        <v>6160</v>
      </c>
      <c r="I71" s="162" cm="1">
        <f t="array" ref="I71">SUMPRODUCT(($AI$2:$KV$2&lt;&gt;"")*($AI71:$KV71&lt;&gt;""))</f>
        <v>6</v>
      </c>
      <c r="J71" s="142">
        <f t="shared" si="17"/>
        <v>24</v>
      </c>
      <c r="K71" s="142">
        <f t="shared" si="18"/>
        <v>336</v>
      </c>
      <c r="L71" s="268">
        <f t="shared" si="31"/>
        <v>7000</v>
      </c>
      <c r="M71" s="164">
        <f t="shared" si="22"/>
        <v>27720</v>
      </c>
      <c r="N71" s="397"/>
      <c r="O71" s="165">
        <f t="shared" si="19"/>
        <v>19530</v>
      </c>
      <c r="P71" s="165"/>
      <c r="Q71" s="165"/>
      <c r="R71" s="165">
        <f>(IFERROR(AM71/AN71,0)+IFERROR(AU71/AV71,0)+IFERROR(AY71/AZ71,0)+IFERROR(BC71/BD71,0)+IFERROR(BG71/BH71,0)+IFERROR(BK71/BL71,0)+IFERROR(BO71/BP71,0)+IFERROR(BS71/BT71,0)+IFERROR(BW71/BX71,0)+IFERROR(CA71/CB71,0)+IFERROR(CE71/CF71,0)+IFERROR(CI71/CJ71,0)+IFERROR(CM71/CN71,0)+IFERROR(CQ71/CR71,0)+IFERROR(CU71/CV71,0)+IFERROR(CY71/CZ71,0)+IFERROR(DC71/DD71,0)+IFERROR(DG71/DH71,0)+IFERROR(DW71/DX71,0)+IFERROR(#REF!/#REF!,0)+IFERROR(EA71/EB71,0)+IFERROR(EE71/EF71,0)+IFERROR(EI71/EJ71,0)+IFERROR(EM71/EN71,0)+IFERROR(EQ71/ER71,0)+IFERROR(EU71/EV71,0)+IFERROR(#REF!/#REF!,0)+IFERROR(#REF!/#REF!,0)+IFERROR(FJ71/FK71,0)+IFERROR(FN71/FO71,0)+IFERROR(#REF!/#REF!,0)+IFERROR(#REF!/#REF!,0)+IFERROR(HF71/HG71,0)+IFERROR(#REF!/#REF!,0)+IFERROR(HJ71/HK71,0)+IFERROR(HN71/HO71,0)+IFERROR(HZ71/IA71,0)+IFERROR(ID71/IE71,0)+IFERROR(IH71/II71,0)+IFERROR(IL71/IM71,0)+IFERROR(IX71/IY71,0)+IFERROR(JB71/JC71,0)+IFERROR(JF71/JG71,0)+IFERROR(JI71/JJ71,0)+IFERROR(JL71/JM71,0)+IFERROR(JO71/JP71,0))*L71*(C71+D71+E71+I71)</f>
        <v>2230.2000000000003</v>
      </c>
      <c r="S71" s="165"/>
      <c r="T71" s="165">
        <f t="shared" si="23"/>
        <v>0</v>
      </c>
      <c r="U71" s="165"/>
      <c r="V71" s="165"/>
      <c r="W71" s="165"/>
      <c r="X71" s="165">
        <f>(IFERROR(FF71/FG71,0)+IFERROR(FC71/FD71,0)+IFERROR(#REF!/#REF!,0)+IFERROR(KP71/KQ71,0))*L71*(C71+D71+E71+I71)</f>
        <v>0</v>
      </c>
      <c r="Y71" s="484"/>
      <c r="Z71" s="484"/>
      <c r="AA71" s="484"/>
      <c r="AB71" s="484"/>
      <c r="AC71" s="150">
        <f t="shared" si="20"/>
        <v>1921.5</v>
      </c>
      <c r="AD71" s="150"/>
      <c r="AE71" s="150">
        <f t="shared" si="24"/>
        <v>0</v>
      </c>
      <c r="AF71" s="161">
        <v>705</v>
      </c>
      <c r="AG71" s="143">
        <v>61</v>
      </c>
      <c r="AH71" s="154">
        <v>4000</v>
      </c>
      <c r="AI71" s="144">
        <v>55</v>
      </c>
      <c r="AJ71" s="154">
        <v>250</v>
      </c>
      <c r="AK71" s="489" t="s">
        <v>81</v>
      </c>
      <c r="AL71" s="497" t="s">
        <v>1160</v>
      </c>
      <c r="AM71" s="140"/>
      <c r="AN71" s="154"/>
      <c r="AO71" s="154"/>
      <c r="AP71" s="220"/>
      <c r="AQ71" s="492">
        <v>310</v>
      </c>
      <c r="AR71" s="154">
        <v>2000</v>
      </c>
      <c r="AS71" s="492" t="s">
        <v>1082</v>
      </c>
      <c r="AT71" s="497" t="s">
        <v>1156</v>
      </c>
      <c r="AU71" s="140"/>
      <c r="AV71" s="277"/>
      <c r="AW71" s="277"/>
      <c r="AX71" s="277"/>
      <c r="AY71" s="140"/>
      <c r="AZ71" s="277"/>
      <c r="BA71" s="277"/>
      <c r="BB71" s="277"/>
      <c r="BC71" s="140"/>
      <c r="BD71" s="277"/>
      <c r="BE71" s="277"/>
      <c r="BF71" s="277"/>
      <c r="BG71" s="140"/>
      <c r="BH71" s="277"/>
      <c r="BI71" s="277"/>
      <c r="BJ71" s="277"/>
      <c r="BK71" s="140"/>
      <c r="BL71" s="277"/>
      <c r="BM71" s="277"/>
      <c r="BN71" s="277"/>
      <c r="BO71" s="140"/>
      <c r="BP71" s="277"/>
      <c r="BQ71" s="277"/>
      <c r="BR71" s="277"/>
      <c r="BS71" s="140"/>
      <c r="BT71" s="277"/>
      <c r="BU71" s="277"/>
      <c r="BV71" s="277"/>
      <c r="BW71" s="140"/>
      <c r="BX71" s="154"/>
      <c r="BY71" s="154"/>
      <c r="BZ71" s="154"/>
      <c r="CA71" s="140"/>
      <c r="CB71" s="154"/>
      <c r="CC71" s="154"/>
      <c r="CD71" s="154"/>
      <c r="CE71" s="493">
        <v>11</v>
      </c>
      <c r="CF71" s="160">
        <v>2000</v>
      </c>
      <c r="CG71" s="493" t="s">
        <v>345</v>
      </c>
      <c r="CH71" s="497" t="s">
        <v>1158</v>
      </c>
      <c r="CI71" s="493">
        <v>11</v>
      </c>
      <c r="CJ71" s="160">
        <v>2000</v>
      </c>
      <c r="CK71" s="493" t="s">
        <v>345</v>
      </c>
      <c r="CL71" s="497" t="s">
        <v>1158</v>
      </c>
      <c r="CM71" s="140"/>
      <c r="CN71" s="271"/>
      <c r="CO71" s="271"/>
      <c r="CP71" s="271"/>
      <c r="CQ71" s="140"/>
      <c r="CR71" s="154"/>
      <c r="CS71" s="154"/>
      <c r="CT71" s="154"/>
      <c r="CU71" s="140"/>
      <c r="CV71" s="154"/>
      <c r="CW71" s="154"/>
      <c r="CX71" s="154"/>
      <c r="CY71" s="140"/>
      <c r="CZ71" s="154"/>
      <c r="DA71" s="154"/>
      <c r="DB71" s="220"/>
      <c r="DC71" s="140"/>
      <c r="DD71" s="146"/>
      <c r="DE71" s="146"/>
      <c r="DF71" s="146"/>
      <c r="DG71" s="140"/>
      <c r="DH71" s="146"/>
      <c r="DI71" s="146"/>
      <c r="DJ71" s="146"/>
      <c r="DK71" s="146"/>
      <c r="DL71" s="146"/>
      <c r="DM71" s="146"/>
      <c r="DN71" s="146"/>
      <c r="DO71" s="146"/>
      <c r="DP71" s="146"/>
      <c r="DQ71" s="146"/>
      <c r="DR71" s="146"/>
      <c r="DS71" s="140"/>
      <c r="DT71" s="147"/>
      <c r="DU71" s="147"/>
      <c r="DV71" s="147"/>
      <c r="DW71" s="490"/>
      <c r="DX71" s="154">
        <v>1000</v>
      </c>
      <c r="DY71" s="490" t="s">
        <v>82</v>
      </c>
      <c r="DZ71" s="154" t="s">
        <v>1161</v>
      </c>
      <c r="EA71" s="140"/>
      <c r="EB71" s="147"/>
      <c r="EC71" s="147"/>
      <c r="ED71" s="147"/>
      <c r="EE71" s="493">
        <v>6.7</v>
      </c>
      <c r="EF71" s="160">
        <v>1000</v>
      </c>
      <c r="EG71" s="493" t="s">
        <v>345</v>
      </c>
      <c r="EH71" s="514" t="s">
        <v>1158</v>
      </c>
      <c r="EI71" s="140"/>
      <c r="EJ71" s="154"/>
      <c r="EK71" s="154"/>
      <c r="EL71" s="154"/>
      <c r="EM71" s="140"/>
      <c r="EN71" s="148"/>
      <c r="EO71" s="148"/>
      <c r="EP71" s="148"/>
      <c r="EQ71" s="140"/>
      <c r="ER71" s="148"/>
      <c r="ES71" s="148"/>
      <c r="ET71" s="148"/>
      <c r="EU71" s="140"/>
      <c r="EV71" s="148"/>
      <c r="EW71" s="148"/>
      <c r="EX71" s="148"/>
      <c r="EY71" s="344"/>
      <c r="EZ71" s="148"/>
      <c r="FA71" s="148"/>
      <c r="FB71" s="148"/>
      <c r="FC71" s="273"/>
      <c r="FD71" s="149"/>
      <c r="FE71" s="149"/>
      <c r="FF71" s="276">
        <v>17</v>
      </c>
      <c r="FG71" s="340"/>
      <c r="FH71" s="340"/>
      <c r="FI71" s="347" t="s">
        <v>764</v>
      </c>
      <c r="FJ71" s="140"/>
      <c r="FK71" s="277"/>
      <c r="FL71" s="277"/>
      <c r="FM71" s="277"/>
      <c r="FN71" s="140"/>
      <c r="FO71" s="277"/>
      <c r="FP71" s="277"/>
      <c r="FQ71" s="277"/>
      <c r="FR71" s="280"/>
      <c r="FS71" s="277"/>
      <c r="FT71" s="277"/>
      <c r="FU71" s="277"/>
      <c r="FV71" s="277"/>
      <c r="FW71" s="277"/>
      <c r="FX71" s="277"/>
      <c r="FY71" s="277"/>
      <c r="FZ71" s="277"/>
      <c r="GA71" s="277"/>
      <c r="GB71" s="277"/>
      <c r="GC71" s="277"/>
      <c r="GD71" s="277"/>
      <c r="GE71" s="277"/>
      <c r="GF71" s="277"/>
      <c r="GG71" s="277"/>
      <c r="GH71" s="277"/>
      <c r="GI71" s="277"/>
      <c r="GJ71" s="277"/>
      <c r="GK71" s="277"/>
      <c r="GL71" s="277"/>
      <c r="GM71" s="277"/>
      <c r="GN71" s="277"/>
      <c r="GO71" s="277"/>
      <c r="GP71" s="277"/>
      <c r="GQ71" s="277"/>
      <c r="GR71" s="277"/>
      <c r="GS71" s="277"/>
      <c r="GT71" s="277"/>
      <c r="GU71" s="277"/>
      <c r="GV71" s="277"/>
      <c r="GW71" s="277"/>
      <c r="GX71" s="277"/>
      <c r="GY71" s="277"/>
      <c r="GZ71" s="277"/>
      <c r="HA71" s="277"/>
      <c r="HB71" s="277"/>
      <c r="HC71" s="277"/>
      <c r="HD71" s="277"/>
      <c r="HE71" s="277"/>
      <c r="HF71" s="140"/>
      <c r="HG71" s="277"/>
      <c r="HH71" s="277"/>
      <c r="HI71" s="277"/>
      <c r="HJ71" s="140"/>
      <c r="HK71" s="277"/>
      <c r="HL71" s="277"/>
      <c r="HM71" s="277"/>
      <c r="HN71" s="140"/>
      <c r="HO71" s="277"/>
      <c r="HP71" s="277"/>
      <c r="HQ71" s="277"/>
      <c r="HR71" s="277"/>
      <c r="HS71" s="277"/>
      <c r="HT71" s="277"/>
      <c r="HU71" s="277"/>
      <c r="HV71" s="277"/>
      <c r="HW71" s="277"/>
      <c r="HX71" s="277"/>
      <c r="HY71" s="277"/>
      <c r="HZ71" s="140"/>
      <c r="IA71" s="277"/>
      <c r="IB71" s="277"/>
      <c r="IC71" s="277"/>
      <c r="ID71" s="140"/>
      <c r="IE71" s="277"/>
      <c r="IF71" s="277"/>
      <c r="IG71" s="277"/>
      <c r="IH71" s="140"/>
      <c r="II71" s="277"/>
      <c r="IJ71" s="277"/>
      <c r="IK71" s="277"/>
      <c r="IL71" s="140"/>
      <c r="IM71" s="277"/>
      <c r="IN71" s="277"/>
      <c r="IO71" s="277"/>
      <c r="IP71" s="277"/>
      <c r="IQ71" s="277"/>
      <c r="IR71" s="277"/>
      <c r="IS71" s="277"/>
      <c r="IT71" s="277"/>
      <c r="IU71" s="277"/>
      <c r="IV71" s="277"/>
      <c r="IW71" s="277"/>
      <c r="IX71" s="140"/>
      <c r="IY71" s="277"/>
      <c r="IZ71" s="277"/>
      <c r="JA71" s="277"/>
      <c r="JB71" s="140"/>
      <c r="JC71" s="277"/>
      <c r="JD71" s="277"/>
      <c r="JE71" s="277"/>
      <c r="JF71" s="140"/>
      <c r="JG71" s="277"/>
      <c r="JH71" s="277"/>
      <c r="JI71" s="140"/>
      <c r="JJ71" s="277"/>
      <c r="JK71" s="277"/>
      <c r="JL71" s="140"/>
      <c r="JM71" s="277"/>
      <c r="JN71" s="277"/>
      <c r="JO71" s="140"/>
      <c r="JP71" s="277"/>
      <c r="JQ71" s="277"/>
      <c r="JR71" s="277"/>
      <c r="JS71" s="277"/>
      <c r="JT71" s="277"/>
      <c r="JU71" s="277"/>
      <c r="JV71" s="277"/>
      <c r="JW71" s="277"/>
      <c r="JX71" s="277"/>
      <c r="JY71" s="277"/>
      <c r="JZ71" s="277"/>
      <c r="KA71" s="277"/>
      <c r="KB71" s="277"/>
      <c r="KC71" s="277"/>
      <c r="KD71" s="277"/>
      <c r="KE71" s="277"/>
      <c r="KF71" s="277"/>
      <c r="KG71" s="277"/>
      <c r="KH71" s="277"/>
      <c r="KI71" s="277"/>
      <c r="KJ71" s="277"/>
      <c r="KK71" s="277"/>
      <c r="KL71" s="277"/>
      <c r="KM71" s="277"/>
      <c r="KN71" s="277"/>
      <c r="KO71" s="277"/>
      <c r="KP71" s="274"/>
      <c r="KQ71" s="253"/>
      <c r="KR71" s="253"/>
      <c r="KY71" s="141">
        <f t="shared" si="25"/>
        <v>0</v>
      </c>
      <c r="KZ71" s="141">
        <f t="shared" si="26"/>
        <v>0</v>
      </c>
      <c r="LB71" s="141">
        <f t="shared" si="27"/>
        <v>1</v>
      </c>
      <c r="LC71" s="141">
        <f t="shared" si="28"/>
        <v>0</v>
      </c>
      <c r="LD71" s="141">
        <f t="shared" si="29"/>
        <v>1</v>
      </c>
      <c r="LE71" s="141" t="e">
        <f>((N(AU71)&gt;0)*(AX71&lt;&gt;"")+(N(AY71)&gt;0)*(BB71&lt;&gt;"")+(N(BC71)&gt;0)*(BF71&lt;&gt;"")+(N(BG71)&gt;0)*(BJ71&lt;&gt;"")+(N(BK71)&gt;0)*(BN71&lt;&gt;"")+(N(BO71)&gt;0)*(BR71&lt;&gt;"")+(N(BS71)&gt;0)*(BV71&lt;&gt;"")+(N(BW71)&gt;0)*(BZ71&lt;&gt;"")+(N(CA71)&gt;0)*(CD71&lt;&gt;"")+(N(CE71)&gt;0)*(CH71&lt;&gt;"")+(N(CI71)&gt;0)*(CL71&lt;&gt;"")+(N(CM71)&gt;0)*(CP71&lt;&gt;"")+(N(CQ71)&gt;0)*(CT71&lt;&gt;"")+(N(CU71)&gt;0)*(CX71&lt;&gt;"")+(N(CY71)&gt;0)*(DB71&lt;&gt;"")+(N(DC71)&gt;0)*(DF71&lt;&gt;"")+(N(DG71)&gt;0)*(DJ71&lt;&gt;"")+(N(DW71)&gt;0)*(DZ71&lt;&gt;"")+(N(#REF!)&gt;0)*(#REF!&lt;&gt;"")+(N(EA71)&gt;0)*(ED71&lt;&gt;"")+(N(EE71)&gt;0)*(EH71&lt;&gt;"")+(N(EI71)&gt;0)*(EL71&lt;&gt;"")+(N(EM71)&gt;0)*(EP71&lt;&gt;"")+(N(EQ71)&gt;0)*(ET71&lt;&gt;"")+(N(EU71)&gt;0)*(EX71&lt;&gt;"")+(N(#REF!)&gt;0)*(#REF!&lt;&gt;"")+(N(#REF!)&gt;0)*(#REF!&lt;&gt;"")+(N(FJ71)&gt;0)*(FM71&lt;&gt;"")+(N(FN71)&gt;0)*(FQ71&lt;&gt;"")+(N(#REF!)&gt;0)*(#REF!&lt;&gt;"")+(N(#REF!)&gt;0)*(#REF!&lt;&gt;"")+(N(HF71)&gt;0)*(HI71&lt;&gt;"")+(N(#REF!)&gt;0)*(#REF!&lt;&gt;"")+(N(HJ71)&gt;0)*(HM71&lt;&gt;"")+(N(HN71)&gt;0)*(HQ71&lt;&gt;"")+(N(HZ71)&gt;0)*(IC71&lt;&gt;"")+(N(ID71)&gt;0)*(IG71&lt;&gt;"")+(N(IH71)&gt;0)*(IK71&lt;&gt;"")+(N(IL71)&gt;0)*(IO71&lt;&gt;"")+(N(IX71)&gt;0)*(JA71&lt;&gt;"")+(N(JB71)&gt;0)*(JE71&lt;&gt;"")+(N(JF71)&gt;0)*(JH71&lt;&gt;"")+(N(JI71)&gt;0)*(JK71&lt;&gt;"")+(N(JL71)&gt;0)*(JN71&lt;&gt;"")+(N(JO71)&gt;0)*(JQ71&lt;&gt;""))</f>
        <v>#REF!</v>
      </c>
      <c r="LF71" s="141">
        <f t="shared" si="21"/>
        <v>0</v>
      </c>
      <c r="LG71" s="141">
        <f t="shared" si="30"/>
        <v>1</v>
      </c>
    </row>
    <row r="72" spans="1:319" ht="38.25" customHeight="1" x14ac:dyDescent="0.55000000000000004">
      <c r="B72" s="314" t="s">
        <v>423</v>
      </c>
      <c r="C72" s="218"/>
      <c r="D72" s="218"/>
      <c r="E72" s="218"/>
      <c r="F72" s="218"/>
      <c r="G72" s="218"/>
      <c r="H72" s="218"/>
      <c r="I72" s="162" cm="1">
        <f t="array" ref="I72">SUMPRODUCT(($AI$2:$KV$2&lt;&gt;"")*($AI72:$KV72&lt;&gt;""))</f>
        <v>1</v>
      </c>
      <c r="J72" s="142">
        <f t="shared" si="17"/>
        <v>0</v>
      </c>
      <c r="K72" s="142">
        <f t="shared" si="18"/>
        <v>0</v>
      </c>
      <c r="L72" s="268">
        <f t="shared" si="31"/>
        <v>7000</v>
      </c>
      <c r="M72" s="164">
        <f t="shared" si="22"/>
        <v>840</v>
      </c>
      <c r="N72" s="397"/>
      <c r="O72" s="165">
        <f t="shared" si="19"/>
        <v>0</v>
      </c>
      <c r="P72" s="165"/>
      <c r="Q72" s="165"/>
      <c r="R72" s="165">
        <f>(IFERROR(AM72/AN72,0)+IFERROR(AU72/AV72,0)+IFERROR(AY72/AZ72,0)+IFERROR(BC72/BD72,0)+IFERROR(BG72/BH72,0)+IFERROR(BK72/BL72,0)+IFERROR(BO72/BP72,0)+IFERROR(BS72/BT72,0)+IFERROR(BW72/BX72,0)+IFERROR(CA72/CB72,0)+IFERROR(CE72/CF72,0)+IFERROR(CI72/CJ72,0)+IFERROR(CM72/CN72,0)+IFERROR(CQ72/CR72,0)+IFERROR(CU72/CV72,0)+IFERROR(CY72/CZ72,0)+IFERROR(DC72/DD72,0)+IFERROR(DG72/DH72,0)+IFERROR(DS72/DT72,0)+IFERROR(DW72/DX72,0)+IFERROR(EA72/EB72,0)+IFERROR(EE72/EF72,0)+IFERROR(EI72/EJ72,0)+IFERROR(EM72/EN72,0)+IFERROR(EQ72/ER72,0)+IFERROR(EU72/EV72,0)+IFERROR(#REF!/#REF!,0)+IFERROR(#REF!/#REF!,0)+IFERROR(FJ72/FK72,0)+IFERROR(FN72/FO72,0)+IFERROR(#REF!/#REF!,0)+IFERROR(#REF!/#REF!,0)+IFERROR(HF72/HG72,0)+IFERROR(#REF!/#REF!,0)+IFERROR(HJ72/HK72,0)+IFERROR(HN72/HO72,0)+IFERROR(HZ72/IA72,0)+IFERROR(ID72/IE72,0)+IFERROR(IH72/II72,0)+IFERROR(IL72/IM72,0)+IFERROR(IX72/IY72,0)+IFERROR(JB72/JC72,0)+IFERROR(JF72/JG72,0)+IFERROR(JI72/JJ72,0)+IFERROR(JL72/JM72,0)+IFERROR(JO72/JP72,0))*L72*(C72+D72+E72+I72)</f>
        <v>0</v>
      </c>
      <c r="S72" s="165"/>
      <c r="T72" s="165">
        <f t="shared" si="23"/>
        <v>0</v>
      </c>
      <c r="U72" s="165"/>
      <c r="V72" s="165"/>
      <c r="W72" s="165"/>
      <c r="X72" s="165">
        <f>(IFERROR(FF72/FG72,0)+IFERROR(FC72/FD72,0)+IFERROR(#REF!/#REF!,0)+IFERROR(KP72/KQ72,0))*L72*(C72+D72+E72+I72)</f>
        <v>0</v>
      </c>
      <c r="Y72" s="484"/>
      <c r="Z72" s="484"/>
      <c r="AA72" s="484"/>
      <c r="AB72" s="484"/>
      <c r="AC72" s="150">
        <f t="shared" si="20"/>
        <v>0</v>
      </c>
      <c r="AD72" s="150"/>
      <c r="AE72" s="150">
        <f t="shared" si="24"/>
        <v>0</v>
      </c>
      <c r="AF72" s="161"/>
      <c r="AG72" s="143"/>
      <c r="AH72" s="154"/>
      <c r="AI72" s="342">
        <v>30</v>
      </c>
      <c r="AJ72" s="342">
        <v>250</v>
      </c>
      <c r="AK72" s="342"/>
      <c r="AL72" s="343" t="s">
        <v>545</v>
      </c>
      <c r="AM72" s="140"/>
      <c r="AN72" s="154"/>
      <c r="AO72" s="154"/>
      <c r="AP72" s="220"/>
      <c r="AQ72" s="145"/>
      <c r="AR72" s="154"/>
      <c r="AS72" s="154"/>
      <c r="AT72" s="220"/>
      <c r="AU72" s="140"/>
      <c r="AV72" s="277"/>
      <c r="AW72" s="277"/>
      <c r="AX72" s="277"/>
      <c r="AY72" s="140"/>
      <c r="AZ72" s="277"/>
      <c r="BA72" s="277"/>
      <c r="BB72" s="277"/>
      <c r="BC72" s="140"/>
      <c r="BD72" s="277"/>
      <c r="BE72" s="277"/>
      <c r="BF72" s="277"/>
      <c r="BG72" s="140"/>
      <c r="BH72" s="277"/>
      <c r="BI72" s="277"/>
      <c r="BJ72" s="277"/>
      <c r="BK72" s="140"/>
      <c r="BL72" s="277"/>
      <c r="BM72" s="277"/>
      <c r="BN72" s="277"/>
      <c r="BO72" s="140"/>
      <c r="BP72" s="277"/>
      <c r="BQ72" s="277"/>
      <c r="BR72" s="277"/>
      <c r="BS72" s="140"/>
      <c r="BT72" s="277"/>
      <c r="BU72" s="277"/>
      <c r="BV72" s="277"/>
      <c r="BW72" s="140"/>
      <c r="BX72" s="154"/>
      <c r="BY72" s="154"/>
      <c r="BZ72" s="220"/>
      <c r="CA72" s="140"/>
      <c r="CB72" s="154"/>
      <c r="CC72" s="154"/>
      <c r="CD72" s="220"/>
      <c r="CE72" s="140"/>
      <c r="CF72" s="271"/>
      <c r="CG72" s="271"/>
      <c r="CH72" s="271"/>
      <c r="CI72" s="140"/>
      <c r="CJ72" s="154"/>
      <c r="CK72" s="154"/>
      <c r="CL72" s="154"/>
      <c r="CM72" s="140"/>
      <c r="CN72" s="271"/>
      <c r="CO72" s="271"/>
      <c r="CP72" s="271"/>
      <c r="CQ72" s="140"/>
      <c r="CR72" s="154"/>
      <c r="CS72" s="154"/>
      <c r="CT72" s="154"/>
      <c r="CU72" s="140"/>
      <c r="CV72" s="154"/>
      <c r="CW72" s="154"/>
      <c r="CX72" s="220"/>
      <c r="CY72" s="140"/>
      <c r="CZ72" s="154"/>
      <c r="DA72" s="154"/>
      <c r="DB72" s="220"/>
      <c r="DC72" s="140"/>
      <c r="DD72" s="146"/>
      <c r="DE72" s="146"/>
      <c r="DF72" s="146"/>
      <c r="DG72" s="140"/>
      <c r="DH72" s="146"/>
      <c r="DI72" s="146"/>
      <c r="DJ72" s="146"/>
      <c r="DK72" s="146"/>
      <c r="DL72" s="146"/>
      <c r="DM72" s="146"/>
      <c r="DN72" s="146"/>
      <c r="DO72" s="146"/>
      <c r="DP72" s="146"/>
      <c r="DQ72" s="146"/>
      <c r="DR72" s="146"/>
      <c r="DS72" s="140"/>
      <c r="DT72" s="154"/>
      <c r="DU72" s="154"/>
      <c r="DV72" s="154"/>
      <c r="DW72" s="140"/>
      <c r="DX72" s="220"/>
      <c r="DY72" s="220"/>
      <c r="DZ72" s="220"/>
      <c r="EA72" s="140"/>
      <c r="EB72" s="220"/>
      <c r="EC72" s="220"/>
      <c r="ED72" s="220"/>
      <c r="EE72" s="140"/>
      <c r="EF72" s="154"/>
      <c r="EG72" s="154"/>
      <c r="EH72" s="154"/>
      <c r="EI72" s="140"/>
      <c r="EJ72" s="154"/>
      <c r="EK72" s="154"/>
      <c r="EL72" s="154"/>
      <c r="EM72" s="140"/>
      <c r="EN72" s="222"/>
      <c r="EO72" s="222"/>
      <c r="EP72" s="222"/>
      <c r="EQ72" s="140"/>
      <c r="ER72" s="222"/>
      <c r="ES72" s="222"/>
      <c r="ET72" s="222"/>
      <c r="EU72" s="140"/>
      <c r="EV72" s="222"/>
      <c r="EW72" s="222"/>
      <c r="EX72" s="222"/>
      <c r="EY72" s="344"/>
      <c r="EZ72" s="222"/>
      <c r="FA72" s="222"/>
      <c r="FB72" s="222"/>
      <c r="FC72" s="273"/>
      <c r="FD72" s="223"/>
      <c r="FE72" s="223"/>
      <c r="FF72" s="276"/>
      <c r="FG72" s="156"/>
      <c r="FH72" s="156"/>
      <c r="FI72" s="156"/>
      <c r="FJ72" s="140"/>
      <c r="FK72" s="277"/>
      <c r="FL72" s="277"/>
      <c r="FM72" s="277"/>
      <c r="FN72" s="140"/>
      <c r="FO72" s="277"/>
      <c r="FP72" s="277"/>
      <c r="FQ72" s="277"/>
      <c r="FR72" s="280"/>
      <c r="FS72" s="277"/>
      <c r="FT72" s="277"/>
      <c r="FU72" s="277"/>
      <c r="FV72" s="277"/>
      <c r="FW72" s="277"/>
      <c r="FX72" s="277"/>
      <c r="FY72" s="277"/>
      <c r="FZ72" s="277"/>
      <c r="GA72" s="277"/>
      <c r="GB72" s="277"/>
      <c r="GC72" s="277"/>
      <c r="GD72" s="277"/>
      <c r="GE72" s="277"/>
      <c r="GF72" s="277"/>
      <c r="GG72" s="277"/>
      <c r="GH72" s="277"/>
      <c r="GI72" s="277"/>
      <c r="GJ72" s="277"/>
      <c r="GK72" s="277"/>
      <c r="GL72" s="277"/>
      <c r="GM72" s="277"/>
      <c r="GN72" s="277"/>
      <c r="GO72" s="277"/>
      <c r="GP72" s="277"/>
      <c r="GQ72" s="277"/>
      <c r="GR72" s="277"/>
      <c r="GS72" s="277"/>
      <c r="GT72" s="277"/>
      <c r="GU72" s="277"/>
      <c r="GV72" s="277"/>
      <c r="GW72" s="277"/>
      <c r="GX72" s="277"/>
      <c r="GY72" s="277"/>
      <c r="GZ72" s="277"/>
      <c r="HA72" s="277"/>
      <c r="HB72" s="277"/>
      <c r="HC72" s="277"/>
      <c r="HD72" s="277"/>
      <c r="HE72" s="277"/>
      <c r="HF72" s="140"/>
      <c r="HG72" s="277"/>
      <c r="HH72" s="277"/>
      <c r="HI72" s="277"/>
      <c r="HJ72" s="140"/>
      <c r="HK72" s="277"/>
      <c r="HL72" s="277"/>
      <c r="HM72" s="277"/>
      <c r="HN72" s="140"/>
      <c r="HO72" s="277"/>
      <c r="HP72" s="277"/>
      <c r="HQ72" s="277"/>
      <c r="HR72" s="277"/>
      <c r="HS72" s="277"/>
      <c r="HT72" s="277"/>
      <c r="HU72" s="277"/>
      <c r="HV72" s="277"/>
      <c r="HW72" s="277"/>
      <c r="HX72" s="277"/>
      <c r="HY72" s="277"/>
      <c r="HZ72" s="140"/>
      <c r="IA72" s="277"/>
      <c r="IB72" s="277"/>
      <c r="IC72" s="277"/>
      <c r="ID72" s="140"/>
      <c r="IE72" s="277"/>
      <c r="IF72" s="277"/>
      <c r="IG72" s="277"/>
      <c r="IH72" s="140"/>
      <c r="II72" s="277"/>
      <c r="IJ72" s="277"/>
      <c r="IK72" s="277"/>
      <c r="IL72" s="140"/>
      <c r="IM72" s="277"/>
      <c r="IN72" s="277"/>
      <c r="IO72" s="277"/>
      <c r="IP72" s="277"/>
      <c r="IQ72" s="277"/>
      <c r="IR72" s="277"/>
      <c r="IS72" s="277"/>
      <c r="IT72" s="277"/>
      <c r="IU72" s="277"/>
      <c r="IV72" s="277"/>
      <c r="IW72" s="277"/>
      <c r="IX72" s="140"/>
      <c r="IY72" s="277"/>
      <c r="IZ72" s="277"/>
      <c r="JA72" s="277"/>
      <c r="JB72" s="140"/>
      <c r="JC72" s="277"/>
      <c r="JD72" s="277"/>
      <c r="JE72" s="277"/>
      <c r="JF72" s="140"/>
      <c r="JG72" s="277"/>
      <c r="JH72" s="277"/>
      <c r="JI72" s="140"/>
      <c r="JJ72" s="277"/>
      <c r="JK72" s="277"/>
      <c r="JL72" s="140"/>
      <c r="JM72" s="277"/>
      <c r="JN72" s="277"/>
      <c r="JO72" s="140"/>
      <c r="JP72" s="277"/>
      <c r="JQ72" s="277"/>
      <c r="JR72" s="277"/>
      <c r="JS72" s="277"/>
      <c r="JT72" s="277"/>
      <c r="JU72" s="277"/>
      <c r="JV72" s="277"/>
      <c r="JW72" s="277"/>
      <c r="JX72" s="277"/>
      <c r="JY72" s="277"/>
      <c r="JZ72" s="277"/>
      <c r="KA72" s="277"/>
      <c r="KB72" s="277"/>
      <c r="KC72" s="277"/>
      <c r="KD72" s="277"/>
      <c r="KE72" s="277"/>
      <c r="KF72" s="277"/>
      <c r="KG72" s="277"/>
      <c r="KH72" s="277"/>
      <c r="KI72" s="277"/>
      <c r="KJ72" s="277"/>
      <c r="KK72" s="277"/>
      <c r="KL72" s="277"/>
      <c r="KM72" s="277"/>
      <c r="KN72" s="277"/>
      <c r="KO72" s="277"/>
      <c r="KP72" s="274"/>
      <c r="KQ72" s="253"/>
      <c r="KR72" s="253"/>
      <c r="KY72" s="141">
        <f t="shared" si="25"/>
        <v>0</v>
      </c>
      <c r="KZ72" s="141">
        <f t="shared" si="26"/>
        <v>0</v>
      </c>
      <c r="LB72" s="141">
        <f t="shared" si="27"/>
        <v>1</v>
      </c>
      <c r="LC72" s="141">
        <f t="shared" si="28"/>
        <v>0</v>
      </c>
      <c r="LD72" s="141">
        <f t="shared" si="29"/>
        <v>0</v>
      </c>
      <c r="LE72" s="141" t="e">
        <f>((N(AU72)&gt;0)*(AX72&lt;&gt;"")+(N(AY72)&gt;0)*(BB72&lt;&gt;"")+(N(BC72)&gt;0)*(BF72&lt;&gt;"")+(N(BG72)&gt;0)*(BJ72&lt;&gt;"")+(N(BK72)&gt;0)*(BN72&lt;&gt;"")+(N(BO72)&gt;0)*(BR72&lt;&gt;"")+(N(BS72)&gt;0)*(BV72&lt;&gt;"")+(N(BW72)&gt;0)*(BZ72&lt;&gt;"")+(N(CA72)&gt;0)*(CD72&lt;&gt;"")+(N(CE72)&gt;0)*(CH72&lt;&gt;"")+(N(CI72)&gt;0)*(CL72&lt;&gt;"")+(N(CM72)&gt;0)*(CP72&lt;&gt;"")+(N(CQ72)&gt;0)*(CT72&lt;&gt;"")+(N(CU72)&gt;0)*(CX72&lt;&gt;"")+(N(CY72)&gt;0)*(DB72&lt;&gt;"")+(N(DC72)&gt;0)*(DF72&lt;&gt;"")+(N(DG72)&gt;0)*(DJ72&lt;&gt;"")+(N(DS72)&gt;0)*(DV72&lt;&gt;"")+(N(DW72)&gt;0)*(DZ72&lt;&gt;"")+(N(EA72)&gt;0)*(ED72&lt;&gt;"")+(N(EE72)&gt;0)*(EH72&lt;&gt;"")+(N(EI72)&gt;0)*(EL72&lt;&gt;"")+(N(EM72)&gt;0)*(EP72&lt;&gt;"")+(N(EQ72)&gt;0)*(ET72&lt;&gt;"")+(N(EU72)&gt;0)*(EX72&lt;&gt;"")+(N(#REF!)&gt;0)*(#REF!&lt;&gt;"")+(N(#REF!)&gt;0)*(#REF!&lt;&gt;"")+(N(FJ72)&gt;0)*(FM72&lt;&gt;"")+(N(FN72)&gt;0)*(FQ72&lt;&gt;"")+(N(#REF!)&gt;0)*(#REF!&lt;&gt;"")+(N(#REF!)&gt;0)*(#REF!&lt;&gt;"")+(N(HF72)&gt;0)*(HI72&lt;&gt;"")+(N(#REF!)&gt;0)*(#REF!&lt;&gt;"")+(N(HJ72)&gt;0)*(HM72&lt;&gt;"")+(N(HN72)&gt;0)*(HQ72&lt;&gt;"")+(N(HZ72)&gt;0)*(IC72&lt;&gt;"")+(N(ID72)&gt;0)*(IG72&lt;&gt;"")+(N(IH72)&gt;0)*(IK72&lt;&gt;"")+(N(IL72)&gt;0)*(IO72&lt;&gt;"")+(N(IX72)&gt;0)*(JA72&lt;&gt;"")+(N(JB72)&gt;0)*(JE72&lt;&gt;"")+(N(JF72)&gt;0)*(JH72&lt;&gt;"")+(N(JI72)&gt;0)*(JK72&lt;&gt;"")+(N(JL72)&gt;0)*(JN72&lt;&gt;"")+(N(JO72)&gt;0)*(JQ72&lt;&gt;""))</f>
        <v>#REF!</v>
      </c>
      <c r="LF72" s="141">
        <f t="shared" si="21"/>
        <v>0</v>
      </c>
      <c r="LG72" s="141">
        <f t="shared" si="30"/>
        <v>0</v>
      </c>
    </row>
    <row r="73" spans="1:319" ht="38.25" customHeight="1" x14ac:dyDescent="0.55000000000000004">
      <c r="B73" s="314" t="s">
        <v>424</v>
      </c>
      <c r="C73" s="218"/>
      <c r="D73" s="218"/>
      <c r="E73" s="218"/>
      <c r="F73" s="218"/>
      <c r="G73" s="218"/>
      <c r="H73" s="218"/>
      <c r="I73" s="162" cm="1">
        <f t="array" ref="I73">SUMPRODUCT(($AI$2:$KV$2&lt;&gt;"")*($AI73:$KV73&lt;&gt;""))</f>
        <v>1</v>
      </c>
      <c r="J73" s="142">
        <f t="shared" si="17"/>
        <v>0</v>
      </c>
      <c r="K73" s="142">
        <f t="shared" si="18"/>
        <v>0</v>
      </c>
      <c r="L73" s="268">
        <f t="shared" si="31"/>
        <v>7000</v>
      </c>
      <c r="M73" s="164">
        <f t="shared" si="22"/>
        <v>840</v>
      </c>
      <c r="N73" s="397"/>
      <c r="O73" s="165">
        <f t="shared" si="19"/>
        <v>0</v>
      </c>
      <c r="P73" s="165"/>
      <c r="Q73" s="165"/>
      <c r="R73" s="165">
        <f>(IFERROR(AM73/AN73,0)+IFERROR(AU73/AV73,0)+IFERROR(AY73/AZ73,0)+IFERROR(BC73/BD73,0)+IFERROR(BG73/BH73,0)+IFERROR(BK73/BL73,0)+IFERROR(BO73/BP73,0)+IFERROR(BS73/BT73,0)+IFERROR(BW73/BX73,0)+IFERROR(CA73/CB73,0)+IFERROR(CE73/CF73,0)+IFERROR(CI73/CJ73,0)+IFERROR(CM73/CN73,0)+IFERROR(CQ73/CR73,0)+IFERROR(CU73/CV73,0)+IFERROR(CY73/CZ73,0)+IFERROR(DC73/DD73,0)+IFERROR(DG73/DH73,0)+IFERROR(DS73/DT73,0)+IFERROR(DW73/DX73,0)+IFERROR(EA73/EB73,0)+IFERROR(EE73/EF73,0)+IFERROR(EI73/EJ73,0)+IFERROR(EM73/EN73,0)+IFERROR(EQ73/ER73,0)+IFERROR(EU73/EV73,0)+IFERROR(#REF!/#REF!,0)+IFERROR(#REF!/#REF!,0)+IFERROR(FJ73/FK73,0)+IFERROR(FN73/FO73,0)+IFERROR(#REF!/#REF!,0)+IFERROR(#REF!/#REF!,0)+IFERROR(HF73/HG73,0)+IFERROR(#REF!/#REF!,0)+IFERROR(HJ73/HK73,0)+IFERROR(HN73/HO73,0)+IFERROR(HZ73/IA73,0)+IFERROR(ID73/IE73,0)+IFERROR(IH73/II73,0)+IFERROR(IL73/IM73,0)+IFERROR(IX73/IY73,0)+IFERROR(JB73/JC73,0)+IFERROR(JF73/JG73,0)+IFERROR(JI73/JJ73,0)+IFERROR(JL73/JM73,0)+IFERROR(JO73/JP73,0))*L73*(C73+D73+E73+I73)</f>
        <v>0</v>
      </c>
      <c r="S73" s="165"/>
      <c r="T73" s="165">
        <f t="shared" si="23"/>
        <v>0</v>
      </c>
      <c r="U73" s="165"/>
      <c r="V73" s="165"/>
      <c r="W73" s="165"/>
      <c r="X73" s="165">
        <f>(IFERROR(FF73/FG73,0)+IFERROR(FC73/FD73,0)+IFERROR(#REF!/#REF!,0)+IFERROR(KP73/KQ73,0))*L73*(C73+D73+E73+I73)</f>
        <v>0</v>
      </c>
      <c r="Y73" s="484"/>
      <c r="Z73" s="484"/>
      <c r="AA73" s="484"/>
      <c r="AB73" s="484"/>
      <c r="AC73" s="150">
        <f t="shared" si="20"/>
        <v>0</v>
      </c>
      <c r="AD73" s="150"/>
      <c r="AE73" s="150">
        <f t="shared" si="24"/>
        <v>0</v>
      </c>
      <c r="AF73" s="161"/>
      <c r="AG73" s="143"/>
      <c r="AH73" s="154"/>
      <c r="AI73" s="342">
        <v>30</v>
      </c>
      <c r="AJ73" s="342">
        <v>250</v>
      </c>
      <c r="AK73" s="342"/>
      <c r="AL73" s="343" t="s">
        <v>545</v>
      </c>
      <c r="AM73" s="140"/>
      <c r="AN73" s="154"/>
      <c r="AO73" s="154"/>
      <c r="AP73" s="220"/>
      <c r="AQ73" s="145"/>
      <c r="AR73" s="154"/>
      <c r="AS73" s="154"/>
      <c r="AT73" s="220"/>
      <c r="AU73" s="140"/>
      <c r="AV73" s="277"/>
      <c r="AW73" s="277"/>
      <c r="AX73" s="277"/>
      <c r="AY73" s="140"/>
      <c r="AZ73" s="277"/>
      <c r="BA73" s="277"/>
      <c r="BB73" s="277"/>
      <c r="BC73" s="140"/>
      <c r="BD73" s="277"/>
      <c r="BE73" s="277"/>
      <c r="BF73" s="277"/>
      <c r="BG73" s="140"/>
      <c r="BH73" s="277"/>
      <c r="BI73" s="277"/>
      <c r="BJ73" s="277"/>
      <c r="BK73" s="140"/>
      <c r="BL73" s="277"/>
      <c r="BM73" s="277"/>
      <c r="BN73" s="277"/>
      <c r="BO73" s="140"/>
      <c r="BP73" s="277"/>
      <c r="BQ73" s="277"/>
      <c r="BR73" s="277"/>
      <c r="BS73" s="140"/>
      <c r="BT73" s="277"/>
      <c r="BU73" s="277"/>
      <c r="BV73" s="277"/>
      <c r="BW73" s="140"/>
      <c r="BX73" s="154"/>
      <c r="BY73" s="154"/>
      <c r="BZ73" s="220"/>
      <c r="CA73" s="140"/>
      <c r="CB73" s="154"/>
      <c r="CC73" s="154"/>
      <c r="CD73" s="220"/>
      <c r="CE73" s="140"/>
      <c r="CF73" s="271"/>
      <c r="CG73" s="271"/>
      <c r="CH73" s="271"/>
      <c r="CI73" s="140"/>
      <c r="CJ73" s="154"/>
      <c r="CK73" s="154"/>
      <c r="CL73" s="154"/>
      <c r="CM73" s="140"/>
      <c r="CN73" s="271"/>
      <c r="CO73" s="271"/>
      <c r="CP73" s="271"/>
      <c r="CQ73" s="140"/>
      <c r="CR73" s="154"/>
      <c r="CS73" s="154"/>
      <c r="CT73" s="154"/>
      <c r="CU73" s="140"/>
      <c r="CV73" s="154"/>
      <c r="CW73" s="154"/>
      <c r="CX73" s="220"/>
      <c r="CY73" s="140"/>
      <c r="CZ73" s="154"/>
      <c r="DA73" s="154"/>
      <c r="DB73" s="220"/>
      <c r="DC73" s="140"/>
      <c r="DD73" s="146"/>
      <c r="DE73" s="146"/>
      <c r="DF73" s="146"/>
      <c r="DG73" s="140"/>
      <c r="DH73" s="146"/>
      <c r="DI73" s="146"/>
      <c r="DJ73" s="146"/>
      <c r="DK73" s="146"/>
      <c r="DL73" s="146"/>
      <c r="DM73" s="146"/>
      <c r="DN73" s="146"/>
      <c r="DO73" s="146"/>
      <c r="DP73" s="146"/>
      <c r="DQ73" s="146"/>
      <c r="DR73" s="146"/>
      <c r="DS73" s="140"/>
      <c r="DT73" s="154"/>
      <c r="DU73" s="154"/>
      <c r="DV73" s="154"/>
      <c r="DW73" s="140"/>
      <c r="DX73" s="220"/>
      <c r="DY73" s="220"/>
      <c r="DZ73" s="220"/>
      <c r="EA73" s="140"/>
      <c r="EB73" s="220"/>
      <c r="EC73" s="220"/>
      <c r="ED73" s="220"/>
      <c r="EE73" s="140"/>
      <c r="EF73" s="154"/>
      <c r="EG73" s="154"/>
      <c r="EH73" s="154"/>
      <c r="EI73" s="140"/>
      <c r="EJ73" s="154"/>
      <c r="EK73" s="154"/>
      <c r="EL73" s="154"/>
      <c r="EM73" s="140"/>
      <c r="EN73" s="222"/>
      <c r="EO73" s="222"/>
      <c r="EP73" s="222"/>
      <c r="EQ73" s="140"/>
      <c r="ER73" s="222"/>
      <c r="ES73" s="222"/>
      <c r="ET73" s="222"/>
      <c r="EU73" s="140"/>
      <c r="EV73" s="222"/>
      <c r="EW73" s="222"/>
      <c r="EX73" s="222"/>
      <c r="EY73" s="344"/>
      <c r="EZ73" s="222"/>
      <c r="FA73" s="222"/>
      <c r="FB73" s="222"/>
      <c r="FC73" s="273"/>
      <c r="FD73" s="223"/>
      <c r="FE73" s="223"/>
      <c r="FF73" s="276"/>
      <c r="FG73" s="156"/>
      <c r="FH73" s="156"/>
      <c r="FI73" s="156"/>
      <c r="FJ73" s="140"/>
      <c r="FK73" s="277"/>
      <c r="FL73" s="277"/>
      <c r="FM73" s="277"/>
      <c r="FN73" s="140"/>
      <c r="FO73" s="277"/>
      <c r="FP73" s="277"/>
      <c r="FQ73" s="277"/>
      <c r="FR73" s="280"/>
      <c r="FS73" s="277"/>
      <c r="FT73" s="277"/>
      <c r="FU73" s="277"/>
      <c r="FV73" s="277"/>
      <c r="FW73" s="277"/>
      <c r="FX73" s="277"/>
      <c r="FY73" s="277"/>
      <c r="FZ73" s="277"/>
      <c r="GA73" s="277"/>
      <c r="GB73" s="277"/>
      <c r="GC73" s="277"/>
      <c r="GD73" s="277"/>
      <c r="GE73" s="277"/>
      <c r="GF73" s="277"/>
      <c r="GG73" s="277"/>
      <c r="GH73" s="277"/>
      <c r="GI73" s="277"/>
      <c r="GJ73" s="277"/>
      <c r="GK73" s="277"/>
      <c r="GL73" s="277"/>
      <c r="GM73" s="277"/>
      <c r="GN73" s="277"/>
      <c r="GO73" s="277"/>
      <c r="GP73" s="277"/>
      <c r="GQ73" s="277"/>
      <c r="GR73" s="277"/>
      <c r="GS73" s="277"/>
      <c r="GT73" s="277"/>
      <c r="GU73" s="277"/>
      <c r="GV73" s="277"/>
      <c r="GW73" s="277"/>
      <c r="GX73" s="277"/>
      <c r="GY73" s="277"/>
      <c r="GZ73" s="277"/>
      <c r="HA73" s="277"/>
      <c r="HB73" s="277"/>
      <c r="HC73" s="277"/>
      <c r="HD73" s="277"/>
      <c r="HE73" s="277"/>
      <c r="HF73" s="140"/>
      <c r="HG73" s="277"/>
      <c r="HH73" s="277"/>
      <c r="HI73" s="277"/>
      <c r="HJ73" s="140"/>
      <c r="HK73" s="277"/>
      <c r="HL73" s="277"/>
      <c r="HM73" s="277"/>
      <c r="HN73" s="140"/>
      <c r="HO73" s="277"/>
      <c r="HP73" s="277"/>
      <c r="HQ73" s="277"/>
      <c r="HR73" s="277"/>
      <c r="HS73" s="277"/>
      <c r="HT73" s="277"/>
      <c r="HU73" s="277"/>
      <c r="HV73" s="277"/>
      <c r="HW73" s="277"/>
      <c r="HX73" s="277"/>
      <c r="HY73" s="277"/>
      <c r="HZ73" s="140"/>
      <c r="IA73" s="277"/>
      <c r="IB73" s="277"/>
      <c r="IC73" s="277"/>
      <c r="ID73" s="140"/>
      <c r="IE73" s="277"/>
      <c r="IF73" s="277"/>
      <c r="IG73" s="277"/>
      <c r="IH73" s="140"/>
      <c r="II73" s="277"/>
      <c r="IJ73" s="277"/>
      <c r="IK73" s="277"/>
      <c r="IL73" s="140"/>
      <c r="IM73" s="277"/>
      <c r="IN73" s="277"/>
      <c r="IO73" s="277"/>
      <c r="IP73" s="277"/>
      <c r="IQ73" s="277"/>
      <c r="IR73" s="277"/>
      <c r="IS73" s="277"/>
      <c r="IT73" s="277"/>
      <c r="IU73" s="277"/>
      <c r="IV73" s="277"/>
      <c r="IW73" s="277"/>
      <c r="IX73" s="140"/>
      <c r="IY73" s="277"/>
      <c r="IZ73" s="277"/>
      <c r="JA73" s="277"/>
      <c r="JB73" s="140"/>
      <c r="JC73" s="277"/>
      <c r="JD73" s="277"/>
      <c r="JE73" s="277"/>
      <c r="JF73" s="140"/>
      <c r="JG73" s="277"/>
      <c r="JH73" s="277"/>
      <c r="JI73" s="140"/>
      <c r="JJ73" s="277"/>
      <c r="JK73" s="277"/>
      <c r="JL73" s="140"/>
      <c r="JM73" s="277"/>
      <c r="JN73" s="277"/>
      <c r="JO73" s="140"/>
      <c r="JP73" s="277"/>
      <c r="JQ73" s="277"/>
      <c r="JR73" s="277"/>
      <c r="JS73" s="277"/>
      <c r="JT73" s="277"/>
      <c r="JU73" s="277"/>
      <c r="JV73" s="277"/>
      <c r="JW73" s="277"/>
      <c r="JX73" s="277"/>
      <c r="JY73" s="277"/>
      <c r="JZ73" s="277"/>
      <c r="KA73" s="277"/>
      <c r="KB73" s="277"/>
      <c r="KC73" s="277"/>
      <c r="KD73" s="277"/>
      <c r="KE73" s="277"/>
      <c r="KF73" s="277"/>
      <c r="KG73" s="277"/>
      <c r="KH73" s="277"/>
      <c r="KI73" s="277"/>
      <c r="KJ73" s="277"/>
      <c r="KK73" s="277"/>
      <c r="KL73" s="277"/>
      <c r="KM73" s="277"/>
      <c r="KN73" s="277"/>
      <c r="KO73" s="277"/>
      <c r="KP73" s="274"/>
      <c r="KQ73" s="253"/>
      <c r="KR73" s="253"/>
      <c r="KY73" s="141">
        <f t="shared" si="25"/>
        <v>0</v>
      </c>
      <c r="KZ73" s="141">
        <f t="shared" si="26"/>
        <v>0</v>
      </c>
      <c r="LB73" s="141">
        <f t="shared" si="27"/>
        <v>1</v>
      </c>
      <c r="LC73" s="141">
        <f t="shared" si="28"/>
        <v>0</v>
      </c>
      <c r="LD73" s="141">
        <f t="shared" si="29"/>
        <v>0</v>
      </c>
      <c r="LE73" s="141" t="e">
        <f>((N(AU73)&gt;0)*(AX73&lt;&gt;"")+(N(AY73)&gt;0)*(BB73&lt;&gt;"")+(N(BC73)&gt;0)*(BF73&lt;&gt;"")+(N(BG73)&gt;0)*(BJ73&lt;&gt;"")+(N(BK73)&gt;0)*(BN73&lt;&gt;"")+(N(BO73)&gt;0)*(BR73&lt;&gt;"")+(N(BS73)&gt;0)*(BV73&lt;&gt;"")+(N(BW73)&gt;0)*(BZ73&lt;&gt;"")+(N(CA73)&gt;0)*(CD73&lt;&gt;"")+(N(CE73)&gt;0)*(CH73&lt;&gt;"")+(N(CI73)&gt;0)*(CL73&lt;&gt;"")+(N(CM73)&gt;0)*(CP73&lt;&gt;"")+(N(CQ73)&gt;0)*(CT73&lt;&gt;"")+(N(CU73)&gt;0)*(CX73&lt;&gt;"")+(N(CY73)&gt;0)*(DB73&lt;&gt;"")+(N(DC73)&gt;0)*(DF73&lt;&gt;"")+(N(DG73)&gt;0)*(DJ73&lt;&gt;"")+(N(DS73)&gt;0)*(DV73&lt;&gt;"")+(N(DW73)&gt;0)*(DZ73&lt;&gt;"")+(N(EA73)&gt;0)*(ED73&lt;&gt;"")+(N(EE73)&gt;0)*(EH73&lt;&gt;"")+(N(EI73)&gt;0)*(EL73&lt;&gt;"")+(N(EM73)&gt;0)*(EP73&lt;&gt;"")+(N(EQ73)&gt;0)*(ET73&lt;&gt;"")+(N(EU73)&gt;0)*(EX73&lt;&gt;"")+(N(#REF!)&gt;0)*(#REF!&lt;&gt;"")+(N(#REF!)&gt;0)*(#REF!&lt;&gt;"")+(N(FJ73)&gt;0)*(FM73&lt;&gt;"")+(N(FN73)&gt;0)*(FQ73&lt;&gt;"")+(N(#REF!)&gt;0)*(#REF!&lt;&gt;"")+(N(#REF!)&gt;0)*(#REF!&lt;&gt;"")+(N(HF73)&gt;0)*(HI73&lt;&gt;"")+(N(#REF!)&gt;0)*(#REF!&lt;&gt;"")+(N(HJ73)&gt;0)*(HM73&lt;&gt;"")+(N(HN73)&gt;0)*(HQ73&lt;&gt;"")+(N(HZ73)&gt;0)*(IC73&lt;&gt;"")+(N(ID73)&gt;0)*(IG73&lt;&gt;"")+(N(IH73)&gt;0)*(IK73&lt;&gt;"")+(N(IL73)&gt;0)*(IO73&lt;&gt;"")+(N(IX73)&gt;0)*(JA73&lt;&gt;"")+(N(JB73)&gt;0)*(JE73&lt;&gt;"")+(N(JF73)&gt;0)*(JH73&lt;&gt;"")+(N(JI73)&gt;0)*(JK73&lt;&gt;"")+(N(JL73)&gt;0)*(JN73&lt;&gt;"")+(N(JO73)&gt;0)*(JQ73&lt;&gt;""))</f>
        <v>#REF!</v>
      </c>
      <c r="LF73" s="141">
        <f t="shared" si="21"/>
        <v>0</v>
      </c>
      <c r="LG73" s="141">
        <f t="shared" si="30"/>
        <v>0</v>
      </c>
    </row>
    <row r="74" spans="1:319" ht="38.25" customHeight="1" x14ac:dyDescent="0.55000000000000004">
      <c r="A74" s="141" t="s">
        <v>198</v>
      </c>
      <c r="B74" s="506" t="s">
        <v>179</v>
      </c>
      <c r="C74" s="218">
        <v>3</v>
      </c>
      <c r="D74" s="218">
        <v>3</v>
      </c>
      <c r="E74" s="218">
        <v>3</v>
      </c>
      <c r="F74" s="162">
        <f>($AI$74/$AJ$74)*$L$74*C74</f>
        <v>840</v>
      </c>
      <c r="G74" s="162">
        <f>($AI$74/$AJ$74)*$L$74*D74</f>
        <v>840</v>
      </c>
      <c r="H74" s="162">
        <f>($AI$74/$AJ$74)*$L$74*E74</f>
        <v>840</v>
      </c>
      <c r="I74" s="162" cm="1">
        <f t="array" ref="I74">SUMPRODUCT(($AI$2:$KV$2&lt;&gt;"")*($AI74:$KV74&lt;&gt;""))</f>
        <v>5</v>
      </c>
      <c r="J74" s="142">
        <f t="shared" si="17"/>
        <v>15</v>
      </c>
      <c r="K74" s="142">
        <f t="shared" si="18"/>
        <v>210</v>
      </c>
      <c r="L74" s="268">
        <f t="shared" si="31"/>
        <v>7000</v>
      </c>
      <c r="M74" s="164">
        <f t="shared" si="22"/>
        <v>3920</v>
      </c>
      <c r="N74" s="397"/>
      <c r="O74" s="165">
        <f t="shared" si="19"/>
        <v>15680</v>
      </c>
      <c r="P74" s="165"/>
      <c r="Q74" s="165"/>
      <c r="R74" s="165">
        <f>(IFERROR(AM74/AN74,0)+IFERROR(AU74/AV74,0)+IFERROR(AY74/AZ74,0)+IFERROR(BC74/BD74,0)+IFERROR(BG74/BH74,0)+IFERROR(BK74/BL74,0)+IFERROR(BO74/BP74,0)+IFERROR(BS74/BT74,0)+IFERROR(BW74/BX74,0)+IFERROR(CA74/CB74,0)+IFERROR(CE74/CF74,0)+IFERROR(CI74/CJ74,0)+IFERROR(CM74/CN74,0)+IFERROR(CQ74/CR74,0)+IFERROR(CU74/CV74,0)+IFERROR(CY74/CZ74,0)+IFERROR(DC74/DD74,0)+IFERROR(DG74/DH74,0)+IFERROR(DS74/DT74,0)+IFERROR(DW74/DX74,0)+IFERROR(EA74/EB74,0)+IFERROR(EE74/EF74,0)+IFERROR(EI74/EJ74,0)+IFERROR(EM74/EN74,0)+IFERROR(EQ74/ER74,0)+IFERROR(EU74/EV74,0)+IFERROR(#REF!/#REF!,0)+IFERROR(#REF!/#REF!,0)+IFERROR(FJ74/FK74,0)+IFERROR(FN74/FO74,0)+IFERROR(#REF!/#REF!,0)+IFERROR(#REF!/#REF!,0)+IFERROR(HF74/HG74,0)+IFERROR(#REF!/#REF!,0)+IFERROR(HJ74/HK74,0)+IFERROR(HN74/HO74,0)+IFERROR(HZ74/IA74,0)+IFERROR(ID74/IE74,0)+IFERROR(IH74/II74,0)+IFERROR(IL74/IM74,0)+IFERROR(IX74/IY74,0)+IFERROR(JB74/JC74,0)+IFERROR(JF74/JG74,0)+IFERROR(JI74/JJ74,0)+IFERROR(JL74/JM74,0)+IFERROR(JO74/JP74,0))*L74*(C74+D74+E74+I74)</f>
        <v>13948.666666666668</v>
      </c>
      <c r="S74" s="165"/>
      <c r="T74" s="165">
        <f t="shared" si="23"/>
        <v>0</v>
      </c>
      <c r="U74" s="165"/>
      <c r="V74" s="165"/>
      <c r="W74" s="165"/>
      <c r="X74" s="165">
        <f>(IFERROR(FF74/FG74,0)+IFERROR(FC74/FD74,0)+IFERROR(#REF!/#REF!,0)+IFERROR(KP74/KQ74,0))*L74*(C74+D74+E74+I74)</f>
        <v>0</v>
      </c>
      <c r="Y74" s="484"/>
      <c r="Z74" s="484"/>
      <c r="AA74" s="484"/>
      <c r="AB74" s="484"/>
      <c r="AC74" s="150">
        <f t="shared" si="20"/>
        <v>2744</v>
      </c>
      <c r="AD74" s="150"/>
      <c r="AE74" s="150">
        <f t="shared" si="24"/>
        <v>0</v>
      </c>
      <c r="AF74" s="161">
        <v>430</v>
      </c>
      <c r="AG74" s="143">
        <v>56</v>
      </c>
      <c r="AH74" s="154">
        <v>2000</v>
      </c>
      <c r="AI74" s="144">
        <v>20</v>
      </c>
      <c r="AJ74" s="154">
        <v>500</v>
      </c>
      <c r="AK74" s="489" t="s">
        <v>81</v>
      </c>
      <c r="AL74" s="154" t="s">
        <v>16</v>
      </c>
      <c r="AM74" s="490">
        <v>55</v>
      </c>
      <c r="AN74" s="154">
        <v>1000</v>
      </c>
      <c r="AO74" s="490" t="s">
        <v>82</v>
      </c>
      <c r="AP74" s="154" t="s">
        <v>518</v>
      </c>
      <c r="AQ74" s="145">
        <v>320</v>
      </c>
      <c r="AR74" s="154">
        <v>2000</v>
      </c>
      <c r="AS74" s="496" t="s">
        <v>1078</v>
      </c>
      <c r="AT74" s="154" t="s">
        <v>1105</v>
      </c>
      <c r="AU74" s="140"/>
      <c r="AV74" s="277"/>
      <c r="AW74" s="277"/>
      <c r="AX74" s="277"/>
      <c r="AY74" s="140"/>
      <c r="AZ74" s="277"/>
      <c r="BA74" s="277"/>
      <c r="BB74" s="277"/>
      <c r="BC74" s="493">
        <v>78</v>
      </c>
      <c r="BD74" s="277">
        <v>1500</v>
      </c>
      <c r="BE74" s="493" t="s">
        <v>345</v>
      </c>
      <c r="BF74" s="277" t="s">
        <v>1106</v>
      </c>
      <c r="BG74" s="493">
        <v>53</v>
      </c>
      <c r="BH74" s="277">
        <v>1500</v>
      </c>
      <c r="BI74" s="493" t="s">
        <v>345</v>
      </c>
      <c r="BJ74" s="277" t="s">
        <v>1106</v>
      </c>
      <c r="BK74" s="140"/>
      <c r="BL74" s="277"/>
      <c r="BM74" s="277"/>
      <c r="BN74" s="277"/>
      <c r="BO74" s="140"/>
      <c r="BP74" s="277"/>
      <c r="BQ74" s="277"/>
      <c r="BR74" s="277"/>
      <c r="BS74" s="140"/>
      <c r="BT74" s="277"/>
      <c r="BU74" s="277"/>
      <c r="BV74" s="277"/>
      <c r="BW74" s="140"/>
      <c r="BX74" s="154"/>
      <c r="BY74" s="154"/>
      <c r="BZ74" s="220"/>
      <c r="CA74" s="140"/>
      <c r="CB74" s="154"/>
      <c r="CC74" s="154"/>
      <c r="CD74" s="220"/>
      <c r="CE74" s="140"/>
      <c r="CF74" s="154"/>
      <c r="CG74" s="154"/>
      <c r="CH74" s="154"/>
      <c r="CI74" s="140"/>
      <c r="CJ74" s="154"/>
      <c r="CK74" s="154"/>
      <c r="CL74" s="154"/>
      <c r="CM74" s="140"/>
      <c r="CN74" s="271"/>
      <c r="CO74" s="271"/>
      <c r="CP74" s="271"/>
      <c r="CQ74" s="140"/>
      <c r="CR74" s="154"/>
      <c r="CS74" s="154"/>
      <c r="CT74" s="154"/>
      <c r="CU74" s="140"/>
      <c r="CV74" s="154"/>
      <c r="CW74" s="154"/>
      <c r="CX74" s="220"/>
      <c r="CY74" s="140"/>
      <c r="CZ74" s="154"/>
      <c r="DA74" s="154"/>
      <c r="DB74" s="220"/>
      <c r="DC74" s="140"/>
      <c r="DD74" s="146"/>
      <c r="DE74" s="146"/>
      <c r="DF74" s="146"/>
      <c r="DG74" s="140"/>
      <c r="DH74" s="146"/>
      <c r="DI74" s="146"/>
      <c r="DJ74" s="146"/>
      <c r="DK74" s="146"/>
      <c r="DL74" s="146"/>
      <c r="DM74" s="146"/>
      <c r="DN74" s="146"/>
      <c r="DO74" s="146"/>
      <c r="DP74" s="146"/>
      <c r="DQ74" s="146"/>
      <c r="DR74" s="146"/>
      <c r="DS74" s="140"/>
      <c r="DT74" s="154"/>
      <c r="DU74" s="154"/>
      <c r="DV74" s="154"/>
      <c r="DW74" s="140"/>
      <c r="DX74" s="220"/>
      <c r="DY74" s="220"/>
      <c r="DZ74" s="220"/>
      <c r="EA74" s="140"/>
      <c r="EB74" s="220"/>
      <c r="EC74" s="220"/>
      <c r="ED74" s="220"/>
      <c r="EE74" s="140"/>
      <c r="EF74" s="154"/>
      <c r="EG74" s="154"/>
      <c r="EH74" s="154"/>
      <c r="EI74" s="140"/>
      <c r="EJ74" s="154"/>
      <c r="EK74" s="154"/>
      <c r="EL74" s="154"/>
      <c r="EM74" s="140"/>
      <c r="EN74" s="222"/>
      <c r="EO74" s="222"/>
      <c r="EP74" s="222"/>
      <c r="EQ74" s="140"/>
      <c r="ER74" s="222"/>
      <c r="ES74" s="222"/>
      <c r="ET74" s="222"/>
      <c r="EU74" s="140"/>
      <c r="EV74" s="222"/>
      <c r="EW74" s="222"/>
      <c r="EX74" s="222"/>
      <c r="EY74" s="344"/>
      <c r="EZ74" s="222"/>
      <c r="FA74" s="222"/>
      <c r="FB74" s="222"/>
      <c r="FC74" s="273"/>
      <c r="FD74" s="223"/>
      <c r="FE74" s="223"/>
      <c r="FF74" s="276"/>
      <c r="FG74" s="156"/>
      <c r="FH74" s="156"/>
      <c r="FI74" s="156"/>
      <c r="FJ74" s="140"/>
      <c r="FK74" s="277"/>
      <c r="FL74" s="277"/>
      <c r="FM74" s="277"/>
      <c r="FN74" s="140"/>
      <c r="FO74" s="277"/>
      <c r="FP74" s="277"/>
      <c r="FQ74" s="277"/>
      <c r="FR74" s="280"/>
      <c r="FS74" s="277"/>
      <c r="FT74" s="277"/>
      <c r="FU74" s="277"/>
      <c r="FV74" s="277"/>
      <c r="FW74" s="277"/>
      <c r="FX74" s="277"/>
      <c r="FY74" s="277"/>
      <c r="FZ74" s="277"/>
      <c r="GA74" s="277"/>
      <c r="GB74" s="277"/>
      <c r="GC74" s="277"/>
      <c r="GD74" s="277"/>
      <c r="GE74" s="277"/>
      <c r="GF74" s="277"/>
      <c r="GG74" s="277"/>
      <c r="GH74" s="277"/>
      <c r="GI74" s="277"/>
      <c r="GJ74" s="277"/>
      <c r="GK74" s="277"/>
      <c r="GL74" s="277"/>
      <c r="GM74" s="277"/>
      <c r="GN74" s="277"/>
      <c r="GO74" s="277"/>
      <c r="GP74" s="277"/>
      <c r="GQ74" s="277"/>
      <c r="GR74" s="277"/>
      <c r="GS74" s="277"/>
      <c r="GT74" s="277"/>
      <c r="GU74" s="277"/>
      <c r="GV74" s="277"/>
      <c r="GW74" s="277"/>
      <c r="GX74" s="277"/>
      <c r="GY74" s="277"/>
      <c r="GZ74" s="277"/>
      <c r="HA74" s="277"/>
      <c r="HB74" s="277"/>
      <c r="HC74" s="277"/>
      <c r="HD74" s="277"/>
      <c r="HE74" s="277"/>
      <c r="HF74" s="140"/>
      <c r="HG74" s="277"/>
      <c r="HH74" s="277"/>
      <c r="HI74" s="277"/>
      <c r="HJ74" s="140"/>
      <c r="HK74" s="277"/>
      <c r="HL74" s="277"/>
      <c r="HM74" s="277"/>
      <c r="HN74" s="140"/>
      <c r="HO74" s="277"/>
      <c r="HP74" s="277"/>
      <c r="HQ74" s="277"/>
      <c r="HR74" s="277"/>
      <c r="HS74" s="277"/>
      <c r="HT74" s="277"/>
      <c r="HU74" s="277"/>
      <c r="HV74" s="277"/>
      <c r="HW74" s="277"/>
      <c r="HX74" s="277"/>
      <c r="HY74" s="277"/>
      <c r="HZ74" s="140"/>
      <c r="IA74" s="277"/>
      <c r="IB74" s="277"/>
      <c r="IC74" s="277"/>
      <c r="ID74" s="140"/>
      <c r="IE74" s="277"/>
      <c r="IF74" s="277"/>
      <c r="IG74" s="277"/>
      <c r="IH74" s="140"/>
      <c r="II74" s="277"/>
      <c r="IJ74" s="277"/>
      <c r="IK74" s="277"/>
      <c r="IL74" s="140"/>
      <c r="IM74" s="277"/>
      <c r="IN74" s="277"/>
      <c r="IO74" s="277"/>
      <c r="IP74" s="277"/>
      <c r="IQ74" s="277"/>
      <c r="IR74" s="277"/>
      <c r="IS74" s="277"/>
      <c r="IT74" s="277"/>
      <c r="IU74" s="277"/>
      <c r="IV74" s="277"/>
      <c r="IW74" s="277"/>
      <c r="IX74" s="140"/>
      <c r="IY74" s="277"/>
      <c r="IZ74" s="277"/>
      <c r="JA74" s="277"/>
      <c r="JB74" s="140"/>
      <c r="JC74" s="277"/>
      <c r="JD74" s="277"/>
      <c r="JE74" s="277"/>
      <c r="JF74" s="140"/>
      <c r="JG74" s="277"/>
      <c r="JH74" s="277"/>
      <c r="JI74" s="140"/>
      <c r="JJ74" s="277"/>
      <c r="JK74" s="277"/>
      <c r="JL74" s="140"/>
      <c r="JM74" s="277"/>
      <c r="JN74" s="277"/>
      <c r="JO74" s="140"/>
      <c r="JP74" s="277"/>
      <c r="JQ74" s="277"/>
      <c r="JR74" s="277"/>
      <c r="JS74" s="277"/>
      <c r="JT74" s="277"/>
      <c r="JU74" s="277"/>
      <c r="JV74" s="277"/>
      <c r="JW74" s="277"/>
      <c r="JX74" s="277"/>
      <c r="JY74" s="277"/>
      <c r="JZ74" s="277"/>
      <c r="KA74" s="277"/>
      <c r="KB74" s="277"/>
      <c r="KC74" s="277"/>
      <c r="KD74" s="277"/>
      <c r="KE74" s="277"/>
      <c r="KF74" s="277"/>
      <c r="KG74" s="277"/>
      <c r="KH74" s="277"/>
      <c r="KI74" s="277"/>
      <c r="KJ74" s="277"/>
      <c r="KK74" s="277"/>
      <c r="KL74" s="277"/>
      <c r="KM74" s="277"/>
      <c r="KN74" s="277"/>
      <c r="KO74" s="277"/>
      <c r="KP74" s="274"/>
      <c r="KQ74" s="253"/>
      <c r="KR74" s="253"/>
      <c r="KY74" s="141">
        <f t="shared" si="25"/>
        <v>0</v>
      </c>
      <c r="KZ74" s="141">
        <f t="shared" si="26"/>
        <v>0</v>
      </c>
      <c r="LB74" s="141">
        <f t="shared" si="27"/>
        <v>1</v>
      </c>
      <c r="LC74" s="141">
        <f t="shared" si="28"/>
        <v>1</v>
      </c>
      <c r="LD74" s="141">
        <f t="shared" si="29"/>
        <v>1</v>
      </c>
      <c r="LE74" s="141" t="e">
        <f>((N(AU74)&gt;0)*(AX74&lt;&gt;"")+(N(AY74)&gt;0)*(BB74&lt;&gt;"")+(N(BC74)&gt;0)*(BF74&lt;&gt;"")+(N(BG74)&gt;0)*(BJ74&lt;&gt;"")+(N(BK74)&gt;0)*(BN74&lt;&gt;"")+(N(BO74)&gt;0)*(BR74&lt;&gt;"")+(N(BS74)&gt;0)*(BV74&lt;&gt;"")+(N(BW74)&gt;0)*(BZ74&lt;&gt;"")+(N(CA74)&gt;0)*(CD74&lt;&gt;"")+(N(CE74)&gt;0)*(CH74&lt;&gt;"")+(N(CI74)&gt;0)*(CL74&lt;&gt;"")+(N(CM74)&gt;0)*(CP74&lt;&gt;"")+(N(CQ74)&gt;0)*(CT74&lt;&gt;"")+(N(CU74)&gt;0)*(CX74&lt;&gt;"")+(N(CY74)&gt;0)*(DB74&lt;&gt;"")+(N(DC74)&gt;0)*(DF74&lt;&gt;"")+(N(DG74)&gt;0)*(DJ74&lt;&gt;"")+(N(DS74)&gt;0)*(DV74&lt;&gt;"")+(N(DW74)&gt;0)*(DZ74&lt;&gt;"")+(N(EA74)&gt;0)*(ED74&lt;&gt;"")+(N(EE74)&gt;0)*(EH74&lt;&gt;"")+(N(EI74)&gt;0)*(EL74&lt;&gt;"")+(N(EM74)&gt;0)*(EP74&lt;&gt;"")+(N(EQ74)&gt;0)*(ET74&lt;&gt;"")+(N(EU74)&gt;0)*(EX74&lt;&gt;"")+(N(#REF!)&gt;0)*(#REF!&lt;&gt;"")+(N(#REF!)&gt;0)*(#REF!&lt;&gt;"")+(N(FJ74)&gt;0)*(FM74&lt;&gt;"")+(N(FN74)&gt;0)*(FQ74&lt;&gt;"")+(N(#REF!)&gt;0)*(#REF!&lt;&gt;"")+(N(#REF!)&gt;0)*(#REF!&lt;&gt;"")+(N(HF74)&gt;0)*(HI74&lt;&gt;"")+(N(#REF!)&gt;0)*(#REF!&lt;&gt;"")+(N(HJ74)&gt;0)*(HM74&lt;&gt;"")+(N(HN74)&gt;0)*(HQ74&lt;&gt;"")+(N(HZ74)&gt;0)*(IC74&lt;&gt;"")+(N(ID74)&gt;0)*(IG74&lt;&gt;"")+(N(IH74)&gt;0)*(IK74&lt;&gt;"")+(N(IL74)&gt;0)*(IO74&lt;&gt;"")+(N(IX74)&gt;0)*(JA74&lt;&gt;"")+(N(JB74)&gt;0)*(JE74&lt;&gt;"")+(N(JF74)&gt;0)*(JH74&lt;&gt;"")+(N(JI74)&gt;0)*(JK74&lt;&gt;"")+(N(JL74)&gt;0)*(JN74&lt;&gt;"")+(N(JO74)&gt;0)*(JQ74&lt;&gt;""))</f>
        <v>#REF!</v>
      </c>
      <c r="LF74" s="141">
        <f t="shared" si="21"/>
        <v>0</v>
      </c>
      <c r="LG74" s="141">
        <f t="shared" si="30"/>
        <v>1</v>
      </c>
    </row>
    <row r="75" spans="1:319" ht="38.25" customHeight="1" x14ac:dyDescent="0.55000000000000004">
      <c r="B75" s="314" t="s">
        <v>429</v>
      </c>
      <c r="C75" s="218"/>
      <c r="D75" s="218"/>
      <c r="E75" s="218"/>
      <c r="F75" s="218"/>
      <c r="G75" s="218"/>
      <c r="H75" s="218"/>
      <c r="I75" s="162" cm="1">
        <f t="array" ref="I75">SUMPRODUCT(($AI$2:$KV$2&lt;&gt;"")*($AI75:$KV75&lt;&gt;""))</f>
        <v>1</v>
      </c>
      <c r="J75" s="142">
        <f t="shared" si="17"/>
        <v>0</v>
      </c>
      <c r="K75" s="142">
        <f t="shared" si="18"/>
        <v>0</v>
      </c>
      <c r="L75" s="268">
        <f t="shared" si="31"/>
        <v>7000</v>
      </c>
      <c r="M75" s="164">
        <f t="shared" si="22"/>
        <v>784</v>
      </c>
      <c r="N75" s="397"/>
      <c r="O75" s="165">
        <f t="shared" si="19"/>
        <v>0</v>
      </c>
      <c r="P75" s="165"/>
      <c r="Q75" s="165"/>
      <c r="R75" s="165">
        <f>(IFERROR(AM75/AN75,0)+IFERROR(AU75/AV75,0)+IFERROR(AY75/AZ75,0)+IFERROR(BC75/BD75,0)+IFERROR(BG75/BH75,0)+IFERROR(BK75/BL75,0)+IFERROR(BO75/BP75,0)+IFERROR(BS75/BT75,0)+IFERROR(BW75/BX75,0)+IFERROR(CA75/CB75,0)+IFERROR(CE75/CF75,0)+IFERROR(CI75/CJ75,0)+IFERROR(CM75/CN75,0)+IFERROR(CQ75/CR75,0)+IFERROR(CU75/CV75,0)+IFERROR(CY75/CZ75,0)+IFERROR(DC75/DD75,0)+IFERROR(DG75/DH75,0)+IFERROR(DS75/DT75,0)+IFERROR(DW75/DX75,0)+IFERROR(EA75/EB75,0)+IFERROR(EE75/EF75,0)+IFERROR(EI75/EJ75,0)+IFERROR(EM75/EN75,0)+IFERROR(EQ75/ER75,0)+IFERROR(EU75/EV75,0)+IFERROR(#REF!/#REF!,0)+IFERROR(#REF!/#REF!,0)+IFERROR(FJ75/FK75,0)+IFERROR(FN75/FO75,0)+IFERROR(#REF!/#REF!,0)+IFERROR(#REF!/#REF!,0)+IFERROR(HF75/HG75,0)+IFERROR(#REF!/#REF!,0)+IFERROR(HJ75/HK75,0)+IFERROR(HN75/HO75,0)+IFERROR(HZ75/IA75,0)+IFERROR(ID75/IE75,0)+IFERROR(IH75/II75,0)+IFERROR(IL75/IM75,0)+IFERROR(IX75/IY75,0)+IFERROR(JB75/JC75,0)+IFERROR(JF75/JG75,0)+IFERROR(JI75/JJ75,0)+IFERROR(JL75/JM75,0)+IFERROR(JO75/JP75,0))*L75*(C75+D75+E75+I75)</f>
        <v>0</v>
      </c>
      <c r="S75" s="165"/>
      <c r="T75" s="165">
        <f t="shared" si="23"/>
        <v>0</v>
      </c>
      <c r="U75" s="165"/>
      <c r="V75" s="165"/>
      <c r="W75" s="165"/>
      <c r="X75" s="165">
        <f>(IFERROR(FF75/FG75,0)+IFERROR(FC75/FD75,0)+IFERROR(#REF!/#REF!,0)+IFERROR(KP75/KQ75,0))*L75*(C75+D75+E75+I75)</f>
        <v>0</v>
      </c>
      <c r="Y75" s="484"/>
      <c r="Z75" s="484"/>
      <c r="AA75" s="484"/>
      <c r="AB75" s="484"/>
      <c r="AC75" s="150">
        <f t="shared" si="20"/>
        <v>0</v>
      </c>
      <c r="AD75" s="150"/>
      <c r="AE75" s="150">
        <f t="shared" si="24"/>
        <v>0</v>
      </c>
      <c r="AF75" s="161"/>
      <c r="AG75" s="143"/>
      <c r="AH75" s="154"/>
      <c r="AI75" s="342">
        <v>28</v>
      </c>
      <c r="AJ75" s="342">
        <v>250</v>
      </c>
      <c r="AK75" s="342"/>
      <c r="AL75" s="343" t="s">
        <v>545</v>
      </c>
      <c r="AM75" s="140"/>
      <c r="AN75" s="154"/>
      <c r="AO75" s="154"/>
      <c r="AP75" s="220"/>
      <c r="AQ75" s="145"/>
      <c r="AR75" s="154"/>
      <c r="AS75" s="154"/>
      <c r="AT75" s="220"/>
      <c r="AU75" s="140"/>
      <c r="AV75" s="277"/>
      <c r="AW75" s="277"/>
      <c r="AX75" s="277"/>
      <c r="AY75" s="140"/>
      <c r="AZ75" s="277"/>
      <c r="BA75" s="277"/>
      <c r="BB75" s="277"/>
      <c r="BC75" s="140"/>
      <c r="BD75" s="277"/>
      <c r="BE75" s="277"/>
      <c r="BF75" s="277"/>
      <c r="BG75" s="140"/>
      <c r="BH75" s="277"/>
      <c r="BI75" s="277"/>
      <c r="BJ75" s="277"/>
      <c r="BK75" s="140"/>
      <c r="BL75" s="277"/>
      <c r="BM75" s="277"/>
      <c r="BN75" s="277"/>
      <c r="BO75" s="140"/>
      <c r="BP75" s="277"/>
      <c r="BQ75" s="277"/>
      <c r="BR75" s="277"/>
      <c r="BS75" s="140"/>
      <c r="BT75" s="277"/>
      <c r="BU75" s="277"/>
      <c r="BV75" s="277"/>
      <c r="BW75" s="140"/>
      <c r="BX75" s="154"/>
      <c r="BY75" s="154"/>
      <c r="BZ75" s="220"/>
      <c r="CA75" s="140"/>
      <c r="CB75" s="154"/>
      <c r="CC75" s="154"/>
      <c r="CD75" s="220"/>
      <c r="CE75" s="140"/>
      <c r="CF75" s="271"/>
      <c r="CG75" s="271"/>
      <c r="CH75" s="271"/>
      <c r="CI75" s="140"/>
      <c r="CJ75" s="154"/>
      <c r="CK75" s="154"/>
      <c r="CL75" s="154"/>
      <c r="CM75" s="140"/>
      <c r="CN75" s="271"/>
      <c r="CO75" s="271"/>
      <c r="CP75" s="271"/>
      <c r="CQ75" s="140"/>
      <c r="CR75" s="154"/>
      <c r="CS75" s="154"/>
      <c r="CT75" s="154"/>
      <c r="CU75" s="140"/>
      <c r="CV75" s="154"/>
      <c r="CW75" s="154"/>
      <c r="CX75" s="220"/>
      <c r="CY75" s="140"/>
      <c r="CZ75" s="154"/>
      <c r="DA75" s="154"/>
      <c r="DB75" s="220"/>
      <c r="DC75" s="140"/>
      <c r="DD75" s="146"/>
      <c r="DE75" s="146"/>
      <c r="DF75" s="146"/>
      <c r="DG75" s="140"/>
      <c r="DH75" s="146"/>
      <c r="DI75" s="146"/>
      <c r="DJ75" s="146"/>
      <c r="DK75" s="146"/>
      <c r="DL75" s="146"/>
      <c r="DM75" s="146"/>
      <c r="DN75" s="146"/>
      <c r="DO75" s="146"/>
      <c r="DP75" s="146"/>
      <c r="DQ75" s="146"/>
      <c r="DR75" s="146"/>
      <c r="DS75" s="140"/>
      <c r="DT75" s="154"/>
      <c r="DU75" s="154"/>
      <c r="DV75" s="154"/>
      <c r="DW75" s="140"/>
      <c r="DX75" s="220"/>
      <c r="DY75" s="220"/>
      <c r="DZ75" s="220"/>
      <c r="EA75" s="140"/>
      <c r="EB75" s="220"/>
      <c r="EC75" s="220"/>
      <c r="ED75" s="220"/>
      <c r="EE75" s="140"/>
      <c r="EF75" s="154"/>
      <c r="EG75" s="154"/>
      <c r="EH75" s="154"/>
      <c r="EI75" s="140"/>
      <c r="EJ75" s="154"/>
      <c r="EK75" s="154"/>
      <c r="EL75" s="154"/>
      <c r="EM75" s="140"/>
      <c r="EN75" s="222"/>
      <c r="EO75" s="222"/>
      <c r="EP75" s="222"/>
      <c r="EQ75" s="140"/>
      <c r="ER75" s="222"/>
      <c r="ES75" s="222"/>
      <c r="ET75" s="222"/>
      <c r="EU75" s="140"/>
      <c r="EV75" s="222"/>
      <c r="EW75" s="222"/>
      <c r="EX75" s="222"/>
      <c r="EY75" s="344"/>
      <c r="EZ75" s="222"/>
      <c r="FA75" s="222"/>
      <c r="FB75" s="222"/>
      <c r="FC75" s="273"/>
      <c r="FD75" s="223"/>
      <c r="FE75" s="223"/>
      <c r="FF75" s="276"/>
      <c r="FG75" s="156"/>
      <c r="FH75" s="156"/>
      <c r="FI75" s="156"/>
      <c r="FJ75" s="140"/>
      <c r="FK75" s="277"/>
      <c r="FL75" s="277"/>
      <c r="FM75" s="277"/>
      <c r="FN75" s="140"/>
      <c r="FO75" s="277"/>
      <c r="FP75" s="277"/>
      <c r="FQ75" s="277"/>
      <c r="FR75" s="280"/>
      <c r="FS75" s="277"/>
      <c r="FT75" s="277"/>
      <c r="FU75" s="277"/>
      <c r="FV75" s="277"/>
      <c r="FW75" s="277"/>
      <c r="FX75" s="277"/>
      <c r="FY75" s="277"/>
      <c r="FZ75" s="277"/>
      <c r="GA75" s="277"/>
      <c r="GB75" s="277"/>
      <c r="GC75" s="277"/>
      <c r="GD75" s="277"/>
      <c r="GE75" s="277"/>
      <c r="GF75" s="277"/>
      <c r="GG75" s="277"/>
      <c r="GH75" s="277"/>
      <c r="GI75" s="277"/>
      <c r="GJ75" s="277"/>
      <c r="GK75" s="277"/>
      <c r="GL75" s="277"/>
      <c r="GM75" s="277"/>
      <c r="GN75" s="277"/>
      <c r="GO75" s="277"/>
      <c r="GP75" s="277"/>
      <c r="GQ75" s="277"/>
      <c r="GR75" s="277"/>
      <c r="GS75" s="277"/>
      <c r="GT75" s="277"/>
      <c r="GU75" s="277"/>
      <c r="GV75" s="277"/>
      <c r="GW75" s="277"/>
      <c r="GX75" s="277"/>
      <c r="GY75" s="277"/>
      <c r="GZ75" s="277"/>
      <c r="HA75" s="277"/>
      <c r="HB75" s="277"/>
      <c r="HC75" s="277"/>
      <c r="HD75" s="277"/>
      <c r="HE75" s="277"/>
      <c r="HF75" s="140"/>
      <c r="HG75" s="277"/>
      <c r="HH75" s="277"/>
      <c r="HI75" s="277"/>
      <c r="HJ75" s="140"/>
      <c r="HK75" s="277"/>
      <c r="HL75" s="277"/>
      <c r="HM75" s="277"/>
      <c r="HN75" s="140"/>
      <c r="HO75" s="277"/>
      <c r="HP75" s="277"/>
      <c r="HQ75" s="277"/>
      <c r="HR75" s="277"/>
      <c r="HS75" s="277"/>
      <c r="HT75" s="277"/>
      <c r="HU75" s="277"/>
      <c r="HV75" s="277"/>
      <c r="HW75" s="277"/>
      <c r="HX75" s="277"/>
      <c r="HY75" s="277"/>
      <c r="HZ75" s="140"/>
      <c r="IA75" s="277"/>
      <c r="IB75" s="277"/>
      <c r="IC75" s="277"/>
      <c r="ID75" s="140"/>
      <c r="IE75" s="277"/>
      <c r="IF75" s="277"/>
      <c r="IG75" s="277"/>
      <c r="IH75" s="140"/>
      <c r="II75" s="277"/>
      <c r="IJ75" s="277"/>
      <c r="IK75" s="277"/>
      <c r="IL75" s="140"/>
      <c r="IM75" s="277"/>
      <c r="IN75" s="277"/>
      <c r="IO75" s="277"/>
      <c r="IP75" s="277"/>
      <c r="IQ75" s="277"/>
      <c r="IR75" s="277"/>
      <c r="IS75" s="277"/>
      <c r="IT75" s="277"/>
      <c r="IU75" s="277"/>
      <c r="IV75" s="277"/>
      <c r="IW75" s="277"/>
      <c r="IX75" s="140"/>
      <c r="IY75" s="277"/>
      <c r="IZ75" s="277"/>
      <c r="JA75" s="277"/>
      <c r="JB75" s="140"/>
      <c r="JC75" s="277"/>
      <c r="JD75" s="277"/>
      <c r="JE75" s="277"/>
      <c r="JF75" s="140"/>
      <c r="JG75" s="277"/>
      <c r="JH75" s="277"/>
      <c r="JI75" s="140"/>
      <c r="JJ75" s="277"/>
      <c r="JK75" s="277"/>
      <c r="JL75" s="140"/>
      <c r="JM75" s="277"/>
      <c r="JN75" s="277"/>
      <c r="JO75" s="140"/>
      <c r="JP75" s="277"/>
      <c r="JQ75" s="277"/>
      <c r="JR75" s="277"/>
      <c r="JS75" s="277"/>
      <c r="JT75" s="277"/>
      <c r="JU75" s="277"/>
      <c r="JV75" s="277"/>
      <c r="JW75" s="277"/>
      <c r="JX75" s="277"/>
      <c r="JY75" s="277"/>
      <c r="JZ75" s="277"/>
      <c r="KA75" s="277"/>
      <c r="KB75" s="277"/>
      <c r="KC75" s="277"/>
      <c r="KD75" s="277"/>
      <c r="KE75" s="277"/>
      <c r="KF75" s="277"/>
      <c r="KG75" s="277"/>
      <c r="KH75" s="277"/>
      <c r="KI75" s="277"/>
      <c r="KJ75" s="277"/>
      <c r="KK75" s="277"/>
      <c r="KL75" s="277"/>
      <c r="KM75" s="277"/>
      <c r="KN75" s="277"/>
      <c r="KO75" s="277"/>
      <c r="KP75" s="274"/>
      <c r="KQ75" s="253"/>
      <c r="KR75" s="253"/>
      <c r="KY75" s="141">
        <f t="shared" si="25"/>
        <v>0</v>
      </c>
      <c r="KZ75" s="141">
        <f t="shared" si="26"/>
        <v>0</v>
      </c>
      <c r="LB75" s="141">
        <f t="shared" si="27"/>
        <v>1</v>
      </c>
      <c r="LC75" s="141">
        <f t="shared" si="28"/>
        <v>0</v>
      </c>
      <c r="LD75" s="141">
        <f t="shared" si="29"/>
        <v>0</v>
      </c>
      <c r="LE75" s="141" t="e">
        <f>((N(AU75)&gt;0)*(AX75&lt;&gt;"")+(N(AY75)&gt;0)*(BB75&lt;&gt;"")+(N(BC75)&gt;0)*(BF75&lt;&gt;"")+(N(BG75)&gt;0)*(BJ75&lt;&gt;"")+(N(BK75)&gt;0)*(BN75&lt;&gt;"")+(N(BO75)&gt;0)*(BR75&lt;&gt;"")+(N(BS75)&gt;0)*(BV75&lt;&gt;"")+(N(BW75)&gt;0)*(BZ75&lt;&gt;"")+(N(CA75)&gt;0)*(CD75&lt;&gt;"")+(N(CE75)&gt;0)*(CH75&lt;&gt;"")+(N(CI75)&gt;0)*(CL75&lt;&gt;"")+(N(CM75)&gt;0)*(CP75&lt;&gt;"")+(N(CQ75)&gt;0)*(CT75&lt;&gt;"")+(N(CU75)&gt;0)*(CX75&lt;&gt;"")+(N(CY75)&gt;0)*(DB75&lt;&gt;"")+(N(DC75)&gt;0)*(DF75&lt;&gt;"")+(N(DG75)&gt;0)*(DJ75&lt;&gt;"")+(N(DS75)&gt;0)*(DV75&lt;&gt;"")+(N(DW75)&gt;0)*(DZ75&lt;&gt;"")+(N(EA75)&gt;0)*(ED75&lt;&gt;"")+(N(EE75)&gt;0)*(EH75&lt;&gt;"")+(N(EI75)&gt;0)*(EL75&lt;&gt;"")+(N(EM75)&gt;0)*(EP75&lt;&gt;"")+(N(EQ75)&gt;0)*(ET75&lt;&gt;"")+(N(EU75)&gt;0)*(EX75&lt;&gt;"")+(N(#REF!)&gt;0)*(#REF!&lt;&gt;"")+(N(#REF!)&gt;0)*(#REF!&lt;&gt;"")+(N(FJ75)&gt;0)*(FM75&lt;&gt;"")+(N(FN75)&gt;0)*(FQ75&lt;&gt;"")+(N(#REF!)&gt;0)*(#REF!&lt;&gt;"")+(N(#REF!)&gt;0)*(#REF!&lt;&gt;"")+(N(HF75)&gt;0)*(HI75&lt;&gt;"")+(N(#REF!)&gt;0)*(#REF!&lt;&gt;"")+(N(HJ75)&gt;0)*(HM75&lt;&gt;"")+(N(HN75)&gt;0)*(HQ75&lt;&gt;"")+(N(HZ75)&gt;0)*(IC75&lt;&gt;"")+(N(ID75)&gt;0)*(IG75&lt;&gt;"")+(N(IH75)&gt;0)*(IK75&lt;&gt;"")+(N(IL75)&gt;0)*(IO75&lt;&gt;"")+(N(IX75)&gt;0)*(JA75&lt;&gt;"")+(N(JB75)&gt;0)*(JE75&lt;&gt;"")+(N(JF75)&gt;0)*(JH75&lt;&gt;"")+(N(JI75)&gt;0)*(JK75&lt;&gt;"")+(N(JL75)&gt;0)*(JN75&lt;&gt;"")+(N(JO75)&gt;0)*(JQ75&lt;&gt;""))</f>
        <v>#REF!</v>
      </c>
      <c r="LF75" s="141">
        <f t="shared" si="21"/>
        <v>0</v>
      </c>
      <c r="LG75" s="141">
        <f t="shared" si="30"/>
        <v>0</v>
      </c>
    </row>
    <row r="76" spans="1:319" ht="38.25" customHeight="1" x14ac:dyDescent="0.55000000000000004">
      <c r="B76" s="314" t="s">
        <v>428</v>
      </c>
      <c r="C76" s="218"/>
      <c r="D76" s="218"/>
      <c r="E76" s="218"/>
      <c r="F76" s="218"/>
      <c r="G76" s="218"/>
      <c r="H76" s="218"/>
      <c r="I76" s="162" cm="1">
        <f t="array" ref="I76">SUMPRODUCT(($AI$2:$KV$2&lt;&gt;"")*($AI76:$KV76&lt;&gt;""))</f>
        <v>1</v>
      </c>
      <c r="J76" s="142">
        <f t="shared" si="17"/>
        <v>0</v>
      </c>
      <c r="K76" s="142">
        <f t="shared" si="18"/>
        <v>0</v>
      </c>
      <c r="L76" s="268">
        <f t="shared" si="31"/>
        <v>7000</v>
      </c>
      <c r="M76" s="164">
        <f t="shared" si="22"/>
        <v>784</v>
      </c>
      <c r="N76" s="397"/>
      <c r="O76" s="165">
        <f t="shared" si="19"/>
        <v>0</v>
      </c>
      <c r="P76" s="165"/>
      <c r="Q76" s="165"/>
      <c r="R76" s="165">
        <f>(IFERROR(AM76/AN76,0)+IFERROR(AU76/AV76,0)+IFERROR(AY76/AZ76,0)+IFERROR(BC76/BD76,0)+IFERROR(BG76/BH76,0)+IFERROR(BK76/BL76,0)+IFERROR(BO76/BP76,0)+IFERROR(BS76/BT76,0)+IFERROR(BW76/BX76,0)+IFERROR(CA76/CB76,0)+IFERROR(CE76/CF76,0)+IFERROR(CI76/CJ76,0)+IFERROR(CM76/CN76,0)+IFERROR(CQ76/CR76,0)+IFERROR(CU76/CV76,0)+IFERROR(CY76/CZ76,0)+IFERROR(DC76/DD76,0)+IFERROR(DG76/DH76,0)+IFERROR(DS76/DT76,0)+IFERROR(DW76/DX76,0)+IFERROR(EA76/EB76,0)+IFERROR(EE76/EF76,0)+IFERROR(EI76/EJ76,0)+IFERROR(EM76/EN76,0)+IFERROR(EQ76/ER76,0)+IFERROR(EU76/EV76,0)+IFERROR(#REF!/#REF!,0)+IFERROR(#REF!/#REF!,0)+IFERROR(FJ76/FK76,0)+IFERROR(FN76/FO76,0)+IFERROR(#REF!/#REF!,0)+IFERROR(#REF!/#REF!,0)+IFERROR(HF76/HG76,0)+IFERROR(#REF!/#REF!,0)+IFERROR(HJ76/HK76,0)+IFERROR(HN76/HO76,0)+IFERROR(HZ76/IA76,0)+IFERROR(ID76/IE76,0)+IFERROR(IH76/II76,0)+IFERROR(IL76/IM76,0)+IFERROR(IX76/IY76,0)+IFERROR(JB76/JC76,0)+IFERROR(JF76/JG76,0)+IFERROR(JI76/JJ76,0)+IFERROR(JL76/JM76,0)+IFERROR(JO76/JP76,0))*L76*(C76+D76+E76+I76)</f>
        <v>0</v>
      </c>
      <c r="S76" s="165"/>
      <c r="T76" s="165">
        <f t="shared" si="23"/>
        <v>0</v>
      </c>
      <c r="U76" s="165"/>
      <c r="V76" s="165"/>
      <c r="W76" s="165"/>
      <c r="X76" s="165">
        <f>(IFERROR(FF76/FG76,0)+IFERROR(FC76/FD76,0)+IFERROR(#REF!/#REF!,0)+IFERROR(KP76/KQ76,0))*L76*(C76+D76+E76+I76)</f>
        <v>0</v>
      </c>
      <c r="Y76" s="484"/>
      <c r="Z76" s="484"/>
      <c r="AA76" s="484"/>
      <c r="AB76" s="484"/>
      <c r="AC76" s="150">
        <f t="shared" si="20"/>
        <v>0</v>
      </c>
      <c r="AD76" s="150"/>
      <c r="AE76" s="150">
        <f t="shared" si="24"/>
        <v>0</v>
      </c>
      <c r="AF76" s="161"/>
      <c r="AG76" s="143"/>
      <c r="AH76" s="154"/>
      <c r="AI76" s="342">
        <v>28</v>
      </c>
      <c r="AJ76" s="342">
        <v>250</v>
      </c>
      <c r="AK76" s="342"/>
      <c r="AL76" s="343" t="s">
        <v>545</v>
      </c>
      <c r="AM76" s="140"/>
      <c r="AN76" s="154"/>
      <c r="AO76" s="154"/>
      <c r="AP76" s="220"/>
      <c r="AQ76" s="145"/>
      <c r="AR76" s="154"/>
      <c r="AS76" s="154"/>
      <c r="AT76" s="220"/>
      <c r="AU76" s="140"/>
      <c r="AV76" s="277"/>
      <c r="AW76" s="277"/>
      <c r="AX76" s="277"/>
      <c r="AY76" s="140"/>
      <c r="AZ76" s="277"/>
      <c r="BA76" s="277"/>
      <c r="BB76" s="277"/>
      <c r="BC76" s="140"/>
      <c r="BD76" s="277"/>
      <c r="BE76" s="277"/>
      <c r="BF76" s="277"/>
      <c r="BG76" s="140"/>
      <c r="BH76" s="277"/>
      <c r="BI76" s="277"/>
      <c r="BJ76" s="277"/>
      <c r="BK76" s="140"/>
      <c r="BL76" s="277"/>
      <c r="BM76" s="277"/>
      <c r="BN76" s="277"/>
      <c r="BO76" s="140"/>
      <c r="BP76" s="277"/>
      <c r="BQ76" s="277"/>
      <c r="BR76" s="277"/>
      <c r="BS76" s="140"/>
      <c r="BT76" s="277"/>
      <c r="BU76" s="277"/>
      <c r="BV76" s="277"/>
      <c r="BW76" s="140"/>
      <c r="BX76" s="154"/>
      <c r="BY76" s="154"/>
      <c r="BZ76" s="220"/>
      <c r="CA76" s="140"/>
      <c r="CB76" s="154"/>
      <c r="CC76" s="154"/>
      <c r="CD76" s="220"/>
      <c r="CE76" s="140"/>
      <c r="CF76" s="271"/>
      <c r="CG76" s="271"/>
      <c r="CH76" s="271"/>
      <c r="CI76" s="140"/>
      <c r="CJ76" s="154"/>
      <c r="CK76" s="154"/>
      <c r="CL76" s="154"/>
      <c r="CM76" s="140"/>
      <c r="CN76" s="271"/>
      <c r="CO76" s="271"/>
      <c r="CP76" s="271"/>
      <c r="CQ76" s="140"/>
      <c r="CR76" s="154"/>
      <c r="CS76" s="154"/>
      <c r="CT76" s="154"/>
      <c r="CU76" s="140"/>
      <c r="CV76" s="154"/>
      <c r="CW76" s="154"/>
      <c r="CX76" s="220"/>
      <c r="CY76" s="140"/>
      <c r="CZ76" s="154"/>
      <c r="DA76" s="154"/>
      <c r="DB76" s="220"/>
      <c r="DC76" s="140"/>
      <c r="DD76" s="146"/>
      <c r="DE76" s="146"/>
      <c r="DF76" s="146"/>
      <c r="DG76" s="140"/>
      <c r="DH76" s="146"/>
      <c r="DI76" s="146"/>
      <c r="DJ76" s="146"/>
      <c r="DK76" s="146"/>
      <c r="DL76" s="146"/>
      <c r="DM76" s="146"/>
      <c r="DN76" s="146"/>
      <c r="DO76" s="146"/>
      <c r="DP76" s="146"/>
      <c r="DQ76" s="146"/>
      <c r="DR76" s="146"/>
      <c r="DS76" s="140"/>
      <c r="DT76" s="154"/>
      <c r="DU76" s="154"/>
      <c r="DV76" s="154"/>
      <c r="DW76" s="140"/>
      <c r="DX76" s="220"/>
      <c r="DY76" s="220"/>
      <c r="DZ76" s="220"/>
      <c r="EA76" s="140"/>
      <c r="EB76" s="220"/>
      <c r="EC76" s="220"/>
      <c r="ED76" s="220"/>
      <c r="EE76" s="140"/>
      <c r="EF76" s="154"/>
      <c r="EG76" s="154"/>
      <c r="EH76" s="154"/>
      <c r="EI76" s="140"/>
      <c r="EJ76" s="154"/>
      <c r="EK76" s="154"/>
      <c r="EL76" s="154"/>
      <c r="EM76" s="140"/>
      <c r="EN76" s="222"/>
      <c r="EO76" s="222"/>
      <c r="EP76" s="222"/>
      <c r="EQ76" s="140"/>
      <c r="ER76" s="222"/>
      <c r="ES76" s="222"/>
      <c r="ET76" s="222"/>
      <c r="EU76" s="140"/>
      <c r="EV76" s="222"/>
      <c r="EW76" s="222"/>
      <c r="EX76" s="222"/>
      <c r="EY76" s="344"/>
      <c r="EZ76" s="222"/>
      <c r="FA76" s="222"/>
      <c r="FB76" s="222"/>
      <c r="FC76" s="273"/>
      <c r="FD76" s="223"/>
      <c r="FE76" s="223"/>
      <c r="FF76" s="276"/>
      <c r="FG76" s="156"/>
      <c r="FH76" s="156"/>
      <c r="FI76" s="156"/>
      <c r="FJ76" s="140"/>
      <c r="FK76" s="277"/>
      <c r="FL76" s="277"/>
      <c r="FM76" s="277"/>
      <c r="FN76" s="140"/>
      <c r="FO76" s="277"/>
      <c r="FP76" s="277"/>
      <c r="FQ76" s="277"/>
      <c r="FR76" s="280"/>
      <c r="FS76" s="277"/>
      <c r="FT76" s="277"/>
      <c r="FU76" s="277"/>
      <c r="FV76" s="277"/>
      <c r="FW76" s="277"/>
      <c r="FX76" s="277"/>
      <c r="FY76" s="277"/>
      <c r="FZ76" s="277"/>
      <c r="GA76" s="277"/>
      <c r="GB76" s="277"/>
      <c r="GC76" s="277"/>
      <c r="GD76" s="277"/>
      <c r="GE76" s="277"/>
      <c r="GF76" s="277"/>
      <c r="GG76" s="277"/>
      <c r="GH76" s="277"/>
      <c r="GI76" s="277"/>
      <c r="GJ76" s="277"/>
      <c r="GK76" s="277"/>
      <c r="GL76" s="277"/>
      <c r="GM76" s="277"/>
      <c r="GN76" s="277"/>
      <c r="GO76" s="277"/>
      <c r="GP76" s="277"/>
      <c r="GQ76" s="277"/>
      <c r="GR76" s="277"/>
      <c r="GS76" s="277"/>
      <c r="GT76" s="277"/>
      <c r="GU76" s="277"/>
      <c r="GV76" s="277"/>
      <c r="GW76" s="277"/>
      <c r="GX76" s="277"/>
      <c r="GY76" s="277"/>
      <c r="GZ76" s="277"/>
      <c r="HA76" s="277"/>
      <c r="HB76" s="277"/>
      <c r="HC76" s="277"/>
      <c r="HD76" s="277"/>
      <c r="HE76" s="277"/>
      <c r="HF76" s="140"/>
      <c r="HG76" s="277"/>
      <c r="HH76" s="277"/>
      <c r="HI76" s="277"/>
      <c r="HJ76" s="140"/>
      <c r="HK76" s="277"/>
      <c r="HL76" s="277"/>
      <c r="HM76" s="277"/>
      <c r="HN76" s="140"/>
      <c r="HO76" s="277"/>
      <c r="HP76" s="277"/>
      <c r="HQ76" s="277"/>
      <c r="HR76" s="277"/>
      <c r="HS76" s="277"/>
      <c r="HT76" s="277"/>
      <c r="HU76" s="277"/>
      <c r="HV76" s="277"/>
      <c r="HW76" s="277"/>
      <c r="HX76" s="277"/>
      <c r="HY76" s="277"/>
      <c r="HZ76" s="140"/>
      <c r="IA76" s="277"/>
      <c r="IB76" s="277"/>
      <c r="IC76" s="277"/>
      <c r="ID76" s="140"/>
      <c r="IE76" s="277"/>
      <c r="IF76" s="277"/>
      <c r="IG76" s="277"/>
      <c r="IH76" s="140"/>
      <c r="II76" s="277"/>
      <c r="IJ76" s="277"/>
      <c r="IK76" s="277"/>
      <c r="IL76" s="140"/>
      <c r="IM76" s="277"/>
      <c r="IN76" s="277"/>
      <c r="IO76" s="277"/>
      <c r="IP76" s="277"/>
      <c r="IQ76" s="277"/>
      <c r="IR76" s="277"/>
      <c r="IS76" s="277"/>
      <c r="IT76" s="277"/>
      <c r="IU76" s="277"/>
      <c r="IV76" s="277"/>
      <c r="IW76" s="277"/>
      <c r="IX76" s="140"/>
      <c r="IY76" s="277"/>
      <c r="IZ76" s="277"/>
      <c r="JA76" s="277"/>
      <c r="JB76" s="140"/>
      <c r="JC76" s="277"/>
      <c r="JD76" s="277"/>
      <c r="JE76" s="277"/>
      <c r="JF76" s="140"/>
      <c r="JG76" s="277"/>
      <c r="JH76" s="277"/>
      <c r="JI76" s="140"/>
      <c r="JJ76" s="277"/>
      <c r="JK76" s="277"/>
      <c r="JL76" s="140"/>
      <c r="JM76" s="277"/>
      <c r="JN76" s="277"/>
      <c r="JO76" s="140"/>
      <c r="JP76" s="277"/>
      <c r="JQ76" s="277"/>
      <c r="JR76" s="277"/>
      <c r="JS76" s="277"/>
      <c r="JT76" s="277"/>
      <c r="JU76" s="277"/>
      <c r="JV76" s="277"/>
      <c r="JW76" s="277"/>
      <c r="JX76" s="277"/>
      <c r="JY76" s="277"/>
      <c r="JZ76" s="277"/>
      <c r="KA76" s="277"/>
      <c r="KB76" s="277"/>
      <c r="KC76" s="277"/>
      <c r="KD76" s="277"/>
      <c r="KE76" s="277"/>
      <c r="KF76" s="277"/>
      <c r="KG76" s="277"/>
      <c r="KH76" s="277"/>
      <c r="KI76" s="277"/>
      <c r="KJ76" s="277"/>
      <c r="KK76" s="277"/>
      <c r="KL76" s="277"/>
      <c r="KM76" s="277"/>
      <c r="KN76" s="277"/>
      <c r="KO76" s="277"/>
      <c r="KP76" s="274"/>
      <c r="KQ76" s="253"/>
      <c r="KR76" s="253"/>
      <c r="KY76" s="141">
        <f t="shared" si="25"/>
        <v>0</v>
      </c>
      <c r="KZ76" s="141">
        <f t="shared" si="26"/>
        <v>0</v>
      </c>
      <c r="LB76" s="141">
        <f t="shared" si="27"/>
        <v>1</v>
      </c>
      <c r="LC76" s="141">
        <f t="shared" si="28"/>
        <v>0</v>
      </c>
      <c r="LD76" s="141">
        <f t="shared" si="29"/>
        <v>0</v>
      </c>
      <c r="LE76" s="141" t="e">
        <f>((N(AU76)&gt;0)*(AX76&lt;&gt;"")+(N(AY76)&gt;0)*(BB76&lt;&gt;"")+(N(BC76)&gt;0)*(BF76&lt;&gt;"")+(N(BG76)&gt;0)*(BJ76&lt;&gt;"")+(N(BK76)&gt;0)*(BN76&lt;&gt;"")+(N(BO76)&gt;0)*(BR76&lt;&gt;"")+(N(BS76)&gt;0)*(BV76&lt;&gt;"")+(N(BW76)&gt;0)*(BZ76&lt;&gt;"")+(N(CA76)&gt;0)*(CD76&lt;&gt;"")+(N(CE76)&gt;0)*(CH76&lt;&gt;"")+(N(CI76)&gt;0)*(CL76&lt;&gt;"")+(N(CM76)&gt;0)*(CP76&lt;&gt;"")+(N(CQ76)&gt;0)*(CT76&lt;&gt;"")+(N(CU76)&gt;0)*(CX76&lt;&gt;"")+(N(CY76)&gt;0)*(DB76&lt;&gt;"")+(N(DC76)&gt;0)*(DF76&lt;&gt;"")+(N(DG76)&gt;0)*(DJ76&lt;&gt;"")+(N(DS76)&gt;0)*(DV76&lt;&gt;"")+(N(DW76)&gt;0)*(DZ76&lt;&gt;"")+(N(EA76)&gt;0)*(ED76&lt;&gt;"")+(N(EE76)&gt;0)*(EH76&lt;&gt;"")+(N(EI76)&gt;0)*(EL76&lt;&gt;"")+(N(EM76)&gt;0)*(EP76&lt;&gt;"")+(N(EQ76)&gt;0)*(ET76&lt;&gt;"")+(N(EU76)&gt;0)*(EX76&lt;&gt;"")+(N(#REF!)&gt;0)*(#REF!&lt;&gt;"")+(N(#REF!)&gt;0)*(#REF!&lt;&gt;"")+(N(FJ76)&gt;0)*(FM76&lt;&gt;"")+(N(FN76)&gt;0)*(FQ76&lt;&gt;"")+(N(#REF!)&gt;0)*(#REF!&lt;&gt;"")+(N(#REF!)&gt;0)*(#REF!&lt;&gt;"")+(N(HF76)&gt;0)*(HI76&lt;&gt;"")+(N(#REF!)&gt;0)*(#REF!&lt;&gt;"")+(N(HJ76)&gt;0)*(HM76&lt;&gt;"")+(N(HN76)&gt;0)*(HQ76&lt;&gt;"")+(N(HZ76)&gt;0)*(IC76&lt;&gt;"")+(N(ID76)&gt;0)*(IG76&lt;&gt;"")+(N(IH76)&gt;0)*(IK76&lt;&gt;"")+(N(IL76)&gt;0)*(IO76&lt;&gt;"")+(N(IX76)&gt;0)*(JA76&lt;&gt;"")+(N(JB76)&gt;0)*(JE76&lt;&gt;"")+(N(JF76)&gt;0)*(JH76&lt;&gt;"")+(N(JI76)&gt;0)*(JK76&lt;&gt;"")+(N(JL76)&gt;0)*(JN76&lt;&gt;"")+(N(JO76)&gt;0)*(JQ76&lt;&gt;""))</f>
        <v>#REF!</v>
      </c>
      <c r="LF76" s="141">
        <f t="shared" si="21"/>
        <v>0</v>
      </c>
      <c r="LG76" s="141">
        <f t="shared" si="30"/>
        <v>0</v>
      </c>
    </row>
    <row r="77" spans="1:319" ht="38.25" customHeight="1" x14ac:dyDescent="0.55000000000000004">
      <c r="B77" s="314" t="s">
        <v>426</v>
      </c>
      <c r="C77" s="396">
        <v>4</v>
      </c>
      <c r="D77" s="396">
        <v>4</v>
      </c>
      <c r="E77" s="396">
        <v>4</v>
      </c>
      <c r="F77" s="218"/>
      <c r="G77" s="218"/>
      <c r="H77" s="218"/>
      <c r="I77" s="162" cm="1">
        <f t="array" ref="I77">SUMPRODUCT(($AI$2:$KV$2&lt;&gt;"")*($AI77:$KV77&lt;&gt;""))</f>
        <v>1</v>
      </c>
      <c r="J77" s="142">
        <f t="shared" si="17"/>
        <v>4</v>
      </c>
      <c r="K77" s="142">
        <f t="shared" si="18"/>
        <v>56</v>
      </c>
      <c r="L77" s="268">
        <f t="shared" si="31"/>
        <v>7000</v>
      </c>
      <c r="M77" s="164">
        <f t="shared" si="22"/>
        <v>10192</v>
      </c>
      <c r="N77" s="397"/>
      <c r="O77" s="165">
        <f t="shared" si="19"/>
        <v>0</v>
      </c>
      <c r="P77" s="165"/>
      <c r="Q77" s="165"/>
      <c r="R77" s="165">
        <f>(IFERROR(AM77/AN77,0)+IFERROR(AU77/AV77,0)+IFERROR(AY77/AZ77,0)+IFERROR(BC77/BD77,0)+IFERROR(BG77/BH77,0)+IFERROR(BK77/BL77,0)+IFERROR(BO77/BP77,0)+IFERROR(BS77/BT77,0)+IFERROR(BW77/BX77,0)+IFERROR(CA77/CB77,0)+IFERROR(CE77/CF77,0)+IFERROR(CI77/CJ77,0)+IFERROR(CM77/CN77,0)+IFERROR(CQ77/CR77,0)+IFERROR(CU77/CV77,0)+IFERROR(CY77/CZ77,0)+IFERROR(DC77/DD77,0)+IFERROR(DG77/DH77,0)+IFERROR(DS77/DT77,0)+IFERROR(DW77/DX77,0)+IFERROR(EA77/EB77,0)+IFERROR(EE77/EF77,0)+IFERROR(EI77/EJ77,0)+IFERROR(EM77/EN77,0)+IFERROR(EQ77/ER77,0)+IFERROR(EU77/EV77,0)+IFERROR(#REF!/#REF!,0)+IFERROR(#REF!/#REF!,0)+IFERROR(FJ77/FK77,0)+IFERROR(FN77/FO77,0)+IFERROR(#REF!/#REF!,0)+IFERROR(#REF!/#REF!,0)+IFERROR(HF77/HG77,0)+IFERROR(#REF!/#REF!,0)+IFERROR(HJ77/HK77,0)+IFERROR(HN77/HO77,0)+IFERROR(HZ77/IA77,0)+IFERROR(ID77/IE77,0)+IFERROR(IH77/II77,0)+IFERROR(IL77/IM77,0)+IFERROR(IX77/IY77,0)+IFERROR(JB77/JC77,0)+IFERROR(JF77/JG77,0)+IFERROR(JI77/JJ77,0)+IFERROR(JL77/JM77,0)+IFERROR(JO77/JP77,0))*L77*(C77+D77+E77+I77)</f>
        <v>0</v>
      </c>
      <c r="S77" s="165"/>
      <c r="T77" s="165">
        <f t="shared" si="23"/>
        <v>0</v>
      </c>
      <c r="U77" s="165"/>
      <c r="V77" s="165"/>
      <c r="W77" s="165"/>
      <c r="X77" s="165">
        <f>(IFERROR(FF77/FG77,0)+IFERROR(FC77/FD77,0)+IFERROR(#REF!/#REF!,0)+IFERROR(KP77/KQ77,0))*L77*(C77+D77+E77+I77)</f>
        <v>0</v>
      </c>
      <c r="Y77" s="484"/>
      <c r="Z77" s="484"/>
      <c r="AA77" s="484"/>
      <c r="AB77" s="484"/>
      <c r="AC77" s="150">
        <f t="shared" si="20"/>
        <v>0</v>
      </c>
      <c r="AD77" s="150"/>
      <c r="AE77" s="150">
        <f t="shared" si="24"/>
        <v>0</v>
      </c>
      <c r="AF77" s="161"/>
      <c r="AG77" s="143"/>
      <c r="AH77" s="154"/>
      <c r="AI77" s="342">
        <v>28</v>
      </c>
      <c r="AJ77" s="342">
        <v>250</v>
      </c>
      <c r="AK77" s="342"/>
      <c r="AL77" s="343" t="s">
        <v>545</v>
      </c>
      <c r="AM77" s="140"/>
      <c r="AN77" s="154"/>
      <c r="AO77" s="154"/>
      <c r="AP77" s="220"/>
      <c r="AQ77" s="145"/>
      <c r="AR77" s="154"/>
      <c r="AS77" s="154"/>
      <c r="AT77" s="220"/>
      <c r="AU77" s="140"/>
      <c r="AV77" s="277"/>
      <c r="AW77" s="277"/>
      <c r="AX77" s="277"/>
      <c r="AY77" s="140"/>
      <c r="AZ77" s="277"/>
      <c r="BA77" s="277"/>
      <c r="BB77" s="277"/>
      <c r="BC77" s="140"/>
      <c r="BD77" s="277"/>
      <c r="BE77" s="277"/>
      <c r="BF77" s="277"/>
      <c r="BG77" s="140"/>
      <c r="BH77" s="277"/>
      <c r="BI77" s="277"/>
      <c r="BJ77" s="277"/>
      <c r="BK77" s="140"/>
      <c r="BL77" s="277"/>
      <c r="BM77" s="277"/>
      <c r="BN77" s="277"/>
      <c r="BO77" s="140"/>
      <c r="BP77" s="277"/>
      <c r="BQ77" s="277"/>
      <c r="BR77" s="277"/>
      <c r="BS77" s="140"/>
      <c r="BT77" s="277"/>
      <c r="BU77" s="277"/>
      <c r="BV77" s="277"/>
      <c r="BW77" s="140"/>
      <c r="BX77" s="154"/>
      <c r="BY77" s="154"/>
      <c r="BZ77" s="220"/>
      <c r="CA77" s="140"/>
      <c r="CB77" s="154"/>
      <c r="CC77" s="154"/>
      <c r="CD77" s="220"/>
      <c r="CE77" s="140"/>
      <c r="CF77" s="271"/>
      <c r="CG77" s="271"/>
      <c r="CH77" s="271"/>
      <c r="CI77" s="140"/>
      <c r="CJ77" s="154"/>
      <c r="CK77" s="154"/>
      <c r="CL77" s="154"/>
      <c r="CM77" s="140"/>
      <c r="CN77" s="271"/>
      <c r="CO77" s="271"/>
      <c r="CP77" s="271"/>
      <c r="CQ77" s="140"/>
      <c r="CR77" s="154"/>
      <c r="CS77" s="154"/>
      <c r="CT77" s="154"/>
      <c r="CU77" s="140"/>
      <c r="CV77" s="154"/>
      <c r="CW77" s="154"/>
      <c r="CX77" s="220"/>
      <c r="CY77" s="140"/>
      <c r="CZ77" s="154"/>
      <c r="DA77" s="154"/>
      <c r="DB77" s="220"/>
      <c r="DC77" s="140"/>
      <c r="DD77" s="146"/>
      <c r="DE77" s="146"/>
      <c r="DF77" s="146"/>
      <c r="DG77" s="140"/>
      <c r="DH77" s="146"/>
      <c r="DI77" s="146"/>
      <c r="DJ77" s="146"/>
      <c r="DK77" s="146"/>
      <c r="DL77" s="146"/>
      <c r="DM77" s="146"/>
      <c r="DN77" s="146"/>
      <c r="DO77" s="146"/>
      <c r="DP77" s="146"/>
      <c r="DQ77" s="146"/>
      <c r="DR77" s="146"/>
      <c r="DS77" s="140"/>
      <c r="DT77" s="154"/>
      <c r="DU77" s="154"/>
      <c r="DV77" s="154"/>
      <c r="DW77" s="140"/>
      <c r="DX77" s="220"/>
      <c r="DY77" s="220"/>
      <c r="DZ77" s="220"/>
      <c r="EA77" s="140"/>
      <c r="EB77" s="220"/>
      <c r="EC77" s="220"/>
      <c r="ED77" s="220"/>
      <c r="EE77" s="140"/>
      <c r="EF77" s="154"/>
      <c r="EG77" s="154"/>
      <c r="EH77" s="154"/>
      <c r="EI77" s="140"/>
      <c r="EJ77" s="154"/>
      <c r="EK77" s="154"/>
      <c r="EL77" s="154"/>
      <c r="EM77" s="140"/>
      <c r="EN77" s="222"/>
      <c r="EO77" s="222"/>
      <c r="EP77" s="222"/>
      <c r="EQ77" s="140"/>
      <c r="ER77" s="222"/>
      <c r="ES77" s="222"/>
      <c r="ET77" s="222"/>
      <c r="EU77" s="140"/>
      <c r="EV77" s="222"/>
      <c r="EW77" s="222"/>
      <c r="EX77" s="222"/>
      <c r="EY77" s="344"/>
      <c r="EZ77" s="222"/>
      <c r="FA77" s="222"/>
      <c r="FB77" s="222"/>
      <c r="FC77" s="273"/>
      <c r="FD77" s="223"/>
      <c r="FE77" s="223"/>
      <c r="FF77" s="276"/>
      <c r="FG77" s="156"/>
      <c r="FH77" s="156"/>
      <c r="FI77" s="156"/>
      <c r="FJ77" s="140"/>
      <c r="FK77" s="277"/>
      <c r="FL77" s="277"/>
      <c r="FM77" s="277"/>
      <c r="FN77" s="140"/>
      <c r="FO77" s="277"/>
      <c r="FP77" s="277"/>
      <c r="FQ77" s="277"/>
      <c r="FR77" s="280"/>
      <c r="FS77" s="277"/>
      <c r="FT77" s="277"/>
      <c r="FU77" s="277"/>
      <c r="FV77" s="277"/>
      <c r="FW77" s="277"/>
      <c r="FX77" s="277"/>
      <c r="FY77" s="277"/>
      <c r="FZ77" s="277"/>
      <c r="GA77" s="277"/>
      <c r="GB77" s="277"/>
      <c r="GC77" s="277"/>
      <c r="GD77" s="277"/>
      <c r="GE77" s="277"/>
      <c r="GF77" s="277"/>
      <c r="GG77" s="277"/>
      <c r="GH77" s="277"/>
      <c r="GI77" s="277"/>
      <c r="GJ77" s="277"/>
      <c r="GK77" s="277"/>
      <c r="GL77" s="277"/>
      <c r="GM77" s="277"/>
      <c r="GN77" s="277"/>
      <c r="GO77" s="277"/>
      <c r="GP77" s="277"/>
      <c r="GQ77" s="277"/>
      <c r="GR77" s="277"/>
      <c r="GS77" s="277"/>
      <c r="GT77" s="277"/>
      <c r="GU77" s="277"/>
      <c r="GV77" s="277"/>
      <c r="GW77" s="277"/>
      <c r="GX77" s="277"/>
      <c r="GY77" s="277"/>
      <c r="GZ77" s="277"/>
      <c r="HA77" s="277"/>
      <c r="HB77" s="277"/>
      <c r="HC77" s="277"/>
      <c r="HD77" s="277"/>
      <c r="HE77" s="277"/>
      <c r="HF77" s="140"/>
      <c r="HG77" s="277"/>
      <c r="HH77" s="277"/>
      <c r="HI77" s="277"/>
      <c r="HJ77" s="140"/>
      <c r="HK77" s="277"/>
      <c r="HL77" s="277"/>
      <c r="HM77" s="277"/>
      <c r="HN77" s="140"/>
      <c r="HO77" s="277"/>
      <c r="HP77" s="277"/>
      <c r="HQ77" s="277"/>
      <c r="HR77" s="277"/>
      <c r="HS77" s="277"/>
      <c r="HT77" s="277"/>
      <c r="HU77" s="277"/>
      <c r="HV77" s="277"/>
      <c r="HW77" s="277"/>
      <c r="HX77" s="277"/>
      <c r="HY77" s="277"/>
      <c r="HZ77" s="140"/>
      <c r="IA77" s="277"/>
      <c r="IB77" s="277"/>
      <c r="IC77" s="277"/>
      <c r="ID77" s="140"/>
      <c r="IE77" s="277"/>
      <c r="IF77" s="277"/>
      <c r="IG77" s="277"/>
      <c r="IH77" s="140"/>
      <c r="II77" s="277"/>
      <c r="IJ77" s="277"/>
      <c r="IK77" s="277"/>
      <c r="IL77" s="140"/>
      <c r="IM77" s="277"/>
      <c r="IN77" s="277"/>
      <c r="IO77" s="277"/>
      <c r="IP77" s="277"/>
      <c r="IQ77" s="277"/>
      <c r="IR77" s="277"/>
      <c r="IS77" s="277"/>
      <c r="IT77" s="277"/>
      <c r="IU77" s="277"/>
      <c r="IV77" s="277"/>
      <c r="IW77" s="277"/>
      <c r="IX77" s="140"/>
      <c r="IY77" s="277"/>
      <c r="IZ77" s="277"/>
      <c r="JA77" s="277"/>
      <c r="JB77" s="140"/>
      <c r="JC77" s="277"/>
      <c r="JD77" s="277"/>
      <c r="JE77" s="277"/>
      <c r="JF77" s="140"/>
      <c r="JG77" s="277"/>
      <c r="JH77" s="277"/>
      <c r="JI77" s="140"/>
      <c r="JJ77" s="277"/>
      <c r="JK77" s="277"/>
      <c r="JL77" s="140"/>
      <c r="JM77" s="277"/>
      <c r="JN77" s="277"/>
      <c r="JO77" s="140"/>
      <c r="JP77" s="277"/>
      <c r="JQ77" s="277"/>
      <c r="JR77" s="277"/>
      <c r="JS77" s="277"/>
      <c r="JT77" s="277"/>
      <c r="JU77" s="277"/>
      <c r="JV77" s="277"/>
      <c r="JW77" s="277"/>
      <c r="JX77" s="277"/>
      <c r="JY77" s="277"/>
      <c r="JZ77" s="277"/>
      <c r="KA77" s="277"/>
      <c r="KB77" s="277"/>
      <c r="KC77" s="277"/>
      <c r="KD77" s="277"/>
      <c r="KE77" s="277"/>
      <c r="KF77" s="277"/>
      <c r="KG77" s="277"/>
      <c r="KH77" s="277"/>
      <c r="KI77" s="277"/>
      <c r="KJ77" s="277"/>
      <c r="KK77" s="277"/>
      <c r="KL77" s="277"/>
      <c r="KM77" s="277"/>
      <c r="KN77" s="277"/>
      <c r="KO77" s="277"/>
      <c r="KP77" s="274"/>
      <c r="KQ77" s="253"/>
      <c r="KR77" s="253"/>
      <c r="KY77" s="141">
        <f t="shared" si="25"/>
        <v>0</v>
      </c>
      <c r="KZ77" s="141">
        <f t="shared" si="26"/>
        <v>0</v>
      </c>
      <c r="LB77" s="141">
        <f t="shared" si="27"/>
        <v>1</v>
      </c>
      <c r="LC77" s="141">
        <f t="shared" si="28"/>
        <v>0</v>
      </c>
      <c r="LD77" s="141">
        <f t="shared" si="29"/>
        <v>0</v>
      </c>
      <c r="LE77" s="141" t="e">
        <f>((N(AU77)&gt;0)*(AX77&lt;&gt;"")+(N(AY77)&gt;0)*(BB77&lt;&gt;"")+(N(BC77)&gt;0)*(BF77&lt;&gt;"")+(N(BG77)&gt;0)*(BJ77&lt;&gt;"")+(N(BK77)&gt;0)*(BN77&lt;&gt;"")+(N(BO77)&gt;0)*(BR77&lt;&gt;"")+(N(BS77)&gt;0)*(BV77&lt;&gt;"")+(N(BW77)&gt;0)*(BZ77&lt;&gt;"")+(N(CA77)&gt;0)*(CD77&lt;&gt;"")+(N(CE77)&gt;0)*(CH77&lt;&gt;"")+(N(CI77)&gt;0)*(CL77&lt;&gt;"")+(N(CM77)&gt;0)*(CP77&lt;&gt;"")+(N(CQ77)&gt;0)*(CT77&lt;&gt;"")+(N(CU77)&gt;0)*(CX77&lt;&gt;"")+(N(CY77)&gt;0)*(DB77&lt;&gt;"")+(N(DC77)&gt;0)*(DF77&lt;&gt;"")+(N(DG77)&gt;0)*(DJ77&lt;&gt;"")+(N(DS77)&gt;0)*(DV77&lt;&gt;"")+(N(DW77)&gt;0)*(DZ77&lt;&gt;"")+(N(EA77)&gt;0)*(ED77&lt;&gt;"")+(N(EE77)&gt;0)*(EH77&lt;&gt;"")+(N(EI77)&gt;0)*(EL77&lt;&gt;"")+(N(EM77)&gt;0)*(EP77&lt;&gt;"")+(N(EQ77)&gt;0)*(ET77&lt;&gt;"")+(N(EU77)&gt;0)*(EX77&lt;&gt;"")+(N(#REF!)&gt;0)*(#REF!&lt;&gt;"")+(N(#REF!)&gt;0)*(#REF!&lt;&gt;"")+(N(FJ77)&gt;0)*(FM77&lt;&gt;"")+(N(FN77)&gt;0)*(FQ77&lt;&gt;"")+(N(#REF!)&gt;0)*(#REF!&lt;&gt;"")+(N(#REF!)&gt;0)*(#REF!&lt;&gt;"")+(N(HF77)&gt;0)*(HI77&lt;&gt;"")+(N(#REF!)&gt;0)*(#REF!&lt;&gt;"")+(N(HJ77)&gt;0)*(HM77&lt;&gt;"")+(N(HN77)&gt;0)*(HQ77&lt;&gt;"")+(N(HZ77)&gt;0)*(IC77&lt;&gt;"")+(N(ID77)&gt;0)*(IG77&lt;&gt;"")+(N(IH77)&gt;0)*(IK77&lt;&gt;"")+(N(IL77)&gt;0)*(IO77&lt;&gt;"")+(N(IX77)&gt;0)*(JA77&lt;&gt;"")+(N(JB77)&gt;0)*(JE77&lt;&gt;"")+(N(JF77)&gt;0)*(JH77&lt;&gt;"")+(N(JI77)&gt;0)*(JK77&lt;&gt;"")+(N(JL77)&gt;0)*(JN77&lt;&gt;"")+(N(JO77)&gt;0)*(JQ77&lt;&gt;""))</f>
        <v>#REF!</v>
      </c>
      <c r="LF77" s="141">
        <f t="shared" si="21"/>
        <v>0</v>
      </c>
      <c r="LG77" s="141">
        <f t="shared" si="30"/>
        <v>0</v>
      </c>
    </row>
    <row r="78" spans="1:319" ht="38.25" customHeight="1" x14ac:dyDescent="0.55000000000000004">
      <c r="B78" s="314" t="s">
        <v>427</v>
      </c>
      <c r="C78" s="218"/>
      <c r="D78" s="218"/>
      <c r="E78" s="218"/>
      <c r="F78" s="218"/>
      <c r="G78" s="218"/>
      <c r="H78" s="218"/>
      <c r="I78" s="162" cm="1">
        <f t="array" ref="I78">SUMPRODUCT(($AI$2:$KV$2&lt;&gt;"")*($AI78:$KV78&lt;&gt;""))</f>
        <v>1</v>
      </c>
      <c r="J78" s="142">
        <f t="shared" si="17"/>
        <v>0</v>
      </c>
      <c r="K78" s="142">
        <f t="shared" si="18"/>
        <v>0</v>
      </c>
      <c r="L78" s="268">
        <f t="shared" si="31"/>
        <v>7000</v>
      </c>
      <c r="M78" s="164">
        <f t="shared" si="22"/>
        <v>784</v>
      </c>
      <c r="N78" s="397"/>
      <c r="O78" s="165">
        <f t="shared" si="19"/>
        <v>0</v>
      </c>
      <c r="P78" s="165"/>
      <c r="Q78" s="165"/>
      <c r="R78" s="165">
        <f>(IFERROR(AM78/AN78,0)+IFERROR(AU78/AV78,0)+IFERROR(AY78/AZ78,0)+IFERROR(BC78/BD78,0)+IFERROR(BG78/BH78,0)+IFERROR(BK78/BL78,0)+IFERROR(BO78/BP78,0)+IFERROR(BS78/BT78,0)+IFERROR(BW78/BX78,0)+IFERROR(CA78/CB78,0)+IFERROR(CE78/CF78,0)+IFERROR(CI78/CJ78,0)+IFERROR(CM78/CN78,0)+IFERROR(CQ78/CR78,0)+IFERROR(CU78/CV78,0)+IFERROR(CY78/CZ78,0)+IFERROR(DC78/DD78,0)+IFERROR(DG78/DH78,0)+IFERROR(DS78/DT78,0)+IFERROR(DW78/DX78,0)+IFERROR(EA78/EB78,0)+IFERROR(EE78/EF78,0)+IFERROR(EI78/EJ78,0)+IFERROR(EM78/EN78,0)+IFERROR(EQ78/ER78,0)+IFERROR(EU78/EV78,0)+IFERROR(#REF!/#REF!,0)+IFERROR(#REF!/#REF!,0)+IFERROR(FJ78/FK78,0)+IFERROR(FN78/FO78,0)+IFERROR(#REF!/#REF!,0)+IFERROR(#REF!/#REF!,0)+IFERROR(HF78/HG78,0)+IFERROR(#REF!/#REF!,0)+IFERROR(HJ78/HK78,0)+IFERROR(HN78/HO78,0)+IFERROR(HZ78/IA78,0)+IFERROR(ID78/IE78,0)+IFERROR(IH78/II78,0)+IFERROR(IL78/IM78,0)+IFERROR(IX78/IY78,0)+IFERROR(JB78/JC78,0)+IFERROR(JF78/JG78,0)+IFERROR(JI78/JJ78,0)+IFERROR(JL78/JM78,0)+IFERROR(JO78/JP78,0))*L78*(C78+D78+E78+I78)</f>
        <v>0</v>
      </c>
      <c r="S78" s="165"/>
      <c r="T78" s="165">
        <f t="shared" si="23"/>
        <v>0</v>
      </c>
      <c r="U78" s="165"/>
      <c r="V78" s="165"/>
      <c r="W78" s="165"/>
      <c r="X78" s="165">
        <f>(IFERROR(FF78/FG78,0)+IFERROR(FC78/FD78,0)+IFERROR(#REF!/#REF!,0)+IFERROR(KP78/KQ78,0))*L78*(C78+D78+E78+I78)</f>
        <v>0</v>
      </c>
      <c r="Y78" s="484"/>
      <c r="Z78" s="484"/>
      <c r="AA78" s="484"/>
      <c r="AB78" s="484"/>
      <c r="AC78" s="150">
        <f t="shared" si="20"/>
        <v>0</v>
      </c>
      <c r="AD78" s="150"/>
      <c r="AE78" s="150">
        <f t="shared" si="24"/>
        <v>0</v>
      </c>
      <c r="AF78" s="161"/>
      <c r="AG78" s="143"/>
      <c r="AH78" s="154"/>
      <c r="AI78" s="342">
        <v>28</v>
      </c>
      <c r="AJ78" s="342">
        <v>250</v>
      </c>
      <c r="AK78" s="342"/>
      <c r="AL78" s="343" t="s">
        <v>545</v>
      </c>
      <c r="AM78" s="140"/>
      <c r="AN78" s="154"/>
      <c r="AO78" s="154"/>
      <c r="AP78" s="220"/>
      <c r="AQ78" s="145"/>
      <c r="AR78" s="154"/>
      <c r="AS78" s="154"/>
      <c r="AT78" s="220"/>
      <c r="AU78" s="140"/>
      <c r="AV78" s="277"/>
      <c r="AW78" s="277"/>
      <c r="AX78" s="277"/>
      <c r="AY78" s="140"/>
      <c r="AZ78" s="277"/>
      <c r="BA78" s="277"/>
      <c r="BB78" s="277"/>
      <c r="BC78" s="140"/>
      <c r="BD78" s="277"/>
      <c r="BE78" s="277"/>
      <c r="BF78" s="277"/>
      <c r="BG78" s="140"/>
      <c r="BH78" s="277"/>
      <c r="BI78" s="277"/>
      <c r="BJ78" s="277"/>
      <c r="BK78" s="140"/>
      <c r="BL78" s="277"/>
      <c r="BM78" s="277"/>
      <c r="BN78" s="277"/>
      <c r="BO78" s="140"/>
      <c r="BP78" s="277"/>
      <c r="BQ78" s="277"/>
      <c r="BR78" s="277"/>
      <c r="BS78" s="140"/>
      <c r="BT78" s="277"/>
      <c r="BU78" s="277"/>
      <c r="BV78" s="277"/>
      <c r="BW78" s="140"/>
      <c r="BX78" s="154"/>
      <c r="BY78" s="154"/>
      <c r="BZ78" s="220"/>
      <c r="CA78" s="140"/>
      <c r="CB78" s="154"/>
      <c r="CC78" s="154"/>
      <c r="CD78" s="220"/>
      <c r="CE78" s="140"/>
      <c r="CF78" s="271"/>
      <c r="CG78" s="271"/>
      <c r="CH78" s="271"/>
      <c r="CI78" s="140"/>
      <c r="CJ78" s="154"/>
      <c r="CK78" s="154"/>
      <c r="CL78" s="154"/>
      <c r="CM78" s="140"/>
      <c r="CN78" s="271"/>
      <c r="CO78" s="271"/>
      <c r="CP78" s="271"/>
      <c r="CQ78" s="140"/>
      <c r="CR78" s="154"/>
      <c r="CS78" s="154"/>
      <c r="CT78" s="154"/>
      <c r="CU78" s="140"/>
      <c r="CV78" s="154"/>
      <c r="CW78" s="154"/>
      <c r="CX78" s="220"/>
      <c r="CY78" s="140"/>
      <c r="CZ78" s="154"/>
      <c r="DA78" s="154"/>
      <c r="DB78" s="220"/>
      <c r="DC78" s="140"/>
      <c r="DD78" s="146"/>
      <c r="DE78" s="146"/>
      <c r="DF78" s="146"/>
      <c r="DG78" s="140"/>
      <c r="DH78" s="146"/>
      <c r="DI78" s="146"/>
      <c r="DJ78" s="146"/>
      <c r="DK78" s="146"/>
      <c r="DL78" s="146"/>
      <c r="DM78" s="146"/>
      <c r="DN78" s="146"/>
      <c r="DO78" s="146"/>
      <c r="DP78" s="146"/>
      <c r="DQ78" s="146"/>
      <c r="DR78" s="146"/>
      <c r="DS78" s="140"/>
      <c r="DT78" s="154"/>
      <c r="DU78" s="154"/>
      <c r="DV78" s="154"/>
      <c r="DW78" s="140"/>
      <c r="DX78" s="220"/>
      <c r="DY78" s="220"/>
      <c r="DZ78" s="220"/>
      <c r="EA78" s="140"/>
      <c r="EB78" s="220"/>
      <c r="EC78" s="220"/>
      <c r="ED78" s="220"/>
      <c r="EE78" s="140"/>
      <c r="EF78" s="154"/>
      <c r="EG78" s="154"/>
      <c r="EH78" s="154"/>
      <c r="EI78" s="140"/>
      <c r="EJ78" s="154"/>
      <c r="EK78" s="154"/>
      <c r="EL78" s="154"/>
      <c r="EM78" s="140"/>
      <c r="EN78" s="222"/>
      <c r="EO78" s="222"/>
      <c r="EP78" s="222"/>
      <c r="EQ78" s="140"/>
      <c r="ER78" s="222"/>
      <c r="ES78" s="222"/>
      <c r="ET78" s="222"/>
      <c r="EU78" s="140"/>
      <c r="EV78" s="222"/>
      <c r="EW78" s="222"/>
      <c r="EX78" s="222"/>
      <c r="EY78" s="344"/>
      <c r="EZ78" s="222"/>
      <c r="FA78" s="222"/>
      <c r="FB78" s="222"/>
      <c r="FC78" s="273"/>
      <c r="FD78" s="223"/>
      <c r="FE78" s="223"/>
      <c r="FF78" s="276"/>
      <c r="FG78" s="156"/>
      <c r="FH78" s="156"/>
      <c r="FI78" s="156"/>
      <c r="FJ78" s="140"/>
      <c r="FK78" s="277"/>
      <c r="FL78" s="277"/>
      <c r="FM78" s="277"/>
      <c r="FN78" s="140"/>
      <c r="FO78" s="277"/>
      <c r="FP78" s="277"/>
      <c r="FQ78" s="277"/>
      <c r="FR78" s="280"/>
      <c r="FS78" s="277"/>
      <c r="FT78" s="277"/>
      <c r="FU78" s="277"/>
      <c r="FV78" s="277"/>
      <c r="FW78" s="277"/>
      <c r="FX78" s="277"/>
      <c r="FY78" s="277"/>
      <c r="FZ78" s="277"/>
      <c r="GA78" s="277"/>
      <c r="GB78" s="277"/>
      <c r="GC78" s="277"/>
      <c r="GD78" s="277"/>
      <c r="GE78" s="277"/>
      <c r="GF78" s="277"/>
      <c r="GG78" s="277"/>
      <c r="GH78" s="277"/>
      <c r="GI78" s="277"/>
      <c r="GJ78" s="277"/>
      <c r="GK78" s="277"/>
      <c r="GL78" s="277"/>
      <c r="GM78" s="277"/>
      <c r="GN78" s="277"/>
      <c r="GO78" s="277"/>
      <c r="GP78" s="277"/>
      <c r="GQ78" s="277"/>
      <c r="GR78" s="277"/>
      <c r="GS78" s="277"/>
      <c r="GT78" s="277"/>
      <c r="GU78" s="277"/>
      <c r="GV78" s="277"/>
      <c r="GW78" s="277"/>
      <c r="GX78" s="277"/>
      <c r="GY78" s="277"/>
      <c r="GZ78" s="277"/>
      <c r="HA78" s="277"/>
      <c r="HB78" s="277"/>
      <c r="HC78" s="277"/>
      <c r="HD78" s="277"/>
      <c r="HE78" s="277"/>
      <c r="HF78" s="140"/>
      <c r="HG78" s="277"/>
      <c r="HH78" s="277"/>
      <c r="HI78" s="277"/>
      <c r="HJ78" s="140"/>
      <c r="HK78" s="277"/>
      <c r="HL78" s="277"/>
      <c r="HM78" s="277"/>
      <c r="HN78" s="140"/>
      <c r="HO78" s="277"/>
      <c r="HP78" s="277"/>
      <c r="HQ78" s="277"/>
      <c r="HR78" s="277"/>
      <c r="HS78" s="277"/>
      <c r="HT78" s="277"/>
      <c r="HU78" s="277"/>
      <c r="HV78" s="277"/>
      <c r="HW78" s="277"/>
      <c r="HX78" s="277"/>
      <c r="HY78" s="277"/>
      <c r="HZ78" s="140"/>
      <c r="IA78" s="277"/>
      <c r="IB78" s="277"/>
      <c r="IC78" s="277"/>
      <c r="ID78" s="140"/>
      <c r="IE78" s="277"/>
      <c r="IF78" s="277"/>
      <c r="IG78" s="277"/>
      <c r="IH78" s="140"/>
      <c r="II78" s="277"/>
      <c r="IJ78" s="277"/>
      <c r="IK78" s="277"/>
      <c r="IL78" s="140"/>
      <c r="IM78" s="277"/>
      <c r="IN78" s="277"/>
      <c r="IO78" s="277"/>
      <c r="IP78" s="277"/>
      <c r="IQ78" s="277"/>
      <c r="IR78" s="277"/>
      <c r="IS78" s="277"/>
      <c r="IT78" s="277"/>
      <c r="IU78" s="277"/>
      <c r="IV78" s="277"/>
      <c r="IW78" s="277"/>
      <c r="IX78" s="140"/>
      <c r="IY78" s="277"/>
      <c r="IZ78" s="277"/>
      <c r="JA78" s="277"/>
      <c r="JB78" s="140"/>
      <c r="JC78" s="277"/>
      <c r="JD78" s="277"/>
      <c r="JE78" s="277"/>
      <c r="JF78" s="140"/>
      <c r="JG78" s="277"/>
      <c r="JH78" s="277"/>
      <c r="JI78" s="140"/>
      <c r="JJ78" s="277"/>
      <c r="JK78" s="277"/>
      <c r="JL78" s="140"/>
      <c r="JM78" s="277"/>
      <c r="JN78" s="277"/>
      <c r="JO78" s="140"/>
      <c r="JP78" s="277"/>
      <c r="JQ78" s="277"/>
      <c r="JR78" s="277"/>
      <c r="JS78" s="277"/>
      <c r="JT78" s="277"/>
      <c r="JU78" s="277"/>
      <c r="JV78" s="277"/>
      <c r="JW78" s="277"/>
      <c r="JX78" s="277"/>
      <c r="JY78" s="277"/>
      <c r="JZ78" s="277"/>
      <c r="KA78" s="277"/>
      <c r="KB78" s="277"/>
      <c r="KC78" s="277"/>
      <c r="KD78" s="277"/>
      <c r="KE78" s="277"/>
      <c r="KF78" s="277"/>
      <c r="KG78" s="277"/>
      <c r="KH78" s="277"/>
      <c r="KI78" s="277"/>
      <c r="KJ78" s="277"/>
      <c r="KK78" s="277"/>
      <c r="KL78" s="277"/>
      <c r="KM78" s="277"/>
      <c r="KN78" s="277"/>
      <c r="KO78" s="277"/>
      <c r="KP78" s="274"/>
      <c r="KQ78" s="253"/>
      <c r="KR78" s="253"/>
      <c r="KY78" s="141">
        <f t="shared" si="25"/>
        <v>0</v>
      </c>
      <c r="KZ78" s="141">
        <f t="shared" si="26"/>
        <v>0</v>
      </c>
      <c r="LB78" s="141">
        <f t="shared" si="27"/>
        <v>1</v>
      </c>
      <c r="LC78" s="141">
        <f t="shared" si="28"/>
        <v>0</v>
      </c>
      <c r="LD78" s="141">
        <f t="shared" si="29"/>
        <v>0</v>
      </c>
      <c r="LE78" s="141" t="e">
        <f>((N(AU78)&gt;0)*(AX78&lt;&gt;"")+(N(AY78)&gt;0)*(BB78&lt;&gt;"")+(N(BC78)&gt;0)*(BF78&lt;&gt;"")+(N(BG78)&gt;0)*(BJ78&lt;&gt;"")+(N(BK78)&gt;0)*(BN78&lt;&gt;"")+(N(BO78)&gt;0)*(BR78&lt;&gt;"")+(N(BS78)&gt;0)*(BV78&lt;&gt;"")+(N(BW78)&gt;0)*(BZ78&lt;&gt;"")+(N(CA78)&gt;0)*(CD78&lt;&gt;"")+(N(CE78)&gt;0)*(CH78&lt;&gt;"")+(N(CI78)&gt;0)*(CL78&lt;&gt;"")+(N(CM78)&gt;0)*(CP78&lt;&gt;"")+(N(CQ78)&gt;0)*(CT78&lt;&gt;"")+(N(CU78)&gt;0)*(CX78&lt;&gt;"")+(N(CY78)&gt;0)*(DB78&lt;&gt;"")+(N(DC78)&gt;0)*(DF78&lt;&gt;"")+(N(DG78)&gt;0)*(DJ78&lt;&gt;"")+(N(DS78)&gt;0)*(DV78&lt;&gt;"")+(N(DW78)&gt;0)*(DZ78&lt;&gt;"")+(N(EA78)&gt;0)*(ED78&lt;&gt;"")+(N(EE78)&gt;0)*(EH78&lt;&gt;"")+(N(EI78)&gt;0)*(EL78&lt;&gt;"")+(N(EM78)&gt;0)*(EP78&lt;&gt;"")+(N(EQ78)&gt;0)*(ET78&lt;&gt;"")+(N(EU78)&gt;0)*(EX78&lt;&gt;"")+(N(#REF!)&gt;0)*(#REF!&lt;&gt;"")+(N(#REF!)&gt;0)*(#REF!&lt;&gt;"")+(N(FJ78)&gt;0)*(FM78&lt;&gt;"")+(N(FN78)&gt;0)*(FQ78&lt;&gt;"")+(N(#REF!)&gt;0)*(#REF!&lt;&gt;"")+(N(#REF!)&gt;0)*(#REF!&lt;&gt;"")+(N(HF78)&gt;0)*(HI78&lt;&gt;"")+(N(#REF!)&gt;0)*(#REF!&lt;&gt;"")+(N(HJ78)&gt;0)*(HM78&lt;&gt;"")+(N(HN78)&gt;0)*(HQ78&lt;&gt;"")+(N(HZ78)&gt;0)*(IC78&lt;&gt;"")+(N(ID78)&gt;0)*(IG78&lt;&gt;"")+(N(IH78)&gt;0)*(IK78&lt;&gt;"")+(N(IL78)&gt;0)*(IO78&lt;&gt;"")+(N(IX78)&gt;0)*(JA78&lt;&gt;"")+(N(JB78)&gt;0)*(JE78&lt;&gt;"")+(N(JF78)&gt;0)*(JH78&lt;&gt;"")+(N(JI78)&gt;0)*(JK78&lt;&gt;"")+(N(JL78)&gt;0)*(JN78&lt;&gt;"")+(N(JO78)&gt;0)*(JQ78&lt;&gt;""))</f>
        <v>#REF!</v>
      </c>
      <c r="LF78" s="141">
        <f t="shared" si="21"/>
        <v>0</v>
      </c>
      <c r="LG78" s="141">
        <f t="shared" si="30"/>
        <v>0</v>
      </c>
    </row>
    <row r="79" spans="1:319" ht="38.25" customHeight="1" x14ac:dyDescent="0.55000000000000004">
      <c r="B79" s="314" t="s">
        <v>430</v>
      </c>
      <c r="C79" s="218"/>
      <c r="D79" s="218"/>
      <c r="E79" s="218"/>
      <c r="F79" s="218"/>
      <c r="G79" s="218"/>
      <c r="H79" s="218"/>
      <c r="I79" s="162" cm="1">
        <f t="array" ref="I79">SUMPRODUCT(($AI$2:$KV$2&lt;&gt;"")*($AI79:$KV79&lt;&gt;""))</f>
        <v>1</v>
      </c>
      <c r="J79" s="142">
        <f t="shared" si="17"/>
        <v>0</v>
      </c>
      <c r="K79" s="142">
        <f t="shared" si="18"/>
        <v>0</v>
      </c>
      <c r="L79" s="268">
        <f t="shared" si="31"/>
        <v>7000</v>
      </c>
      <c r="M79" s="164">
        <f t="shared" si="22"/>
        <v>784</v>
      </c>
      <c r="N79" s="397"/>
      <c r="O79" s="165">
        <f t="shared" si="19"/>
        <v>0</v>
      </c>
      <c r="P79" s="165"/>
      <c r="Q79" s="165"/>
      <c r="R79" s="165">
        <f>(IFERROR(AM79/AN79,0)+IFERROR(AU79/AV79,0)+IFERROR(AY79/AZ79,0)+IFERROR(BC79/BD79,0)+IFERROR(BG79/BH79,0)+IFERROR(BK79/BL79,0)+IFERROR(BO79/BP79,0)+IFERROR(BS79/BT79,0)+IFERROR(BW79/BX79,0)+IFERROR(CA79/CB79,0)+IFERROR(CE79/CF79,0)+IFERROR(CI79/CJ79,0)+IFERROR(CM79/CN79,0)+IFERROR(CQ79/CR79,0)+IFERROR(CU79/CV79,0)+IFERROR(CY79/CZ79,0)+IFERROR(DC79/DD79,0)+IFERROR(DG79/DH79,0)+IFERROR(DS79/DT79,0)+IFERROR(DW79/DX79,0)+IFERROR(EA79/EB79,0)+IFERROR(EE79/EF79,0)+IFERROR(EI79/EJ79,0)+IFERROR(EM79/EN79,0)+IFERROR(EQ79/ER79,0)+IFERROR(EU79/EV79,0)+IFERROR(#REF!/#REF!,0)+IFERROR(#REF!/#REF!,0)+IFERROR(FJ79/FK79,0)+IFERROR(FN79/FO79,0)+IFERROR(#REF!/#REF!,0)+IFERROR(#REF!/#REF!,0)+IFERROR(HF79/HG79,0)+IFERROR(#REF!/#REF!,0)+IFERROR(HJ79/HK79,0)+IFERROR(HN79/HO79,0)+IFERROR(HZ79/IA79,0)+IFERROR(ID79/IE79,0)+IFERROR(IH79/II79,0)+IFERROR(IL79/IM79,0)+IFERROR(IX79/IY79,0)+IFERROR(JB79/JC79,0)+IFERROR(JF79/JG79,0)+IFERROR(JI79/JJ79,0)+IFERROR(JL79/JM79,0)+IFERROR(JO79/JP79,0))*L79*(C79+D79+E79+I79)</f>
        <v>0</v>
      </c>
      <c r="S79" s="165"/>
      <c r="T79" s="165">
        <f t="shared" si="23"/>
        <v>0</v>
      </c>
      <c r="U79" s="165"/>
      <c r="V79" s="165"/>
      <c r="W79" s="165"/>
      <c r="X79" s="165">
        <f>(IFERROR(FF79/FG79,0)+IFERROR(FC79/FD79,0)+IFERROR(#REF!/#REF!,0)+IFERROR(KP79/KQ79,0))*L79*(C79+D79+E79+I79)</f>
        <v>0</v>
      </c>
      <c r="Y79" s="484"/>
      <c r="Z79" s="484"/>
      <c r="AA79" s="484"/>
      <c r="AB79" s="484"/>
      <c r="AC79" s="150">
        <f t="shared" si="20"/>
        <v>0</v>
      </c>
      <c r="AD79" s="150"/>
      <c r="AE79" s="150">
        <f t="shared" si="24"/>
        <v>0</v>
      </c>
      <c r="AF79" s="161"/>
      <c r="AG79" s="143"/>
      <c r="AH79" s="154"/>
      <c r="AI79" s="342">
        <v>28</v>
      </c>
      <c r="AJ79" s="342">
        <v>250</v>
      </c>
      <c r="AK79" s="342"/>
      <c r="AL79" s="343" t="s">
        <v>545</v>
      </c>
      <c r="AM79" s="140"/>
      <c r="AN79" s="154"/>
      <c r="AO79" s="154"/>
      <c r="AP79" s="220"/>
      <c r="AQ79" s="145"/>
      <c r="AR79" s="154"/>
      <c r="AS79" s="154"/>
      <c r="AT79" s="220"/>
      <c r="AU79" s="140"/>
      <c r="AV79" s="277"/>
      <c r="AW79" s="277"/>
      <c r="AX79" s="277"/>
      <c r="AY79" s="140"/>
      <c r="AZ79" s="277"/>
      <c r="BA79" s="277"/>
      <c r="BB79" s="277"/>
      <c r="BC79" s="140"/>
      <c r="BD79" s="277"/>
      <c r="BE79" s="277"/>
      <c r="BF79" s="277"/>
      <c r="BG79" s="140"/>
      <c r="BH79" s="277"/>
      <c r="BI79" s="277"/>
      <c r="BJ79" s="277"/>
      <c r="BK79" s="140"/>
      <c r="BL79" s="277"/>
      <c r="BM79" s="277"/>
      <c r="BN79" s="277"/>
      <c r="BO79" s="140"/>
      <c r="BP79" s="277"/>
      <c r="BQ79" s="277"/>
      <c r="BR79" s="277"/>
      <c r="BS79" s="140"/>
      <c r="BT79" s="277"/>
      <c r="BU79" s="277"/>
      <c r="BV79" s="277"/>
      <c r="BW79" s="140"/>
      <c r="BX79" s="154"/>
      <c r="BY79" s="154"/>
      <c r="BZ79" s="220"/>
      <c r="CA79" s="140"/>
      <c r="CB79" s="154"/>
      <c r="CC79" s="154"/>
      <c r="CD79" s="220"/>
      <c r="CE79" s="140"/>
      <c r="CF79" s="271"/>
      <c r="CG79" s="271"/>
      <c r="CH79" s="271"/>
      <c r="CI79" s="140"/>
      <c r="CJ79" s="154"/>
      <c r="CK79" s="154"/>
      <c r="CL79" s="154"/>
      <c r="CM79" s="140"/>
      <c r="CN79" s="271"/>
      <c r="CO79" s="271"/>
      <c r="CP79" s="271"/>
      <c r="CQ79" s="140"/>
      <c r="CR79" s="154"/>
      <c r="CS79" s="154"/>
      <c r="CT79" s="154"/>
      <c r="CU79" s="140"/>
      <c r="CV79" s="154"/>
      <c r="CW79" s="154"/>
      <c r="CX79" s="220"/>
      <c r="CY79" s="140"/>
      <c r="CZ79" s="154"/>
      <c r="DA79" s="154"/>
      <c r="DB79" s="220"/>
      <c r="DC79" s="140"/>
      <c r="DD79" s="146"/>
      <c r="DE79" s="146"/>
      <c r="DF79" s="146"/>
      <c r="DG79" s="140"/>
      <c r="DH79" s="146"/>
      <c r="DI79" s="146"/>
      <c r="DJ79" s="146"/>
      <c r="DK79" s="146"/>
      <c r="DL79" s="146"/>
      <c r="DM79" s="146"/>
      <c r="DN79" s="146"/>
      <c r="DO79" s="146"/>
      <c r="DP79" s="146"/>
      <c r="DQ79" s="146"/>
      <c r="DR79" s="146"/>
      <c r="DS79" s="140"/>
      <c r="DT79" s="154"/>
      <c r="DU79" s="154"/>
      <c r="DV79" s="154"/>
      <c r="DW79" s="140"/>
      <c r="DX79" s="220"/>
      <c r="DY79" s="220"/>
      <c r="DZ79" s="220"/>
      <c r="EA79" s="140"/>
      <c r="EB79" s="220"/>
      <c r="EC79" s="220"/>
      <c r="ED79" s="220"/>
      <c r="EE79" s="140"/>
      <c r="EF79" s="154"/>
      <c r="EG79" s="154"/>
      <c r="EH79" s="154"/>
      <c r="EI79" s="140"/>
      <c r="EJ79" s="154"/>
      <c r="EK79" s="154"/>
      <c r="EL79" s="154"/>
      <c r="EM79" s="140"/>
      <c r="EN79" s="222"/>
      <c r="EO79" s="222"/>
      <c r="EP79" s="222"/>
      <c r="EQ79" s="140"/>
      <c r="ER79" s="222"/>
      <c r="ES79" s="222"/>
      <c r="ET79" s="222"/>
      <c r="EU79" s="140"/>
      <c r="EV79" s="222"/>
      <c r="EW79" s="222"/>
      <c r="EX79" s="222"/>
      <c r="EY79" s="344"/>
      <c r="EZ79" s="222"/>
      <c r="FA79" s="222"/>
      <c r="FB79" s="222"/>
      <c r="FC79" s="273"/>
      <c r="FD79" s="223"/>
      <c r="FE79" s="223"/>
      <c r="FF79" s="276"/>
      <c r="FG79" s="156"/>
      <c r="FH79" s="156"/>
      <c r="FI79" s="156"/>
      <c r="FJ79" s="140"/>
      <c r="FK79" s="277"/>
      <c r="FL79" s="277"/>
      <c r="FM79" s="277"/>
      <c r="FN79" s="140"/>
      <c r="FO79" s="277"/>
      <c r="FP79" s="277"/>
      <c r="FQ79" s="277"/>
      <c r="FR79" s="280"/>
      <c r="FS79" s="277"/>
      <c r="FT79" s="277"/>
      <c r="FU79" s="277"/>
      <c r="FV79" s="277"/>
      <c r="FW79" s="277"/>
      <c r="FX79" s="277"/>
      <c r="FY79" s="277"/>
      <c r="FZ79" s="277"/>
      <c r="GA79" s="277"/>
      <c r="GB79" s="277"/>
      <c r="GC79" s="277"/>
      <c r="GD79" s="277"/>
      <c r="GE79" s="277"/>
      <c r="GF79" s="277"/>
      <c r="GG79" s="277"/>
      <c r="GH79" s="277"/>
      <c r="GI79" s="277"/>
      <c r="GJ79" s="277"/>
      <c r="GK79" s="277"/>
      <c r="GL79" s="277"/>
      <c r="GM79" s="277"/>
      <c r="GN79" s="277"/>
      <c r="GO79" s="277"/>
      <c r="GP79" s="277"/>
      <c r="GQ79" s="277"/>
      <c r="GR79" s="277"/>
      <c r="GS79" s="277"/>
      <c r="GT79" s="277"/>
      <c r="GU79" s="277"/>
      <c r="GV79" s="277"/>
      <c r="GW79" s="277"/>
      <c r="GX79" s="277"/>
      <c r="GY79" s="277"/>
      <c r="GZ79" s="277"/>
      <c r="HA79" s="277"/>
      <c r="HB79" s="277"/>
      <c r="HC79" s="277"/>
      <c r="HD79" s="277"/>
      <c r="HE79" s="277"/>
      <c r="HF79" s="140"/>
      <c r="HG79" s="277"/>
      <c r="HH79" s="277"/>
      <c r="HI79" s="277"/>
      <c r="HJ79" s="140"/>
      <c r="HK79" s="277"/>
      <c r="HL79" s="277"/>
      <c r="HM79" s="277"/>
      <c r="HN79" s="140"/>
      <c r="HO79" s="277"/>
      <c r="HP79" s="277"/>
      <c r="HQ79" s="277"/>
      <c r="HR79" s="277"/>
      <c r="HS79" s="277"/>
      <c r="HT79" s="277"/>
      <c r="HU79" s="277"/>
      <c r="HV79" s="277"/>
      <c r="HW79" s="277"/>
      <c r="HX79" s="277"/>
      <c r="HY79" s="277"/>
      <c r="HZ79" s="140"/>
      <c r="IA79" s="277"/>
      <c r="IB79" s="277"/>
      <c r="IC79" s="277"/>
      <c r="ID79" s="140"/>
      <c r="IE79" s="277"/>
      <c r="IF79" s="277"/>
      <c r="IG79" s="277"/>
      <c r="IH79" s="140"/>
      <c r="II79" s="277"/>
      <c r="IJ79" s="277"/>
      <c r="IK79" s="277"/>
      <c r="IL79" s="140"/>
      <c r="IM79" s="277"/>
      <c r="IN79" s="277"/>
      <c r="IO79" s="277"/>
      <c r="IP79" s="277"/>
      <c r="IQ79" s="277"/>
      <c r="IR79" s="277"/>
      <c r="IS79" s="277"/>
      <c r="IT79" s="277"/>
      <c r="IU79" s="277"/>
      <c r="IV79" s="277"/>
      <c r="IW79" s="277"/>
      <c r="IX79" s="140"/>
      <c r="IY79" s="277"/>
      <c r="IZ79" s="277"/>
      <c r="JA79" s="277"/>
      <c r="JB79" s="140"/>
      <c r="JC79" s="277"/>
      <c r="JD79" s="277"/>
      <c r="JE79" s="277"/>
      <c r="JF79" s="140"/>
      <c r="JG79" s="277"/>
      <c r="JH79" s="277"/>
      <c r="JI79" s="140"/>
      <c r="JJ79" s="277"/>
      <c r="JK79" s="277"/>
      <c r="JL79" s="140"/>
      <c r="JM79" s="277"/>
      <c r="JN79" s="277"/>
      <c r="JO79" s="140"/>
      <c r="JP79" s="277"/>
      <c r="JQ79" s="277"/>
      <c r="JR79" s="277"/>
      <c r="JS79" s="277"/>
      <c r="JT79" s="277"/>
      <c r="JU79" s="277"/>
      <c r="JV79" s="277"/>
      <c r="JW79" s="277"/>
      <c r="JX79" s="277"/>
      <c r="JY79" s="277"/>
      <c r="JZ79" s="277"/>
      <c r="KA79" s="277"/>
      <c r="KB79" s="277"/>
      <c r="KC79" s="277"/>
      <c r="KD79" s="277"/>
      <c r="KE79" s="277"/>
      <c r="KF79" s="277"/>
      <c r="KG79" s="277"/>
      <c r="KH79" s="277"/>
      <c r="KI79" s="277"/>
      <c r="KJ79" s="277"/>
      <c r="KK79" s="277"/>
      <c r="KL79" s="277"/>
      <c r="KM79" s="277"/>
      <c r="KN79" s="277"/>
      <c r="KO79" s="277"/>
      <c r="KP79" s="274"/>
      <c r="KQ79" s="253"/>
      <c r="KR79" s="253"/>
      <c r="KY79" s="141">
        <f t="shared" si="25"/>
        <v>0</v>
      </c>
      <c r="KZ79" s="141">
        <f t="shared" si="26"/>
        <v>0</v>
      </c>
      <c r="LB79" s="141">
        <f t="shared" si="27"/>
        <v>1</v>
      </c>
      <c r="LC79" s="141">
        <f t="shared" si="28"/>
        <v>0</v>
      </c>
      <c r="LD79" s="141">
        <f t="shared" si="29"/>
        <v>0</v>
      </c>
      <c r="LE79" s="141" t="e">
        <f>((N(AU79)&gt;0)*(AX79&lt;&gt;"")+(N(AY79)&gt;0)*(BB79&lt;&gt;"")+(N(BC79)&gt;0)*(BF79&lt;&gt;"")+(N(BG79)&gt;0)*(BJ79&lt;&gt;"")+(N(BK79)&gt;0)*(BN79&lt;&gt;"")+(N(BO79)&gt;0)*(BR79&lt;&gt;"")+(N(BS79)&gt;0)*(BV79&lt;&gt;"")+(N(BW79)&gt;0)*(BZ79&lt;&gt;"")+(N(CA79)&gt;0)*(CD79&lt;&gt;"")+(N(CE79)&gt;0)*(CH79&lt;&gt;"")+(N(CI79)&gt;0)*(CL79&lt;&gt;"")+(N(CM79)&gt;0)*(CP79&lt;&gt;"")+(N(CQ79)&gt;0)*(CT79&lt;&gt;"")+(N(CU79)&gt;0)*(CX79&lt;&gt;"")+(N(CY79)&gt;0)*(DB79&lt;&gt;"")+(N(DC79)&gt;0)*(DF79&lt;&gt;"")+(N(DG79)&gt;0)*(DJ79&lt;&gt;"")+(N(DS79)&gt;0)*(DV79&lt;&gt;"")+(N(DW79)&gt;0)*(DZ79&lt;&gt;"")+(N(EA79)&gt;0)*(ED79&lt;&gt;"")+(N(EE79)&gt;0)*(EH79&lt;&gt;"")+(N(EI79)&gt;0)*(EL79&lt;&gt;"")+(N(EM79)&gt;0)*(EP79&lt;&gt;"")+(N(EQ79)&gt;0)*(ET79&lt;&gt;"")+(N(EU79)&gt;0)*(EX79&lt;&gt;"")+(N(#REF!)&gt;0)*(#REF!&lt;&gt;"")+(N(#REF!)&gt;0)*(#REF!&lt;&gt;"")+(N(FJ79)&gt;0)*(FM79&lt;&gt;"")+(N(FN79)&gt;0)*(FQ79&lt;&gt;"")+(N(#REF!)&gt;0)*(#REF!&lt;&gt;"")+(N(#REF!)&gt;0)*(#REF!&lt;&gt;"")+(N(HF79)&gt;0)*(HI79&lt;&gt;"")+(N(#REF!)&gt;0)*(#REF!&lt;&gt;"")+(N(HJ79)&gt;0)*(HM79&lt;&gt;"")+(N(HN79)&gt;0)*(HQ79&lt;&gt;"")+(N(HZ79)&gt;0)*(IC79&lt;&gt;"")+(N(ID79)&gt;0)*(IG79&lt;&gt;"")+(N(IH79)&gt;0)*(IK79&lt;&gt;"")+(N(IL79)&gt;0)*(IO79&lt;&gt;"")+(N(IX79)&gt;0)*(JA79&lt;&gt;"")+(N(JB79)&gt;0)*(JE79&lt;&gt;"")+(N(JF79)&gt;0)*(JH79&lt;&gt;"")+(N(JI79)&gt;0)*(JK79&lt;&gt;"")+(N(JL79)&gt;0)*(JN79&lt;&gt;"")+(N(JO79)&gt;0)*(JQ79&lt;&gt;""))</f>
        <v>#REF!</v>
      </c>
      <c r="LF79" s="141">
        <f t="shared" si="21"/>
        <v>0</v>
      </c>
      <c r="LG79" s="141">
        <f t="shared" si="30"/>
        <v>0</v>
      </c>
    </row>
    <row r="80" spans="1:319" ht="38.25" customHeight="1" x14ac:dyDescent="0.55000000000000004">
      <c r="B80" s="314" t="s">
        <v>431</v>
      </c>
      <c r="C80" s="218"/>
      <c r="D80" s="218"/>
      <c r="E80" s="218"/>
      <c r="F80" s="218"/>
      <c r="G80" s="218"/>
      <c r="H80" s="218"/>
      <c r="I80" s="162" cm="1">
        <f t="array" ref="I80">SUMPRODUCT(($AI$2:$KV$2&lt;&gt;"")*($AI80:$KV80&lt;&gt;""))</f>
        <v>1</v>
      </c>
      <c r="J80" s="142">
        <f t="shared" si="17"/>
        <v>0</v>
      </c>
      <c r="K80" s="142">
        <f t="shared" si="18"/>
        <v>0</v>
      </c>
      <c r="L80" s="268">
        <f t="shared" si="31"/>
        <v>7000</v>
      </c>
      <c r="M80" s="164">
        <f t="shared" si="22"/>
        <v>840</v>
      </c>
      <c r="N80" s="397"/>
      <c r="O80" s="165">
        <f t="shared" si="19"/>
        <v>0</v>
      </c>
      <c r="P80" s="165"/>
      <c r="Q80" s="165"/>
      <c r="R80" s="165">
        <f>(IFERROR(AM80/AN80,0)+IFERROR(AU80/AV80,0)+IFERROR(AY80/AZ80,0)+IFERROR(BC80/BD80,0)+IFERROR(BG80/BH80,0)+IFERROR(BK80/BL80,0)+IFERROR(BO80/BP80,0)+IFERROR(BS80/BT80,0)+IFERROR(BW80/BX80,0)+IFERROR(CA80/CB80,0)+IFERROR(CE80/CF80,0)+IFERROR(CI80/CJ80,0)+IFERROR(CM80/CN80,0)+IFERROR(CQ80/CR80,0)+IFERROR(CU80/CV80,0)+IFERROR(CY80/CZ80,0)+IFERROR(DC80/DD80,0)+IFERROR(DG80/DH80,0)+IFERROR(DS80/DT80,0)+IFERROR(DW80/DX80,0)+IFERROR(EA80/EB80,0)+IFERROR(EE80/EF80,0)+IFERROR(EI80/EJ80,0)+IFERROR(EM80/EN80,0)+IFERROR(EQ80/ER80,0)+IFERROR(EU80/EV80,0)+IFERROR(#REF!/#REF!,0)+IFERROR(#REF!/#REF!,0)+IFERROR(FJ80/FK80,0)+IFERROR(FN80/FO80,0)+IFERROR(#REF!/#REF!,0)+IFERROR(#REF!/#REF!,0)+IFERROR(HF80/HG80,0)+IFERROR(#REF!/#REF!,0)+IFERROR(HJ80/HK80,0)+IFERROR(HN80/HO80,0)+IFERROR(HZ80/IA80,0)+IFERROR(ID80/IE80,0)+IFERROR(IH80/II80,0)+IFERROR(IL80/IM80,0)+IFERROR(IX80/IY80,0)+IFERROR(JB80/JC80,0)+IFERROR(JF80/JG80,0)+IFERROR(JI80/JJ80,0)+IFERROR(JL80/JM80,0)+IFERROR(JO80/JP80,0))*L80*(C80+D80+E80+I80)</f>
        <v>0</v>
      </c>
      <c r="S80" s="165"/>
      <c r="T80" s="165">
        <f t="shared" si="23"/>
        <v>0</v>
      </c>
      <c r="U80" s="165"/>
      <c r="V80" s="165"/>
      <c r="W80" s="165"/>
      <c r="X80" s="165">
        <f>(IFERROR(FF80/FG80,0)+IFERROR(FC80/FD80,0)+IFERROR(#REF!/#REF!,0)+IFERROR(KP80/KQ80,0))*L80*(C80+D80+E80+I80)</f>
        <v>0</v>
      </c>
      <c r="Y80" s="484"/>
      <c r="Z80" s="484"/>
      <c r="AA80" s="484"/>
      <c r="AB80" s="484"/>
      <c r="AC80" s="150">
        <f t="shared" si="20"/>
        <v>0</v>
      </c>
      <c r="AD80" s="150"/>
      <c r="AE80" s="150">
        <f t="shared" si="24"/>
        <v>0</v>
      </c>
      <c r="AF80" s="161"/>
      <c r="AG80" s="143"/>
      <c r="AH80" s="154"/>
      <c r="AI80" s="342">
        <v>30</v>
      </c>
      <c r="AJ80" s="342">
        <v>250</v>
      </c>
      <c r="AK80" s="342"/>
      <c r="AL80" s="343" t="s">
        <v>545</v>
      </c>
      <c r="AM80" s="140"/>
      <c r="AN80" s="154"/>
      <c r="AO80" s="154"/>
      <c r="AP80" s="220"/>
      <c r="AQ80" s="145"/>
      <c r="AR80" s="154"/>
      <c r="AS80" s="154"/>
      <c r="AT80" s="220"/>
      <c r="AU80" s="140"/>
      <c r="AV80" s="277"/>
      <c r="AW80" s="277"/>
      <c r="AX80" s="277"/>
      <c r="AY80" s="140"/>
      <c r="AZ80" s="277"/>
      <c r="BA80" s="277"/>
      <c r="BB80" s="277"/>
      <c r="BC80" s="140"/>
      <c r="BD80" s="277"/>
      <c r="BE80" s="277"/>
      <c r="BF80" s="277"/>
      <c r="BG80" s="140"/>
      <c r="BH80" s="277"/>
      <c r="BI80" s="277"/>
      <c r="BJ80" s="277"/>
      <c r="BK80" s="140"/>
      <c r="BL80" s="277"/>
      <c r="BM80" s="277"/>
      <c r="BN80" s="277"/>
      <c r="BO80" s="140"/>
      <c r="BP80" s="277"/>
      <c r="BQ80" s="277"/>
      <c r="BR80" s="277"/>
      <c r="BS80" s="140"/>
      <c r="BT80" s="277"/>
      <c r="BU80" s="277"/>
      <c r="BV80" s="277"/>
      <c r="BW80" s="140"/>
      <c r="BX80" s="154"/>
      <c r="BY80" s="154"/>
      <c r="BZ80" s="220"/>
      <c r="CA80" s="140"/>
      <c r="CB80" s="154"/>
      <c r="CC80" s="154"/>
      <c r="CD80" s="220"/>
      <c r="CE80" s="140"/>
      <c r="CF80" s="271"/>
      <c r="CG80" s="271"/>
      <c r="CH80" s="271"/>
      <c r="CI80" s="140"/>
      <c r="CJ80" s="154"/>
      <c r="CK80" s="154"/>
      <c r="CL80" s="154"/>
      <c r="CM80" s="140"/>
      <c r="CN80" s="271"/>
      <c r="CO80" s="271"/>
      <c r="CP80" s="271"/>
      <c r="CQ80" s="140"/>
      <c r="CR80" s="154"/>
      <c r="CS80" s="154"/>
      <c r="CT80" s="154"/>
      <c r="CU80" s="140"/>
      <c r="CV80" s="154"/>
      <c r="CW80" s="154"/>
      <c r="CX80" s="220"/>
      <c r="CY80" s="140"/>
      <c r="CZ80" s="154"/>
      <c r="DA80" s="154"/>
      <c r="DB80" s="220"/>
      <c r="DC80" s="140"/>
      <c r="DD80" s="146"/>
      <c r="DE80" s="146"/>
      <c r="DF80" s="146"/>
      <c r="DG80" s="140"/>
      <c r="DH80" s="146"/>
      <c r="DI80" s="146"/>
      <c r="DJ80" s="146"/>
      <c r="DK80" s="146"/>
      <c r="DL80" s="146"/>
      <c r="DM80" s="146"/>
      <c r="DN80" s="146"/>
      <c r="DO80" s="146"/>
      <c r="DP80" s="146"/>
      <c r="DQ80" s="146"/>
      <c r="DR80" s="146"/>
      <c r="DS80" s="140"/>
      <c r="DT80" s="154"/>
      <c r="DU80" s="154"/>
      <c r="DV80" s="154"/>
      <c r="DW80" s="140"/>
      <c r="DX80" s="220"/>
      <c r="DY80" s="220"/>
      <c r="DZ80" s="220"/>
      <c r="EA80" s="140"/>
      <c r="EB80" s="220"/>
      <c r="EC80" s="220"/>
      <c r="ED80" s="220"/>
      <c r="EE80" s="140"/>
      <c r="EF80" s="154"/>
      <c r="EG80" s="154"/>
      <c r="EH80" s="154"/>
      <c r="EI80" s="140"/>
      <c r="EJ80" s="154"/>
      <c r="EK80" s="154"/>
      <c r="EL80" s="154"/>
      <c r="EM80" s="140"/>
      <c r="EN80" s="222"/>
      <c r="EO80" s="222"/>
      <c r="EP80" s="222"/>
      <c r="EQ80" s="140"/>
      <c r="ER80" s="222"/>
      <c r="ES80" s="222"/>
      <c r="ET80" s="222"/>
      <c r="EU80" s="140"/>
      <c r="EV80" s="222"/>
      <c r="EW80" s="222"/>
      <c r="EX80" s="222"/>
      <c r="EY80" s="344"/>
      <c r="EZ80" s="222"/>
      <c r="FA80" s="222"/>
      <c r="FB80" s="222"/>
      <c r="FC80" s="273"/>
      <c r="FD80" s="223"/>
      <c r="FE80" s="223"/>
      <c r="FF80" s="276"/>
      <c r="FG80" s="156"/>
      <c r="FH80" s="156"/>
      <c r="FI80" s="156"/>
      <c r="FJ80" s="140"/>
      <c r="FK80" s="277"/>
      <c r="FL80" s="277"/>
      <c r="FM80" s="277"/>
      <c r="FN80" s="140"/>
      <c r="FO80" s="277"/>
      <c r="FP80" s="277"/>
      <c r="FQ80" s="277"/>
      <c r="FR80" s="280"/>
      <c r="FS80" s="277"/>
      <c r="FT80" s="277"/>
      <c r="FU80" s="277"/>
      <c r="FV80" s="277"/>
      <c r="FW80" s="277"/>
      <c r="FX80" s="277"/>
      <c r="FY80" s="277"/>
      <c r="FZ80" s="277"/>
      <c r="GA80" s="277"/>
      <c r="GB80" s="277"/>
      <c r="GC80" s="277"/>
      <c r="GD80" s="277"/>
      <c r="GE80" s="277"/>
      <c r="GF80" s="277"/>
      <c r="GG80" s="277"/>
      <c r="GH80" s="277"/>
      <c r="GI80" s="277"/>
      <c r="GJ80" s="277"/>
      <c r="GK80" s="277"/>
      <c r="GL80" s="277"/>
      <c r="GM80" s="277"/>
      <c r="GN80" s="277"/>
      <c r="GO80" s="277"/>
      <c r="GP80" s="277"/>
      <c r="GQ80" s="277"/>
      <c r="GR80" s="277"/>
      <c r="GS80" s="277"/>
      <c r="GT80" s="277"/>
      <c r="GU80" s="277"/>
      <c r="GV80" s="277"/>
      <c r="GW80" s="277"/>
      <c r="GX80" s="277"/>
      <c r="GY80" s="277"/>
      <c r="GZ80" s="277"/>
      <c r="HA80" s="277"/>
      <c r="HB80" s="277"/>
      <c r="HC80" s="277"/>
      <c r="HD80" s="277"/>
      <c r="HE80" s="277"/>
      <c r="HF80" s="140"/>
      <c r="HG80" s="277"/>
      <c r="HH80" s="277"/>
      <c r="HI80" s="277"/>
      <c r="HJ80" s="140"/>
      <c r="HK80" s="277"/>
      <c r="HL80" s="277"/>
      <c r="HM80" s="277"/>
      <c r="HN80" s="140"/>
      <c r="HO80" s="277"/>
      <c r="HP80" s="277"/>
      <c r="HQ80" s="277"/>
      <c r="HR80" s="277"/>
      <c r="HS80" s="277"/>
      <c r="HT80" s="277"/>
      <c r="HU80" s="277"/>
      <c r="HV80" s="277"/>
      <c r="HW80" s="277"/>
      <c r="HX80" s="277"/>
      <c r="HY80" s="277"/>
      <c r="HZ80" s="140"/>
      <c r="IA80" s="277"/>
      <c r="IB80" s="277"/>
      <c r="IC80" s="277"/>
      <c r="ID80" s="140"/>
      <c r="IE80" s="277"/>
      <c r="IF80" s="277"/>
      <c r="IG80" s="277"/>
      <c r="IH80" s="140"/>
      <c r="II80" s="277"/>
      <c r="IJ80" s="277"/>
      <c r="IK80" s="277"/>
      <c r="IL80" s="140"/>
      <c r="IM80" s="277"/>
      <c r="IN80" s="277"/>
      <c r="IO80" s="277"/>
      <c r="IP80" s="277"/>
      <c r="IQ80" s="277"/>
      <c r="IR80" s="277"/>
      <c r="IS80" s="277"/>
      <c r="IT80" s="277"/>
      <c r="IU80" s="277"/>
      <c r="IV80" s="277"/>
      <c r="IW80" s="277"/>
      <c r="IX80" s="140"/>
      <c r="IY80" s="277"/>
      <c r="IZ80" s="277"/>
      <c r="JA80" s="277"/>
      <c r="JB80" s="140"/>
      <c r="JC80" s="277"/>
      <c r="JD80" s="277"/>
      <c r="JE80" s="277"/>
      <c r="JF80" s="140"/>
      <c r="JG80" s="277"/>
      <c r="JH80" s="277"/>
      <c r="JI80" s="140"/>
      <c r="JJ80" s="277"/>
      <c r="JK80" s="277"/>
      <c r="JL80" s="140"/>
      <c r="JM80" s="277"/>
      <c r="JN80" s="277"/>
      <c r="JO80" s="140"/>
      <c r="JP80" s="277"/>
      <c r="JQ80" s="277"/>
      <c r="JR80" s="277"/>
      <c r="JS80" s="277"/>
      <c r="JT80" s="277"/>
      <c r="JU80" s="277"/>
      <c r="JV80" s="277"/>
      <c r="JW80" s="277"/>
      <c r="JX80" s="277"/>
      <c r="JY80" s="277"/>
      <c r="JZ80" s="277"/>
      <c r="KA80" s="277"/>
      <c r="KB80" s="277"/>
      <c r="KC80" s="277"/>
      <c r="KD80" s="277"/>
      <c r="KE80" s="277"/>
      <c r="KF80" s="277"/>
      <c r="KG80" s="277"/>
      <c r="KH80" s="277"/>
      <c r="KI80" s="277"/>
      <c r="KJ80" s="277"/>
      <c r="KK80" s="277"/>
      <c r="KL80" s="277"/>
      <c r="KM80" s="277"/>
      <c r="KN80" s="277"/>
      <c r="KO80" s="277"/>
      <c r="KP80" s="274"/>
      <c r="KQ80" s="253"/>
      <c r="KR80" s="253"/>
      <c r="KY80" s="141">
        <f t="shared" si="25"/>
        <v>0</v>
      </c>
      <c r="KZ80" s="141">
        <f t="shared" si="26"/>
        <v>0</v>
      </c>
      <c r="LB80" s="141">
        <f t="shared" si="27"/>
        <v>1</v>
      </c>
      <c r="LC80" s="141">
        <f t="shared" si="28"/>
        <v>0</v>
      </c>
      <c r="LD80" s="141">
        <f t="shared" si="29"/>
        <v>0</v>
      </c>
      <c r="LE80" s="141" t="e">
        <f>((N(AU80)&gt;0)*(AX80&lt;&gt;"")+(N(AY80)&gt;0)*(BB80&lt;&gt;"")+(N(BC80)&gt;0)*(BF80&lt;&gt;"")+(N(BG80)&gt;0)*(BJ80&lt;&gt;"")+(N(BK80)&gt;0)*(BN80&lt;&gt;"")+(N(BO80)&gt;0)*(BR80&lt;&gt;"")+(N(BS80)&gt;0)*(BV80&lt;&gt;"")+(N(BW80)&gt;0)*(BZ80&lt;&gt;"")+(N(CA80)&gt;0)*(CD80&lt;&gt;"")+(N(CE80)&gt;0)*(CH80&lt;&gt;"")+(N(CI80)&gt;0)*(CL80&lt;&gt;"")+(N(CM80)&gt;0)*(CP80&lt;&gt;"")+(N(CQ80)&gt;0)*(CT80&lt;&gt;"")+(N(CU80)&gt;0)*(CX80&lt;&gt;"")+(N(CY80)&gt;0)*(DB80&lt;&gt;"")+(N(DC80)&gt;0)*(DF80&lt;&gt;"")+(N(DG80)&gt;0)*(DJ80&lt;&gt;"")+(N(DS80)&gt;0)*(DV80&lt;&gt;"")+(N(DW80)&gt;0)*(DZ80&lt;&gt;"")+(N(EA80)&gt;0)*(ED80&lt;&gt;"")+(N(EE80)&gt;0)*(EH80&lt;&gt;"")+(N(EI80)&gt;0)*(EL80&lt;&gt;"")+(N(EM80)&gt;0)*(EP80&lt;&gt;"")+(N(EQ80)&gt;0)*(ET80&lt;&gt;"")+(N(EU80)&gt;0)*(EX80&lt;&gt;"")+(N(#REF!)&gt;0)*(#REF!&lt;&gt;"")+(N(#REF!)&gt;0)*(#REF!&lt;&gt;"")+(N(FJ80)&gt;0)*(FM80&lt;&gt;"")+(N(FN80)&gt;0)*(FQ80&lt;&gt;"")+(N(#REF!)&gt;0)*(#REF!&lt;&gt;"")+(N(#REF!)&gt;0)*(#REF!&lt;&gt;"")+(N(HF80)&gt;0)*(HI80&lt;&gt;"")+(N(#REF!)&gt;0)*(#REF!&lt;&gt;"")+(N(HJ80)&gt;0)*(HM80&lt;&gt;"")+(N(HN80)&gt;0)*(HQ80&lt;&gt;"")+(N(HZ80)&gt;0)*(IC80&lt;&gt;"")+(N(ID80)&gt;0)*(IG80&lt;&gt;"")+(N(IH80)&gt;0)*(IK80&lt;&gt;"")+(N(IL80)&gt;0)*(IO80&lt;&gt;"")+(N(IX80)&gt;0)*(JA80&lt;&gt;"")+(N(JB80)&gt;0)*(JE80&lt;&gt;"")+(N(JF80)&gt;0)*(JH80&lt;&gt;"")+(N(JI80)&gt;0)*(JK80&lt;&gt;"")+(N(JL80)&gt;0)*(JN80&lt;&gt;"")+(N(JO80)&gt;0)*(JQ80&lt;&gt;""))</f>
        <v>#REF!</v>
      </c>
      <c r="LF80" s="141">
        <f t="shared" si="21"/>
        <v>0</v>
      </c>
      <c r="LG80" s="141">
        <f t="shared" si="30"/>
        <v>0</v>
      </c>
    </row>
    <row r="81" spans="1:319" ht="38.25" customHeight="1" x14ac:dyDescent="0.55000000000000004">
      <c r="B81" s="314" t="s">
        <v>432</v>
      </c>
      <c r="C81" s="218"/>
      <c r="D81" s="218"/>
      <c r="E81" s="218"/>
      <c r="F81" s="218"/>
      <c r="G81" s="218"/>
      <c r="H81" s="218"/>
      <c r="I81" s="162" cm="1">
        <f t="array" ref="I81">SUMPRODUCT(($AI$2:$KV$2&lt;&gt;"")*($AI81:$KV81&lt;&gt;""))</f>
        <v>2</v>
      </c>
      <c r="J81" s="142">
        <f t="shared" si="17"/>
        <v>0</v>
      </c>
      <c r="K81" s="142">
        <f t="shared" si="18"/>
        <v>0</v>
      </c>
      <c r="L81" s="268">
        <f t="shared" si="31"/>
        <v>7000</v>
      </c>
      <c r="M81" s="164">
        <f t="shared" si="22"/>
        <v>560</v>
      </c>
      <c r="N81" s="397"/>
      <c r="O81" s="165">
        <f t="shared" si="19"/>
        <v>0</v>
      </c>
      <c r="P81" s="165"/>
      <c r="Q81" s="165"/>
      <c r="R81" s="165">
        <f>(IFERROR(AM81/AN81,0)+IFERROR(AU81/AV81,0)+IFERROR(AY81/AZ81,0)+IFERROR(BC81/BD81,0)+IFERROR(BG81/BH81,0)+IFERROR(BK81/BL81,0)+IFERROR(BO81/BP81,0)+IFERROR(BS81/BT81,0)+IFERROR(BW81/BX81,0)+IFERROR(CA81/CB81,0)+IFERROR(CE81/CF81,0)+IFERROR(CI81/CJ81,0)+IFERROR(CM81/CN81,0)+IFERROR(CQ81/CR81,0)+IFERROR(CU81/CV81,0)+IFERROR(CY81/CZ81,0)+IFERROR(DC81/DD81,0)+IFERROR(DG81/DH81,0)+IFERROR(DS81/DT81,0)+IFERROR(DW81/DX81,0)+IFERROR(EA81/EB81,0)+IFERROR(EE81/EF81,0)+IFERROR(EI81/EJ81,0)+IFERROR(EM81/EN81,0)+IFERROR(EQ81/ER81,0)+IFERROR(EU81/EV81,0)+IFERROR(#REF!/#REF!,0)+IFERROR(#REF!/#REF!,0)+IFERROR(FJ81/FK81,0)+IFERROR(FN81/FO81,0)+IFERROR(#REF!/#REF!,0)+IFERROR(#REF!/#REF!,0)+IFERROR(HF81/HG81,0)+IFERROR(#REF!/#REF!,0)+IFERROR(HJ81/HK81,0)+IFERROR(HN81/HO81,0)+IFERROR(HZ81/IA81,0)+IFERROR(ID81/IE81,0)+IFERROR(IH81/II81,0)+IFERROR(IL81/IM81,0)+IFERROR(IX81/IY81,0)+IFERROR(JB81/JC81,0)+IFERROR(JF81/JG81,0)+IFERROR(JI81/JJ81,0)+IFERROR(JL81/JM81,0)+IFERROR(JO81/JP81,0))*L81*(C81+D81+E81+I81)</f>
        <v>0</v>
      </c>
      <c r="S81" s="165"/>
      <c r="T81" s="165">
        <f t="shared" si="23"/>
        <v>0</v>
      </c>
      <c r="U81" s="165"/>
      <c r="V81" s="165"/>
      <c r="W81" s="165"/>
      <c r="X81" s="165">
        <f>(IFERROR(FF81/FG81,0)+IFERROR(FC81/FD81,0)+IFERROR(#REF!/#REF!,0)+IFERROR(KP81/KQ81,0))*L81*(C81+D81+E81+I81)</f>
        <v>0</v>
      </c>
      <c r="Y81" s="484"/>
      <c r="Z81" s="484"/>
      <c r="AA81" s="484"/>
      <c r="AB81" s="484"/>
      <c r="AC81" s="150">
        <f t="shared" si="20"/>
        <v>0</v>
      </c>
      <c r="AD81" s="150"/>
      <c r="AE81" s="150">
        <f t="shared" si="24"/>
        <v>0</v>
      </c>
      <c r="AF81" s="161"/>
      <c r="AG81" s="143"/>
      <c r="AH81" s="154"/>
      <c r="AI81" s="342">
        <v>10</v>
      </c>
      <c r="AJ81" s="342">
        <v>250</v>
      </c>
      <c r="AK81" s="342"/>
      <c r="AL81" s="343" t="s">
        <v>545</v>
      </c>
      <c r="AM81" s="140"/>
      <c r="AN81" s="154"/>
      <c r="AO81" s="154"/>
      <c r="AP81" s="220"/>
      <c r="AQ81" s="145">
        <v>144</v>
      </c>
      <c r="AR81" s="338"/>
      <c r="AS81" s="338"/>
      <c r="AT81" s="343" t="s">
        <v>763</v>
      </c>
      <c r="AU81" s="140"/>
      <c r="AV81" s="277"/>
      <c r="AW81" s="277"/>
      <c r="AX81" s="277"/>
      <c r="AY81" s="140"/>
      <c r="AZ81" s="277"/>
      <c r="BA81" s="277"/>
      <c r="BB81" s="277"/>
      <c r="BC81" s="140"/>
      <c r="BD81" s="277"/>
      <c r="BE81" s="277"/>
      <c r="BF81" s="277"/>
      <c r="BG81" s="140"/>
      <c r="BH81" s="277"/>
      <c r="BI81" s="277"/>
      <c r="BJ81" s="277"/>
      <c r="BK81" s="140"/>
      <c r="BL81" s="277"/>
      <c r="BM81" s="277"/>
      <c r="BN81" s="277"/>
      <c r="BO81" s="140"/>
      <c r="BP81" s="277"/>
      <c r="BQ81" s="277"/>
      <c r="BR81" s="277"/>
      <c r="BS81" s="140"/>
      <c r="BT81" s="277"/>
      <c r="BU81" s="277"/>
      <c r="BV81" s="277"/>
      <c r="BW81" s="140"/>
      <c r="BX81" s="154"/>
      <c r="BY81" s="154"/>
      <c r="BZ81" s="220"/>
      <c r="CA81" s="140"/>
      <c r="CB81" s="154"/>
      <c r="CC81" s="154"/>
      <c r="CD81" s="220"/>
      <c r="CE81" s="140"/>
      <c r="CF81" s="271"/>
      <c r="CG81" s="271"/>
      <c r="CH81" s="271"/>
      <c r="CI81" s="140"/>
      <c r="CJ81" s="154"/>
      <c r="CK81" s="154"/>
      <c r="CL81" s="154"/>
      <c r="CM81" s="140"/>
      <c r="CN81" s="271"/>
      <c r="CO81" s="271"/>
      <c r="CP81" s="271"/>
      <c r="CQ81" s="140"/>
      <c r="CR81" s="154"/>
      <c r="CS81" s="154"/>
      <c r="CT81" s="154"/>
      <c r="CU81" s="140"/>
      <c r="CV81" s="154"/>
      <c r="CW81" s="154"/>
      <c r="CX81" s="220"/>
      <c r="CY81" s="140"/>
      <c r="CZ81" s="154"/>
      <c r="DA81" s="154"/>
      <c r="DB81" s="220"/>
      <c r="DC81" s="140"/>
      <c r="DD81" s="146"/>
      <c r="DE81" s="146"/>
      <c r="DF81" s="146"/>
      <c r="DG81" s="140"/>
      <c r="DH81" s="146"/>
      <c r="DI81" s="146"/>
      <c r="DJ81" s="146"/>
      <c r="DK81" s="146"/>
      <c r="DL81" s="146"/>
      <c r="DM81" s="146"/>
      <c r="DN81" s="146"/>
      <c r="DO81" s="146"/>
      <c r="DP81" s="146"/>
      <c r="DQ81" s="146"/>
      <c r="DR81" s="146"/>
      <c r="DS81" s="140"/>
      <c r="DT81" s="154"/>
      <c r="DU81" s="154"/>
      <c r="DV81" s="154"/>
      <c r="DW81" s="140"/>
      <c r="DX81" s="220"/>
      <c r="DY81" s="220"/>
      <c r="DZ81" s="220"/>
      <c r="EA81" s="140"/>
      <c r="EB81" s="220"/>
      <c r="EC81" s="220"/>
      <c r="ED81" s="220"/>
      <c r="EE81" s="140"/>
      <c r="EF81" s="154"/>
      <c r="EG81" s="154"/>
      <c r="EH81" s="154"/>
      <c r="EI81" s="140"/>
      <c r="EJ81" s="154"/>
      <c r="EK81" s="154"/>
      <c r="EL81" s="154"/>
      <c r="EM81" s="140"/>
      <c r="EN81" s="222"/>
      <c r="EO81" s="222"/>
      <c r="EP81" s="222"/>
      <c r="EQ81" s="140"/>
      <c r="ER81" s="222"/>
      <c r="ES81" s="222"/>
      <c r="ET81" s="222"/>
      <c r="EU81" s="140"/>
      <c r="EV81" s="222"/>
      <c r="EW81" s="222"/>
      <c r="EX81" s="222"/>
      <c r="EY81" s="344"/>
      <c r="EZ81" s="222"/>
      <c r="FA81" s="222"/>
      <c r="FB81" s="222"/>
      <c r="FC81" s="273"/>
      <c r="FD81" s="223"/>
      <c r="FE81" s="223"/>
      <c r="FF81" s="276"/>
      <c r="FG81" s="156"/>
      <c r="FH81" s="156"/>
      <c r="FI81" s="156"/>
      <c r="FJ81" s="140"/>
      <c r="FK81" s="277"/>
      <c r="FL81" s="277"/>
      <c r="FM81" s="277"/>
      <c r="FN81" s="140"/>
      <c r="FO81" s="277"/>
      <c r="FP81" s="277"/>
      <c r="FQ81" s="277"/>
      <c r="FR81" s="280"/>
      <c r="FS81" s="277"/>
      <c r="FT81" s="277"/>
      <c r="FU81" s="277"/>
      <c r="FV81" s="277"/>
      <c r="FW81" s="277"/>
      <c r="FX81" s="277"/>
      <c r="FY81" s="277"/>
      <c r="FZ81" s="277"/>
      <c r="GA81" s="277"/>
      <c r="GB81" s="277"/>
      <c r="GC81" s="277"/>
      <c r="GD81" s="277"/>
      <c r="GE81" s="277"/>
      <c r="GF81" s="277"/>
      <c r="GG81" s="277"/>
      <c r="GH81" s="277"/>
      <c r="GI81" s="277"/>
      <c r="GJ81" s="277"/>
      <c r="GK81" s="277"/>
      <c r="GL81" s="277"/>
      <c r="GM81" s="277"/>
      <c r="GN81" s="277"/>
      <c r="GO81" s="277"/>
      <c r="GP81" s="277"/>
      <c r="GQ81" s="277"/>
      <c r="GR81" s="277"/>
      <c r="GS81" s="277"/>
      <c r="GT81" s="277"/>
      <c r="GU81" s="277"/>
      <c r="GV81" s="277"/>
      <c r="GW81" s="277"/>
      <c r="GX81" s="277"/>
      <c r="GY81" s="277"/>
      <c r="GZ81" s="277"/>
      <c r="HA81" s="277"/>
      <c r="HB81" s="277"/>
      <c r="HC81" s="277"/>
      <c r="HD81" s="277"/>
      <c r="HE81" s="277"/>
      <c r="HF81" s="140"/>
      <c r="HG81" s="277"/>
      <c r="HH81" s="277"/>
      <c r="HI81" s="277"/>
      <c r="HJ81" s="140"/>
      <c r="HK81" s="277"/>
      <c r="HL81" s="277"/>
      <c r="HM81" s="277"/>
      <c r="HN81" s="140"/>
      <c r="HO81" s="277"/>
      <c r="HP81" s="277"/>
      <c r="HQ81" s="277"/>
      <c r="HR81" s="277"/>
      <c r="HS81" s="277"/>
      <c r="HT81" s="277"/>
      <c r="HU81" s="277"/>
      <c r="HV81" s="277"/>
      <c r="HW81" s="277"/>
      <c r="HX81" s="277"/>
      <c r="HY81" s="277"/>
      <c r="HZ81" s="140"/>
      <c r="IA81" s="277"/>
      <c r="IB81" s="277"/>
      <c r="IC81" s="277"/>
      <c r="ID81" s="140"/>
      <c r="IE81" s="277"/>
      <c r="IF81" s="277"/>
      <c r="IG81" s="277"/>
      <c r="IH81" s="140"/>
      <c r="II81" s="277"/>
      <c r="IJ81" s="277"/>
      <c r="IK81" s="277"/>
      <c r="IL81" s="140"/>
      <c r="IM81" s="277"/>
      <c r="IN81" s="277"/>
      <c r="IO81" s="277"/>
      <c r="IP81" s="277"/>
      <c r="IQ81" s="277"/>
      <c r="IR81" s="277"/>
      <c r="IS81" s="277"/>
      <c r="IT81" s="277"/>
      <c r="IU81" s="277"/>
      <c r="IV81" s="277"/>
      <c r="IW81" s="277"/>
      <c r="IX81" s="140"/>
      <c r="IY81" s="277"/>
      <c r="IZ81" s="277"/>
      <c r="JA81" s="277"/>
      <c r="JB81" s="140"/>
      <c r="JC81" s="277"/>
      <c r="JD81" s="277"/>
      <c r="JE81" s="277"/>
      <c r="JF81" s="140"/>
      <c r="JG81" s="277"/>
      <c r="JH81" s="277"/>
      <c r="JI81" s="140"/>
      <c r="JJ81" s="277"/>
      <c r="JK81" s="277"/>
      <c r="JL81" s="140"/>
      <c r="JM81" s="277"/>
      <c r="JN81" s="277"/>
      <c r="JO81" s="140"/>
      <c r="JP81" s="277"/>
      <c r="JQ81" s="277"/>
      <c r="JR81" s="277"/>
      <c r="JS81" s="277"/>
      <c r="JT81" s="277"/>
      <c r="JU81" s="277"/>
      <c r="JV81" s="277"/>
      <c r="JW81" s="277"/>
      <c r="JX81" s="277"/>
      <c r="JY81" s="277"/>
      <c r="JZ81" s="277"/>
      <c r="KA81" s="277"/>
      <c r="KB81" s="277"/>
      <c r="KC81" s="277"/>
      <c r="KD81" s="277"/>
      <c r="KE81" s="277"/>
      <c r="KF81" s="277"/>
      <c r="KG81" s="277"/>
      <c r="KH81" s="277"/>
      <c r="KI81" s="277"/>
      <c r="KJ81" s="277"/>
      <c r="KK81" s="277"/>
      <c r="KL81" s="277"/>
      <c r="KM81" s="277"/>
      <c r="KN81" s="277"/>
      <c r="KO81" s="277"/>
      <c r="KP81" s="274"/>
      <c r="KQ81" s="253"/>
      <c r="KR81" s="253"/>
      <c r="KY81" s="141">
        <f t="shared" si="25"/>
        <v>0</v>
      </c>
      <c r="KZ81" s="141">
        <f t="shared" si="26"/>
        <v>0</v>
      </c>
      <c r="LB81" s="141">
        <f t="shared" si="27"/>
        <v>1</v>
      </c>
      <c r="LC81" s="141">
        <f t="shared" si="28"/>
        <v>0</v>
      </c>
      <c r="LD81" s="141">
        <f t="shared" si="29"/>
        <v>1</v>
      </c>
      <c r="LE81" s="141" t="e">
        <f>((N(AU81)&gt;0)*(AX81&lt;&gt;"")+(N(AY81)&gt;0)*(BB81&lt;&gt;"")+(N(BC81)&gt;0)*(BF81&lt;&gt;"")+(N(BG81)&gt;0)*(BJ81&lt;&gt;"")+(N(BK81)&gt;0)*(BN81&lt;&gt;"")+(N(BO81)&gt;0)*(BR81&lt;&gt;"")+(N(BS81)&gt;0)*(BV81&lt;&gt;"")+(N(BW81)&gt;0)*(BZ81&lt;&gt;"")+(N(CA81)&gt;0)*(CD81&lt;&gt;"")+(N(CE81)&gt;0)*(CH81&lt;&gt;"")+(N(CI81)&gt;0)*(CL81&lt;&gt;"")+(N(CM81)&gt;0)*(CP81&lt;&gt;"")+(N(CQ81)&gt;0)*(CT81&lt;&gt;"")+(N(CU81)&gt;0)*(CX81&lt;&gt;"")+(N(CY81)&gt;0)*(DB81&lt;&gt;"")+(N(DC81)&gt;0)*(DF81&lt;&gt;"")+(N(DG81)&gt;0)*(DJ81&lt;&gt;"")+(N(DS81)&gt;0)*(DV81&lt;&gt;"")+(N(DW81)&gt;0)*(DZ81&lt;&gt;"")+(N(EA81)&gt;0)*(ED81&lt;&gt;"")+(N(EE81)&gt;0)*(EH81&lt;&gt;"")+(N(EI81)&gt;0)*(EL81&lt;&gt;"")+(N(EM81)&gt;0)*(EP81&lt;&gt;"")+(N(EQ81)&gt;0)*(ET81&lt;&gt;"")+(N(EU81)&gt;0)*(EX81&lt;&gt;"")+(N(#REF!)&gt;0)*(#REF!&lt;&gt;"")+(N(#REF!)&gt;0)*(#REF!&lt;&gt;"")+(N(FJ81)&gt;0)*(FM81&lt;&gt;"")+(N(FN81)&gt;0)*(FQ81&lt;&gt;"")+(N(#REF!)&gt;0)*(#REF!&lt;&gt;"")+(N(#REF!)&gt;0)*(#REF!&lt;&gt;"")+(N(HF81)&gt;0)*(HI81&lt;&gt;"")+(N(#REF!)&gt;0)*(#REF!&lt;&gt;"")+(N(HJ81)&gt;0)*(HM81&lt;&gt;"")+(N(HN81)&gt;0)*(HQ81&lt;&gt;"")+(N(HZ81)&gt;0)*(IC81&lt;&gt;"")+(N(ID81)&gt;0)*(IG81&lt;&gt;"")+(N(IH81)&gt;0)*(IK81&lt;&gt;"")+(N(IL81)&gt;0)*(IO81&lt;&gt;"")+(N(IX81)&gt;0)*(JA81&lt;&gt;"")+(N(JB81)&gt;0)*(JE81&lt;&gt;"")+(N(JF81)&gt;0)*(JH81&lt;&gt;"")+(N(JI81)&gt;0)*(JK81&lt;&gt;"")+(N(JL81)&gt;0)*(JN81&lt;&gt;"")+(N(JO81)&gt;0)*(JQ81&lt;&gt;""))</f>
        <v>#REF!</v>
      </c>
      <c r="LF81" s="141">
        <f t="shared" si="21"/>
        <v>0</v>
      </c>
      <c r="LG81" s="141">
        <f t="shared" si="30"/>
        <v>0</v>
      </c>
    </row>
    <row r="82" spans="1:319" ht="38.25" customHeight="1" x14ac:dyDescent="0.55000000000000004">
      <c r="A82" s="141" t="s">
        <v>191</v>
      </c>
      <c r="B82" s="314" t="s">
        <v>192</v>
      </c>
      <c r="C82" s="218">
        <v>25</v>
      </c>
      <c r="D82" s="396">
        <v>25</v>
      </c>
      <c r="E82" s="396">
        <v>25</v>
      </c>
      <c r="F82" s="218"/>
      <c r="G82" s="218"/>
      <c r="H82" s="218"/>
      <c r="I82" s="162" cm="1">
        <f t="array" ref="I82">SUMPRODUCT(($AI$2:$KV$2&lt;&gt;"")*($AI82:$KV82&lt;&gt;""))</f>
        <v>1</v>
      </c>
      <c r="J82" s="142">
        <f t="shared" si="17"/>
        <v>25</v>
      </c>
      <c r="K82" s="142">
        <f t="shared" si="18"/>
        <v>350</v>
      </c>
      <c r="L82" s="268">
        <f t="shared" si="31"/>
        <v>7000</v>
      </c>
      <c r="M82" s="164">
        <f t="shared" si="22"/>
        <v>58732.800000000003</v>
      </c>
      <c r="N82" s="397"/>
      <c r="O82" s="165">
        <f t="shared" si="19"/>
        <v>0</v>
      </c>
      <c r="P82" s="165"/>
      <c r="Q82" s="165"/>
      <c r="R82" s="165">
        <f>(IFERROR(AM82/AN82,0)+IFERROR(AU82/AV82,0)+IFERROR(AY82/AZ82,0)+IFERROR(BC82/BD82,0)+IFERROR(BG82/BH82,0)+IFERROR(BK82/BL82,0)+IFERROR(BO82/BP82,0)+IFERROR(BS82/BT82,0)+IFERROR(BW82/BX82,0)+IFERROR(CA82/CB82,0)+IFERROR(CE82/CF82,0)+IFERROR(CI82/CJ82,0)+IFERROR(CM82/CN82,0)+IFERROR(CQ82/CR82,0)+IFERROR(CU82/CV82,0)+IFERROR(CY82/CZ82,0)+IFERROR(DC82/DD82,0)+IFERROR(DG82/DH82,0)+IFERROR(DS82/DT82,0)+IFERROR(DW82/DX82,0)+IFERROR(EA82/EB82,0)+IFERROR(EE82/EF82,0)+IFERROR(EI82/EJ82,0)+IFERROR(EM82/EN82,0)+IFERROR(EQ82/ER82,0)+IFERROR(EU82/EV82,0)+IFERROR(#REF!/#REF!,0)+IFERROR(#REF!/#REF!,0)+IFERROR(FJ82/FK82,0)+IFERROR(FN82/FO82,0)+IFERROR(#REF!/#REF!,0)+IFERROR(#REF!/#REF!,0)+IFERROR(HF82/HG82,0)+IFERROR(#REF!/#REF!,0)+IFERROR(HJ82/HK82,0)+IFERROR(HN82/HO82,0)+IFERROR(HZ82/IA82,0)+IFERROR(ID82/IE82,0)+IFERROR(IH82/II82,0)+IFERROR(IL82/IM82,0)+IFERROR(IX82/IY82,0)+IFERROR(JB82/JC82,0)+IFERROR(JF82/JG82,0)+IFERROR(JI82/JJ82,0)+IFERROR(JL82/JM82,0)+IFERROR(JO82/JP82,0))*L82*(C82+D82+E82+I82)</f>
        <v>0</v>
      </c>
      <c r="S82" s="165"/>
      <c r="T82" s="165">
        <f t="shared" si="23"/>
        <v>0</v>
      </c>
      <c r="U82" s="165"/>
      <c r="V82" s="165"/>
      <c r="W82" s="165"/>
      <c r="X82" s="165">
        <f>(IFERROR(FF82/FG82,0)+IFERROR(FC82/FD82,0)+IFERROR(#REF!/#REF!,0)+IFERROR(KP82/KQ82,0))*L82*(C82+D82+E82+I82)</f>
        <v>0</v>
      </c>
      <c r="Y82" s="484"/>
      <c r="Z82" s="484"/>
      <c r="AA82" s="484"/>
      <c r="AB82" s="484"/>
      <c r="AC82" s="150">
        <f t="shared" si="20"/>
        <v>0</v>
      </c>
      <c r="AD82" s="150"/>
      <c r="AE82" s="150">
        <f t="shared" si="24"/>
        <v>0</v>
      </c>
      <c r="AF82" s="161">
        <v>600</v>
      </c>
      <c r="AG82" s="143"/>
      <c r="AH82" s="154"/>
      <c r="AI82" s="144">
        <v>27.6</v>
      </c>
      <c r="AJ82" s="154">
        <v>250</v>
      </c>
      <c r="AK82" s="154"/>
      <c r="AL82" s="343" t="s">
        <v>545</v>
      </c>
      <c r="AM82" s="140"/>
      <c r="AN82" s="154"/>
      <c r="AO82" s="154"/>
      <c r="AP82" s="220"/>
      <c r="AQ82" s="145"/>
      <c r="AR82" s="154"/>
      <c r="AS82" s="154"/>
      <c r="AT82" s="220"/>
      <c r="AU82" s="140"/>
      <c r="AV82" s="277"/>
      <c r="AW82" s="277"/>
      <c r="AX82" s="277"/>
      <c r="AY82" s="140"/>
      <c r="AZ82" s="277"/>
      <c r="BA82" s="277"/>
      <c r="BB82" s="277"/>
      <c r="BC82" s="140"/>
      <c r="BD82" s="277"/>
      <c r="BE82" s="277"/>
      <c r="BF82" s="277"/>
      <c r="BG82" s="140"/>
      <c r="BH82" s="277"/>
      <c r="BI82" s="277"/>
      <c r="BJ82" s="277"/>
      <c r="BK82" s="140"/>
      <c r="BL82" s="277"/>
      <c r="BM82" s="277"/>
      <c r="BN82" s="277"/>
      <c r="BO82" s="140"/>
      <c r="BP82" s="277"/>
      <c r="BQ82" s="277"/>
      <c r="BR82" s="277"/>
      <c r="BS82" s="140"/>
      <c r="BT82" s="277"/>
      <c r="BU82" s="277"/>
      <c r="BV82" s="277"/>
      <c r="BW82" s="140"/>
      <c r="BX82" s="154"/>
      <c r="BY82" s="154"/>
      <c r="BZ82" s="220"/>
      <c r="CA82" s="140"/>
      <c r="CB82" s="154"/>
      <c r="CC82" s="154"/>
      <c r="CD82" s="220"/>
      <c r="CE82" s="140"/>
      <c r="CF82" s="271"/>
      <c r="CG82" s="271"/>
      <c r="CH82" s="271"/>
      <c r="CI82" s="140"/>
      <c r="CJ82" s="154"/>
      <c r="CK82" s="154"/>
      <c r="CL82" s="154"/>
      <c r="CM82" s="140"/>
      <c r="CN82" s="271"/>
      <c r="CO82" s="271"/>
      <c r="CP82" s="271"/>
      <c r="CQ82" s="140"/>
      <c r="CR82" s="154"/>
      <c r="CS82" s="154"/>
      <c r="CT82" s="154"/>
      <c r="CU82" s="140"/>
      <c r="CV82" s="154"/>
      <c r="CW82" s="154"/>
      <c r="CX82" s="220"/>
      <c r="CY82" s="140"/>
      <c r="CZ82" s="154"/>
      <c r="DA82" s="154"/>
      <c r="DB82" s="220"/>
      <c r="DC82" s="140"/>
      <c r="DD82" s="146"/>
      <c r="DE82" s="146"/>
      <c r="DF82" s="146"/>
      <c r="DG82" s="140"/>
      <c r="DH82" s="146"/>
      <c r="DI82" s="146"/>
      <c r="DJ82" s="146"/>
      <c r="DK82" s="146"/>
      <c r="DL82" s="146"/>
      <c r="DM82" s="146"/>
      <c r="DN82" s="146"/>
      <c r="DO82" s="146"/>
      <c r="DP82" s="146"/>
      <c r="DQ82" s="146"/>
      <c r="DR82" s="146"/>
      <c r="DS82" s="140"/>
      <c r="DT82" s="154"/>
      <c r="DU82" s="154"/>
      <c r="DV82" s="154"/>
      <c r="DW82" s="140"/>
      <c r="DX82" s="220"/>
      <c r="DY82" s="220"/>
      <c r="DZ82" s="220"/>
      <c r="EA82" s="140"/>
      <c r="EB82" s="220"/>
      <c r="EC82" s="220"/>
      <c r="ED82" s="220"/>
      <c r="EE82" s="140"/>
      <c r="EF82" s="154"/>
      <c r="EG82" s="154"/>
      <c r="EH82" s="154"/>
      <c r="EI82" s="140"/>
      <c r="EJ82" s="154"/>
      <c r="EK82" s="154"/>
      <c r="EL82" s="154"/>
      <c r="EM82" s="140"/>
      <c r="EN82" s="222"/>
      <c r="EO82" s="222"/>
      <c r="EP82" s="222"/>
      <c r="EQ82" s="140"/>
      <c r="ER82" s="222"/>
      <c r="ES82" s="222"/>
      <c r="ET82" s="222"/>
      <c r="EU82" s="140"/>
      <c r="EV82" s="222"/>
      <c r="EW82" s="222"/>
      <c r="EX82" s="222"/>
      <c r="EY82" s="344"/>
      <c r="EZ82" s="222"/>
      <c r="FA82" s="222"/>
      <c r="FB82" s="222"/>
      <c r="FC82" s="273"/>
      <c r="FD82" s="223"/>
      <c r="FE82" s="223"/>
      <c r="FF82" s="276"/>
      <c r="FG82" s="156"/>
      <c r="FH82" s="156"/>
      <c r="FI82" s="156"/>
      <c r="FJ82" s="140"/>
      <c r="FK82" s="277"/>
      <c r="FL82" s="277"/>
      <c r="FM82" s="277"/>
      <c r="FN82" s="140"/>
      <c r="FO82" s="277"/>
      <c r="FP82" s="277"/>
      <c r="FQ82" s="277"/>
      <c r="FR82" s="280"/>
      <c r="FS82" s="277"/>
      <c r="FT82" s="277"/>
      <c r="FU82" s="277"/>
      <c r="FV82" s="277"/>
      <c r="FW82" s="277"/>
      <c r="FX82" s="277"/>
      <c r="FY82" s="277"/>
      <c r="FZ82" s="277"/>
      <c r="GA82" s="277"/>
      <c r="GB82" s="277"/>
      <c r="GC82" s="277"/>
      <c r="GD82" s="277"/>
      <c r="GE82" s="277"/>
      <c r="GF82" s="277"/>
      <c r="GG82" s="277"/>
      <c r="GH82" s="277"/>
      <c r="GI82" s="277"/>
      <c r="GJ82" s="277"/>
      <c r="GK82" s="277"/>
      <c r="GL82" s="277"/>
      <c r="GM82" s="277"/>
      <c r="GN82" s="277"/>
      <c r="GO82" s="277"/>
      <c r="GP82" s="277"/>
      <c r="GQ82" s="277"/>
      <c r="GR82" s="277"/>
      <c r="GS82" s="277"/>
      <c r="GT82" s="277"/>
      <c r="GU82" s="277"/>
      <c r="GV82" s="277"/>
      <c r="GW82" s="277"/>
      <c r="GX82" s="277"/>
      <c r="GY82" s="277"/>
      <c r="GZ82" s="277"/>
      <c r="HA82" s="277"/>
      <c r="HB82" s="277"/>
      <c r="HC82" s="277"/>
      <c r="HD82" s="277"/>
      <c r="HE82" s="277"/>
      <c r="HF82" s="140"/>
      <c r="HG82" s="277"/>
      <c r="HH82" s="277"/>
      <c r="HI82" s="277"/>
      <c r="HJ82" s="140"/>
      <c r="HK82" s="277"/>
      <c r="HL82" s="277"/>
      <c r="HM82" s="277"/>
      <c r="HN82" s="140"/>
      <c r="HO82" s="277"/>
      <c r="HP82" s="277"/>
      <c r="HQ82" s="277"/>
      <c r="HR82" s="277"/>
      <c r="HS82" s="277"/>
      <c r="HT82" s="277"/>
      <c r="HU82" s="277"/>
      <c r="HV82" s="277"/>
      <c r="HW82" s="277"/>
      <c r="HX82" s="277"/>
      <c r="HY82" s="277"/>
      <c r="HZ82" s="140"/>
      <c r="IA82" s="277"/>
      <c r="IB82" s="277"/>
      <c r="IC82" s="277"/>
      <c r="ID82" s="140"/>
      <c r="IE82" s="277"/>
      <c r="IF82" s="277"/>
      <c r="IG82" s="277"/>
      <c r="IH82" s="140"/>
      <c r="II82" s="277"/>
      <c r="IJ82" s="277"/>
      <c r="IK82" s="277"/>
      <c r="IL82" s="140"/>
      <c r="IM82" s="277"/>
      <c r="IN82" s="277"/>
      <c r="IO82" s="277"/>
      <c r="IP82" s="277"/>
      <c r="IQ82" s="277"/>
      <c r="IR82" s="277"/>
      <c r="IS82" s="277"/>
      <c r="IT82" s="277"/>
      <c r="IU82" s="277"/>
      <c r="IV82" s="277"/>
      <c r="IW82" s="277"/>
      <c r="IX82" s="140"/>
      <c r="IY82" s="277"/>
      <c r="IZ82" s="277"/>
      <c r="JA82" s="277"/>
      <c r="JB82" s="140"/>
      <c r="JC82" s="277"/>
      <c r="JD82" s="277"/>
      <c r="JE82" s="277"/>
      <c r="JF82" s="140"/>
      <c r="JG82" s="277"/>
      <c r="JH82" s="277"/>
      <c r="JI82" s="140"/>
      <c r="JJ82" s="277"/>
      <c r="JK82" s="277"/>
      <c r="JL82" s="140"/>
      <c r="JM82" s="277"/>
      <c r="JN82" s="277"/>
      <c r="JO82" s="140"/>
      <c r="JP82" s="277"/>
      <c r="JQ82" s="277"/>
      <c r="JR82" s="277"/>
      <c r="JS82" s="277"/>
      <c r="JT82" s="277"/>
      <c r="JU82" s="277"/>
      <c r="JV82" s="277"/>
      <c r="JW82" s="277"/>
      <c r="JX82" s="277"/>
      <c r="JY82" s="277"/>
      <c r="JZ82" s="277"/>
      <c r="KA82" s="277"/>
      <c r="KB82" s="277"/>
      <c r="KC82" s="277"/>
      <c r="KD82" s="277"/>
      <c r="KE82" s="277"/>
      <c r="KF82" s="277"/>
      <c r="KG82" s="277"/>
      <c r="KH82" s="277"/>
      <c r="KI82" s="277"/>
      <c r="KJ82" s="277"/>
      <c r="KK82" s="277"/>
      <c r="KL82" s="277"/>
      <c r="KM82" s="277"/>
      <c r="KN82" s="277"/>
      <c r="KO82" s="277"/>
      <c r="KP82" s="274"/>
      <c r="KQ82" s="253"/>
      <c r="KR82" s="253"/>
      <c r="KY82" s="141">
        <f t="shared" si="25"/>
        <v>0</v>
      </c>
      <c r="KZ82" s="141">
        <f t="shared" si="26"/>
        <v>0</v>
      </c>
      <c r="LB82" s="141">
        <f t="shared" si="27"/>
        <v>1</v>
      </c>
      <c r="LC82" s="141">
        <f t="shared" si="28"/>
        <v>0</v>
      </c>
      <c r="LD82" s="141">
        <f t="shared" si="29"/>
        <v>0</v>
      </c>
      <c r="LE82" s="141" t="e">
        <f>((N(AU82)&gt;0)*(AX82&lt;&gt;"")+(N(AY82)&gt;0)*(BB82&lt;&gt;"")+(N(BC82)&gt;0)*(BF82&lt;&gt;"")+(N(BG82)&gt;0)*(BJ82&lt;&gt;"")+(N(BK82)&gt;0)*(BN82&lt;&gt;"")+(N(BO82)&gt;0)*(BR82&lt;&gt;"")+(N(BS82)&gt;0)*(BV82&lt;&gt;"")+(N(BW82)&gt;0)*(BZ82&lt;&gt;"")+(N(CA82)&gt;0)*(CD82&lt;&gt;"")+(N(CE82)&gt;0)*(CH82&lt;&gt;"")+(N(CI82)&gt;0)*(CL82&lt;&gt;"")+(N(CM82)&gt;0)*(CP82&lt;&gt;"")+(N(CQ82)&gt;0)*(CT82&lt;&gt;"")+(N(CU82)&gt;0)*(CX82&lt;&gt;"")+(N(CY82)&gt;0)*(DB82&lt;&gt;"")+(N(DC82)&gt;0)*(DF82&lt;&gt;"")+(N(DG82)&gt;0)*(DJ82&lt;&gt;"")+(N(DS82)&gt;0)*(DV82&lt;&gt;"")+(N(DW82)&gt;0)*(DZ82&lt;&gt;"")+(N(EA82)&gt;0)*(ED82&lt;&gt;"")+(N(EE82)&gt;0)*(EH82&lt;&gt;"")+(N(EI82)&gt;0)*(EL82&lt;&gt;"")+(N(EM82)&gt;0)*(EP82&lt;&gt;"")+(N(EQ82)&gt;0)*(ET82&lt;&gt;"")+(N(EU82)&gt;0)*(EX82&lt;&gt;"")+(N(#REF!)&gt;0)*(#REF!&lt;&gt;"")+(N(#REF!)&gt;0)*(#REF!&lt;&gt;"")+(N(FJ82)&gt;0)*(FM82&lt;&gt;"")+(N(FN82)&gt;0)*(FQ82&lt;&gt;"")+(N(#REF!)&gt;0)*(#REF!&lt;&gt;"")+(N(#REF!)&gt;0)*(#REF!&lt;&gt;"")+(N(HF82)&gt;0)*(HI82&lt;&gt;"")+(N(#REF!)&gt;0)*(#REF!&lt;&gt;"")+(N(HJ82)&gt;0)*(HM82&lt;&gt;"")+(N(HN82)&gt;0)*(HQ82&lt;&gt;"")+(N(HZ82)&gt;0)*(IC82&lt;&gt;"")+(N(ID82)&gt;0)*(IG82&lt;&gt;"")+(N(IH82)&gt;0)*(IK82&lt;&gt;"")+(N(IL82)&gt;0)*(IO82&lt;&gt;"")+(N(IX82)&gt;0)*(JA82&lt;&gt;"")+(N(JB82)&gt;0)*(JE82&lt;&gt;"")+(N(JF82)&gt;0)*(JH82&lt;&gt;"")+(N(JI82)&gt;0)*(JK82&lt;&gt;"")+(N(JL82)&gt;0)*(JN82&lt;&gt;"")+(N(JO82)&gt;0)*(JQ82&lt;&gt;""))</f>
        <v>#REF!</v>
      </c>
      <c r="LF82" s="141">
        <f t="shared" si="21"/>
        <v>0</v>
      </c>
      <c r="LG82" s="141">
        <f t="shared" si="30"/>
        <v>0</v>
      </c>
    </row>
    <row r="83" spans="1:319" ht="38.25" customHeight="1" x14ac:dyDescent="0.55000000000000004">
      <c r="B83" s="314" t="s">
        <v>433</v>
      </c>
      <c r="C83" s="218"/>
      <c r="D83" s="218"/>
      <c r="E83" s="218"/>
      <c r="F83" s="218"/>
      <c r="G83" s="218"/>
      <c r="H83" s="218"/>
      <c r="I83" s="162" cm="1">
        <f t="array" ref="I83">SUMPRODUCT(($AI$2:$KV$2&lt;&gt;"")*($AI83:$KV83&lt;&gt;""))</f>
        <v>1</v>
      </c>
      <c r="J83" s="142">
        <f t="shared" si="17"/>
        <v>0</v>
      </c>
      <c r="K83" s="142">
        <f t="shared" si="18"/>
        <v>0</v>
      </c>
      <c r="L83" s="268">
        <f t="shared" si="31"/>
        <v>7000</v>
      </c>
      <c r="M83" s="164">
        <f t="shared" si="22"/>
        <v>0</v>
      </c>
      <c r="N83" s="397"/>
      <c r="O83" s="165">
        <f t="shared" si="19"/>
        <v>0</v>
      </c>
      <c r="P83" s="165"/>
      <c r="Q83" s="165"/>
      <c r="R83" s="165">
        <f>(IFERROR(AM83/AN83,0)+IFERROR(AU83/AV83,0)+IFERROR(AY83/AZ83,0)+IFERROR(BC83/BD83,0)+IFERROR(BG83/BH83,0)+IFERROR(BK83/BL83,0)+IFERROR(BO83/BP83,0)+IFERROR(BS83/BT83,0)+IFERROR(BW83/BX83,0)+IFERROR(CA83/CB83,0)+IFERROR(CE83/CF83,0)+IFERROR(CI83/CJ83,0)+IFERROR(CM83/CN83,0)+IFERROR(CQ83/CR83,0)+IFERROR(CU83/CV83,0)+IFERROR(CY83/CZ83,0)+IFERROR(DC83/DD83,0)+IFERROR(DG83/DH83,0)+IFERROR(DS83/DT83,0)+IFERROR(DW83/DX83,0)+IFERROR(EA83/EB83,0)+IFERROR(EE83/EF83,0)+IFERROR(EI83/EJ83,0)+IFERROR(EM83/EN83,0)+IFERROR(EQ83/ER83,0)+IFERROR(EU83/EV83,0)+IFERROR(#REF!/#REF!,0)+IFERROR(#REF!/#REF!,0)+IFERROR(FJ83/FK83,0)+IFERROR(FN83/FO83,0)+IFERROR(#REF!/#REF!,0)+IFERROR(#REF!/#REF!,0)+IFERROR(HF83/HG83,0)+IFERROR(#REF!/#REF!,0)+IFERROR(HJ83/HK83,0)+IFERROR(HN83/HO83,0)+IFERROR(HZ83/IA83,0)+IFERROR(ID83/IE83,0)+IFERROR(IH83/II83,0)+IFERROR(IL83/IM83,0)+IFERROR(IX83/IY83,0)+IFERROR(JB83/JC83,0)+IFERROR(JF83/JG83,0)+IFERROR(JI83/JJ83,0)+IFERROR(JL83/JM83,0)+IFERROR(JO83/JP83,0))*L83*(C83+D83+E83+I83)</f>
        <v>0</v>
      </c>
      <c r="S83" s="165"/>
      <c r="T83" s="165">
        <f t="shared" si="23"/>
        <v>0</v>
      </c>
      <c r="U83" s="165"/>
      <c r="V83" s="165"/>
      <c r="W83" s="165"/>
      <c r="X83" s="165">
        <f>(IFERROR(FF83/FG83,0)+IFERROR(FC83/FD83,0)+IFERROR(#REF!/#REF!,0)+IFERROR(KP83/KQ83,0))*L83*(C83+D83+E83+I83)</f>
        <v>0</v>
      </c>
      <c r="Y83" s="484"/>
      <c r="Z83" s="484"/>
      <c r="AA83" s="484"/>
      <c r="AB83" s="484"/>
      <c r="AC83" s="150">
        <f t="shared" si="20"/>
        <v>0</v>
      </c>
      <c r="AD83" s="150"/>
      <c r="AE83" s="150">
        <f t="shared" si="24"/>
        <v>0</v>
      </c>
      <c r="AF83" s="161"/>
      <c r="AG83" s="143"/>
      <c r="AH83" s="154"/>
      <c r="AI83" s="144">
        <v>1.8</v>
      </c>
      <c r="AJ83" s="338"/>
      <c r="AK83" s="338"/>
      <c r="AL83" s="343" t="s">
        <v>545</v>
      </c>
      <c r="AM83" s="140"/>
      <c r="AN83" s="154"/>
      <c r="AO83" s="154"/>
      <c r="AP83" s="220"/>
      <c r="AQ83" s="145"/>
      <c r="AR83" s="154"/>
      <c r="AS83" s="154"/>
      <c r="AT83" s="220"/>
      <c r="AU83" s="140"/>
      <c r="AV83" s="277"/>
      <c r="AW83" s="277"/>
      <c r="AX83" s="277"/>
      <c r="AY83" s="140"/>
      <c r="AZ83" s="277"/>
      <c r="BA83" s="277"/>
      <c r="BB83" s="277"/>
      <c r="BC83" s="140"/>
      <c r="BD83" s="277"/>
      <c r="BE83" s="277"/>
      <c r="BF83" s="277"/>
      <c r="BG83" s="140"/>
      <c r="BH83" s="277"/>
      <c r="BI83" s="277"/>
      <c r="BJ83" s="277"/>
      <c r="BK83" s="140"/>
      <c r="BL83" s="277"/>
      <c r="BM83" s="277"/>
      <c r="BN83" s="277"/>
      <c r="BO83" s="140"/>
      <c r="BP83" s="277"/>
      <c r="BQ83" s="277"/>
      <c r="BR83" s="277"/>
      <c r="BS83" s="140"/>
      <c r="BT83" s="277"/>
      <c r="BU83" s="277"/>
      <c r="BV83" s="277"/>
      <c r="BW83" s="140"/>
      <c r="BX83" s="154"/>
      <c r="BY83" s="154"/>
      <c r="BZ83" s="220"/>
      <c r="CA83" s="140"/>
      <c r="CB83" s="154"/>
      <c r="CC83" s="154"/>
      <c r="CD83" s="220"/>
      <c r="CE83" s="140"/>
      <c r="CF83" s="271"/>
      <c r="CG83" s="271"/>
      <c r="CH83" s="271"/>
      <c r="CI83" s="140"/>
      <c r="CJ83" s="154"/>
      <c r="CK83" s="154"/>
      <c r="CL83" s="154"/>
      <c r="CM83" s="140"/>
      <c r="CN83" s="271"/>
      <c r="CO83" s="271"/>
      <c r="CP83" s="271"/>
      <c r="CQ83" s="140"/>
      <c r="CR83" s="154"/>
      <c r="CS83" s="154"/>
      <c r="CT83" s="154"/>
      <c r="CU83" s="140"/>
      <c r="CV83" s="154"/>
      <c r="CW83" s="154"/>
      <c r="CX83" s="220"/>
      <c r="CY83" s="140"/>
      <c r="CZ83" s="154"/>
      <c r="DA83" s="154"/>
      <c r="DB83" s="220"/>
      <c r="DC83" s="140"/>
      <c r="DD83" s="146"/>
      <c r="DE83" s="146"/>
      <c r="DF83" s="146"/>
      <c r="DG83" s="140"/>
      <c r="DH83" s="146"/>
      <c r="DI83" s="146"/>
      <c r="DJ83" s="146"/>
      <c r="DK83" s="146"/>
      <c r="DL83" s="146"/>
      <c r="DM83" s="146"/>
      <c r="DN83" s="146"/>
      <c r="DO83" s="146"/>
      <c r="DP83" s="146"/>
      <c r="DQ83" s="146"/>
      <c r="DR83" s="146"/>
      <c r="DS83" s="140"/>
      <c r="DT83" s="154"/>
      <c r="DU83" s="154"/>
      <c r="DV83" s="154"/>
      <c r="DW83" s="140"/>
      <c r="DX83" s="220"/>
      <c r="DY83" s="220"/>
      <c r="DZ83" s="220"/>
      <c r="EA83" s="140"/>
      <c r="EB83" s="220"/>
      <c r="EC83" s="220"/>
      <c r="ED83" s="220"/>
      <c r="EE83" s="140"/>
      <c r="EF83" s="154"/>
      <c r="EG83" s="154"/>
      <c r="EH83" s="154"/>
      <c r="EI83" s="140"/>
      <c r="EJ83" s="154"/>
      <c r="EK83" s="154"/>
      <c r="EL83" s="154"/>
      <c r="EM83" s="140"/>
      <c r="EN83" s="222"/>
      <c r="EO83" s="222"/>
      <c r="EP83" s="222"/>
      <c r="EQ83" s="140"/>
      <c r="ER83" s="222"/>
      <c r="ES83" s="222"/>
      <c r="ET83" s="222"/>
      <c r="EU83" s="140"/>
      <c r="EV83" s="222"/>
      <c r="EW83" s="222"/>
      <c r="EX83" s="222"/>
      <c r="EY83" s="344"/>
      <c r="EZ83" s="222"/>
      <c r="FA83" s="222"/>
      <c r="FB83" s="222"/>
      <c r="FC83" s="273"/>
      <c r="FD83" s="223"/>
      <c r="FE83" s="223"/>
      <c r="FF83" s="276"/>
      <c r="FG83" s="156"/>
      <c r="FH83" s="156"/>
      <c r="FI83" s="156"/>
      <c r="FJ83" s="140"/>
      <c r="FK83" s="277"/>
      <c r="FL83" s="277"/>
      <c r="FM83" s="277"/>
      <c r="FN83" s="140"/>
      <c r="FO83" s="277"/>
      <c r="FP83" s="277"/>
      <c r="FQ83" s="277"/>
      <c r="FR83" s="280"/>
      <c r="FS83" s="277"/>
      <c r="FT83" s="277"/>
      <c r="FU83" s="277"/>
      <c r="FV83" s="277"/>
      <c r="FW83" s="277"/>
      <c r="FX83" s="277"/>
      <c r="FY83" s="277"/>
      <c r="FZ83" s="277"/>
      <c r="GA83" s="277"/>
      <c r="GB83" s="277"/>
      <c r="GC83" s="277"/>
      <c r="GD83" s="277"/>
      <c r="GE83" s="277"/>
      <c r="GF83" s="277"/>
      <c r="GG83" s="277"/>
      <c r="GH83" s="277"/>
      <c r="GI83" s="277"/>
      <c r="GJ83" s="277"/>
      <c r="GK83" s="277"/>
      <c r="GL83" s="277"/>
      <c r="GM83" s="277"/>
      <c r="GN83" s="277"/>
      <c r="GO83" s="277"/>
      <c r="GP83" s="277"/>
      <c r="GQ83" s="277"/>
      <c r="GR83" s="277"/>
      <c r="GS83" s="277"/>
      <c r="GT83" s="277"/>
      <c r="GU83" s="277"/>
      <c r="GV83" s="277"/>
      <c r="GW83" s="277"/>
      <c r="GX83" s="277"/>
      <c r="GY83" s="277"/>
      <c r="GZ83" s="277"/>
      <c r="HA83" s="277"/>
      <c r="HB83" s="277"/>
      <c r="HC83" s="277"/>
      <c r="HD83" s="277"/>
      <c r="HE83" s="277"/>
      <c r="HF83" s="140"/>
      <c r="HG83" s="277"/>
      <c r="HH83" s="277"/>
      <c r="HI83" s="277"/>
      <c r="HJ83" s="140"/>
      <c r="HK83" s="277"/>
      <c r="HL83" s="277"/>
      <c r="HM83" s="277"/>
      <c r="HN83" s="140"/>
      <c r="HO83" s="277"/>
      <c r="HP83" s="277"/>
      <c r="HQ83" s="277"/>
      <c r="HR83" s="277"/>
      <c r="HS83" s="277"/>
      <c r="HT83" s="277"/>
      <c r="HU83" s="277"/>
      <c r="HV83" s="277"/>
      <c r="HW83" s="277"/>
      <c r="HX83" s="277"/>
      <c r="HY83" s="277"/>
      <c r="HZ83" s="140"/>
      <c r="IA83" s="277"/>
      <c r="IB83" s="277"/>
      <c r="IC83" s="277"/>
      <c r="ID83" s="140"/>
      <c r="IE83" s="277"/>
      <c r="IF83" s="277"/>
      <c r="IG83" s="277"/>
      <c r="IH83" s="140"/>
      <c r="II83" s="277"/>
      <c r="IJ83" s="277"/>
      <c r="IK83" s="277"/>
      <c r="IL83" s="140"/>
      <c r="IM83" s="277"/>
      <c r="IN83" s="277"/>
      <c r="IO83" s="277"/>
      <c r="IP83" s="277"/>
      <c r="IQ83" s="277"/>
      <c r="IR83" s="277"/>
      <c r="IS83" s="277"/>
      <c r="IT83" s="277"/>
      <c r="IU83" s="277"/>
      <c r="IV83" s="277"/>
      <c r="IW83" s="277"/>
      <c r="IX83" s="140"/>
      <c r="IY83" s="277"/>
      <c r="IZ83" s="277"/>
      <c r="JA83" s="277"/>
      <c r="JB83" s="140"/>
      <c r="JC83" s="277"/>
      <c r="JD83" s="277"/>
      <c r="JE83" s="277"/>
      <c r="JF83" s="140"/>
      <c r="JG83" s="277"/>
      <c r="JH83" s="277"/>
      <c r="JI83" s="140"/>
      <c r="JJ83" s="277"/>
      <c r="JK83" s="277"/>
      <c r="JL83" s="140"/>
      <c r="JM83" s="277"/>
      <c r="JN83" s="277"/>
      <c r="JO83" s="140"/>
      <c r="JP83" s="277"/>
      <c r="JQ83" s="277"/>
      <c r="JR83" s="277"/>
      <c r="JS83" s="277"/>
      <c r="JT83" s="277"/>
      <c r="JU83" s="277"/>
      <c r="JV83" s="277"/>
      <c r="JW83" s="277"/>
      <c r="JX83" s="277"/>
      <c r="JY83" s="277"/>
      <c r="JZ83" s="277"/>
      <c r="KA83" s="277"/>
      <c r="KB83" s="277"/>
      <c r="KC83" s="277"/>
      <c r="KD83" s="277"/>
      <c r="KE83" s="277"/>
      <c r="KF83" s="277"/>
      <c r="KG83" s="277"/>
      <c r="KH83" s="277"/>
      <c r="KI83" s="277"/>
      <c r="KJ83" s="277"/>
      <c r="KK83" s="277"/>
      <c r="KL83" s="277"/>
      <c r="KM83" s="277"/>
      <c r="KN83" s="277"/>
      <c r="KO83" s="277"/>
      <c r="KP83" s="274"/>
      <c r="KQ83" s="253"/>
      <c r="KR83" s="253"/>
      <c r="KY83" s="141">
        <f t="shared" si="25"/>
        <v>0</v>
      </c>
      <c r="KZ83" s="141">
        <f t="shared" si="26"/>
        <v>0</v>
      </c>
      <c r="LB83" s="141">
        <f t="shared" si="27"/>
        <v>1</v>
      </c>
      <c r="LC83" s="141">
        <f t="shared" si="28"/>
        <v>0</v>
      </c>
      <c r="LD83" s="141">
        <f t="shared" si="29"/>
        <v>0</v>
      </c>
      <c r="LE83" s="141" t="e">
        <f>((N(AU83)&gt;0)*(AX83&lt;&gt;"")+(N(AY83)&gt;0)*(BB83&lt;&gt;"")+(N(BC83)&gt;0)*(BF83&lt;&gt;"")+(N(BG83)&gt;0)*(BJ83&lt;&gt;"")+(N(BK83)&gt;0)*(BN83&lt;&gt;"")+(N(BO83)&gt;0)*(BR83&lt;&gt;"")+(N(BS83)&gt;0)*(BV83&lt;&gt;"")+(N(BW83)&gt;0)*(BZ83&lt;&gt;"")+(N(CA83)&gt;0)*(CD83&lt;&gt;"")+(N(CE83)&gt;0)*(CH83&lt;&gt;"")+(N(CI83)&gt;0)*(CL83&lt;&gt;"")+(N(CM83)&gt;0)*(CP83&lt;&gt;"")+(N(CQ83)&gt;0)*(CT83&lt;&gt;"")+(N(CU83)&gt;0)*(CX83&lt;&gt;"")+(N(CY83)&gt;0)*(DB83&lt;&gt;"")+(N(DC83)&gt;0)*(DF83&lt;&gt;"")+(N(DG83)&gt;0)*(DJ83&lt;&gt;"")+(N(DS83)&gt;0)*(DV83&lt;&gt;"")+(N(DW83)&gt;0)*(DZ83&lt;&gt;"")+(N(EA83)&gt;0)*(ED83&lt;&gt;"")+(N(EE83)&gt;0)*(EH83&lt;&gt;"")+(N(EI83)&gt;0)*(EL83&lt;&gt;"")+(N(EM83)&gt;0)*(EP83&lt;&gt;"")+(N(EQ83)&gt;0)*(ET83&lt;&gt;"")+(N(EU83)&gt;0)*(EX83&lt;&gt;"")+(N(#REF!)&gt;0)*(#REF!&lt;&gt;"")+(N(#REF!)&gt;0)*(#REF!&lt;&gt;"")+(N(FJ83)&gt;0)*(FM83&lt;&gt;"")+(N(FN83)&gt;0)*(FQ83&lt;&gt;"")+(N(#REF!)&gt;0)*(#REF!&lt;&gt;"")+(N(#REF!)&gt;0)*(#REF!&lt;&gt;"")+(N(HF83)&gt;0)*(HI83&lt;&gt;"")+(N(#REF!)&gt;0)*(#REF!&lt;&gt;"")+(N(HJ83)&gt;0)*(HM83&lt;&gt;"")+(N(HN83)&gt;0)*(HQ83&lt;&gt;"")+(N(HZ83)&gt;0)*(IC83&lt;&gt;"")+(N(ID83)&gt;0)*(IG83&lt;&gt;"")+(N(IH83)&gt;0)*(IK83&lt;&gt;"")+(N(IL83)&gt;0)*(IO83&lt;&gt;"")+(N(IX83)&gt;0)*(JA83&lt;&gt;"")+(N(JB83)&gt;0)*(JE83&lt;&gt;"")+(N(JF83)&gt;0)*(JH83&lt;&gt;"")+(N(JI83)&gt;0)*(JK83&lt;&gt;"")+(N(JL83)&gt;0)*(JN83&lt;&gt;"")+(N(JO83)&gt;0)*(JQ83&lt;&gt;""))</f>
        <v>#REF!</v>
      </c>
      <c r="LF83" s="141">
        <f t="shared" si="21"/>
        <v>0</v>
      </c>
      <c r="LG83" s="141">
        <f t="shared" si="30"/>
        <v>0</v>
      </c>
    </row>
    <row r="84" spans="1:319" ht="38.25" customHeight="1" x14ac:dyDescent="0.55000000000000004">
      <c r="B84" s="506" t="s">
        <v>171</v>
      </c>
      <c r="C84" s="218">
        <v>2</v>
      </c>
      <c r="D84" s="396">
        <v>2</v>
      </c>
      <c r="E84" s="396">
        <v>2</v>
      </c>
      <c r="F84" s="162">
        <f>($AI$84/$AJ$84)*$L$84*C84</f>
        <v>2352</v>
      </c>
      <c r="G84" s="162">
        <f>($AI$84/$AJ$84)*$L$84*D84</f>
        <v>2352</v>
      </c>
      <c r="H84" s="162">
        <f>($AI$84/$AJ$84)*$L$84*E84</f>
        <v>2352</v>
      </c>
      <c r="I84" s="162" cm="1">
        <f t="array" ref="I84">SUMPRODUCT(($AI$2:$KV$2&lt;&gt;"")*($AI84:$KV84&lt;&gt;""))</f>
        <v>6</v>
      </c>
      <c r="J84" s="142">
        <f t="shared" si="17"/>
        <v>12</v>
      </c>
      <c r="K84" s="142">
        <f t="shared" si="18"/>
        <v>168</v>
      </c>
      <c r="L84" s="268">
        <f t="shared" si="31"/>
        <v>7000</v>
      </c>
      <c r="M84" s="164">
        <f t="shared" si="22"/>
        <v>14112</v>
      </c>
      <c r="N84" s="397"/>
      <c r="O84" s="165">
        <f t="shared" si="19"/>
        <v>5292</v>
      </c>
      <c r="P84" s="165"/>
      <c r="Q84" s="165"/>
      <c r="R84" s="165">
        <f>(IFERROR(AM84/AN84,0)+IFERROR(AU84/AV84,0)+IFERROR(AY84/AZ84,0)+IFERROR(BC84/BD84,0)+IFERROR(BG84/BH84,0)+IFERROR(BK84/BL84,0)+IFERROR(BO84/BP84,0)+IFERROR(BS84/BT84,0)+IFERROR(BW84/BX84,0)+IFERROR(CA84/CB84,0)+IFERROR(CE84/CF84,0)+IFERROR(CI84/CJ84,0)+IFERROR(CM84/CN84,0)+IFERROR(CQ84/CR84,0)+IFERROR(CU84/CV84,0)+IFERROR(CY84/CZ84,0)+IFERROR(DC84/DD84,0)+IFERROR(DG84/DH84,0)+IFERROR(DS84/DT84,0)+IFERROR(DW84/DX84,0)+IFERROR(EA84/EB84,0)+IFERROR(EE84/EF84,0)+IFERROR(EI84/EJ84,0)+IFERROR(EM84/EN84,0)+IFERROR(EQ84/ER84,0)+IFERROR(EU84/EV84,0)+IFERROR(#REF!/#REF!,0)+IFERROR(#REF!/#REF!,0)+IFERROR(FJ84/FK84,0)+IFERROR(FN84/FO84,0)+IFERROR(#REF!/#REF!,0)+IFERROR(#REF!/#REF!,0)+IFERROR(HF84/HG84,0)+IFERROR(#REF!/#REF!,0)+IFERROR(HJ84/HK84,0)+IFERROR(HN84/HO84,0)+IFERROR(HZ84/IA84,0)+IFERROR(ID84/IE84,0)+IFERROR(IH84/II84,0)+IFERROR(IL84/IM84,0)+IFERROR(IX84/IY84,0)+IFERROR(JB84/JC84,0)+IFERROR(JF84/JG84,0)+IFERROR(JI84/JJ84,0)+IFERROR(JL84/JM84,0)+IFERROR(JO84/JP84,0))*L84*(C84+D84+E84+I84)</f>
        <v>13755</v>
      </c>
      <c r="S84" s="165"/>
      <c r="T84" s="165">
        <f t="shared" si="23"/>
        <v>0</v>
      </c>
      <c r="U84" s="165"/>
      <c r="V84" s="165"/>
      <c r="W84" s="165"/>
      <c r="X84" s="165">
        <f>(IFERROR(FF84/FG84,0)+IFERROR(FC84/FD84,0)+IFERROR(#REF!/#REF!,0)+IFERROR(KP84/KQ84,0))*L84*(C84+D84+E84+I84)</f>
        <v>0</v>
      </c>
      <c r="Y84" s="484"/>
      <c r="Z84" s="484"/>
      <c r="AA84" s="484"/>
      <c r="AB84" s="484"/>
      <c r="AC84" s="150">
        <f t="shared" si="20"/>
        <v>2037</v>
      </c>
      <c r="AD84" s="150"/>
      <c r="AE84" s="150">
        <f t="shared" si="24"/>
        <v>0</v>
      </c>
      <c r="AF84" s="161">
        <v>500</v>
      </c>
      <c r="AG84" s="143">
        <v>97</v>
      </c>
      <c r="AH84" s="154">
        <v>4000</v>
      </c>
      <c r="AI84" s="144">
        <v>42</v>
      </c>
      <c r="AJ84" s="154">
        <v>250</v>
      </c>
      <c r="AK84" s="489" t="s">
        <v>81</v>
      </c>
      <c r="AL84" s="154" t="s">
        <v>545</v>
      </c>
      <c r="AM84" s="490">
        <v>105</v>
      </c>
      <c r="AN84" s="154">
        <v>1000</v>
      </c>
      <c r="AO84" s="490" t="s">
        <v>82</v>
      </c>
      <c r="AP84" s="154" t="s">
        <v>519</v>
      </c>
      <c r="AQ84" s="145">
        <v>126</v>
      </c>
      <c r="AR84" s="154">
        <v>2000</v>
      </c>
      <c r="AS84" s="490" t="s">
        <v>82</v>
      </c>
      <c r="AT84" s="154" t="s">
        <v>522</v>
      </c>
      <c r="AU84" s="140"/>
      <c r="AV84" s="277"/>
      <c r="AW84" s="277"/>
      <c r="AX84" s="277"/>
      <c r="AY84" s="140"/>
      <c r="AZ84" s="277"/>
      <c r="BA84" s="277"/>
      <c r="BB84" s="277"/>
      <c r="BC84" s="140"/>
      <c r="BD84" s="277"/>
      <c r="BE84" s="277"/>
      <c r="BF84" s="277"/>
      <c r="BG84" s="140"/>
      <c r="BH84" s="277"/>
      <c r="BI84" s="277"/>
      <c r="BJ84" s="277"/>
      <c r="BK84" s="140"/>
      <c r="BL84" s="277"/>
      <c r="BM84" s="277"/>
      <c r="BN84" s="277"/>
      <c r="BO84" s="140"/>
      <c r="BP84" s="277"/>
      <c r="BQ84" s="277"/>
      <c r="BR84" s="277"/>
      <c r="BS84" s="140"/>
      <c r="BT84" s="277"/>
      <c r="BU84" s="277"/>
      <c r="BV84" s="277"/>
      <c r="BW84" s="140"/>
      <c r="BX84" s="154"/>
      <c r="BY84" s="154"/>
      <c r="BZ84" s="220"/>
      <c r="CA84" s="140"/>
      <c r="CB84" s="154"/>
      <c r="CC84" s="154"/>
      <c r="CD84" s="220"/>
      <c r="CE84" s="490">
        <v>58</v>
      </c>
      <c r="CF84" s="154">
        <v>2000</v>
      </c>
      <c r="CG84" s="490" t="s">
        <v>82</v>
      </c>
      <c r="CH84" s="154" t="s">
        <v>1092</v>
      </c>
      <c r="CI84" s="490">
        <v>58</v>
      </c>
      <c r="CJ84" s="154">
        <v>2000</v>
      </c>
      <c r="CK84" s="490" t="s">
        <v>82</v>
      </c>
      <c r="CL84" s="154" t="s">
        <v>1092</v>
      </c>
      <c r="CM84" s="140"/>
      <c r="CN84" s="271"/>
      <c r="CO84" s="271"/>
      <c r="CP84" s="271"/>
      <c r="CQ84" s="140"/>
      <c r="CR84" s="154"/>
      <c r="CS84" s="154"/>
      <c r="CT84" s="154"/>
      <c r="CU84" s="140"/>
      <c r="CV84" s="154"/>
      <c r="CW84" s="154"/>
      <c r="CX84" s="220"/>
      <c r="CY84" s="140"/>
      <c r="CZ84" s="154"/>
      <c r="DA84" s="154"/>
      <c r="DB84" s="220"/>
      <c r="DC84" s="140"/>
      <c r="DD84" s="146"/>
      <c r="DE84" s="146"/>
      <c r="DF84" s="146"/>
      <c r="DG84" s="140"/>
      <c r="DH84" s="146"/>
      <c r="DI84" s="146"/>
      <c r="DJ84" s="146"/>
      <c r="DK84" s="146"/>
      <c r="DL84" s="146"/>
      <c r="DM84" s="146"/>
      <c r="DN84" s="146"/>
      <c r="DO84" s="146"/>
      <c r="DP84" s="146"/>
      <c r="DQ84" s="146"/>
      <c r="DR84" s="146"/>
      <c r="DS84" s="140"/>
      <c r="DT84" s="154"/>
      <c r="DU84" s="154"/>
      <c r="DV84" s="154"/>
      <c r="DW84" s="140"/>
      <c r="DX84" s="220"/>
      <c r="DY84" s="220"/>
      <c r="DZ84" s="220"/>
      <c r="EA84" s="140"/>
      <c r="EB84" s="220"/>
      <c r="EC84" s="220"/>
      <c r="ED84" s="220"/>
      <c r="EE84" s="140"/>
      <c r="EF84" s="154"/>
      <c r="EG84" s="154"/>
      <c r="EH84" s="154"/>
      <c r="EI84" s="140"/>
      <c r="EJ84" s="154"/>
      <c r="EK84" s="154"/>
      <c r="EL84" s="154"/>
      <c r="EM84" s="140"/>
      <c r="EN84" s="222"/>
      <c r="EO84" s="222"/>
      <c r="EP84" s="222"/>
      <c r="EQ84" s="140"/>
      <c r="ER84" s="222"/>
      <c r="ES84" s="222"/>
      <c r="ET84" s="222"/>
      <c r="EU84" s="140"/>
      <c r="EV84" s="222"/>
      <c r="EW84" s="222"/>
      <c r="EX84" s="222"/>
      <c r="EY84" s="344"/>
      <c r="EZ84" s="222"/>
      <c r="FA84" s="222"/>
      <c r="FB84" s="222"/>
      <c r="FC84" s="273"/>
      <c r="FD84" s="223"/>
      <c r="FE84" s="223"/>
      <c r="FF84" s="276"/>
      <c r="FG84" s="156"/>
      <c r="FH84" s="156"/>
      <c r="FI84" s="156" t="s">
        <v>523</v>
      </c>
      <c r="FJ84" s="140"/>
      <c r="FK84" s="277"/>
      <c r="FL84" s="277"/>
      <c r="FM84" s="277"/>
      <c r="FN84" s="140"/>
      <c r="FO84" s="277"/>
      <c r="FP84" s="277"/>
      <c r="FQ84" s="277"/>
      <c r="FR84" s="280"/>
      <c r="FS84" s="277"/>
      <c r="FT84" s="277"/>
      <c r="FU84" s="277"/>
      <c r="FV84" s="277"/>
      <c r="FW84" s="277"/>
      <c r="FX84" s="277"/>
      <c r="FY84" s="277"/>
      <c r="FZ84" s="277"/>
      <c r="GA84" s="277"/>
      <c r="GB84" s="277"/>
      <c r="GC84" s="277"/>
      <c r="GD84" s="277"/>
      <c r="GE84" s="277"/>
      <c r="GF84" s="277"/>
      <c r="GG84" s="277"/>
      <c r="GH84" s="277"/>
      <c r="GI84" s="277"/>
      <c r="GJ84" s="277"/>
      <c r="GK84" s="277"/>
      <c r="GL84" s="277"/>
      <c r="GM84" s="277"/>
      <c r="GN84" s="277"/>
      <c r="GO84" s="277"/>
      <c r="GP84" s="277"/>
      <c r="GQ84" s="277"/>
      <c r="GR84" s="277"/>
      <c r="GS84" s="277"/>
      <c r="GT84" s="277"/>
      <c r="GU84" s="277"/>
      <c r="GV84" s="277"/>
      <c r="GW84" s="277"/>
      <c r="GX84" s="277"/>
      <c r="GY84" s="277"/>
      <c r="GZ84" s="277"/>
      <c r="HA84" s="277"/>
      <c r="HB84" s="277"/>
      <c r="HC84" s="277"/>
      <c r="HD84" s="277"/>
      <c r="HE84" s="277"/>
      <c r="HF84" s="140"/>
      <c r="HG84" s="277"/>
      <c r="HH84" s="277"/>
      <c r="HI84" s="277"/>
      <c r="HJ84" s="490">
        <v>1.5</v>
      </c>
      <c r="HK84" s="277">
        <v>2000</v>
      </c>
      <c r="HL84" s="490" t="s">
        <v>82</v>
      </c>
      <c r="HM84" s="495" t="s">
        <v>519</v>
      </c>
      <c r="HN84" s="140"/>
      <c r="HO84" s="277"/>
      <c r="HP84" s="277"/>
      <c r="HQ84" s="277"/>
      <c r="HR84" s="277"/>
      <c r="HS84" s="277"/>
      <c r="HT84" s="277"/>
      <c r="HU84" s="277"/>
      <c r="HV84" s="277"/>
      <c r="HW84" s="277"/>
      <c r="HX84" s="277"/>
      <c r="HY84" s="277"/>
      <c r="HZ84" s="140"/>
      <c r="IA84" s="277"/>
      <c r="IB84" s="277"/>
      <c r="IC84" s="277"/>
      <c r="ID84" s="140"/>
      <c r="IE84" s="277"/>
      <c r="IF84" s="277"/>
      <c r="IG84" s="277"/>
      <c r="IH84" s="140"/>
      <c r="II84" s="277"/>
      <c r="IJ84" s="277"/>
      <c r="IK84" s="277"/>
      <c r="IL84" s="140"/>
      <c r="IM84" s="277"/>
      <c r="IN84" s="277"/>
      <c r="IO84" s="277"/>
      <c r="IP84" s="277"/>
      <c r="IQ84" s="277"/>
      <c r="IR84" s="277"/>
      <c r="IS84" s="277"/>
      <c r="IT84" s="277"/>
      <c r="IU84" s="277"/>
      <c r="IV84" s="277"/>
      <c r="IW84" s="277"/>
      <c r="IX84" s="140"/>
      <c r="IY84" s="277"/>
      <c r="IZ84" s="277"/>
      <c r="JA84" s="277"/>
      <c r="JB84" s="140"/>
      <c r="JC84" s="277"/>
      <c r="JD84" s="277"/>
      <c r="JE84" s="277"/>
      <c r="JF84" s="140"/>
      <c r="JG84" s="277"/>
      <c r="JH84" s="277"/>
      <c r="JI84" s="140"/>
      <c r="JJ84" s="277"/>
      <c r="JK84" s="277"/>
      <c r="JL84" s="140"/>
      <c r="JM84" s="277"/>
      <c r="JN84" s="277"/>
      <c r="JO84" s="140"/>
      <c r="JP84" s="277"/>
      <c r="JQ84" s="277"/>
      <c r="JR84" s="277"/>
      <c r="JS84" s="277"/>
      <c r="JT84" s="277"/>
      <c r="JU84" s="277"/>
      <c r="JV84" s="277"/>
      <c r="JW84" s="277"/>
      <c r="JX84" s="277"/>
      <c r="JY84" s="277"/>
      <c r="JZ84" s="277"/>
      <c r="KA84" s="277"/>
      <c r="KB84" s="277"/>
      <c r="KC84" s="277"/>
      <c r="KD84" s="277"/>
      <c r="KE84" s="277"/>
      <c r="KF84" s="277"/>
      <c r="KG84" s="277"/>
      <c r="KH84" s="277"/>
      <c r="KI84" s="277"/>
      <c r="KJ84" s="277"/>
      <c r="KK84" s="277"/>
      <c r="KL84" s="277"/>
      <c r="KM84" s="277"/>
      <c r="KN84" s="277"/>
      <c r="KO84" s="277"/>
      <c r="KP84" s="274"/>
      <c r="KQ84" s="253"/>
      <c r="KR84" s="253"/>
      <c r="KY84" s="141">
        <f t="shared" si="25"/>
        <v>0</v>
      </c>
      <c r="KZ84" s="141">
        <f t="shared" si="26"/>
        <v>0</v>
      </c>
      <c r="LB84" s="141">
        <f t="shared" si="27"/>
        <v>1</v>
      </c>
      <c r="LC84" s="141">
        <f t="shared" si="28"/>
        <v>1</v>
      </c>
      <c r="LD84" s="141">
        <f t="shared" si="29"/>
        <v>1</v>
      </c>
      <c r="LE84" s="141" t="e">
        <f>((N(AU84)&gt;0)*(AX84&lt;&gt;"")+(N(AY84)&gt;0)*(BB84&lt;&gt;"")+(N(BC84)&gt;0)*(BF84&lt;&gt;"")+(N(BG84)&gt;0)*(BJ84&lt;&gt;"")+(N(BK84)&gt;0)*(BN84&lt;&gt;"")+(N(BO84)&gt;0)*(BR84&lt;&gt;"")+(N(BS84)&gt;0)*(BV84&lt;&gt;"")+(N(BW84)&gt;0)*(BZ84&lt;&gt;"")+(N(CA84)&gt;0)*(CD84&lt;&gt;"")+(N(CE84)&gt;0)*(CH84&lt;&gt;"")+(N(CI84)&gt;0)*(CL84&lt;&gt;"")+(N(CM84)&gt;0)*(CP84&lt;&gt;"")+(N(CQ84)&gt;0)*(CT84&lt;&gt;"")+(N(CU84)&gt;0)*(CX84&lt;&gt;"")+(N(CY84)&gt;0)*(DB84&lt;&gt;"")+(N(DC84)&gt;0)*(DF84&lt;&gt;"")+(N(DG84)&gt;0)*(DJ84&lt;&gt;"")+(N(DS84)&gt;0)*(DV84&lt;&gt;"")+(N(DW84)&gt;0)*(DZ84&lt;&gt;"")+(N(EA84)&gt;0)*(ED84&lt;&gt;"")+(N(EE84)&gt;0)*(EH84&lt;&gt;"")+(N(EI84)&gt;0)*(EL84&lt;&gt;"")+(N(EM84)&gt;0)*(EP84&lt;&gt;"")+(N(EQ84)&gt;0)*(ET84&lt;&gt;"")+(N(EU84)&gt;0)*(EX84&lt;&gt;"")+(N(#REF!)&gt;0)*(#REF!&lt;&gt;"")+(N(#REF!)&gt;0)*(#REF!&lt;&gt;"")+(N(FJ84)&gt;0)*(FM84&lt;&gt;"")+(N(FN84)&gt;0)*(FQ84&lt;&gt;"")+(N(#REF!)&gt;0)*(#REF!&lt;&gt;"")+(N(#REF!)&gt;0)*(#REF!&lt;&gt;"")+(N(HF84)&gt;0)*(HI84&lt;&gt;"")+(N(#REF!)&gt;0)*(#REF!&lt;&gt;"")+(N(HJ84)&gt;0)*(HM84&lt;&gt;"")+(N(HN84)&gt;0)*(HQ84&lt;&gt;"")+(N(HZ84)&gt;0)*(IC84&lt;&gt;"")+(N(ID84)&gt;0)*(IG84&lt;&gt;"")+(N(IH84)&gt;0)*(IK84&lt;&gt;"")+(N(IL84)&gt;0)*(IO84&lt;&gt;"")+(N(IX84)&gt;0)*(JA84&lt;&gt;"")+(N(JB84)&gt;0)*(JE84&lt;&gt;"")+(N(JF84)&gt;0)*(JH84&lt;&gt;"")+(N(JI84)&gt;0)*(JK84&lt;&gt;"")+(N(JL84)&gt;0)*(JN84&lt;&gt;"")+(N(JO84)&gt;0)*(JQ84&lt;&gt;""))</f>
        <v>#REF!</v>
      </c>
      <c r="LF84" s="141">
        <f t="shared" si="21"/>
        <v>0</v>
      </c>
      <c r="LG84" s="141">
        <f t="shared" si="30"/>
        <v>1</v>
      </c>
    </row>
    <row r="85" spans="1:319" ht="38.25" customHeight="1" x14ac:dyDescent="0.55000000000000004">
      <c r="B85" s="506" t="s">
        <v>142</v>
      </c>
      <c r="C85" s="218">
        <v>2</v>
      </c>
      <c r="D85" s="396">
        <v>2</v>
      </c>
      <c r="E85" s="396">
        <v>2</v>
      </c>
      <c r="F85" s="162">
        <f>($AI$85/$AJ$85)*$L$85*C85</f>
        <v>3080</v>
      </c>
      <c r="G85" s="162">
        <f>($AI$85/$AJ$85)*$L$85*D85</f>
        <v>3080</v>
      </c>
      <c r="H85" s="162">
        <f>($AI$85/$AJ$85)*$L$85*E85</f>
        <v>3080</v>
      </c>
      <c r="I85" s="162" cm="1">
        <f t="array" ref="I85">SUMPRODUCT(($AI$2:$KV$2&lt;&gt;"")*($AI85:$KV85&lt;&gt;""))</f>
        <v>6</v>
      </c>
      <c r="J85" s="142">
        <f t="shared" si="17"/>
        <v>12</v>
      </c>
      <c r="K85" s="142">
        <f t="shared" si="18"/>
        <v>168</v>
      </c>
      <c r="L85" s="268">
        <f t="shared" si="31"/>
        <v>7000</v>
      </c>
      <c r="M85" s="164">
        <f t="shared" si="22"/>
        <v>18480</v>
      </c>
      <c r="N85" s="397"/>
      <c r="O85" s="165">
        <f t="shared" si="19"/>
        <v>11340.000000000002</v>
      </c>
      <c r="P85" s="165"/>
      <c r="Q85" s="165"/>
      <c r="R85" s="165">
        <f>(IFERROR(AM85/AN85,0)+IFERROR(AU85/AV85,0)+IFERROR(AY85/AZ85,0)+IFERROR(BC85/BD85,0)+IFERROR(BG85/BH85,0)+IFERROR(BK85/BL85,0)+IFERROR(BO85/BP85,0)+IFERROR(BS85/BT85,0)+IFERROR(CE85/CF85,0)+IFERROR(CI85/CJ85,0)+IFERROR(#REF!/#REF!,0)+IFERROR(#REF!/#REF!,0)+IFERROR(CM85/CN85,0)+IFERROR(CQ85/CR85,0)+IFERROR(CU85/CV85,0)+IFERROR(CY85/CZ85,0)+IFERROR(DC85/DD85,0)+IFERROR(DG85/DH85,0)+IFERROR(DS85/DT85,0)+IFERROR(DW85/DX85,0)+IFERROR(EA85/EB85,0)+IFERROR(EE85/EF85,0)+IFERROR(EI85/EJ85,0)+IFERROR(EM85/EN85,0)+IFERROR(EQ85/ER85,0)+IFERROR(EU85/EV85,0)+IFERROR(#REF!/#REF!,0)+IFERROR(#REF!/#REF!,0)+IFERROR(FJ85/FK85,0)+IFERROR(FN85/FO85,0)+IFERROR(#REF!/#REF!,0)+IFERROR(#REF!/#REF!,0)+IFERROR(HF85/HG85,0)+IFERROR(#REF!/#REF!,0)+IFERROR(HJ85/HK85,0)+IFERROR(HN85/HO85,0)+IFERROR(HZ85/IA85,0)+IFERROR(ID85/IE85,0)+IFERROR(IH85/II85,0)+IFERROR(IL85/IM85,0)+IFERROR(IX85/IY85,0)+IFERROR(JB85/JC85,0)+IFERROR(JF85/JG85,0)+IFERROR(JI85/JJ85,0)+IFERROR(JL85/JM85,0)+IFERROR(JO85/JP85,0))*L85*(C85+D85+E85+I85)</f>
        <v>15854.999999999996</v>
      </c>
      <c r="S85" s="165"/>
      <c r="T85" s="165">
        <f t="shared" si="23"/>
        <v>0</v>
      </c>
      <c r="U85" s="165"/>
      <c r="V85" s="165"/>
      <c r="W85" s="165"/>
      <c r="X85" s="165">
        <f>(IFERROR(FF85/FG85,0)+IFERROR(FC85/FD85,0)+IFERROR(#REF!/#REF!,0)+IFERROR(KP85/KQ85,0))*L85*(C85+D85+E85+I85)</f>
        <v>0</v>
      </c>
      <c r="Y85" s="484"/>
      <c r="Z85" s="484"/>
      <c r="AA85" s="484"/>
      <c r="AB85" s="484"/>
      <c r="AC85" s="150">
        <f t="shared" si="20"/>
        <v>2310</v>
      </c>
      <c r="AD85" s="150"/>
      <c r="AE85" s="150">
        <f t="shared" si="24"/>
        <v>0</v>
      </c>
      <c r="AF85" s="161">
        <v>840</v>
      </c>
      <c r="AG85" s="143">
        <v>110</v>
      </c>
      <c r="AH85" s="154">
        <v>4000</v>
      </c>
      <c r="AI85" s="144">
        <v>55</v>
      </c>
      <c r="AJ85" s="154">
        <v>250</v>
      </c>
      <c r="AK85" s="489" t="s">
        <v>81</v>
      </c>
      <c r="AL85" s="220" t="s">
        <v>545</v>
      </c>
      <c r="AM85" s="490">
        <v>150</v>
      </c>
      <c r="AN85" s="154">
        <v>1000</v>
      </c>
      <c r="AO85" s="490" t="s">
        <v>82</v>
      </c>
      <c r="AP85" s="154" t="s">
        <v>519</v>
      </c>
      <c r="AQ85" s="490">
        <v>270</v>
      </c>
      <c r="AR85" s="154">
        <v>2000</v>
      </c>
      <c r="AS85" s="490" t="s">
        <v>82</v>
      </c>
      <c r="AT85" s="154" t="s">
        <v>522</v>
      </c>
      <c r="AU85" s="140"/>
      <c r="AV85" s="277"/>
      <c r="AW85" s="277"/>
      <c r="AX85" s="277"/>
      <c r="AY85" s="140"/>
      <c r="AZ85" s="277"/>
      <c r="BA85" s="277"/>
      <c r="BB85" s="277"/>
      <c r="BC85" s="140"/>
      <c r="BD85" s="277"/>
      <c r="BE85" s="277"/>
      <c r="BF85" s="277"/>
      <c r="BG85" s="140"/>
      <c r="BH85" s="277"/>
      <c r="BI85" s="277"/>
      <c r="BJ85" s="277"/>
      <c r="BK85" s="140"/>
      <c r="BL85" s="277"/>
      <c r="BM85" s="277"/>
      <c r="BN85" s="277"/>
      <c r="BO85" s="140"/>
      <c r="BP85" s="277"/>
      <c r="BQ85" s="277"/>
      <c r="BR85" s="277"/>
      <c r="BS85" s="140"/>
      <c r="BT85" s="277"/>
      <c r="BU85" s="277"/>
      <c r="BV85" s="277"/>
      <c r="BW85" s="140"/>
      <c r="BX85" s="154"/>
      <c r="BY85" s="154"/>
      <c r="BZ85" s="220"/>
      <c r="CA85" s="140"/>
      <c r="CB85" s="154"/>
      <c r="CC85" s="154"/>
      <c r="CD85" s="220"/>
      <c r="CE85" s="490">
        <v>38</v>
      </c>
      <c r="CF85" s="154">
        <v>2000</v>
      </c>
      <c r="CG85" s="490" t="s">
        <v>82</v>
      </c>
      <c r="CH85" s="154" t="s">
        <v>521</v>
      </c>
      <c r="CI85" s="490">
        <v>38</v>
      </c>
      <c r="CJ85" s="154">
        <v>2000</v>
      </c>
      <c r="CK85" s="490" t="s">
        <v>82</v>
      </c>
      <c r="CL85" s="154" t="s">
        <v>521</v>
      </c>
      <c r="CM85" s="140"/>
      <c r="CN85" s="271"/>
      <c r="CO85" s="271"/>
      <c r="CP85" s="271"/>
      <c r="CQ85" s="140"/>
      <c r="CR85" s="154"/>
      <c r="CS85" s="154"/>
      <c r="CT85" s="154"/>
      <c r="CU85" s="140"/>
      <c r="CV85" s="154"/>
      <c r="CW85" s="154"/>
      <c r="CX85" s="220"/>
      <c r="CY85" s="140"/>
      <c r="CZ85" s="154"/>
      <c r="DA85" s="154"/>
      <c r="DB85" s="220"/>
      <c r="DC85" s="140"/>
      <c r="DD85" s="146"/>
      <c r="DE85" s="146"/>
      <c r="DF85" s="146"/>
      <c r="DG85" s="140"/>
      <c r="DH85" s="146"/>
      <c r="DI85" s="146"/>
      <c r="DJ85" s="146"/>
      <c r="DK85" s="146"/>
      <c r="DL85" s="146"/>
      <c r="DM85" s="146"/>
      <c r="DN85" s="146"/>
      <c r="DO85" s="146"/>
      <c r="DP85" s="146"/>
      <c r="DQ85" s="146"/>
      <c r="DR85" s="146"/>
      <c r="DS85" s="140"/>
      <c r="DT85" s="154"/>
      <c r="DU85" s="154"/>
      <c r="DV85" s="154"/>
      <c r="DW85" s="140"/>
      <c r="DX85" s="220"/>
      <c r="DY85" s="220"/>
      <c r="DZ85" s="220"/>
      <c r="EA85" s="140"/>
      <c r="EB85" s="220"/>
      <c r="EC85" s="220"/>
      <c r="ED85" s="220"/>
      <c r="EE85" s="140"/>
      <c r="EF85" s="154"/>
      <c r="EG85" s="154"/>
      <c r="EH85" s="154"/>
      <c r="EI85" s="140"/>
      <c r="EJ85" s="154"/>
      <c r="EK85" s="154"/>
      <c r="EL85" s="154"/>
      <c r="EM85" s="140"/>
      <c r="EN85" s="222"/>
      <c r="EO85" s="222"/>
      <c r="EP85" s="222"/>
      <c r="EQ85" s="140"/>
      <c r="ER85" s="222"/>
      <c r="ES85" s="222"/>
      <c r="ET85" s="222"/>
      <c r="EU85" s="140"/>
      <c r="EV85" s="222"/>
      <c r="EW85" s="222"/>
      <c r="EX85" s="222"/>
      <c r="EY85" s="344"/>
      <c r="EZ85" s="222"/>
      <c r="FA85" s="222"/>
      <c r="FB85" s="222"/>
      <c r="FC85" s="273"/>
      <c r="FD85" s="223"/>
      <c r="FE85" s="223"/>
      <c r="FF85" s="276"/>
      <c r="FG85" s="156"/>
      <c r="FH85" s="156"/>
      <c r="FI85" s="156" t="s">
        <v>523</v>
      </c>
      <c r="FJ85" s="140"/>
      <c r="FK85" s="277"/>
      <c r="FL85" s="277"/>
      <c r="FM85" s="277"/>
      <c r="FN85" s="140"/>
      <c r="FO85" s="277"/>
      <c r="FP85" s="277"/>
      <c r="FQ85" s="277"/>
      <c r="FR85" s="280"/>
      <c r="FS85" s="277"/>
      <c r="FT85" s="277"/>
      <c r="FU85" s="277"/>
      <c r="FV85" s="277"/>
      <c r="FW85" s="277"/>
      <c r="FX85" s="277"/>
      <c r="FY85" s="277"/>
      <c r="FZ85" s="277"/>
      <c r="GA85" s="277"/>
      <c r="GB85" s="277"/>
      <c r="GC85" s="277"/>
      <c r="GD85" s="277"/>
      <c r="GE85" s="277"/>
      <c r="GF85" s="277"/>
      <c r="GG85" s="277"/>
      <c r="GH85" s="277"/>
      <c r="GI85" s="277"/>
      <c r="GJ85" s="277"/>
      <c r="GK85" s="277"/>
      <c r="GL85" s="277"/>
      <c r="GM85" s="277"/>
      <c r="GN85" s="277"/>
      <c r="GO85" s="277"/>
      <c r="GP85" s="277"/>
      <c r="GQ85" s="277"/>
      <c r="GR85" s="277"/>
      <c r="GS85" s="277"/>
      <c r="GT85" s="277"/>
      <c r="GU85" s="277"/>
      <c r="GV85" s="277"/>
      <c r="GW85" s="277"/>
      <c r="GX85" s="277"/>
      <c r="GY85" s="277"/>
      <c r="GZ85" s="277"/>
      <c r="HA85" s="277"/>
      <c r="HB85" s="277"/>
      <c r="HC85" s="277"/>
      <c r="HD85" s="277"/>
      <c r="HE85" s="277"/>
      <c r="HF85" s="140"/>
      <c r="HG85" s="277"/>
      <c r="HH85" s="277"/>
      <c r="HI85" s="277"/>
      <c r="HJ85" s="490">
        <v>1.5</v>
      </c>
      <c r="HK85" s="277">
        <v>2000</v>
      </c>
      <c r="HL85" s="490" t="s">
        <v>82</v>
      </c>
      <c r="HM85" s="495" t="s">
        <v>519</v>
      </c>
      <c r="HN85" s="140"/>
      <c r="HO85" s="277"/>
      <c r="HP85" s="277"/>
      <c r="HQ85" s="277"/>
      <c r="HR85" s="277"/>
      <c r="HS85" s="277"/>
      <c r="HT85" s="277"/>
      <c r="HU85" s="277"/>
      <c r="HV85" s="277"/>
      <c r="HW85" s="277"/>
      <c r="HX85" s="277"/>
      <c r="HY85" s="277"/>
      <c r="HZ85" s="140"/>
      <c r="IA85" s="277"/>
      <c r="IB85" s="277"/>
      <c r="IC85" s="277"/>
      <c r="ID85" s="140"/>
      <c r="IE85" s="277"/>
      <c r="IF85" s="277"/>
      <c r="IG85" s="277"/>
      <c r="IH85" s="140"/>
      <c r="II85" s="277"/>
      <c r="IJ85" s="277"/>
      <c r="IK85" s="277"/>
      <c r="IL85" s="140"/>
      <c r="IM85" s="277"/>
      <c r="IN85" s="277"/>
      <c r="IO85" s="277"/>
      <c r="IP85" s="277"/>
      <c r="IQ85" s="277"/>
      <c r="IR85" s="277"/>
      <c r="IS85" s="277"/>
      <c r="IT85" s="277"/>
      <c r="IU85" s="277"/>
      <c r="IV85" s="277"/>
      <c r="IW85" s="277"/>
      <c r="IX85" s="140"/>
      <c r="IY85" s="277"/>
      <c r="IZ85" s="277"/>
      <c r="JA85" s="277"/>
      <c r="JB85" s="140"/>
      <c r="JC85" s="277"/>
      <c r="JD85" s="277"/>
      <c r="JE85" s="277"/>
      <c r="JF85" s="140"/>
      <c r="JG85" s="277"/>
      <c r="JH85" s="277"/>
      <c r="JI85" s="140"/>
      <c r="JJ85" s="277"/>
      <c r="JK85" s="277"/>
      <c r="JL85" s="140"/>
      <c r="JM85" s="277"/>
      <c r="JN85" s="277"/>
      <c r="JO85" s="140"/>
      <c r="JP85" s="277"/>
      <c r="JQ85" s="277"/>
      <c r="JR85" s="277"/>
      <c r="JS85" s="277"/>
      <c r="JT85" s="277"/>
      <c r="JU85" s="277"/>
      <c r="JV85" s="277"/>
      <c r="JW85" s="277"/>
      <c r="JX85" s="277"/>
      <c r="JY85" s="277"/>
      <c r="JZ85" s="277"/>
      <c r="KA85" s="277"/>
      <c r="KB85" s="277"/>
      <c r="KC85" s="277"/>
      <c r="KD85" s="277"/>
      <c r="KE85" s="277"/>
      <c r="KF85" s="277"/>
      <c r="KG85" s="277"/>
      <c r="KH85" s="277"/>
      <c r="KI85" s="277"/>
      <c r="KJ85" s="277"/>
      <c r="KK85" s="277"/>
      <c r="KL85" s="277"/>
      <c r="KM85" s="277"/>
      <c r="KN85" s="277"/>
      <c r="KO85" s="277"/>
      <c r="KP85" s="274"/>
      <c r="KQ85" s="253"/>
      <c r="KR85" s="253"/>
      <c r="KY85" s="141">
        <f t="shared" si="25"/>
        <v>0</v>
      </c>
      <c r="KZ85" s="141">
        <f t="shared" si="26"/>
        <v>0</v>
      </c>
      <c r="LB85" s="141">
        <f t="shared" si="27"/>
        <v>1</v>
      </c>
      <c r="LC85" s="141">
        <f t="shared" si="28"/>
        <v>1</v>
      </c>
      <c r="LD85" s="141">
        <f t="shared" si="29"/>
        <v>1</v>
      </c>
      <c r="LE85" s="141" t="e">
        <f>((N(AU85)&gt;0)*(AX85&lt;&gt;"")+(N(AY85)&gt;0)*(BB85&lt;&gt;"")+(N(BC85)&gt;0)*(BF85&lt;&gt;"")+(N(BG85)&gt;0)*(BJ85&lt;&gt;"")+(N(BK85)&gt;0)*(BN85&lt;&gt;"")+(N(BO85)&gt;0)*(BR85&lt;&gt;"")+(N(BS85)&gt;0)*(BV85&lt;&gt;"")+(N(CE85)&gt;0)*(CH85&lt;&gt;"")+(N(CI85)&gt;0)*(CL85&lt;&gt;"")+(N(#REF!)&gt;0)*(#REF!&lt;&gt;"")+(N(#REF!)&gt;0)*(#REF!&lt;&gt;"")+(N(CM85)&gt;0)*(CP85&lt;&gt;"")+(N(CQ85)&gt;0)*(CT85&lt;&gt;"")+(N(CU85)&gt;0)*(CX85&lt;&gt;"")+(N(CY85)&gt;0)*(DB85&lt;&gt;"")+(N(DC85)&gt;0)*(DF85&lt;&gt;"")+(N(DG85)&gt;0)*(DJ85&lt;&gt;"")+(N(DS85)&gt;0)*(DV85&lt;&gt;"")+(N(DW85)&gt;0)*(DZ85&lt;&gt;"")+(N(EA85)&gt;0)*(ED85&lt;&gt;"")+(N(EE85)&gt;0)*(EH85&lt;&gt;"")+(N(EI85)&gt;0)*(EL85&lt;&gt;"")+(N(EM85)&gt;0)*(EP85&lt;&gt;"")+(N(EQ85)&gt;0)*(ET85&lt;&gt;"")+(N(EU85)&gt;0)*(EX85&lt;&gt;"")+(N(#REF!)&gt;0)*(#REF!&lt;&gt;"")+(N(#REF!)&gt;0)*(#REF!&lt;&gt;"")+(N(FJ85)&gt;0)*(FM85&lt;&gt;"")+(N(FN85)&gt;0)*(FQ85&lt;&gt;"")+(N(#REF!)&gt;0)*(#REF!&lt;&gt;"")+(N(#REF!)&gt;0)*(#REF!&lt;&gt;"")+(N(HF85)&gt;0)*(HI85&lt;&gt;"")+(N(#REF!)&gt;0)*(#REF!&lt;&gt;"")+(N(HJ85)&gt;0)*(HM85&lt;&gt;"")+(N(HN85)&gt;0)*(HQ85&lt;&gt;"")+(N(HZ85)&gt;0)*(IC85&lt;&gt;"")+(N(ID85)&gt;0)*(IG85&lt;&gt;"")+(N(IH85)&gt;0)*(IK85&lt;&gt;"")+(N(IL85)&gt;0)*(IO85&lt;&gt;"")+(N(IX85)&gt;0)*(JA85&lt;&gt;"")+(N(JB85)&gt;0)*(JE85&lt;&gt;"")+(N(JF85)&gt;0)*(JH85&lt;&gt;"")+(N(JI85)&gt;0)*(JK85&lt;&gt;"")+(N(JL85)&gt;0)*(JN85&lt;&gt;"")+(N(JO85)&gt;0)*(JQ85&lt;&gt;""))</f>
        <v>#REF!</v>
      </c>
      <c r="LF85" s="141">
        <f t="shared" si="21"/>
        <v>0</v>
      </c>
      <c r="LG85" s="141">
        <f t="shared" si="30"/>
        <v>1</v>
      </c>
    </row>
    <row r="86" spans="1:319" ht="38.25" customHeight="1" x14ac:dyDescent="0.55000000000000004">
      <c r="B86" s="506" t="s">
        <v>172</v>
      </c>
      <c r="C86" s="218">
        <v>5</v>
      </c>
      <c r="D86" s="396">
        <v>5</v>
      </c>
      <c r="E86" s="396">
        <v>5</v>
      </c>
      <c r="F86" s="162">
        <f>($AI$86/$AJ$86)*$L$86*C86</f>
        <v>6090</v>
      </c>
      <c r="G86" s="162">
        <f>($AI$86/$AJ$86)*$L$86*D86</f>
        <v>6090</v>
      </c>
      <c r="H86" s="162">
        <f>($AI$86/$AJ$86)*$L$86*E86</f>
        <v>6090</v>
      </c>
      <c r="I86" s="162" cm="1">
        <f t="array" ref="I86">SUMPRODUCT(($AI$2:$KV$2&lt;&gt;"")*($AI86:$KV86&lt;&gt;""))</f>
        <v>6</v>
      </c>
      <c r="J86" s="142">
        <f t="shared" si="17"/>
        <v>30</v>
      </c>
      <c r="K86" s="142">
        <f t="shared" si="18"/>
        <v>420</v>
      </c>
      <c r="L86" s="268">
        <f t="shared" si="31"/>
        <v>7000</v>
      </c>
      <c r="M86" s="164">
        <f t="shared" si="22"/>
        <v>25578</v>
      </c>
      <c r="N86" s="397"/>
      <c r="O86" s="165">
        <f t="shared" si="19"/>
        <v>20580.000000000004</v>
      </c>
      <c r="P86" s="165"/>
      <c r="Q86" s="165"/>
      <c r="R86" s="165">
        <f>(IFERROR(AM86/AN86,0)+IFERROR(AU86/AV86,0)+IFERROR(AY86/AZ86,0)+IFERROR(BC86/BD86,0)+IFERROR(BG86/BH86,0)+IFERROR(BK86/BL86,0)+IFERROR(BO86/BP86,0)+IFERROR(BS86/BT86,0)+IFERROR(BW86/BX86,0)+IFERROR(CA86/CB86,0)+IFERROR(CE86/CF86,0)+IFERROR(CI86/CJ86,0)+IFERROR(CM86/CN86,0)+IFERROR(CQ86/CR86,0)+IFERROR(CU86/CV86,0)+IFERROR(CY86/CZ86,0)+IFERROR(DC86/DD86,0)+IFERROR(DG86/DH86,0)+IFERROR(DS86/DT86,0)+IFERROR(DW86/DX86,0)+IFERROR(EA86/EB86,0)+IFERROR(EE86/EF86,0)+IFERROR(EI86/EJ86,0)+IFERROR(EM86/EN86,0)+IFERROR(EQ86/ER86,0)+IFERROR(EU86/EV86,0)+IFERROR(#REF!/#REF!,0)+IFERROR(#REF!/#REF!,0)+IFERROR(FJ86/FK86,0)+IFERROR(FN86/FO86,0)+IFERROR(#REF!/#REF!,0)+IFERROR(#REF!/#REF!,0)+IFERROR(HF86/HG86,0)+IFERROR(#REF!/#REF!,0)+IFERROR(HJ86/HK86,0)+IFERROR(HN86/HO86,0)+IFERROR(HZ86/IA86,0)+IFERROR(ID86/IE86,0)+IFERROR(IH86/II86,0)+IFERROR(IL86/IM86,0)+IFERROR(IX86/IY86,0)+IFERROR(JB86/JC86,0)+IFERROR(JF86/JG86,0)+IFERROR(JI86/JJ86,0)+IFERROR(JL86/JM86,0)+IFERROR(JO86/JP86,0))*L86*(C86+D86+E86+I86)</f>
        <v>50134.35</v>
      </c>
      <c r="S86" s="165"/>
      <c r="T86" s="165">
        <f t="shared" si="23"/>
        <v>0</v>
      </c>
      <c r="U86" s="165"/>
      <c r="V86" s="165"/>
      <c r="W86" s="165"/>
      <c r="X86" s="165">
        <f>(IFERROR(FF86/FG86,0)+IFERROR(FC86/FD86,0)+IFERROR(#REF!/#REF!,0)+IFERROR(KP86/KQ86,0))*L86*(C86+D86+E86+I86)</f>
        <v>0</v>
      </c>
      <c r="Y86" s="484"/>
      <c r="Z86" s="484"/>
      <c r="AA86" s="484"/>
      <c r="AB86" s="484"/>
      <c r="AC86" s="150">
        <f t="shared" si="20"/>
        <v>4410</v>
      </c>
      <c r="AD86" s="150"/>
      <c r="AE86" s="150">
        <f t="shared" si="24"/>
        <v>0</v>
      </c>
      <c r="AF86" s="161">
        <v>1200</v>
      </c>
      <c r="AG86" s="143">
        <v>120</v>
      </c>
      <c r="AH86" s="154">
        <v>4000</v>
      </c>
      <c r="AI86" s="144">
        <v>87</v>
      </c>
      <c r="AJ86" s="154">
        <v>500</v>
      </c>
      <c r="AK86" s="489" t="s">
        <v>81</v>
      </c>
      <c r="AL86" s="220" t="s">
        <v>524</v>
      </c>
      <c r="AM86" s="490">
        <v>275</v>
      </c>
      <c r="AN86" s="154">
        <v>1000</v>
      </c>
      <c r="AO86" s="490" t="s">
        <v>82</v>
      </c>
      <c r="AP86" s="154" t="s">
        <v>525</v>
      </c>
      <c r="AQ86" s="145">
        <v>280</v>
      </c>
      <c r="AR86" s="154">
        <v>2000</v>
      </c>
      <c r="AS86" s="496" t="s">
        <v>1078</v>
      </c>
      <c r="AT86" s="154" t="s">
        <v>526</v>
      </c>
      <c r="AU86" s="140"/>
      <c r="AV86" s="277"/>
      <c r="AW86" s="277"/>
      <c r="AX86" s="277"/>
      <c r="AY86" s="140"/>
      <c r="AZ86" s="277"/>
      <c r="BA86" s="277"/>
      <c r="BB86" s="277"/>
      <c r="BC86" s="140"/>
      <c r="BD86" s="277"/>
      <c r="BE86" s="277"/>
      <c r="BF86" s="277"/>
      <c r="BG86" s="140"/>
      <c r="BH86" s="277"/>
      <c r="BI86" s="277"/>
      <c r="BJ86" s="277"/>
      <c r="BK86" s="140"/>
      <c r="BL86" s="277"/>
      <c r="BM86" s="277"/>
      <c r="BN86" s="277"/>
      <c r="BO86" s="140"/>
      <c r="BP86" s="277"/>
      <c r="BQ86" s="277"/>
      <c r="BR86" s="277"/>
      <c r="BS86" s="140"/>
      <c r="BT86" s="277"/>
      <c r="BU86" s="277"/>
      <c r="BV86" s="277"/>
      <c r="BW86" s="140"/>
      <c r="BX86" s="154"/>
      <c r="BY86" s="154"/>
      <c r="BZ86" s="220"/>
      <c r="CA86" s="140"/>
      <c r="CB86" s="154"/>
      <c r="CC86" s="154"/>
      <c r="CD86" s="220"/>
      <c r="CE86" s="490">
        <v>65</v>
      </c>
      <c r="CF86" s="154">
        <v>2000</v>
      </c>
      <c r="CG86" s="490" t="s">
        <v>82</v>
      </c>
      <c r="CH86" s="154" t="s">
        <v>1093</v>
      </c>
      <c r="CI86" s="490">
        <v>65</v>
      </c>
      <c r="CJ86" s="154">
        <v>2000</v>
      </c>
      <c r="CK86" s="490" t="s">
        <v>82</v>
      </c>
      <c r="CL86" s="154" t="s">
        <v>1093</v>
      </c>
      <c r="CM86" s="140"/>
      <c r="CN86" s="271"/>
      <c r="CO86" s="271"/>
      <c r="CP86" s="271"/>
      <c r="CQ86" s="140"/>
      <c r="CR86" s="154"/>
      <c r="CS86" s="154"/>
      <c r="CT86" s="154"/>
      <c r="CU86" s="140"/>
      <c r="CV86" s="154"/>
      <c r="CW86" s="154"/>
      <c r="CX86" s="220"/>
      <c r="CY86" s="140"/>
      <c r="CZ86" s="154"/>
      <c r="DA86" s="154"/>
      <c r="DB86" s="220"/>
      <c r="DC86" s="140"/>
      <c r="DD86" s="146"/>
      <c r="DE86" s="146"/>
      <c r="DF86" s="146"/>
      <c r="DG86" s="140"/>
      <c r="DH86" s="146"/>
      <c r="DI86" s="146"/>
      <c r="DJ86" s="146"/>
      <c r="DK86" s="146"/>
      <c r="DL86" s="146"/>
      <c r="DM86" s="146"/>
      <c r="DN86" s="146"/>
      <c r="DO86" s="146"/>
      <c r="DP86" s="146"/>
      <c r="DQ86" s="146"/>
      <c r="DR86" s="146"/>
      <c r="DS86" s="140"/>
      <c r="DT86" s="154"/>
      <c r="DU86" s="154"/>
      <c r="DV86" s="154"/>
      <c r="DW86" s="140"/>
      <c r="DX86" s="220"/>
      <c r="DY86" s="220"/>
      <c r="DZ86" s="220"/>
      <c r="EA86" s="140"/>
      <c r="EB86" s="220"/>
      <c r="EC86" s="220"/>
      <c r="ED86" s="220"/>
      <c r="EE86" s="140"/>
      <c r="EF86" s="154"/>
      <c r="EG86" s="154"/>
      <c r="EH86" s="154"/>
      <c r="EI86" s="140"/>
      <c r="EJ86" s="154"/>
      <c r="EK86" s="154"/>
      <c r="EL86" s="154"/>
      <c r="EM86" s="140"/>
      <c r="EN86" s="222"/>
      <c r="EO86" s="222"/>
      <c r="EP86" s="222"/>
      <c r="EQ86" s="140"/>
      <c r="ER86" s="222"/>
      <c r="ES86" s="222"/>
      <c r="ET86" s="222"/>
      <c r="EU86" s="140"/>
      <c r="EV86" s="222"/>
      <c r="EW86" s="222"/>
      <c r="EX86" s="222"/>
      <c r="EY86" s="344"/>
      <c r="EZ86" s="222"/>
      <c r="FA86" s="222"/>
      <c r="FB86" s="222"/>
      <c r="FC86" s="273"/>
      <c r="FD86" s="223"/>
      <c r="FE86" s="223"/>
      <c r="FF86" s="276"/>
      <c r="FG86" s="156"/>
      <c r="FH86" s="156"/>
      <c r="FI86" s="156" t="s">
        <v>527</v>
      </c>
      <c r="FJ86" s="140"/>
      <c r="FK86" s="277"/>
      <c r="FL86" s="277"/>
      <c r="FM86" s="277"/>
      <c r="FN86" s="140"/>
      <c r="FO86" s="277"/>
      <c r="FP86" s="277"/>
      <c r="FQ86" s="277"/>
      <c r="FR86" s="280"/>
      <c r="FS86" s="277"/>
      <c r="FT86" s="277"/>
      <c r="FU86" s="277"/>
      <c r="FV86" s="277"/>
      <c r="FW86" s="277"/>
      <c r="FX86" s="277"/>
      <c r="FY86" s="277"/>
      <c r="FZ86" s="277"/>
      <c r="GA86" s="277"/>
      <c r="GB86" s="277"/>
      <c r="GC86" s="277"/>
      <c r="GD86" s="277"/>
      <c r="GE86" s="277"/>
      <c r="GF86" s="277"/>
      <c r="GG86" s="277"/>
      <c r="GH86" s="277"/>
      <c r="GI86" s="277"/>
      <c r="GJ86" s="277"/>
      <c r="GK86" s="277"/>
      <c r="GL86" s="277"/>
      <c r="GM86" s="277"/>
      <c r="GN86" s="277"/>
      <c r="GO86" s="277"/>
      <c r="GP86" s="277"/>
      <c r="GQ86" s="277"/>
      <c r="GR86" s="277"/>
      <c r="GS86" s="277"/>
      <c r="GT86" s="277"/>
      <c r="GU86" s="277"/>
      <c r="GV86" s="277"/>
      <c r="GW86" s="277"/>
      <c r="GX86" s="277"/>
      <c r="GY86" s="277"/>
      <c r="GZ86" s="277"/>
      <c r="HA86" s="277"/>
      <c r="HB86" s="277"/>
      <c r="HC86" s="277"/>
      <c r="HD86" s="277"/>
      <c r="HE86" s="277"/>
      <c r="HF86" s="140"/>
      <c r="HG86" s="277"/>
      <c r="HH86" s="277"/>
      <c r="HI86" s="277"/>
      <c r="HJ86" s="490">
        <v>2.1</v>
      </c>
      <c r="HK86" s="277">
        <v>2000</v>
      </c>
      <c r="HL86" s="490" t="s">
        <v>82</v>
      </c>
      <c r="HM86" s="495" t="s">
        <v>525</v>
      </c>
      <c r="HN86" s="140"/>
      <c r="HO86" s="277"/>
      <c r="HP86" s="277"/>
      <c r="HQ86" s="277"/>
      <c r="HR86" s="277"/>
      <c r="HS86" s="277"/>
      <c r="HT86" s="277"/>
      <c r="HU86" s="277"/>
      <c r="HV86" s="277"/>
      <c r="HW86" s="277"/>
      <c r="HX86" s="277"/>
      <c r="HY86" s="277"/>
      <c r="HZ86" s="140"/>
      <c r="IA86" s="277"/>
      <c r="IB86" s="277"/>
      <c r="IC86" s="277"/>
      <c r="ID86" s="140"/>
      <c r="IE86" s="277"/>
      <c r="IF86" s="277"/>
      <c r="IG86" s="277"/>
      <c r="IH86" s="140"/>
      <c r="II86" s="277"/>
      <c r="IJ86" s="277"/>
      <c r="IK86" s="277"/>
      <c r="IL86" s="140"/>
      <c r="IM86" s="277"/>
      <c r="IN86" s="277"/>
      <c r="IO86" s="277"/>
      <c r="IP86" s="277"/>
      <c r="IQ86" s="277"/>
      <c r="IR86" s="277"/>
      <c r="IS86" s="277"/>
      <c r="IT86" s="277"/>
      <c r="IU86" s="277"/>
      <c r="IV86" s="277"/>
      <c r="IW86" s="277"/>
      <c r="IX86" s="140"/>
      <c r="IY86" s="277"/>
      <c r="IZ86" s="277"/>
      <c r="JA86" s="277"/>
      <c r="JB86" s="140"/>
      <c r="JC86" s="277"/>
      <c r="JD86" s="277"/>
      <c r="JE86" s="277"/>
      <c r="JF86" s="140"/>
      <c r="JG86" s="277"/>
      <c r="JH86" s="277"/>
      <c r="JI86" s="140"/>
      <c r="JJ86" s="277"/>
      <c r="JK86" s="277"/>
      <c r="JL86" s="140"/>
      <c r="JM86" s="277"/>
      <c r="JN86" s="277"/>
      <c r="JO86" s="140"/>
      <c r="JP86" s="277"/>
      <c r="JQ86" s="277"/>
      <c r="JR86" s="277"/>
      <c r="JS86" s="277"/>
      <c r="JT86" s="277"/>
      <c r="JU86" s="277"/>
      <c r="JV86" s="277"/>
      <c r="JW86" s="277"/>
      <c r="JX86" s="277"/>
      <c r="JY86" s="277"/>
      <c r="JZ86" s="277"/>
      <c r="KA86" s="277"/>
      <c r="KB86" s="277"/>
      <c r="KC86" s="277"/>
      <c r="KD86" s="277"/>
      <c r="KE86" s="277"/>
      <c r="KF86" s="277"/>
      <c r="KG86" s="277"/>
      <c r="KH86" s="277"/>
      <c r="KI86" s="277"/>
      <c r="KJ86" s="277"/>
      <c r="KK86" s="277"/>
      <c r="KL86" s="277"/>
      <c r="KM86" s="277"/>
      <c r="KN86" s="277"/>
      <c r="KO86" s="277"/>
      <c r="KP86" s="274"/>
      <c r="KQ86" s="253"/>
      <c r="KR86" s="253"/>
      <c r="KY86" s="141">
        <f t="shared" si="25"/>
        <v>0</v>
      </c>
      <c r="KZ86" s="141">
        <f t="shared" si="26"/>
        <v>0</v>
      </c>
      <c r="LB86" s="141">
        <f t="shared" si="27"/>
        <v>1</v>
      </c>
      <c r="LC86" s="141">
        <f t="shared" si="28"/>
        <v>1</v>
      </c>
      <c r="LD86" s="141">
        <f t="shared" si="29"/>
        <v>1</v>
      </c>
      <c r="LE86" s="141" t="e">
        <f>((N(AU86)&gt;0)*(AX86&lt;&gt;"")+(N(AY86)&gt;0)*(BB86&lt;&gt;"")+(N(BC86)&gt;0)*(BF86&lt;&gt;"")+(N(BG86)&gt;0)*(BJ86&lt;&gt;"")+(N(BK86)&gt;0)*(BN86&lt;&gt;"")+(N(BO86)&gt;0)*(BR86&lt;&gt;"")+(N(BS86)&gt;0)*(BV86&lt;&gt;"")+(N(BW86)&gt;0)*(BZ86&lt;&gt;"")+(N(CA86)&gt;0)*(CD86&lt;&gt;"")+(N(CE86)&gt;0)*(CH86&lt;&gt;"")+(N(CI86)&gt;0)*(CL86&lt;&gt;"")+(N(CM86)&gt;0)*(CP86&lt;&gt;"")+(N(CQ86)&gt;0)*(CT86&lt;&gt;"")+(N(CU86)&gt;0)*(CX86&lt;&gt;"")+(N(CY86)&gt;0)*(DB86&lt;&gt;"")+(N(DC86)&gt;0)*(DF86&lt;&gt;"")+(N(DG86)&gt;0)*(DJ86&lt;&gt;"")+(N(DS86)&gt;0)*(DV86&lt;&gt;"")+(N(DW86)&gt;0)*(DZ86&lt;&gt;"")+(N(EA86)&gt;0)*(ED86&lt;&gt;"")+(N(EE86)&gt;0)*(EH86&lt;&gt;"")+(N(EI86)&gt;0)*(EL86&lt;&gt;"")+(N(EM86)&gt;0)*(EP86&lt;&gt;"")+(N(EQ86)&gt;0)*(ET86&lt;&gt;"")+(N(EU86)&gt;0)*(EX86&lt;&gt;"")+(N(#REF!)&gt;0)*(#REF!&lt;&gt;"")+(N(#REF!)&gt;0)*(#REF!&lt;&gt;"")+(N(FJ86)&gt;0)*(FM86&lt;&gt;"")+(N(FN86)&gt;0)*(FQ86&lt;&gt;"")+(N(#REF!)&gt;0)*(#REF!&lt;&gt;"")+(N(#REF!)&gt;0)*(#REF!&lt;&gt;"")+(N(HF86)&gt;0)*(HI86&lt;&gt;"")+(N(#REF!)&gt;0)*(#REF!&lt;&gt;"")+(N(HJ86)&gt;0)*(HM86&lt;&gt;"")+(N(HN86)&gt;0)*(HQ86&lt;&gt;"")+(N(HZ86)&gt;0)*(IC86&lt;&gt;"")+(N(ID86)&gt;0)*(IG86&lt;&gt;"")+(N(IH86)&gt;0)*(IK86&lt;&gt;"")+(N(IL86)&gt;0)*(IO86&lt;&gt;"")+(N(IX86)&gt;0)*(JA86&lt;&gt;"")+(N(JB86)&gt;0)*(JE86&lt;&gt;"")+(N(JF86)&gt;0)*(JH86&lt;&gt;"")+(N(JI86)&gt;0)*(JK86&lt;&gt;"")+(N(JL86)&gt;0)*(JN86&lt;&gt;"")+(N(JO86)&gt;0)*(JQ86&lt;&gt;""))</f>
        <v>#REF!</v>
      </c>
      <c r="LF86" s="141">
        <f t="shared" si="21"/>
        <v>0</v>
      </c>
      <c r="LG86" s="141">
        <f t="shared" si="30"/>
        <v>1</v>
      </c>
    </row>
    <row r="87" spans="1:319" ht="38.25" customHeight="1" x14ac:dyDescent="0.55000000000000004">
      <c r="B87" s="506" t="s">
        <v>166</v>
      </c>
      <c r="C87" s="218">
        <v>2</v>
      </c>
      <c r="D87" s="396">
        <v>2</v>
      </c>
      <c r="E87" s="396">
        <v>2</v>
      </c>
      <c r="F87" s="162">
        <f>($AI$87/$AJ$87)*$L$87*C87</f>
        <v>2128</v>
      </c>
      <c r="G87" s="162">
        <f>($AI$87/$AJ$87)*$L$87*D87</f>
        <v>2128</v>
      </c>
      <c r="H87" s="162">
        <f>($AI$87/$AJ$87)*$L$87*E87</f>
        <v>2128</v>
      </c>
      <c r="I87" s="162" cm="1">
        <f t="array" ref="I87">SUMPRODUCT(($AI$2:$KV$2&lt;&gt;"")*($AI87:$KV87&lt;&gt;""))</f>
        <v>8</v>
      </c>
      <c r="J87" s="142">
        <f t="shared" si="17"/>
        <v>16</v>
      </c>
      <c r="K87" s="142">
        <f t="shared" si="18"/>
        <v>224</v>
      </c>
      <c r="L87" s="268">
        <f t="shared" si="31"/>
        <v>7000</v>
      </c>
      <c r="M87" s="164">
        <f t="shared" si="22"/>
        <v>14896</v>
      </c>
      <c r="N87" s="397"/>
      <c r="O87" s="165">
        <f t="shared" si="19"/>
        <v>13720.000000000002</v>
      </c>
      <c r="P87" s="165"/>
      <c r="Q87" s="165"/>
      <c r="R87" s="165">
        <f>(IFERROR(AM87/AN87,0)+IFERROR(AU87/AV87,0)+IFERROR(AY87/AZ87,0)+IFERROR(BC87/BD87,0)+IFERROR(BG87/BH87,0)+IFERROR(BK87/BL87,0)+IFERROR(BO87/BP87,0)+IFERROR(BS87/BT87,0)+IFERROR(BW87/BX87,0)+IFERROR(CA87/CB87,0)+IFERROR(CE87/CF87,0)+IFERROR(CI87/CJ87,0)+IFERROR(CM87/CN87,0)+IFERROR(CQ87/CR87,0)+IFERROR(CU87/CV87,0)+IFERROR(CY87/CZ87,0)+IFERROR(DC87/DD87,0)+IFERROR(DG87/DH87,0)+IFERROR(DS87/DT87,0)+IFERROR(DW87/DX87,0)+IFERROR(EA87/EB87,0)+IFERROR(EE87/EF87,0)+IFERROR(EI87/EJ87,0)+IFERROR(EM87/EN87,0)+IFERROR(EQ87/ER87,0)+IFERROR(EU87/EV87,0)+IFERROR(#REF!/#REF!,0)+IFERROR(#REF!/#REF!,0)+IFERROR(FJ87/FK87,0)+IFERROR(FN87/FO87,0)+IFERROR(#REF!/#REF!,0)+IFERROR(#REF!/#REF!,0)+IFERROR(HF87/HG87,0)+IFERROR(#REF!/#REF!,0)+IFERROR(HJ87/HK87,0)+IFERROR(HN87/HO87,0)+IFERROR(HZ87/IA87,0)+IFERROR(ID87/IE87,0)+IFERROR(IH87/II87,0)+IFERROR(IL87/IM87,0)+IFERROR(IX87/IY87,0)+IFERROR(JB87/JC87,0)+IFERROR(JF87/JG87,0)+IFERROR(JI87/JJ87,0)+IFERROR(JL87/JM87,0)+IFERROR(JO87/JP87,0))*L87*(C87+D87+E87+I87)</f>
        <v>28028.000000000004</v>
      </c>
      <c r="S87" s="165"/>
      <c r="T87" s="165">
        <f t="shared" si="23"/>
        <v>0</v>
      </c>
      <c r="U87" s="165"/>
      <c r="V87" s="165"/>
      <c r="W87" s="165"/>
      <c r="X87" s="165">
        <f>(IFERROR(FF87/FG87,0)+IFERROR(FC87/FD87,0)+IFERROR(#REF!/#REF!,0)+IFERROR(KP87/KQ87,0))*L87*(C87+D87+E87+I87)</f>
        <v>0</v>
      </c>
      <c r="Y87" s="484"/>
      <c r="Z87" s="484"/>
      <c r="AA87" s="484"/>
      <c r="AB87" s="484"/>
      <c r="AC87" s="150">
        <f t="shared" si="20"/>
        <v>1421</v>
      </c>
      <c r="AD87" s="150"/>
      <c r="AE87" s="150">
        <f t="shared" si="24"/>
        <v>0</v>
      </c>
      <c r="AF87" s="161">
        <v>500</v>
      </c>
      <c r="AG87" s="143">
        <v>58</v>
      </c>
      <c r="AH87" s="154">
        <v>4000</v>
      </c>
      <c r="AI87" s="144">
        <v>38</v>
      </c>
      <c r="AJ87" s="154">
        <v>250</v>
      </c>
      <c r="AK87" s="489" t="s">
        <v>81</v>
      </c>
      <c r="AL87" s="220" t="s">
        <v>1094</v>
      </c>
      <c r="AM87" s="490">
        <v>35</v>
      </c>
      <c r="AN87" s="154">
        <v>1000</v>
      </c>
      <c r="AO87" s="490" t="s">
        <v>82</v>
      </c>
      <c r="AP87" s="220" t="s">
        <v>525</v>
      </c>
      <c r="AQ87" s="490">
        <v>140</v>
      </c>
      <c r="AR87" s="154">
        <v>1000</v>
      </c>
      <c r="AS87" s="490" t="s">
        <v>82</v>
      </c>
      <c r="AT87" s="154" t="s">
        <v>1095</v>
      </c>
      <c r="AU87" s="140"/>
      <c r="AV87" s="277"/>
      <c r="AW87" s="277"/>
      <c r="AX87" s="277"/>
      <c r="AY87" s="140"/>
      <c r="AZ87" s="277"/>
      <c r="BA87" s="277"/>
      <c r="BB87" s="277"/>
      <c r="BC87" s="140"/>
      <c r="BD87" s="277"/>
      <c r="BE87" s="277"/>
      <c r="BF87" s="277"/>
      <c r="BG87" s="140"/>
      <c r="BH87" s="277"/>
      <c r="BI87" s="277"/>
      <c r="BJ87" s="277"/>
      <c r="BK87" s="140"/>
      <c r="BL87" s="277"/>
      <c r="BM87" s="277"/>
      <c r="BN87" s="277"/>
      <c r="BO87" s="140"/>
      <c r="BP87" s="277"/>
      <c r="BQ87" s="277"/>
      <c r="BR87" s="277"/>
      <c r="BS87" s="140"/>
      <c r="BT87" s="277"/>
      <c r="BU87" s="277"/>
      <c r="BV87" s="277"/>
      <c r="BW87" s="490">
        <v>63</v>
      </c>
      <c r="BX87" s="154">
        <v>1000</v>
      </c>
      <c r="BY87" s="490" t="s">
        <v>82</v>
      </c>
      <c r="BZ87" s="497" t="s">
        <v>525</v>
      </c>
      <c r="CA87" s="490">
        <v>63</v>
      </c>
      <c r="CB87" s="154">
        <v>1000</v>
      </c>
      <c r="CC87" s="490" t="s">
        <v>82</v>
      </c>
      <c r="CD87" s="497" t="s">
        <v>525</v>
      </c>
      <c r="CE87" s="140"/>
      <c r="CF87" s="154"/>
      <c r="CG87" s="154"/>
      <c r="CH87" s="154"/>
      <c r="CI87" s="140"/>
      <c r="CJ87" s="154"/>
      <c r="CK87" s="154"/>
      <c r="CL87" s="154"/>
      <c r="CM87" s="140"/>
      <c r="CN87" s="271"/>
      <c r="CO87" s="271"/>
      <c r="CP87" s="271"/>
      <c r="CQ87" s="140"/>
      <c r="CR87" s="154"/>
      <c r="CS87" s="154"/>
      <c r="CT87" s="154"/>
      <c r="CU87" s="140"/>
      <c r="CV87" s="154"/>
      <c r="CW87" s="154"/>
      <c r="CX87" s="220"/>
      <c r="CY87" s="140"/>
      <c r="CZ87" s="154"/>
      <c r="DA87" s="154"/>
      <c r="DB87" s="220"/>
      <c r="DC87" s="490">
        <v>120</v>
      </c>
      <c r="DD87" s="154">
        <v>2000</v>
      </c>
      <c r="DE87" s="490" t="s">
        <v>82</v>
      </c>
      <c r="DF87" s="277" t="s">
        <v>536</v>
      </c>
      <c r="DG87" s="490">
        <v>120</v>
      </c>
      <c r="DH87" s="154">
        <v>2000</v>
      </c>
      <c r="DI87" s="490" t="s">
        <v>82</v>
      </c>
      <c r="DJ87" s="277" t="s">
        <v>536</v>
      </c>
      <c r="DK87" s="277"/>
      <c r="DL87" s="277"/>
      <c r="DM87" s="277"/>
      <c r="DN87" s="277"/>
      <c r="DO87" s="277"/>
      <c r="DP87" s="277"/>
      <c r="DQ87" s="277"/>
      <c r="DR87" s="277"/>
      <c r="DS87" s="140"/>
      <c r="DT87" s="154"/>
      <c r="DU87" s="154"/>
      <c r="DV87" s="154"/>
      <c r="DW87" s="140"/>
      <c r="DX87" s="220"/>
      <c r="DY87" s="220"/>
      <c r="DZ87" s="220"/>
      <c r="EA87" s="140"/>
      <c r="EB87" s="220"/>
      <c r="EC87" s="220"/>
      <c r="ED87" s="220"/>
      <c r="EE87" s="140"/>
      <c r="EF87" s="154"/>
      <c r="EG87" s="154"/>
      <c r="EH87" s="154"/>
      <c r="EI87" s="140"/>
      <c r="EJ87" s="154"/>
      <c r="EK87" s="154"/>
      <c r="EL87" s="154"/>
      <c r="EM87" s="140"/>
      <c r="EN87" s="222"/>
      <c r="EO87" s="222"/>
      <c r="EP87" s="222"/>
      <c r="EQ87" s="140"/>
      <c r="ER87" s="222"/>
      <c r="ES87" s="222"/>
      <c r="ET87" s="222"/>
      <c r="EU87" s="140"/>
      <c r="EV87" s="222"/>
      <c r="EW87" s="222"/>
      <c r="EX87" s="222"/>
      <c r="EY87" s="344"/>
      <c r="EZ87" s="222"/>
      <c r="FA87" s="222"/>
      <c r="FB87" s="222"/>
      <c r="FC87" s="273"/>
      <c r="FD87" s="223"/>
      <c r="FE87" s="223"/>
      <c r="FF87" s="276"/>
      <c r="FG87" s="156"/>
      <c r="FH87" s="156"/>
      <c r="FI87" s="156"/>
      <c r="FJ87" s="140"/>
      <c r="FK87" s="277"/>
      <c r="FL87" s="277"/>
      <c r="FM87" s="277"/>
      <c r="FN87" s="140"/>
      <c r="FO87" s="277"/>
      <c r="FP87" s="277"/>
      <c r="FQ87" s="277"/>
      <c r="FR87" s="280"/>
      <c r="FS87" s="277"/>
      <c r="FT87" s="277"/>
      <c r="FU87" s="277"/>
      <c r="FV87" s="277"/>
      <c r="FW87" s="277"/>
      <c r="FX87" s="277"/>
      <c r="FY87" s="277"/>
      <c r="FZ87" s="277"/>
      <c r="GA87" s="277"/>
      <c r="GB87" s="277"/>
      <c r="GC87" s="277"/>
      <c r="GD87" s="277"/>
      <c r="GE87" s="277"/>
      <c r="GF87" s="277"/>
      <c r="GG87" s="277"/>
      <c r="GH87" s="277"/>
      <c r="GI87" s="277"/>
      <c r="GJ87" s="277"/>
      <c r="GK87" s="277"/>
      <c r="GL87" s="277"/>
      <c r="GM87" s="277"/>
      <c r="GN87" s="277"/>
      <c r="GO87" s="277"/>
      <c r="GP87" s="277"/>
      <c r="GQ87" s="277"/>
      <c r="GR87" s="277"/>
      <c r="GS87" s="277"/>
      <c r="GT87" s="277"/>
      <c r="GU87" s="277"/>
      <c r="GV87" s="277"/>
      <c r="GW87" s="277"/>
      <c r="GX87" s="277"/>
      <c r="GY87" s="277"/>
      <c r="GZ87" s="277"/>
      <c r="HA87" s="277"/>
      <c r="HB87" s="277"/>
      <c r="HC87" s="277"/>
      <c r="HD87" s="277"/>
      <c r="HE87" s="277"/>
      <c r="HF87" s="493">
        <v>10</v>
      </c>
      <c r="HG87" s="277">
        <v>2000</v>
      </c>
      <c r="HH87" s="493" t="s">
        <v>345</v>
      </c>
      <c r="HI87" s="277" t="s">
        <v>1096</v>
      </c>
      <c r="HJ87" s="140"/>
      <c r="HK87" s="277"/>
      <c r="HL87" s="277"/>
      <c r="HM87" s="277"/>
      <c r="HN87" s="140"/>
      <c r="HO87" s="277"/>
      <c r="HP87" s="277"/>
      <c r="HQ87" s="277"/>
      <c r="HR87" s="277"/>
      <c r="HS87" s="277"/>
      <c r="HT87" s="277"/>
      <c r="HU87" s="277"/>
      <c r="HV87" s="277"/>
      <c r="HW87" s="277"/>
      <c r="HX87" s="277"/>
      <c r="HY87" s="277"/>
      <c r="HZ87" s="140"/>
      <c r="IA87" s="277"/>
      <c r="IB87" s="277"/>
      <c r="IC87" s="277"/>
      <c r="ID87" s="140"/>
      <c r="IE87" s="277"/>
      <c r="IF87" s="277"/>
      <c r="IG87" s="277"/>
      <c r="IH87" s="140"/>
      <c r="II87" s="277"/>
      <c r="IJ87" s="277"/>
      <c r="IK87" s="277"/>
      <c r="IL87" s="140"/>
      <c r="IM87" s="277"/>
      <c r="IN87" s="277"/>
      <c r="IO87" s="277"/>
      <c r="IP87" s="277"/>
      <c r="IQ87" s="277"/>
      <c r="IR87" s="277"/>
      <c r="IS87" s="277"/>
      <c r="IT87" s="277"/>
      <c r="IU87" s="277"/>
      <c r="IV87" s="277"/>
      <c r="IW87" s="277"/>
      <c r="IX87" s="140"/>
      <c r="IY87" s="277"/>
      <c r="IZ87" s="277"/>
      <c r="JA87" s="277"/>
      <c r="JB87" s="140"/>
      <c r="JC87" s="277"/>
      <c r="JD87" s="277"/>
      <c r="JE87" s="277"/>
      <c r="JF87" s="140"/>
      <c r="JG87" s="277"/>
      <c r="JH87" s="277"/>
      <c r="JI87" s="140"/>
      <c r="JJ87" s="277"/>
      <c r="JK87" s="277"/>
      <c r="JL87" s="140"/>
      <c r="JM87" s="277"/>
      <c r="JN87" s="277"/>
      <c r="JO87" s="140"/>
      <c r="JP87" s="277"/>
      <c r="JQ87" s="277"/>
      <c r="JR87" s="277"/>
      <c r="JS87" s="277"/>
      <c r="JT87" s="277"/>
      <c r="JU87" s="277"/>
      <c r="JV87" s="277"/>
      <c r="JW87" s="277"/>
      <c r="JX87" s="277"/>
      <c r="JY87" s="277"/>
      <c r="JZ87" s="277"/>
      <c r="KA87" s="277"/>
      <c r="KB87" s="277"/>
      <c r="KC87" s="277"/>
      <c r="KD87" s="277"/>
      <c r="KE87" s="277"/>
      <c r="KF87" s="277"/>
      <c r="KG87" s="277"/>
      <c r="KH87" s="277"/>
      <c r="KI87" s="277"/>
      <c r="KJ87" s="277"/>
      <c r="KK87" s="277"/>
      <c r="KL87" s="277"/>
      <c r="KM87" s="277"/>
      <c r="KN87" s="277"/>
      <c r="KO87" s="277"/>
      <c r="KP87" s="274"/>
      <c r="KQ87" s="253"/>
      <c r="KR87" s="253"/>
      <c r="KY87" s="141">
        <f t="shared" si="25"/>
        <v>0</v>
      </c>
      <c r="KZ87" s="141">
        <f t="shared" si="26"/>
        <v>0</v>
      </c>
      <c r="LB87" s="141">
        <f t="shared" si="27"/>
        <v>1</v>
      </c>
      <c r="LC87" s="141">
        <f t="shared" si="28"/>
        <v>1</v>
      </c>
      <c r="LD87" s="141">
        <f t="shared" si="29"/>
        <v>1</v>
      </c>
      <c r="LE87" s="141" t="e">
        <f>((N(AU87)&gt;0)*(AX87&lt;&gt;"")+(N(AY87)&gt;0)*(BB87&lt;&gt;"")+(N(BC87)&gt;0)*(BF87&lt;&gt;"")+(N(BG87)&gt;0)*(BJ87&lt;&gt;"")+(N(BK87)&gt;0)*(BN87&lt;&gt;"")+(N(BO87)&gt;0)*(BR87&lt;&gt;"")+(N(BS87)&gt;0)*(BV87&lt;&gt;"")+(N(BW87)&gt;0)*(BZ87&lt;&gt;"")+(N(CA87)&gt;0)*(CD87&lt;&gt;"")+(N(CE87)&gt;0)*(CH87&lt;&gt;"")+(N(CI87)&gt;0)*(CL87&lt;&gt;"")+(N(CM87)&gt;0)*(CP87&lt;&gt;"")+(N(CQ87)&gt;0)*(CT87&lt;&gt;"")+(N(CU87)&gt;0)*(CX87&lt;&gt;"")+(N(CY87)&gt;0)*(DB87&lt;&gt;"")+(N(DC87)&gt;0)*(DF87&lt;&gt;"")+(N(DG87)&gt;0)*(DJ87&lt;&gt;"")+(N(DS87)&gt;0)*(DV87&lt;&gt;"")+(N(DW87)&gt;0)*(DZ87&lt;&gt;"")+(N(EA87)&gt;0)*(ED87&lt;&gt;"")+(N(EE87)&gt;0)*(EH87&lt;&gt;"")+(N(EI87)&gt;0)*(EL87&lt;&gt;"")+(N(EM87)&gt;0)*(EP87&lt;&gt;"")+(N(EQ87)&gt;0)*(ET87&lt;&gt;"")+(N(EU87)&gt;0)*(EX87&lt;&gt;"")+(N(#REF!)&gt;0)*(#REF!&lt;&gt;"")+(N(#REF!)&gt;0)*(#REF!&lt;&gt;"")+(N(FJ87)&gt;0)*(FM87&lt;&gt;"")+(N(FN87)&gt;0)*(FQ87&lt;&gt;"")+(N(#REF!)&gt;0)*(#REF!&lt;&gt;"")+(N(#REF!)&gt;0)*(#REF!&lt;&gt;"")+(N(HF87)&gt;0)*(HI87&lt;&gt;"")+(N(#REF!)&gt;0)*(#REF!&lt;&gt;"")+(N(HJ87)&gt;0)*(HM87&lt;&gt;"")+(N(HN87)&gt;0)*(HQ87&lt;&gt;"")+(N(HZ87)&gt;0)*(IC87&lt;&gt;"")+(N(ID87)&gt;0)*(IG87&lt;&gt;"")+(N(IH87)&gt;0)*(IK87&lt;&gt;"")+(N(IL87)&gt;0)*(IO87&lt;&gt;"")+(N(IX87)&gt;0)*(JA87&lt;&gt;"")+(N(JB87)&gt;0)*(JE87&lt;&gt;"")+(N(JF87)&gt;0)*(JH87&lt;&gt;"")+(N(JI87)&gt;0)*(JK87&lt;&gt;"")+(N(JL87)&gt;0)*(JN87&lt;&gt;"")+(N(JO87)&gt;0)*(JQ87&lt;&gt;""))</f>
        <v>#REF!</v>
      </c>
      <c r="LF87" s="141">
        <f t="shared" si="21"/>
        <v>0</v>
      </c>
      <c r="LG87" s="141">
        <f t="shared" si="30"/>
        <v>1</v>
      </c>
    </row>
    <row r="88" spans="1:319" ht="38.25" customHeight="1" x14ac:dyDescent="0.55000000000000004">
      <c r="A88" s="141" t="s">
        <v>143</v>
      </c>
      <c r="B88" s="506" t="s">
        <v>144</v>
      </c>
      <c r="C88" s="218">
        <v>28</v>
      </c>
      <c r="D88" s="396">
        <v>28</v>
      </c>
      <c r="E88" s="396">
        <v>28</v>
      </c>
      <c r="F88" s="162">
        <f>($AI$88/$AJ$88)*$L$88*C88</f>
        <v>22736</v>
      </c>
      <c r="G88" s="162">
        <f>($AI$88/$AJ$88)*$L$88*D88</f>
        <v>22736</v>
      </c>
      <c r="H88" s="162">
        <f>($AI$88/$AJ$88)*$L$88*E88</f>
        <v>22736</v>
      </c>
      <c r="I88" s="162" cm="1">
        <f t="array" ref="I88">SUMPRODUCT(($AI$2:$KV$2&lt;&gt;"")*($AI88:$KV88&lt;&gt;""))</f>
        <v>13</v>
      </c>
      <c r="J88" s="142">
        <f t="shared" si="17"/>
        <v>364</v>
      </c>
      <c r="K88" s="142">
        <f t="shared" si="18"/>
        <v>5096</v>
      </c>
      <c r="L88" s="268">
        <f t="shared" si="31"/>
        <v>7000</v>
      </c>
      <c r="M88" s="164">
        <f t="shared" si="22"/>
        <v>78764</v>
      </c>
      <c r="N88" s="164">
        <f>IFERROR(IF(N(AK88)=0,0,(AJ88/AK88)*M88*(D88+E88+F88+J88)),0)</f>
        <v>0</v>
      </c>
      <c r="O88" s="165">
        <f t="shared" si="19"/>
        <v>41588.75</v>
      </c>
      <c r="P88" s="165">
        <f t="shared" ref="P88" si="32">IFERROR(IF(N(AT88)=0,0,(AR88/AT88)*M88*(D88+E88+F88+J88)),0)</f>
        <v>0</v>
      </c>
      <c r="Q88" s="165">
        <f t="shared" ref="Q88" si="33">IFERROR(IF(N(AU88)=0,0,(AT88/AU88)*N88*(E88+F88+G88+K88)),0)</f>
        <v>0</v>
      </c>
      <c r="R88" s="165">
        <f>(IFERROR(AM88/AN88,0)+IFERROR(AU88/AV88,0)+IFERROR(AY88/AZ88,0)+IFERROR(BC88/BD88,0)+IFERROR(BG88/BH88,0)+IFERROR(BK88/BL88,0)+IFERROR(BO88/BP88,0)+IFERROR(BS88/BT88,0)+IFERROR(BW88/BX88,0)+IFERROR(CA88/CB88,0)+IFERROR(CE88/CF88,0)+IFERROR(CI88/CJ88,0)+IFERROR(CM88/CN88,0)+IFERROR(CQ88/CR88,0)+IFERROR(CU88/CV88,0)+IFERROR(CY88/CZ88,0)+IFERROR(DC88/DD88,0)+IFERROR(DG88/DH88,0)+IFERROR(DS88/DT88,0)+IFERROR(DW88/DX88,0)+IFERROR(EA88/EB88,0)+IFERROR(EE88/EF88,0)+IFERROR(EI88/EJ88,0)+IFERROR(EM88/EN88,0)+IFERROR(EQ88/ER88,0)+IFERROR(EU88/EV88,0)+IFERROR(#REF!/#REF!,0)+IFERROR(#REF!/#REF!,0)+IFERROR(FJ88/FK88,0)+IFERROR(FN88/FO88,0)+IFERROR(#REF!/#REF!,0)+IFERROR(#REF!/#REF!,0)+IFERROR(HF88/HG88,0)+IFERROR(#REF!/#REF!,0)+IFERROR(HJ88/HK88,0)+IFERROR(HN88/HO88,0)+IFERROR(HZ88/IA88,0)+IFERROR(ID88/IE88,0)+IFERROR(IH88/II88,0)+IFERROR(IL88/IM88,0)+IFERROR(IX88/IY88,0)+IFERROR(JB88/JC88,0)+IFERROR(JF88/JG88,0)+IFERROR(JI88/JJ88,0)+IFERROR(JL88/JM88,0)+IFERROR(JO88/JP88,0))*L88*(C88+D88+E88+I88)</f>
        <v>247495.5</v>
      </c>
      <c r="S88" s="165"/>
      <c r="T88" s="165">
        <f t="shared" si="23"/>
        <v>0</v>
      </c>
      <c r="U88" s="165"/>
      <c r="V88" s="165">
        <f>IFERROR(IF(N(FU88)=0,0,(FS88/FU88)*M88*(D88+E88+F88+J88)),0)</f>
        <v>0</v>
      </c>
      <c r="W88" s="165">
        <f>IFERROR(IF(N(#REF!)=0,0,(FU88/#REF!)*N88*(E88+F88+G88+K88)),0)</f>
        <v>0</v>
      </c>
      <c r="X88" s="165">
        <f>(IFERROR(FF88/FG88,0)+IFERROR(FC88/FD88,0)+IFERROR(#REF!/#REF!,0)+IFERROR(KP88/KQ88,0))*L88*(C88+D88+E88+I88)</f>
        <v>0</v>
      </c>
      <c r="Y88" s="165">
        <f>(IFERROR(FG88/FI88,0)+IFERROR(FD88/FE88,0)+IFERROR(#REF!/#REF!,0)+IFERROR(KQ88/KR88,0))*M88*(D88+E88+F88+J88)</f>
        <v>0</v>
      </c>
      <c r="Z88" s="165"/>
      <c r="AA88" s="165"/>
      <c r="AB88" s="165">
        <f>(IFERROR(FI88/#REF!,0)+IFERROR(FE88/FF88,0)+IFERROR(#REF!/#REF!,0)+IFERROR(KR88/KS88,0))*N88*(E88+F88+G88+K88)</f>
        <v>0</v>
      </c>
      <c r="AC88" s="150">
        <f t="shared" si="20"/>
        <v>19351.5</v>
      </c>
      <c r="AD88" s="150"/>
      <c r="AE88" s="150">
        <f t="shared" si="24"/>
        <v>0</v>
      </c>
      <c r="AF88" s="161">
        <v>525</v>
      </c>
      <c r="AG88" s="143">
        <v>114</v>
      </c>
      <c r="AH88" s="154">
        <v>4000</v>
      </c>
      <c r="AI88" s="144">
        <v>58</v>
      </c>
      <c r="AJ88" s="154">
        <v>500</v>
      </c>
      <c r="AK88" s="489" t="s">
        <v>81</v>
      </c>
      <c r="AL88" s="220" t="s">
        <v>1076</v>
      </c>
      <c r="AM88" s="479">
        <v>257</v>
      </c>
      <c r="AN88" s="154">
        <v>1000</v>
      </c>
      <c r="AO88" s="479" t="s">
        <v>82</v>
      </c>
      <c r="AP88" s="220" t="s">
        <v>525</v>
      </c>
      <c r="AQ88" s="145">
        <v>245</v>
      </c>
      <c r="AR88" s="154">
        <v>4000</v>
      </c>
      <c r="AS88" s="491" t="s">
        <v>1078</v>
      </c>
      <c r="AT88" s="220" t="s">
        <v>526</v>
      </c>
      <c r="AU88" s="140"/>
      <c r="AV88" s="277"/>
      <c r="AW88" s="277"/>
      <c r="AX88" s="277"/>
      <c r="AY88" s="140"/>
      <c r="AZ88" s="277"/>
      <c r="BA88" s="277"/>
      <c r="BB88" s="277"/>
      <c r="BC88" s="493">
        <v>26</v>
      </c>
      <c r="BD88" s="277">
        <v>2000</v>
      </c>
      <c r="BE88" s="493" t="s">
        <v>345</v>
      </c>
      <c r="BF88" s="277" t="s">
        <v>531</v>
      </c>
      <c r="BG88" s="493">
        <v>39</v>
      </c>
      <c r="BH88" s="277">
        <v>2000</v>
      </c>
      <c r="BI88" s="493" t="s">
        <v>345</v>
      </c>
      <c r="BJ88" s="277" t="s">
        <v>531</v>
      </c>
      <c r="BK88" s="493">
        <v>43</v>
      </c>
      <c r="BL88" s="277">
        <v>2000</v>
      </c>
      <c r="BM88" s="493" t="s">
        <v>345</v>
      </c>
      <c r="BN88" s="154" t="s">
        <v>531</v>
      </c>
      <c r="BO88" s="493"/>
      <c r="BP88" s="277"/>
      <c r="BQ88" s="493"/>
      <c r="BR88" s="154"/>
      <c r="BS88" s="493"/>
      <c r="BT88" s="277"/>
      <c r="BU88" s="493"/>
      <c r="BV88" s="154"/>
      <c r="BW88" s="493">
        <v>6</v>
      </c>
      <c r="BX88" s="277">
        <v>2000</v>
      </c>
      <c r="BY88" s="493" t="s">
        <v>345</v>
      </c>
      <c r="BZ88" s="154" t="s">
        <v>531</v>
      </c>
      <c r="CA88" s="493">
        <v>6</v>
      </c>
      <c r="CB88" s="277">
        <v>2000</v>
      </c>
      <c r="CC88" s="493" t="s">
        <v>345</v>
      </c>
      <c r="CD88" s="154" t="s">
        <v>531</v>
      </c>
      <c r="CE88" s="493">
        <v>6</v>
      </c>
      <c r="CF88" s="277">
        <v>2000</v>
      </c>
      <c r="CG88" s="493" t="s">
        <v>345</v>
      </c>
      <c r="CH88" s="154" t="s">
        <v>531</v>
      </c>
      <c r="CI88" s="493">
        <v>6</v>
      </c>
      <c r="CJ88" s="277">
        <v>2000</v>
      </c>
      <c r="CK88" s="493" t="s">
        <v>345</v>
      </c>
      <c r="CL88" s="154" t="s">
        <v>531</v>
      </c>
      <c r="CM88" s="493">
        <v>5.5</v>
      </c>
      <c r="CN88" s="277">
        <v>2000</v>
      </c>
      <c r="CO88" s="493" t="s">
        <v>345</v>
      </c>
      <c r="CP88" s="154" t="s">
        <v>531</v>
      </c>
      <c r="CQ88" s="493">
        <v>5.5</v>
      </c>
      <c r="CR88" s="277">
        <v>2000</v>
      </c>
      <c r="CS88" s="493" t="s">
        <v>345</v>
      </c>
      <c r="CT88" s="154" t="s">
        <v>531</v>
      </c>
      <c r="CU88" s="140"/>
      <c r="CV88" s="154"/>
      <c r="CW88" s="154"/>
      <c r="CX88" s="220"/>
      <c r="CY88" s="140"/>
      <c r="CZ88" s="154"/>
      <c r="DA88" s="154"/>
      <c r="DB88" s="220"/>
      <c r="DC88" s="140"/>
      <c r="DD88" s="146"/>
      <c r="DE88" s="146"/>
      <c r="DF88" s="146"/>
      <c r="DG88" s="140"/>
      <c r="DH88" s="146"/>
      <c r="DI88" s="146"/>
      <c r="DJ88" s="146"/>
      <c r="DK88" s="146"/>
      <c r="DL88" s="146"/>
      <c r="DM88" s="146"/>
      <c r="DN88" s="146"/>
      <c r="DO88" s="146"/>
      <c r="DP88" s="146"/>
      <c r="DQ88" s="146"/>
      <c r="DR88" s="146"/>
      <c r="DS88" s="140"/>
      <c r="DT88" s="154"/>
      <c r="DU88" s="154"/>
      <c r="DV88" s="154"/>
      <c r="DW88" s="140"/>
      <c r="DX88" s="220"/>
      <c r="DY88" s="220"/>
      <c r="DZ88" s="220"/>
      <c r="EA88" s="140"/>
      <c r="EB88" s="147"/>
      <c r="EC88" s="147"/>
      <c r="ED88" s="147"/>
      <c r="EE88" s="140"/>
      <c r="EF88" s="220"/>
      <c r="EG88" s="220"/>
      <c r="EH88" s="220"/>
      <c r="EI88" s="140"/>
      <c r="EJ88" s="222"/>
      <c r="EK88" s="222"/>
      <c r="EL88" s="222"/>
      <c r="EM88" s="140"/>
      <c r="EN88" s="148"/>
      <c r="EO88" s="148"/>
      <c r="EP88" s="148"/>
      <c r="EQ88" s="140"/>
      <c r="ER88" s="148"/>
      <c r="ES88" s="148"/>
      <c r="ET88" s="148"/>
      <c r="EU88" s="140"/>
      <c r="EV88" s="148"/>
      <c r="EW88" s="148"/>
      <c r="EX88" s="148"/>
      <c r="EY88" s="344"/>
      <c r="EZ88" s="148"/>
      <c r="FA88" s="148"/>
      <c r="FB88" s="148"/>
      <c r="FC88" s="273"/>
      <c r="FD88" s="149"/>
      <c r="FE88" s="149"/>
      <c r="FF88" s="276"/>
      <c r="FG88" s="156"/>
      <c r="FH88" s="156"/>
      <c r="FI88" s="156"/>
      <c r="FJ88" s="140"/>
      <c r="FK88" s="277"/>
      <c r="FL88" s="277"/>
      <c r="FM88" s="277"/>
      <c r="FN88" s="140"/>
      <c r="FO88" s="277"/>
      <c r="FP88" s="277"/>
      <c r="FQ88" s="277"/>
      <c r="FR88" s="280"/>
      <c r="FS88" s="277"/>
      <c r="FT88" s="277"/>
      <c r="FU88" s="277"/>
      <c r="FV88" s="277"/>
      <c r="FW88" s="277"/>
      <c r="FX88" s="277"/>
      <c r="FY88" s="277"/>
      <c r="FZ88" s="277"/>
      <c r="GA88" s="277"/>
      <c r="GB88" s="277"/>
      <c r="GC88" s="277"/>
      <c r="GD88" s="277"/>
      <c r="GE88" s="277"/>
      <c r="GF88" s="277"/>
      <c r="GG88" s="277"/>
      <c r="GH88" s="277"/>
      <c r="GI88" s="277"/>
      <c r="GJ88" s="277"/>
      <c r="GK88" s="277"/>
      <c r="GL88" s="277"/>
      <c r="GM88" s="277"/>
      <c r="GN88" s="277"/>
      <c r="GO88" s="277"/>
      <c r="GP88" s="277"/>
      <c r="GQ88" s="277"/>
      <c r="GR88" s="277"/>
      <c r="GS88" s="277"/>
      <c r="GT88" s="277"/>
      <c r="GU88" s="277"/>
      <c r="GV88" s="277"/>
      <c r="GW88" s="277"/>
      <c r="GX88" s="277"/>
      <c r="GY88" s="277"/>
      <c r="GZ88" s="277"/>
      <c r="HA88" s="277"/>
      <c r="HB88" s="277"/>
      <c r="HC88" s="277"/>
      <c r="HD88" s="277"/>
      <c r="HE88" s="277"/>
      <c r="HF88" s="140"/>
      <c r="HG88" s="277"/>
      <c r="HH88" s="277"/>
      <c r="HI88" s="277"/>
      <c r="HJ88" s="140"/>
      <c r="HK88" s="277"/>
      <c r="HL88" s="277"/>
      <c r="HM88" s="277"/>
      <c r="HN88" s="140"/>
      <c r="HO88" s="277"/>
      <c r="HP88" s="277"/>
      <c r="HQ88" s="277"/>
      <c r="HR88" s="277"/>
      <c r="HS88" s="277"/>
      <c r="HT88" s="277"/>
      <c r="HU88" s="277"/>
      <c r="HV88" s="277"/>
      <c r="HW88" s="277"/>
      <c r="HX88" s="277"/>
      <c r="HY88" s="277"/>
      <c r="HZ88" s="140"/>
      <c r="IA88" s="277"/>
      <c r="IB88" s="277"/>
      <c r="IC88" s="277"/>
      <c r="ID88" s="140"/>
      <c r="IE88" s="277"/>
      <c r="IF88" s="277"/>
      <c r="IG88" s="277"/>
      <c r="IH88" s="140"/>
      <c r="II88" s="277"/>
      <c r="IJ88" s="277"/>
      <c r="IK88" s="277"/>
      <c r="IL88" s="140"/>
      <c r="IM88" s="277"/>
      <c r="IN88" s="277"/>
      <c r="IO88" s="277"/>
      <c r="IP88" s="277"/>
      <c r="IQ88" s="277"/>
      <c r="IR88" s="277"/>
      <c r="IS88" s="277"/>
      <c r="IT88" s="277"/>
      <c r="IU88" s="277"/>
      <c r="IV88" s="277"/>
      <c r="IW88" s="277"/>
      <c r="IX88" s="140"/>
      <c r="IY88" s="277"/>
      <c r="IZ88" s="277"/>
      <c r="JA88" s="277"/>
      <c r="JB88" s="140"/>
      <c r="JC88" s="277"/>
      <c r="JD88" s="277"/>
      <c r="JE88" s="277"/>
      <c r="JF88" s="140"/>
      <c r="JG88" s="277"/>
      <c r="JH88" s="277"/>
      <c r="JI88" s="140"/>
      <c r="JJ88" s="277"/>
      <c r="JK88" s="277"/>
      <c r="JL88" s="140"/>
      <c r="JM88" s="277"/>
      <c r="JN88" s="277"/>
      <c r="JO88" s="140">
        <v>36</v>
      </c>
      <c r="JP88" s="277">
        <v>1000</v>
      </c>
      <c r="JQ88" s="277" t="s">
        <v>530</v>
      </c>
      <c r="JR88" s="277"/>
      <c r="JS88" s="277"/>
      <c r="JT88" s="277"/>
      <c r="JU88" s="277"/>
      <c r="JV88" s="277"/>
      <c r="JW88" s="277"/>
      <c r="JX88" s="277"/>
      <c r="JY88" s="277"/>
      <c r="JZ88" s="277"/>
      <c r="KA88" s="277"/>
      <c r="KB88" s="277"/>
      <c r="KC88" s="277"/>
      <c r="KD88" s="277"/>
      <c r="KE88" s="277"/>
      <c r="KF88" s="277"/>
      <c r="KG88" s="277"/>
      <c r="KH88" s="277"/>
      <c r="KI88" s="277"/>
      <c r="KJ88" s="277"/>
      <c r="KK88" s="277"/>
      <c r="KL88" s="277"/>
      <c r="KM88" s="277"/>
      <c r="KN88" s="277"/>
      <c r="KO88" s="277"/>
      <c r="KP88" s="274"/>
      <c r="KQ88" s="253"/>
      <c r="KR88" s="253"/>
      <c r="KY88" s="141">
        <f t="shared" si="25"/>
        <v>0</v>
      </c>
      <c r="KZ88" s="141">
        <f t="shared" si="26"/>
        <v>0</v>
      </c>
      <c r="LB88" s="141">
        <f t="shared" si="27"/>
        <v>1</v>
      </c>
      <c r="LC88" s="141">
        <f t="shared" si="28"/>
        <v>1</v>
      </c>
      <c r="LD88" s="141">
        <f t="shared" si="29"/>
        <v>1</v>
      </c>
      <c r="LE88" s="141" t="e">
        <f>((N(AU88)&gt;0)*(AX88&lt;&gt;"")+(N(AY88)&gt;0)*(BB88&lt;&gt;"")+(N(BC88)&gt;0)*(BF88&lt;&gt;"")+(N(BG88)&gt;0)*(BJ88&lt;&gt;"")+(N(BK88)&gt;0)*(BN88&lt;&gt;"")+(N(BO88)&gt;0)*(BR88&lt;&gt;"")+(N(BS88)&gt;0)*(BV88&lt;&gt;"")+(N(BW88)&gt;0)*(BZ88&lt;&gt;"")+(N(CA88)&gt;0)*(CD88&lt;&gt;"")+(N(CE88)&gt;0)*(CH88&lt;&gt;"")+(N(CI88)&gt;0)*(CL88&lt;&gt;"")+(N(CM88)&gt;0)*(CP88&lt;&gt;"")+(N(CQ88)&gt;0)*(CT88&lt;&gt;"")+(N(CU88)&gt;0)*(CX88&lt;&gt;"")+(N(CY88)&gt;0)*(DB88&lt;&gt;"")+(N(DC88)&gt;0)*(DF88&lt;&gt;"")+(N(DG88)&gt;0)*(DJ88&lt;&gt;"")+(N(DS88)&gt;0)*(DV88&lt;&gt;"")+(N(DW88)&gt;0)*(DZ88&lt;&gt;"")+(N(EA88)&gt;0)*(ED88&lt;&gt;"")+(N(EE88)&gt;0)*(EH88&lt;&gt;"")+(N(EI88)&gt;0)*(EL88&lt;&gt;"")+(N(EM88)&gt;0)*(EP88&lt;&gt;"")+(N(EQ88)&gt;0)*(ET88&lt;&gt;"")+(N(EU88)&gt;0)*(EX88&lt;&gt;"")+(N(#REF!)&gt;0)*(#REF!&lt;&gt;"")+(N(#REF!)&gt;0)*(#REF!&lt;&gt;"")+(N(FJ88)&gt;0)*(FM88&lt;&gt;"")+(N(FN88)&gt;0)*(FQ88&lt;&gt;"")+(N(#REF!)&gt;0)*(#REF!&lt;&gt;"")+(N(#REF!)&gt;0)*(#REF!&lt;&gt;"")+(N(HF88)&gt;0)*(HI88&lt;&gt;"")+(N(#REF!)&gt;0)*(#REF!&lt;&gt;"")+(N(HJ88)&gt;0)*(HM88&lt;&gt;"")+(N(HN88)&gt;0)*(HQ88&lt;&gt;"")+(N(HZ88)&gt;0)*(IC88&lt;&gt;"")+(N(ID88)&gt;0)*(IG88&lt;&gt;"")+(N(IH88)&gt;0)*(IK88&lt;&gt;"")+(N(IL88)&gt;0)*(IO88&lt;&gt;"")+(N(IX88)&gt;0)*(JA88&lt;&gt;"")+(N(JB88)&gt;0)*(JE88&lt;&gt;"")+(N(JF88)&gt;0)*(JH88&lt;&gt;"")+(N(JI88)&gt;0)*(JK88&lt;&gt;"")+(N(JL88)&gt;0)*(JN88&lt;&gt;"")+(N(JO88)&gt;0)*(JQ88&lt;&gt;""))</f>
        <v>#REF!</v>
      </c>
      <c r="LF88" s="141">
        <f t="shared" si="21"/>
        <v>0</v>
      </c>
      <c r="LG88" s="141">
        <f t="shared" si="30"/>
        <v>1</v>
      </c>
    </row>
    <row r="89" spans="1:319" ht="38.25" customHeight="1" x14ac:dyDescent="0.55000000000000004">
      <c r="B89" s="506" t="s">
        <v>355</v>
      </c>
      <c r="C89" s="218">
        <v>2</v>
      </c>
      <c r="D89" s="396">
        <v>2</v>
      </c>
      <c r="E89" s="396">
        <v>2</v>
      </c>
      <c r="F89" s="162">
        <f>($AI$89/$AJ$89)*$L$89*C89</f>
        <v>963.2</v>
      </c>
      <c r="G89" s="162">
        <f>($AI$89/$AJ$89)*$L$89*D89</f>
        <v>963.2</v>
      </c>
      <c r="H89" s="162">
        <f>($AI$89/$AJ$89)*$L$89*E89</f>
        <v>963.2</v>
      </c>
      <c r="I89" s="162" cm="1">
        <f t="array" ref="I89">SUMPRODUCT(($AI$2:$KV$2&lt;&gt;"")*($AI89:$KV89&lt;&gt;""))</f>
        <v>12</v>
      </c>
      <c r="J89" s="142">
        <f t="shared" si="17"/>
        <v>24</v>
      </c>
      <c r="K89" s="142">
        <f t="shared" si="18"/>
        <v>336</v>
      </c>
      <c r="L89" s="268">
        <f t="shared" si="31"/>
        <v>7000</v>
      </c>
      <c r="M89" s="164">
        <f t="shared" si="22"/>
        <v>8668.8000000000011</v>
      </c>
      <c r="N89" s="397"/>
      <c r="O89" s="165">
        <f t="shared" si="19"/>
        <v>12776.400000000001</v>
      </c>
      <c r="P89" s="165"/>
      <c r="Q89" s="165"/>
      <c r="R89" s="165">
        <f>(IFERROR(AM89/AN89,0)+IFERROR(AU89/AV89,0)+IFERROR(AY89/AZ89,0)+IFERROR(BC89/BD89,0)+IFERROR(BG89/BH89,0)+IFERROR(BK89/BL89,0)+IFERROR(BO89/BP89,0)+IFERROR(BS89/BT89,0)+IFERROR(BW89/BX89,0)+IFERROR(CA89/CB89,0)+IFERROR(CE89/CF89,0)+IFERROR(CI89/CJ89,0)+IFERROR(CM89/CN89,0)+IFERROR(CQ89/CR89,0)+IFERROR(CU89/CV89,0)+IFERROR(CY89/CZ89,0)+IFERROR(DC89/DD89,0)+IFERROR(DG89/DH89,0)+IFERROR(DS89/DT89,0)+IFERROR(DW89/DX89,0)+IFERROR(EA89/EB89,0)+IFERROR(EE89/EF89,0)+IFERROR(EI89/EJ89,0)+IFERROR(EM89/EN89,0)+IFERROR(EQ89/ER89,0)+IFERROR(EU89/EV89,0)+IFERROR(#REF!/#REF!,0)+IFERROR(#REF!/#REF!,0)+IFERROR(FJ89/FK89,0)+IFERROR(FN89/FO89,0)+IFERROR(#REF!/#REF!,0)+IFERROR(#REF!/#REF!,0)+IFERROR(HF89/HG89,0)+IFERROR(#REF!/#REF!,0)+IFERROR(HJ89/HK89,0)+IFERROR(HN89/HO89,0)+IFERROR(HZ89/IA89,0)+IFERROR(ID89/IE89,0)+IFERROR(IH89/II89,0)+IFERROR(IL89/IM89,0)+IFERROR(IX89/IY89,0)+IFERROR(JB89/JC89,0)+IFERROR(JF89/JG89,0)+IFERROR(JI89/JJ89,0)+IFERROR(JL89/JM89,0)+IFERROR(JO89/JP89,0))*L89*(C89+D89+E89+I89)</f>
        <v>19737.900000000001</v>
      </c>
      <c r="S89" s="165"/>
      <c r="T89" s="165">
        <f t="shared" si="23"/>
        <v>1192.8</v>
      </c>
      <c r="U89" s="165"/>
      <c r="V89" s="165"/>
      <c r="W89" s="165"/>
      <c r="X89" s="165">
        <f>(IFERROR(FF89/FG89,0)+IFERROR(FC89/FD89,0)+IFERROR(#REF!/#REF!,0)+IFERROR(KP89/KQ89,0))*L89*(C89+D89+E89+I89)</f>
        <v>0</v>
      </c>
      <c r="Y89" s="484"/>
      <c r="Z89" s="484"/>
      <c r="AA89" s="484"/>
      <c r="AB89" s="484"/>
      <c r="AC89" s="150">
        <f t="shared" si="20"/>
        <v>1255.7999999999997</v>
      </c>
      <c r="AD89" s="150"/>
      <c r="AE89" s="150">
        <f t="shared" si="24"/>
        <v>20790</v>
      </c>
      <c r="AF89" s="161">
        <v>270</v>
      </c>
      <c r="AG89" s="143">
        <v>29.9</v>
      </c>
      <c r="AH89" s="154">
        <v>3000</v>
      </c>
      <c r="AI89" s="144">
        <v>17.2</v>
      </c>
      <c r="AJ89" s="154">
        <v>250</v>
      </c>
      <c r="AK89" s="489" t="s">
        <v>81</v>
      </c>
      <c r="AL89" s="154" t="s">
        <v>517</v>
      </c>
      <c r="AM89" s="140"/>
      <c r="AN89" s="154"/>
      <c r="AO89" s="154"/>
      <c r="AP89" s="220"/>
      <c r="AQ89" s="492">
        <v>507</v>
      </c>
      <c r="AR89" s="154">
        <v>5000</v>
      </c>
      <c r="AS89" s="492" t="s">
        <v>1082</v>
      </c>
      <c r="AT89" s="220" t="s">
        <v>534</v>
      </c>
      <c r="AU89" s="140"/>
      <c r="AV89" s="277"/>
      <c r="AW89" s="277"/>
      <c r="AX89" s="277"/>
      <c r="AY89" s="140"/>
      <c r="AZ89" s="277"/>
      <c r="BA89" s="277"/>
      <c r="BB89" s="277"/>
      <c r="BC89" s="140"/>
      <c r="BD89" s="277"/>
      <c r="BE89" s="277"/>
      <c r="BF89" s="277"/>
      <c r="BG89" s="140"/>
      <c r="BH89" s="277"/>
      <c r="BI89" s="277"/>
      <c r="BJ89" s="277"/>
      <c r="BK89" s="140"/>
      <c r="BL89" s="277"/>
      <c r="BM89" s="277"/>
      <c r="BN89" s="277"/>
      <c r="BO89" s="140"/>
      <c r="BP89" s="277"/>
      <c r="BQ89" s="277"/>
      <c r="BR89" s="277"/>
      <c r="BS89" s="140"/>
      <c r="BT89" s="277"/>
      <c r="BU89" s="277"/>
      <c r="BV89" s="277"/>
      <c r="BW89" s="140"/>
      <c r="BX89" s="154"/>
      <c r="BY89" s="154"/>
      <c r="BZ89" s="220"/>
      <c r="CA89" s="140"/>
      <c r="CB89" s="154"/>
      <c r="CC89" s="154"/>
      <c r="CD89" s="220"/>
      <c r="CE89" s="493">
        <v>4</v>
      </c>
      <c r="CF89" s="154">
        <v>2000</v>
      </c>
      <c r="CG89" s="493" t="s">
        <v>345</v>
      </c>
      <c r="CH89" s="220" t="s">
        <v>532</v>
      </c>
      <c r="CI89" s="493">
        <v>4</v>
      </c>
      <c r="CJ89" s="154">
        <v>2000</v>
      </c>
      <c r="CK89" s="493" t="s">
        <v>345</v>
      </c>
      <c r="CL89" s="220" t="s">
        <v>532</v>
      </c>
      <c r="CM89" s="140"/>
      <c r="CN89" s="271"/>
      <c r="CO89" s="271"/>
      <c r="CP89" s="271"/>
      <c r="CQ89" s="140"/>
      <c r="CR89" s="154"/>
      <c r="CS89" s="154"/>
      <c r="CT89" s="154"/>
      <c r="CU89" s="140"/>
      <c r="CV89" s="154"/>
      <c r="CW89" s="154"/>
      <c r="CX89" s="220"/>
      <c r="CY89" s="140"/>
      <c r="CZ89" s="154"/>
      <c r="DA89" s="154"/>
      <c r="DB89" s="220"/>
      <c r="DC89" s="140"/>
      <c r="DD89" s="146"/>
      <c r="DE89" s="146"/>
      <c r="DF89" s="146"/>
      <c r="DG89" s="140"/>
      <c r="DH89" s="146"/>
      <c r="DI89" s="146"/>
      <c r="DJ89" s="146"/>
      <c r="DK89" s="146"/>
      <c r="DL89" s="146"/>
      <c r="DM89" s="146"/>
      <c r="DN89" s="146"/>
      <c r="DO89" s="146"/>
      <c r="DP89" s="146"/>
      <c r="DQ89" s="146"/>
      <c r="DR89" s="146"/>
      <c r="DS89" s="140"/>
      <c r="DT89" s="154"/>
      <c r="DU89" s="154"/>
      <c r="DV89" s="154"/>
      <c r="DW89" s="140"/>
      <c r="DX89" s="220"/>
      <c r="DY89" s="220"/>
      <c r="DZ89" s="220"/>
      <c r="EA89" s="140"/>
      <c r="EB89" s="220"/>
      <c r="EC89" s="220"/>
      <c r="ED89" s="220"/>
      <c r="EE89" s="140"/>
      <c r="EF89" s="154"/>
      <c r="EG89" s="154"/>
      <c r="EH89" s="154"/>
      <c r="EI89" s="140"/>
      <c r="EJ89" s="154"/>
      <c r="EK89" s="154"/>
      <c r="EL89" s="154"/>
      <c r="EM89" s="140"/>
      <c r="EN89" s="222"/>
      <c r="EO89" s="222"/>
      <c r="EP89" s="222"/>
      <c r="EQ89" s="140"/>
      <c r="ER89" s="222"/>
      <c r="ES89" s="222"/>
      <c r="ET89" s="222"/>
      <c r="EU89" s="493">
        <v>150</v>
      </c>
      <c r="EV89" s="512">
        <v>1000</v>
      </c>
      <c r="EW89" s="493" t="s">
        <v>345</v>
      </c>
      <c r="EX89" s="220" t="s">
        <v>532</v>
      </c>
      <c r="EY89" s="348">
        <v>165</v>
      </c>
      <c r="EZ89" s="154">
        <v>1000</v>
      </c>
      <c r="FA89" s="336" t="s">
        <v>152</v>
      </c>
      <c r="FB89" s="154" t="s">
        <v>1163</v>
      </c>
      <c r="FC89" s="273"/>
      <c r="FD89" s="223"/>
      <c r="FE89" s="223"/>
      <c r="FF89" s="276">
        <v>18.899999999999999</v>
      </c>
      <c r="FG89" s="156"/>
      <c r="FH89" s="516"/>
      <c r="FI89" s="156" t="s">
        <v>1164</v>
      </c>
      <c r="FJ89" s="482">
        <v>4.3</v>
      </c>
      <c r="FK89" s="277">
        <v>2000</v>
      </c>
      <c r="FL89" s="482" t="s">
        <v>1088</v>
      </c>
      <c r="FM89" s="495" t="s">
        <v>1167</v>
      </c>
      <c r="FN89" s="482">
        <v>1</v>
      </c>
      <c r="FO89" s="277">
        <v>2000</v>
      </c>
      <c r="FP89" s="482" t="s">
        <v>1088</v>
      </c>
      <c r="FQ89" s="495" t="s">
        <v>1167</v>
      </c>
      <c r="FR89" s="480">
        <v>28.4</v>
      </c>
      <c r="FS89" s="277">
        <v>3000</v>
      </c>
      <c r="FT89" s="480" t="s">
        <v>1085</v>
      </c>
      <c r="FU89" s="277" t="s">
        <v>535</v>
      </c>
      <c r="FV89" s="277"/>
      <c r="FW89" s="277"/>
      <c r="FX89" s="277"/>
      <c r="FY89" s="277"/>
      <c r="FZ89" s="277"/>
      <c r="GA89" s="277"/>
      <c r="GB89" s="277"/>
      <c r="GC89" s="277"/>
      <c r="GD89" s="277"/>
      <c r="GE89" s="277"/>
      <c r="GF89" s="277"/>
      <c r="GG89" s="277"/>
      <c r="GH89" s="277"/>
      <c r="GI89" s="277"/>
      <c r="GJ89" s="277"/>
      <c r="GK89" s="277"/>
      <c r="GL89" s="277"/>
      <c r="GM89" s="277"/>
      <c r="GN89" s="277"/>
      <c r="GO89" s="277"/>
      <c r="GP89" s="277"/>
      <c r="GQ89" s="277"/>
      <c r="GR89" s="277"/>
      <c r="GS89" s="277"/>
      <c r="GT89" s="277"/>
      <c r="GU89" s="277"/>
      <c r="GV89" s="277"/>
      <c r="GW89" s="277"/>
      <c r="GX89" s="277"/>
      <c r="GY89" s="277"/>
      <c r="GZ89" s="277"/>
      <c r="HA89" s="277"/>
      <c r="HB89" s="277"/>
      <c r="HC89" s="277"/>
      <c r="HD89" s="277"/>
      <c r="HE89" s="277"/>
      <c r="HF89" s="140"/>
      <c r="HG89" s="277"/>
      <c r="HH89" s="277"/>
      <c r="HI89" s="277"/>
      <c r="HJ89" s="140"/>
      <c r="HK89" s="277"/>
      <c r="HL89" s="277"/>
      <c r="HM89" s="277"/>
      <c r="HN89" s="140"/>
      <c r="HO89" s="277"/>
      <c r="HP89" s="277"/>
      <c r="HQ89" s="277"/>
      <c r="HR89" s="277"/>
      <c r="HS89" s="277"/>
      <c r="HT89" s="277"/>
      <c r="HU89" s="277"/>
      <c r="HV89" s="277"/>
      <c r="HW89" s="277"/>
      <c r="HX89" s="277"/>
      <c r="HY89" s="277"/>
      <c r="HZ89" s="140"/>
      <c r="IA89" s="277"/>
      <c r="IB89" s="277"/>
      <c r="IC89" s="277"/>
      <c r="ID89" s="140"/>
      <c r="IE89" s="277"/>
      <c r="IF89" s="277"/>
      <c r="IG89" s="277"/>
      <c r="IH89" s="140"/>
      <c r="II89" s="277"/>
      <c r="IJ89" s="277"/>
      <c r="IK89" s="277"/>
      <c r="IL89" s="140"/>
      <c r="IM89" s="277"/>
      <c r="IN89" s="277"/>
      <c r="IO89" s="277"/>
      <c r="IP89" s="277"/>
      <c r="IQ89" s="277"/>
      <c r="IR89" s="277"/>
      <c r="IS89" s="277"/>
      <c r="IT89" s="277"/>
      <c r="IU89" s="277"/>
      <c r="IV89" s="277"/>
      <c r="IW89" s="277"/>
      <c r="IX89" s="140"/>
      <c r="IY89" s="277"/>
      <c r="IZ89" s="277"/>
      <c r="JA89" s="277"/>
      <c r="JB89" s="140"/>
      <c r="JC89" s="277"/>
      <c r="JD89" s="277"/>
      <c r="JE89" s="277"/>
      <c r="JF89" s="140"/>
      <c r="JG89" s="277"/>
      <c r="JH89" s="277"/>
      <c r="JI89" s="140"/>
      <c r="JJ89" s="277"/>
      <c r="JK89" s="277"/>
      <c r="JL89" s="140"/>
      <c r="JM89" s="277"/>
      <c r="JN89" s="277"/>
      <c r="JO89" s="140"/>
      <c r="JP89" s="277"/>
      <c r="JQ89" s="277"/>
      <c r="JR89" s="277"/>
      <c r="JS89" s="277"/>
      <c r="JT89" s="277"/>
      <c r="JU89" s="277"/>
      <c r="JV89" s="277"/>
      <c r="JW89" s="277"/>
      <c r="JX89" s="277"/>
      <c r="JY89" s="277"/>
      <c r="JZ89" s="277"/>
      <c r="KA89" s="277"/>
      <c r="KB89" s="277"/>
      <c r="KC89" s="277"/>
      <c r="KD89" s="277"/>
      <c r="KE89" s="277"/>
      <c r="KF89" s="277"/>
      <c r="KG89" s="277"/>
      <c r="KH89" s="277"/>
      <c r="KI89" s="277"/>
      <c r="KJ89" s="277"/>
      <c r="KK89" s="277"/>
      <c r="KL89" s="277"/>
      <c r="KM89" s="277"/>
      <c r="KN89" s="277"/>
      <c r="KO89" s="277"/>
      <c r="KP89" s="274"/>
      <c r="KQ89" s="253"/>
      <c r="KR89" s="253"/>
      <c r="KS89" s="346">
        <v>40</v>
      </c>
      <c r="KT89" s="346">
        <v>1000</v>
      </c>
      <c r="KU89" s="346" t="s">
        <v>759</v>
      </c>
      <c r="KV89" s="346">
        <v>25</v>
      </c>
      <c r="KW89" s="346">
        <v>500</v>
      </c>
      <c r="KX89" s="346" t="s">
        <v>759</v>
      </c>
      <c r="KY89" s="141">
        <f t="shared" si="25"/>
        <v>5040</v>
      </c>
      <c r="KZ89" s="141">
        <f t="shared" si="26"/>
        <v>6300</v>
      </c>
      <c r="LB89" s="141">
        <f t="shared" si="27"/>
        <v>1</v>
      </c>
      <c r="LC89" s="141">
        <f t="shared" si="28"/>
        <v>0</v>
      </c>
      <c r="LD89" s="141">
        <f t="shared" si="29"/>
        <v>1</v>
      </c>
      <c r="LE89" s="141" t="e">
        <f>((N(AU89)&gt;0)*(AX89&lt;&gt;"")+(N(AY89)&gt;0)*(BB89&lt;&gt;"")+(N(BC89)&gt;0)*(BF89&lt;&gt;"")+(N(BG89)&gt;0)*(BJ89&lt;&gt;"")+(N(BK89)&gt;0)*(BN89&lt;&gt;"")+(N(BO89)&gt;0)*(BR89&lt;&gt;"")+(N(BS89)&gt;0)*(BV89&lt;&gt;"")+(N(BW89)&gt;0)*(BZ89&lt;&gt;"")+(N(CA89)&gt;0)*(CD89&lt;&gt;"")+(N(CE89)&gt;0)*(CH89&lt;&gt;"")+(N(CI89)&gt;0)*(CL89&lt;&gt;"")+(N(CM89)&gt;0)*(CP89&lt;&gt;"")+(N(CQ89)&gt;0)*(CT89&lt;&gt;"")+(N(CU89)&gt;0)*(CX89&lt;&gt;"")+(N(CY89)&gt;0)*(DB89&lt;&gt;"")+(N(DC89)&gt;0)*(DF89&lt;&gt;"")+(N(DG89)&gt;0)*(DJ89&lt;&gt;"")+(N(DS89)&gt;0)*(DV89&lt;&gt;"")+(N(DW89)&gt;0)*(DZ89&lt;&gt;"")+(N(EA89)&gt;0)*(ED89&lt;&gt;"")+(N(EE89)&gt;0)*(EH89&lt;&gt;"")+(N(EI89)&gt;0)*(EL89&lt;&gt;"")+(N(EM89)&gt;0)*(EP89&lt;&gt;"")+(N(EQ89)&gt;0)*(ET89&lt;&gt;"")+(N(EU89)&gt;0)*(EX89&lt;&gt;"")+(N(#REF!)&gt;0)*(#REF!&lt;&gt;"")+(N(#REF!)&gt;0)*(#REF!&lt;&gt;"")+(N(FJ89)&gt;0)*(FM89&lt;&gt;"")+(N(FN89)&gt;0)*(FQ89&lt;&gt;"")+(N(#REF!)&gt;0)*(#REF!&lt;&gt;"")+(N(#REF!)&gt;0)*(#REF!&lt;&gt;"")+(N(HF89)&gt;0)*(HI89&lt;&gt;"")+(N(#REF!)&gt;0)*(#REF!&lt;&gt;"")+(N(HJ89)&gt;0)*(HM89&lt;&gt;"")+(N(HN89)&gt;0)*(HQ89&lt;&gt;"")+(N(HZ89)&gt;0)*(IC89&lt;&gt;"")+(N(ID89)&gt;0)*(IG89&lt;&gt;"")+(N(IH89)&gt;0)*(IK89&lt;&gt;"")+(N(IL89)&gt;0)*(IO89&lt;&gt;"")+(N(IX89)&gt;0)*(JA89&lt;&gt;"")+(N(JB89)&gt;0)*(JE89&lt;&gt;"")+(N(JF89)&gt;0)*(JH89&lt;&gt;"")+(N(JI89)&gt;0)*(JK89&lt;&gt;"")+(N(JL89)&gt;0)*(JN89&lt;&gt;"")+(N(JO89)&gt;0)*(JQ89&lt;&gt;""))</f>
        <v>#REF!</v>
      </c>
      <c r="LF89" s="141">
        <f t="shared" si="21"/>
        <v>1</v>
      </c>
      <c r="LG89" s="141">
        <f t="shared" si="30"/>
        <v>1</v>
      </c>
    </row>
    <row r="90" spans="1:319" ht="38.25" customHeight="1" x14ac:dyDescent="0.55000000000000004">
      <c r="B90" s="506" t="s">
        <v>146</v>
      </c>
      <c r="C90" s="218">
        <v>2</v>
      </c>
      <c r="D90" s="396">
        <v>2</v>
      </c>
      <c r="E90" s="396">
        <v>2</v>
      </c>
      <c r="F90" s="162">
        <f>($AI$90/$AJ$90)*$L$90*C90</f>
        <v>3584</v>
      </c>
      <c r="G90" s="162">
        <f>($AI$90/$AJ$90)*$L$90*D90</f>
        <v>3584</v>
      </c>
      <c r="H90" s="162">
        <f>($AI$90/$AJ$90)*$L$90*E90</f>
        <v>3584</v>
      </c>
      <c r="I90" s="162" cm="1">
        <f t="array" ref="I90">SUMPRODUCT(($AI$2:$KV$2&lt;&gt;"")*($AI90:$KV90&lt;&gt;""))</f>
        <v>7</v>
      </c>
      <c r="J90" s="142">
        <f t="shared" si="17"/>
        <v>14</v>
      </c>
      <c r="K90" s="142">
        <f t="shared" si="18"/>
        <v>196</v>
      </c>
      <c r="L90" s="268">
        <f t="shared" si="31"/>
        <v>7000</v>
      </c>
      <c r="M90" s="164">
        <f t="shared" si="22"/>
        <v>23296</v>
      </c>
      <c r="N90" s="397"/>
      <c r="O90" s="165">
        <f t="shared" si="19"/>
        <v>43680</v>
      </c>
      <c r="P90" s="165"/>
      <c r="Q90" s="165"/>
      <c r="R90" s="165">
        <f>(IFERROR(AM90/AN90,0)+IFERROR(AU90/AV90,0)+IFERROR(AY90/AZ90,0)+IFERROR(BC90/BD90,0)+IFERROR(BG90/BH90,0)+IFERROR(BK90/BL90,0)+IFERROR(BO90/BP90,0)+IFERROR(BS90/BT90,0)+IFERROR(BW90/BX90,0)+IFERROR(CA90/CB90,0)+IFERROR(CE90/CF90,0)+IFERROR(CI90/CJ90,0)+IFERROR(CM90/CN90,0)+IFERROR(CQ90/CR90,0)+IFERROR(CU90/CV90,0)+IFERROR(CY90/CZ90,0)+IFERROR(DC90/DD90,0)+IFERROR(DG90/DH90,0)+IFERROR(DS90/DT90,0)+IFERROR(DW90/DX90,0)+IFERROR(EA90/EB90,0)+IFERROR(EE90/EF90,0)+IFERROR(EI90/EJ90,0)+IFERROR(EM90/EN90,0)+IFERROR(EQ90/ER90,0)+IFERROR(EU90/EV90,0)+IFERROR(#REF!/#REF!,0)+IFERROR(#REF!/#REF!,0)+IFERROR(FJ90/FK90,0)+IFERROR(FN90/FO90,0)+IFERROR(#REF!/#REF!,0)+IFERROR(#REF!/#REF!,0)+IFERROR(HF90/HG90,0)+IFERROR(#REF!/#REF!,0)+IFERROR(HJ90/HK90,0)+IFERROR(HN90/HO90,0)+IFERROR(HZ90/IA90,0)+IFERROR(ID90/IE90,0)+IFERROR(IH90/II90,0)+IFERROR(IL90/IM90,0)+IFERROR(IX90/IY90,0)+IFERROR(JB90/JC90,0)+IFERROR(JF90/JG90,0)+IFERROR(JI90/JJ90,0)+IFERROR(JL90/JM90,0)+IFERROR(JO90/JP90,0))*L90*(C90+D90+E90+I90)</f>
        <v>16471</v>
      </c>
      <c r="S90" s="165"/>
      <c r="T90" s="165">
        <f t="shared" si="23"/>
        <v>0</v>
      </c>
      <c r="U90" s="165"/>
      <c r="V90" s="165"/>
      <c r="W90" s="165"/>
      <c r="X90" s="165">
        <f>(IFERROR(FF90/FG90,0)+IFERROR(FC90/FD90,0)+IFERROR(#REF!/#REF!,0)+IFERROR(KP90/KQ90,0))*L90*(C90+D90+E90+I90)</f>
        <v>0</v>
      </c>
      <c r="Y90" s="484"/>
      <c r="Z90" s="484"/>
      <c r="AA90" s="484"/>
      <c r="AB90" s="484"/>
      <c r="AC90" s="150">
        <f t="shared" si="20"/>
        <v>4095</v>
      </c>
      <c r="AD90" s="150"/>
      <c r="AE90" s="150">
        <f t="shared" si="24"/>
        <v>0</v>
      </c>
      <c r="AF90" s="161">
        <v>3400</v>
      </c>
      <c r="AG90" s="143">
        <v>180</v>
      </c>
      <c r="AH90" s="154">
        <v>4000</v>
      </c>
      <c r="AI90" s="144">
        <v>128</v>
      </c>
      <c r="AJ90" s="154">
        <v>500</v>
      </c>
      <c r="AK90" s="489" t="s">
        <v>81</v>
      </c>
      <c r="AL90" s="497" t="s">
        <v>529</v>
      </c>
      <c r="AM90" s="140"/>
      <c r="AN90" s="154"/>
      <c r="AO90" s="154"/>
      <c r="AP90" s="220"/>
      <c r="AQ90" s="145">
        <v>2400</v>
      </c>
      <c r="AR90" s="154">
        <v>5000</v>
      </c>
      <c r="AS90" s="496" t="s">
        <v>1078</v>
      </c>
      <c r="AT90" s="497" t="s">
        <v>526</v>
      </c>
      <c r="AU90" s="140"/>
      <c r="AV90" s="277"/>
      <c r="AW90" s="277"/>
      <c r="AX90" s="277"/>
      <c r="AY90" s="140"/>
      <c r="AZ90" s="277"/>
      <c r="BA90" s="277"/>
      <c r="BB90" s="277"/>
      <c r="BC90" s="140"/>
      <c r="BD90" s="277"/>
      <c r="BE90" s="277"/>
      <c r="BF90" s="277"/>
      <c r="BG90" s="140"/>
      <c r="BH90" s="277"/>
      <c r="BI90" s="277"/>
      <c r="BJ90" s="277"/>
      <c r="BK90" s="140"/>
      <c r="BL90" s="277"/>
      <c r="BM90" s="277"/>
      <c r="BN90" s="277"/>
      <c r="BO90" s="140"/>
      <c r="BP90" s="277"/>
      <c r="BQ90" s="277"/>
      <c r="BR90" s="277"/>
      <c r="BS90" s="140"/>
      <c r="BT90" s="277"/>
      <c r="BU90" s="277"/>
      <c r="BV90" s="277"/>
      <c r="BW90" s="140"/>
      <c r="BX90" s="154"/>
      <c r="BY90" s="154"/>
      <c r="BZ90" s="500"/>
      <c r="CA90" s="140"/>
      <c r="CB90" s="154"/>
      <c r="CC90" s="154"/>
      <c r="CD90" s="500"/>
      <c r="CE90" s="490">
        <v>85</v>
      </c>
      <c r="CF90" s="154">
        <v>2000</v>
      </c>
      <c r="CG90" s="490" t="s">
        <v>82</v>
      </c>
      <c r="CH90" s="154" t="s">
        <v>536</v>
      </c>
      <c r="CI90" s="490">
        <v>85</v>
      </c>
      <c r="CJ90" s="154">
        <v>2000</v>
      </c>
      <c r="CK90" s="490" t="s">
        <v>82</v>
      </c>
      <c r="CL90" s="154" t="s">
        <v>536</v>
      </c>
      <c r="CM90" s="140"/>
      <c r="CN90" s="271"/>
      <c r="CO90" s="271"/>
      <c r="CP90" s="271"/>
      <c r="CQ90" s="140"/>
      <c r="CR90" s="154"/>
      <c r="CS90" s="154"/>
      <c r="CT90" s="154"/>
      <c r="CU90" s="140"/>
      <c r="CV90" s="154"/>
      <c r="CW90" s="154"/>
      <c r="CX90" s="220"/>
      <c r="CY90" s="140"/>
      <c r="CZ90" s="154"/>
      <c r="DA90" s="154"/>
      <c r="DB90" s="220"/>
      <c r="DC90" s="140"/>
      <c r="DD90" s="146"/>
      <c r="DE90" s="146"/>
      <c r="DF90" s="146"/>
      <c r="DG90" s="140"/>
      <c r="DH90" s="146"/>
      <c r="DI90" s="146"/>
      <c r="DJ90" s="146"/>
      <c r="DK90" s="146"/>
      <c r="DL90" s="146"/>
      <c r="DM90" s="146"/>
      <c r="DN90" s="146"/>
      <c r="DO90" s="146"/>
      <c r="DP90" s="146"/>
      <c r="DQ90" s="146"/>
      <c r="DR90" s="146"/>
      <c r="DS90" s="490">
        <v>36</v>
      </c>
      <c r="DT90" s="154">
        <v>1000</v>
      </c>
      <c r="DU90" s="490" t="s">
        <v>82</v>
      </c>
      <c r="DV90" s="154" t="s">
        <v>536</v>
      </c>
      <c r="DW90" s="140"/>
      <c r="DX90" s="220"/>
      <c r="DY90" s="220"/>
      <c r="DZ90" s="220"/>
      <c r="EA90" s="140"/>
      <c r="EB90" s="147"/>
      <c r="EC90" s="147"/>
      <c r="ED90" s="147"/>
      <c r="EE90" s="490">
        <v>30</v>
      </c>
      <c r="EF90" s="154">
        <v>1000</v>
      </c>
      <c r="EG90" s="490" t="s">
        <v>82</v>
      </c>
      <c r="EH90" s="154" t="s">
        <v>536</v>
      </c>
      <c r="EI90" s="490">
        <v>30</v>
      </c>
      <c r="EJ90" s="154">
        <v>1000</v>
      </c>
      <c r="EK90" s="490" t="s">
        <v>82</v>
      </c>
      <c r="EL90" s="497" t="s">
        <v>536</v>
      </c>
      <c r="EM90" s="140"/>
      <c r="EN90" s="148"/>
      <c r="EO90" s="148"/>
      <c r="EP90" s="148"/>
      <c r="EQ90" s="140"/>
      <c r="ER90" s="148"/>
      <c r="ES90" s="148"/>
      <c r="ET90" s="148"/>
      <c r="EU90" s="140"/>
      <c r="EV90" s="148"/>
      <c r="EW90" s="148"/>
      <c r="EX90" s="148"/>
      <c r="EY90" s="344"/>
      <c r="EZ90" s="148"/>
      <c r="FA90" s="148"/>
      <c r="FB90" s="148"/>
      <c r="FC90" s="273"/>
      <c r="FD90" s="149"/>
      <c r="FE90" s="149"/>
      <c r="FF90" s="276"/>
      <c r="FG90" s="156"/>
      <c r="FH90" s="156"/>
      <c r="FI90" s="156"/>
      <c r="FJ90" s="140"/>
      <c r="FK90" s="277"/>
      <c r="FL90" s="277"/>
      <c r="FM90" s="277"/>
      <c r="FN90" s="140"/>
      <c r="FO90" s="277"/>
      <c r="FP90" s="277"/>
      <c r="FQ90" s="277"/>
      <c r="FR90" s="280"/>
      <c r="FS90" s="277"/>
      <c r="FT90" s="277"/>
      <c r="FU90" s="277"/>
      <c r="FV90" s="277"/>
      <c r="FW90" s="277"/>
      <c r="FX90" s="277"/>
      <c r="FY90" s="277"/>
      <c r="FZ90" s="277"/>
      <c r="GA90" s="277"/>
      <c r="GB90" s="277"/>
      <c r="GC90" s="277"/>
      <c r="GD90" s="277"/>
      <c r="GE90" s="277"/>
      <c r="GF90" s="277"/>
      <c r="GG90" s="277"/>
      <c r="GH90" s="277"/>
      <c r="GI90" s="277"/>
      <c r="GJ90" s="277"/>
      <c r="GK90" s="277"/>
      <c r="GL90" s="277"/>
      <c r="GM90" s="277"/>
      <c r="GN90" s="277"/>
      <c r="GO90" s="277"/>
      <c r="GP90" s="277"/>
      <c r="GQ90" s="277"/>
      <c r="GR90" s="277"/>
      <c r="GS90" s="277"/>
      <c r="GT90" s="277"/>
      <c r="GU90" s="277"/>
      <c r="GV90" s="277"/>
      <c r="GW90" s="277"/>
      <c r="GX90" s="277"/>
      <c r="GY90" s="277"/>
      <c r="GZ90" s="277"/>
      <c r="HA90" s="277"/>
      <c r="HB90" s="277"/>
      <c r="HC90" s="277"/>
      <c r="HD90" s="277"/>
      <c r="HE90" s="277"/>
      <c r="HF90" s="140"/>
      <c r="HG90" s="277"/>
      <c r="HH90" s="277"/>
      <c r="HI90" s="277"/>
      <c r="HJ90" s="140"/>
      <c r="HK90" s="277"/>
      <c r="HL90" s="277"/>
      <c r="HM90" s="277"/>
      <c r="HN90" s="140"/>
      <c r="HO90" s="277"/>
      <c r="HP90" s="277"/>
      <c r="HQ90" s="277"/>
      <c r="HR90" s="277"/>
      <c r="HS90" s="277"/>
      <c r="HT90" s="277"/>
      <c r="HU90" s="277"/>
      <c r="HV90" s="277"/>
      <c r="HW90" s="277"/>
      <c r="HX90" s="277"/>
      <c r="HY90" s="277"/>
      <c r="HZ90" s="140"/>
      <c r="IA90" s="277"/>
      <c r="IB90" s="277"/>
      <c r="IC90" s="277"/>
      <c r="ID90" s="140"/>
      <c r="IE90" s="277"/>
      <c r="IF90" s="277"/>
      <c r="IG90" s="277"/>
      <c r="IH90" s="140"/>
      <c r="II90" s="277"/>
      <c r="IJ90" s="277"/>
      <c r="IK90" s="277"/>
      <c r="IL90" s="140"/>
      <c r="IM90" s="277"/>
      <c r="IN90" s="277"/>
      <c r="IO90" s="277"/>
      <c r="IP90" s="277"/>
      <c r="IQ90" s="277"/>
      <c r="IR90" s="277"/>
      <c r="IS90" s="277"/>
      <c r="IT90" s="277"/>
      <c r="IU90" s="277"/>
      <c r="IV90" s="277"/>
      <c r="IW90" s="277"/>
      <c r="IX90" s="140"/>
      <c r="IY90" s="277"/>
      <c r="IZ90" s="277"/>
      <c r="JA90" s="277"/>
      <c r="JB90" s="140"/>
      <c r="JC90" s="277"/>
      <c r="JD90" s="277"/>
      <c r="JE90" s="277"/>
      <c r="JF90" s="140"/>
      <c r="JG90" s="277"/>
      <c r="JH90" s="277"/>
      <c r="JI90" s="140"/>
      <c r="JJ90" s="277"/>
      <c r="JK90" s="277"/>
      <c r="JL90" s="140"/>
      <c r="JM90" s="277"/>
      <c r="JN90" s="277"/>
      <c r="JO90" s="140"/>
      <c r="JP90" s="277"/>
      <c r="JQ90" s="277"/>
      <c r="JR90" s="277"/>
      <c r="JS90" s="277"/>
      <c r="JT90" s="277"/>
      <c r="JU90" s="277"/>
      <c r="JV90" s="277"/>
      <c r="JW90" s="277"/>
      <c r="JX90" s="277"/>
      <c r="JY90" s="277"/>
      <c r="JZ90" s="277"/>
      <c r="KA90" s="277"/>
      <c r="KB90" s="277"/>
      <c r="KC90" s="277"/>
      <c r="KD90" s="277"/>
      <c r="KE90" s="277"/>
      <c r="KF90" s="277"/>
      <c r="KG90" s="277"/>
      <c r="KH90" s="277"/>
      <c r="KI90" s="277"/>
      <c r="KJ90" s="277"/>
      <c r="KK90" s="277"/>
      <c r="KL90" s="277"/>
      <c r="KM90" s="277"/>
      <c r="KN90" s="277"/>
      <c r="KO90" s="277"/>
      <c r="KP90" s="274"/>
      <c r="KQ90" s="253"/>
      <c r="KR90" s="253"/>
      <c r="KY90" s="141">
        <f t="shared" si="25"/>
        <v>0</v>
      </c>
      <c r="KZ90" s="141">
        <f t="shared" si="26"/>
        <v>0</v>
      </c>
      <c r="LB90" s="141">
        <f t="shared" si="27"/>
        <v>1</v>
      </c>
      <c r="LC90" s="141">
        <f t="shared" si="28"/>
        <v>0</v>
      </c>
      <c r="LD90" s="141">
        <f t="shared" si="29"/>
        <v>1</v>
      </c>
      <c r="LE90" s="141" t="e">
        <f>((N(AU90)&gt;0)*(AX90&lt;&gt;"")+(N(AY90)&gt;0)*(BB90&lt;&gt;"")+(N(BC90)&gt;0)*(BF90&lt;&gt;"")+(N(BG90)&gt;0)*(BJ90&lt;&gt;"")+(N(BK90)&gt;0)*(BN90&lt;&gt;"")+(N(BO90)&gt;0)*(BR90&lt;&gt;"")+(N(BS90)&gt;0)*(BV90&lt;&gt;"")+(N(BW90)&gt;0)*(BZ90&lt;&gt;"")+(N(CA90)&gt;0)*(CD90&lt;&gt;"")+(N(CE90)&gt;0)*(CH90&lt;&gt;"")+(N(CI90)&gt;0)*(CL90&lt;&gt;"")+(N(CM90)&gt;0)*(CP90&lt;&gt;"")+(N(CQ90)&gt;0)*(CT90&lt;&gt;"")+(N(CU90)&gt;0)*(CX90&lt;&gt;"")+(N(CY90)&gt;0)*(DB90&lt;&gt;"")+(N(DC90)&gt;0)*(DF90&lt;&gt;"")+(N(DG90)&gt;0)*(DJ90&lt;&gt;"")+(N(DS90)&gt;0)*(DV90&lt;&gt;"")+(N(DW90)&gt;0)*(DZ90&lt;&gt;"")+(N(EA90)&gt;0)*(ED90&lt;&gt;"")+(N(EE90)&gt;0)*(EH90&lt;&gt;"")+(N(EI90)&gt;0)*(EL90&lt;&gt;"")+(N(EM90)&gt;0)*(EP90&lt;&gt;"")+(N(EQ90)&gt;0)*(ET90&lt;&gt;"")+(N(EU90)&gt;0)*(EX90&lt;&gt;"")+(N(#REF!)&gt;0)*(#REF!&lt;&gt;"")+(N(#REF!)&gt;0)*(#REF!&lt;&gt;"")+(N(FJ90)&gt;0)*(FM90&lt;&gt;"")+(N(FN90)&gt;0)*(FQ90&lt;&gt;"")+(N(#REF!)&gt;0)*(#REF!&lt;&gt;"")+(N(#REF!)&gt;0)*(#REF!&lt;&gt;"")+(N(HF90)&gt;0)*(HI90&lt;&gt;"")+(N(#REF!)&gt;0)*(#REF!&lt;&gt;"")+(N(HJ90)&gt;0)*(HM90&lt;&gt;"")+(N(HN90)&gt;0)*(HQ90&lt;&gt;"")+(N(HZ90)&gt;0)*(IC90&lt;&gt;"")+(N(ID90)&gt;0)*(IG90&lt;&gt;"")+(N(IH90)&gt;0)*(IK90&lt;&gt;"")+(N(IL90)&gt;0)*(IO90&lt;&gt;"")+(N(IX90)&gt;0)*(JA90&lt;&gt;"")+(N(JB90)&gt;0)*(JE90&lt;&gt;"")+(N(JF90)&gt;0)*(JH90&lt;&gt;"")+(N(JI90)&gt;0)*(JK90&lt;&gt;"")+(N(JL90)&gt;0)*(JN90&lt;&gt;"")+(N(JO90)&gt;0)*(JQ90&lt;&gt;""))</f>
        <v>#REF!</v>
      </c>
      <c r="LF90" s="141">
        <f t="shared" si="21"/>
        <v>0</v>
      </c>
      <c r="LG90" s="141">
        <f t="shared" si="30"/>
        <v>1</v>
      </c>
    </row>
    <row r="91" spans="1:319" ht="38.25" customHeight="1" x14ac:dyDescent="0.55000000000000004">
      <c r="A91" s="141" t="s">
        <v>134</v>
      </c>
      <c r="B91" s="506" t="s">
        <v>145</v>
      </c>
      <c r="C91" s="218">
        <v>3</v>
      </c>
      <c r="D91" s="396">
        <v>3</v>
      </c>
      <c r="E91" s="396">
        <v>3</v>
      </c>
      <c r="F91" s="162">
        <f>($AI$91/$AJ$91)*$L$91*C91</f>
        <v>2436</v>
      </c>
      <c r="G91" s="162">
        <f>($AI$91/$AJ$91)*$L$91*D91</f>
        <v>2436</v>
      </c>
      <c r="H91" s="162">
        <f>($AI$91/$AJ$91)*$L$91*E91</f>
        <v>2436</v>
      </c>
      <c r="I91" s="162" cm="1">
        <f t="array" ref="I91">SUMPRODUCT(($AI$2:$KV$2&lt;&gt;"")*($AI91:$KV91&lt;&gt;""))</f>
        <v>7</v>
      </c>
      <c r="J91" s="142">
        <f t="shared" si="17"/>
        <v>21</v>
      </c>
      <c r="K91" s="142">
        <f t="shared" si="18"/>
        <v>294</v>
      </c>
      <c r="L91" s="268">
        <f t="shared" si="31"/>
        <v>7000</v>
      </c>
      <c r="M91" s="164">
        <f t="shared" si="22"/>
        <v>12992</v>
      </c>
      <c r="N91" s="397"/>
      <c r="O91" s="165">
        <f t="shared" si="19"/>
        <v>17920</v>
      </c>
      <c r="P91" s="165"/>
      <c r="Q91" s="165"/>
      <c r="R91" s="165">
        <f>(IFERROR(AM91/AN91,0)+IFERROR(AU91/AV91,0)+IFERROR(AY91/AZ91,0)+IFERROR(BC91/BD91,0)+IFERROR(BG91/BH91,0)+IFERROR(BK91/BL91,0)+IFERROR(BO91/BP91,0)+IFERROR(BS91/BT91,0)+IFERROR(BW91/BX91,0)+IFERROR(CA91/CB91,0)+IFERROR(CE91/CF91,0)+IFERROR(CI91/CJ91,0)+IFERROR(CM91/CN91,0)+IFERROR(CQ91/CR91,0)+IFERROR(CU91/CV91,0)+IFERROR(CY91/CZ91,0)+IFERROR(DC91/DD91,0)+IFERROR(DG91/DH91,0)+IFERROR(DS91/DT91,0)+IFERROR(DW91/DX91,0)+IFERROR(EA91/EB91,0)+IFERROR(EE91/EF91,0)+IFERROR(EI91/EJ91,0)+IFERROR(EM91/EN91,0)+IFERROR(EQ91/ER91,0)+IFERROR(EU91/EV91,0)+IFERROR(#REF!/#REF!,0)+IFERROR(#REF!/#REF!,0)+IFERROR(FJ91/FK91,0)+IFERROR(FN91/FO91,0)+IFERROR(#REF!/#REF!,0)+IFERROR(#REF!/#REF!,0)+IFERROR(HF91/HG91,0)+IFERROR(#REF!/#REF!,0)+IFERROR(HJ91/HK91,0)+IFERROR(HN91/HO91,0)+IFERROR(HZ91/IA91,0)+IFERROR(ID91/IE91,0)+IFERROR(IH91/II91,0)+IFERROR(IL91/IM91,0)+IFERROR(IX91/IY91,0)+IFERROR(JB91/JC91,0)+IFERROR(JF91/JG91,0)+IFERROR(JI91/JJ91,0)+IFERROR(JL91/JM91,0)+IFERROR(JO91/JP91,0))*L91*(C91+D91+E91+I91)</f>
        <v>8400.0000000000018</v>
      </c>
      <c r="S91" s="165"/>
      <c r="T91" s="165">
        <f t="shared" si="23"/>
        <v>0</v>
      </c>
      <c r="U91" s="165"/>
      <c r="V91" s="165"/>
      <c r="W91" s="165"/>
      <c r="X91" s="165">
        <f>(IFERROR(FF91/FG91,0)+IFERROR(FC91/FD91,0)+IFERROR(#REF!/#REF!,0)+IFERROR(KP91/KQ91,0))*L91*(C91+D91+E91+I91)</f>
        <v>0</v>
      </c>
      <c r="Y91" s="484"/>
      <c r="Z91" s="484"/>
      <c r="AA91" s="484"/>
      <c r="AB91" s="484"/>
      <c r="AC91" s="150">
        <f t="shared" si="20"/>
        <v>2912</v>
      </c>
      <c r="AD91" s="150"/>
      <c r="AE91" s="150">
        <f t="shared" si="24"/>
        <v>0</v>
      </c>
      <c r="AF91" s="161">
        <v>980</v>
      </c>
      <c r="AG91" s="143">
        <v>104</v>
      </c>
      <c r="AH91" s="154">
        <v>4000</v>
      </c>
      <c r="AI91" s="144">
        <v>58</v>
      </c>
      <c r="AJ91" s="154">
        <v>500</v>
      </c>
      <c r="AK91" s="489" t="s">
        <v>81</v>
      </c>
      <c r="AL91" s="220" t="s">
        <v>524</v>
      </c>
      <c r="AM91" s="140"/>
      <c r="AN91" s="154"/>
      <c r="AO91" s="154"/>
      <c r="AP91" s="220"/>
      <c r="AQ91" s="490">
        <v>800</v>
      </c>
      <c r="AR91" s="154">
        <v>5000</v>
      </c>
      <c r="AS91" s="490" t="s">
        <v>82</v>
      </c>
      <c r="AT91" s="154" t="s">
        <v>1100</v>
      </c>
      <c r="AU91" s="140"/>
      <c r="AV91" s="277"/>
      <c r="AW91" s="277"/>
      <c r="AX91" s="277"/>
      <c r="AY91" s="140"/>
      <c r="AZ91" s="277"/>
      <c r="BA91" s="277"/>
      <c r="BB91" s="277"/>
      <c r="BC91" s="140"/>
      <c r="BD91" s="277"/>
      <c r="BE91" s="277"/>
      <c r="BF91" s="277"/>
      <c r="BG91" s="140"/>
      <c r="BH91" s="277"/>
      <c r="BI91" s="277"/>
      <c r="BJ91" s="277"/>
      <c r="BK91" s="140"/>
      <c r="BL91" s="277"/>
      <c r="BM91" s="277"/>
      <c r="BN91" s="277"/>
      <c r="BO91" s="140"/>
      <c r="BP91" s="277"/>
      <c r="BQ91" s="277"/>
      <c r="BR91" s="277"/>
      <c r="BS91" s="140"/>
      <c r="BT91" s="277"/>
      <c r="BU91" s="277"/>
      <c r="BV91" s="277"/>
      <c r="BW91" s="140"/>
      <c r="BX91" s="154"/>
      <c r="BY91" s="154"/>
      <c r="BZ91" s="154"/>
      <c r="CA91" s="140"/>
      <c r="CB91" s="154"/>
      <c r="CC91" s="154"/>
      <c r="CD91" s="154"/>
      <c r="CE91" s="490">
        <v>20</v>
      </c>
      <c r="CF91" s="154">
        <v>2000</v>
      </c>
      <c r="CG91" s="490" t="s">
        <v>82</v>
      </c>
      <c r="CH91" s="154" t="s">
        <v>1100</v>
      </c>
      <c r="CI91" s="490">
        <v>20</v>
      </c>
      <c r="CJ91" s="154">
        <v>2000</v>
      </c>
      <c r="CK91" s="490" t="s">
        <v>82</v>
      </c>
      <c r="CL91" s="154" t="s">
        <v>1100</v>
      </c>
      <c r="CM91" s="140"/>
      <c r="CN91" s="271"/>
      <c r="CO91" s="271"/>
      <c r="CP91" s="271"/>
      <c r="CQ91" s="140"/>
      <c r="CR91" s="154"/>
      <c r="CS91" s="154"/>
      <c r="CT91" s="154"/>
      <c r="CU91" s="140"/>
      <c r="CV91" s="154"/>
      <c r="CW91" s="154"/>
      <c r="CX91" s="220"/>
      <c r="CY91" s="140"/>
      <c r="CZ91" s="154"/>
      <c r="DA91" s="154"/>
      <c r="DB91" s="220"/>
      <c r="DC91" s="140"/>
      <c r="DD91" s="146"/>
      <c r="DE91" s="146"/>
      <c r="DF91" s="146"/>
      <c r="DG91" s="140"/>
      <c r="DH91" s="146"/>
      <c r="DI91" s="146"/>
      <c r="DJ91" s="146"/>
      <c r="DK91" s="146"/>
      <c r="DL91" s="146"/>
      <c r="DM91" s="146"/>
      <c r="DN91" s="146"/>
      <c r="DO91" s="146"/>
      <c r="DP91" s="146"/>
      <c r="DQ91" s="146"/>
      <c r="DR91" s="146"/>
      <c r="DS91" s="490">
        <v>6</v>
      </c>
      <c r="DT91" s="154">
        <v>1000</v>
      </c>
      <c r="DU91" s="490" t="s">
        <v>82</v>
      </c>
      <c r="DV91" s="154" t="s">
        <v>1100</v>
      </c>
      <c r="DW91" s="140"/>
      <c r="DX91" s="220"/>
      <c r="DY91" s="220"/>
      <c r="DZ91" s="220"/>
      <c r="EA91" s="140"/>
      <c r="EB91" s="147"/>
      <c r="EC91" s="147"/>
      <c r="ED91" s="147"/>
      <c r="EE91" s="490">
        <v>24.5</v>
      </c>
      <c r="EF91" s="154">
        <v>1000</v>
      </c>
      <c r="EG91" s="490" t="s">
        <v>82</v>
      </c>
      <c r="EH91" s="154" t="s">
        <v>1100</v>
      </c>
      <c r="EI91" s="490">
        <v>24.5</v>
      </c>
      <c r="EJ91" s="154">
        <v>1000</v>
      </c>
      <c r="EK91" s="490" t="s">
        <v>82</v>
      </c>
      <c r="EL91" s="154" t="s">
        <v>1100</v>
      </c>
      <c r="EM91" s="140"/>
      <c r="EN91" s="148"/>
      <c r="EO91" s="148"/>
      <c r="EP91" s="148"/>
      <c r="EQ91" s="140"/>
      <c r="ER91" s="148"/>
      <c r="ES91" s="148"/>
      <c r="ET91" s="148"/>
      <c r="EU91" s="140"/>
      <c r="EV91" s="148"/>
      <c r="EW91" s="148"/>
      <c r="EX91" s="148"/>
      <c r="EY91" s="344"/>
      <c r="EZ91" s="148"/>
      <c r="FA91" s="148"/>
      <c r="FB91" s="148"/>
      <c r="FC91" s="273"/>
      <c r="FD91" s="149"/>
      <c r="FE91" s="149"/>
      <c r="FF91" s="276"/>
      <c r="FG91" s="156"/>
      <c r="FH91" s="156"/>
      <c r="FI91" s="156"/>
      <c r="FJ91" s="140"/>
      <c r="FK91" s="277"/>
      <c r="FL91" s="277"/>
      <c r="FM91" s="277"/>
      <c r="FN91" s="140"/>
      <c r="FO91" s="277"/>
      <c r="FP91" s="277"/>
      <c r="FQ91" s="277"/>
      <c r="FR91" s="280"/>
      <c r="FS91" s="277"/>
      <c r="FT91" s="277"/>
      <c r="FU91" s="277"/>
      <c r="FV91" s="277"/>
      <c r="FW91" s="277"/>
      <c r="FX91" s="277"/>
      <c r="FY91" s="277"/>
      <c r="FZ91" s="277"/>
      <c r="GA91" s="277"/>
      <c r="GB91" s="277"/>
      <c r="GC91" s="277"/>
      <c r="GD91" s="277"/>
      <c r="GE91" s="277"/>
      <c r="GF91" s="277"/>
      <c r="GG91" s="277"/>
      <c r="GH91" s="277"/>
      <c r="GI91" s="277"/>
      <c r="GJ91" s="277"/>
      <c r="GK91" s="277"/>
      <c r="GL91" s="277"/>
      <c r="GM91" s="277"/>
      <c r="GN91" s="277"/>
      <c r="GO91" s="277"/>
      <c r="GP91" s="277"/>
      <c r="GQ91" s="277"/>
      <c r="GR91" s="277"/>
      <c r="GS91" s="277"/>
      <c r="GT91" s="277"/>
      <c r="GU91" s="277"/>
      <c r="GV91" s="277"/>
      <c r="GW91" s="277"/>
      <c r="GX91" s="277"/>
      <c r="GY91" s="277"/>
      <c r="GZ91" s="277"/>
      <c r="HA91" s="277"/>
      <c r="HB91" s="277"/>
      <c r="HC91" s="277"/>
      <c r="HD91" s="277"/>
      <c r="HE91" s="277"/>
      <c r="HF91" s="140"/>
      <c r="HG91" s="277"/>
      <c r="HH91" s="277"/>
      <c r="HI91" s="277"/>
      <c r="HJ91" s="140"/>
      <c r="HK91" s="277"/>
      <c r="HL91" s="277"/>
      <c r="HM91" s="277"/>
      <c r="HN91" s="140"/>
      <c r="HO91" s="277"/>
      <c r="HP91" s="277"/>
      <c r="HQ91" s="277"/>
      <c r="HR91" s="277"/>
      <c r="HS91" s="277"/>
      <c r="HT91" s="277"/>
      <c r="HU91" s="277"/>
      <c r="HV91" s="277"/>
      <c r="HW91" s="277"/>
      <c r="HX91" s="277"/>
      <c r="HY91" s="277"/>
      <c r="HZ91" s="140"/>
      <c r="IA91" s="277"/>
      <c r="IB91" s="277"/>
      <c r="IC91" s="277"/>
      <c r="ID91" s="140"/>
      <c r="IE91" s="277"/>
      <c r="IF91" s="277"/>
      <c r="IG91" s="277"/>
      <c r="IH91" s="140"/>
      <c r="II91" s="277"/>
      <c r="IJ91" s="277"/>
      <c r="IK91" s="277"/>
      <c r="IL91" s="140"/>
      <c r="IM91" s="277"/>
      <c r="IN91" s="277"/>
      <c r="IO91" s="277"/>
      <c r="IP91" s="277"/>
      <c r="IQ91" s="277"/>
      <c r="IR91" s="277"/>
      <c r="IS91" s="277"/>
      <c r="IT91" s="277"/>
      <c r="IU91" s="277"/>
      <c r="IV91" s="277"/>
      <c r="IW91" s="277"/>
      <c r="IX91" s="140"/>
      <c r="IY91" s="277"/>
      <c r="IZ91" s="277"/>
      <c r="JA91" s="277"/>
      <c r="JB91" s="140"/>
      <c r="JC91" s="277"/>
      <c r="JD91" s="277"/>
      <c r="JE91" s="277"/>
      <c r="JF91" s="140"/>
      <c r="JG91" s="277"/>
      <c r="JH91" s="277"/>
      <c r="JI91" s="140"/>
      <c r="JJ91" s="277"/>
      <c r="JK91" s="277"/>
      <c r="JL91" s="140"/>
      <c r="JM91" s="277"/>
      <c r="JN91" s="277"/>
      <c r="JO91" s="140"/>
      <c r="JP91" s="277"/>
      <c r="JQ91" s="277"/>
      <c r="JR91" s="277"/>
      <c r="JS91" s="277"/>
      <c r="JT91" s="277"/>
      <c r="JU91" s="277"/>
      <c r="JV91" s="277"/>
      <c r="JW91" s="277"/>
      <c r="JX91" s="277"/>
      <c r="JY91" s="277"/>
      <c r="JZ91" s="277"/>
      <c r="KA91" s="277"/>
      <c r="KB91" s="277"/>
      <c r="KC91" s="277"/>
      <c r="KD91" s="277"/>
      <c r="KE91" s="277"/>
      <c r="KF91" s="277"/>
      <c r="KG91" s="277"/>
      <c r="KH91" s="277"/>
      <c r="KI91" s="277"/>
      <c r="KJ91" s="277"/>
      <c r="KK91" s="277"/>
      <c r="KL91" s="277"/>
      <c r="KM91" s="277"/>
      <c r="KN91" s="277"/>
      <c r="KO91" s="277"/>
      <c r="KP91" s="274"/>
      <c r="KQ91" s="253"/>
      <c r="KR91" s="253"/>
      <c r="KY91" s="141">
        <f t="shared" si="25"/>
        <v>0</v>
      </c>
      <c r="KZ91" s="141">
        <f t="shared" si="26"/>
        <v>0</v>
      </c>
      <c r="LB91" s="141">
        <f t="shared" si="27"/>
        <v>1</v>
      </c>
      <c r="LC91" s="141">
        <f t="shared" si="28"/>
        <v>0</v>
      </c>
      <c r="LD91" s="141">
        <f t="shared" si="29"/>
        <v>1</v>
      </c>
      <c r="LE91" s="141" t="e">
        <f>((N(AU91)&gt;0)*(AX91&lt;&gt;"")+(N(AY91)&gt;0)*(BB91&lt;&gt;"")+(N(BC91)&gt;0)*(BF91&lt;&gt;"")+(N(BG91)&gt;0)*(BJ91&lt;&gt;"")+(N(BK91)&gt;0)*(BN91&lt;&gt;"")+(N(BO91)&gt;0)*(BR91&lt;&gt;"")+(N(BS91)&gt;0)*(BV91&lt;&gt;"")+(N(BW91)&gt;0)*(BZ91&lt;&gt;"")+(N(CA91)&gt;0)*(CD91&lt;&gt;"")+(N(CE91)&gt;0)*(CH91&lt;&gt;"")+(N(CI91)&gt;0)*(CL91&lt;&gt;"")+(N(CM91)&gt;0)*(CP91&lt;&gt;"")+(N(CQ91)&gt;0)*(CT91&lt;&gt;"")+(N(CU91)&gt;0)*(CX91&lt;&gt;"")+(N(CY91)&gt;0)*(DB91&lt;&gt;"")+(N(DC91)&gt;0)*(DF91&lt;&gt;"")+(N(DG91)&gt;0)*(DJ91&lt;&gt;"")+(N(DS91)&gt;0)*(DV91&lt;&gt;"")+(N(DW91)&gt;0)*(DZ91&lt;&gt;"")+(N(EA91)&gt;0)*(ED91&lt;&gt;"")+(N(EE91)&gt;0)*(EH91&lt;&gt;"")+(N(EI91)&gt;0)*(EL91&lt;&gt;"")+(N(EM91)&gt;0)*(EP91&lt;&gt;"")+(N(EQ91)&gt;0)*(ET91&lt;&gt;"")+(N(EU91)&gt;0)*(EX91&lt;&gt;"")+(N(#REF!)&gt;0)*(#REF!&lt;&gt;"")+(N(#REF!)&gt;0)*(#REF!&lt;&gt;"")+(N(FJ91)&gt;0)*(FM91&lt;&gt;"")+(N(FN91)&gt;0)*(FQ91&lt;&gt;"")+(N(#REF!)&gt;0)*(#REF!&lt;&gt;"")+(N(#REF!)&gt;0)*(#REF!&lt;&gt;"")+(N(HF91)&gt;0)*(HI91&lt;&gt;"")+(N(#REF!)&gt;0)*(#REF!&lt;&gt;"")+(N(HJ91)&gt;0)*(HM91&lt;&gt;"")+(N(HN91)&gt;0)*(HQ91&lt;&gt;"")+(N(HZ91)&gt;0)*(IC91&lt;&gt;"")+(N(ID91)&gt;0)*(IG91&lt;&gt;"")+(N(IH91)&gt;0)*(IK91&lt;&gt;"")+(N(IL91)&gt;0)*(IO91&lt;&gt;"")+(N(IX91)&gt;0)*(JA91&lt;&gt;"")+(N(JB91)&gt;0)*(JE91&lt;&gt;"")+(N(JF91)&gt;0)*(JH91&lt;&gt;"")+(N(JI91)&gt;0)*(JK91&lt;&gt;"")+(N(JL91)&gt;0)*(JN91&lt;&gt;"")+(N(JO91)&gt;0)*(JQ91&lt;&gt;""))</f>
        <v>#REF!</v>
      </c>
      <c r="LF91" s="141">
        <f t="shared" si="21"/>
        <v>0</v>
      </c>
      <c r="LG91" s="141">
        <f t="shared" si="30"/>
        <v>1</v>
      </c>
    </row>
    <row r="92" spans="1:319" ht="38.25" customHeight="1" x14ac:dyDescent="0.55000000000000004">
      <c r="B92" s="509" t="s">
        <v>365</v>
      </c>
      <c r="C92" s="218">
        <v>5</v>
      </c>
      <c r="D92" s="396">
        <v>5</v>
      </c>
      <c r="E92" s="396">
        <v>5</v>
      </c>
      <c r="F92" s="218"/>
      <c r="G92" s="218"/>
      <c r="H92" s="218"/>
      <c r="I92" s="162" cm="1">
        <f t="array" ref="I92">SUMPRODUCT(($AI$2:$KV$2&lt;&gt;"")*($AI92:$KV92&lt;&gt;""))</f>
        <v>5</v>
      </c>
      <c r="J92" s="142">
        <f t="shared" si="17"/>
        <v>25</v>
      </c>
      <c r="K92" s="142">
        <f t="shared" si="18"/>
        <v>350</v>
      </c>
      <c r="L92" s="268">
        <f t="shared" si="31"/>
        <v>7000</v>
      </c>
      <c r="M92" s="164">
        <f t="shared" si="22"/>
        <v>13160</v>
      </c>
      <c r="N92" s="397"/>
      <c r="O92" s="165">
        <f t="shared" si="19"/>
        <v>18900.000000000004</v>
      </c>
      <c r="P92" s="165"/>
      <c r="Q92" s="165"/>
      <c r="R92" s="165">
        <f>(IFERROR(AM92/AN92,0)+IFERROR(AU92/AV92,0)+IFERROR(AY92/AZ92,0)+IFERROR(BC92/BD92,0)+IFERROR(BG92/BH92,0)+IFERROR(BK92/BL92,0)+IFERROR(BO92/BP92,0)+IFERROR(BS92/BT92,0)+IFERROR(BW92/BX92,0)+IFERROR(CA92/CB92,0)+IFERROR(CE92/CF92,0)+IFERROR(CI92/CJ92,0)+IFERROR(CM92/CN92,0)+IFERROR(CQ92/CR92,0)+IFERROR(CU92/CV92,0)+IFERROR(CY92/CZ92,0)+IFERROR(DC92/DD92,0)+IFERROR(DG92/DH92,0)+IFERROR(DS92/DT92,0)+IFERROR(DW92/DX92,0)+IFERROR(EA92/EB92,0)+IFERROR(EE92/EF92,0)+IFERROR(EI92/EJ92,0)+IFERROR(EM92/EN92,0)+IFERROR(EQ92/ER92,0)+IFERROR(EU92/EV92,0)+IFERROR(#REF!/#REF!,0)+IFERROR(#REF!/#REF!,0)+IFERROR(FJ92/FK92,0)+IFERROR(FN92/FO92,0)+IFERROR(#REF!/#REF!,0)+IFERROR(#REF!/#REF!,0)+IFERROR(HF92/HG92,0)+IFERROR(#REF!/#REF!,0)+IFERROR(HJ92/HK92,0)+IFERROR(HN92/HO92,0)+IFERROR(HZ92/IA92,0)+IFERROR(ID92/IE92,0)+IFERROR(IH92/II92,0)+IFERROR(IL92/IM92,0)+IFERROR(IX92/IY92,0)+IFERROR(JB92/JC92,0)+IFERROR(JF92/JG92,0)+IFERROR(JI92/JJ92,0)+IFERROR(JL92/JM92,0)+IFERROR(JO92/JP92,0))*L92*(C92+D92+E92+I92)</f>
        <v>18760</v>
      </c>
      <c r="S92" s="165"/>
      <c r="T92" s="165">
        <f t="shared" si="23"/>
        <v>0</v>
      </c>
      <c r="U92" s="165"/>
      <c r="V92" s="165"/>
      <c r="W92" s="165"/>
      <c r="X92" s="165">
        <f>(IFERROR(FF92/FG92,0)+IFERROR(FC92/FD92,0)+IFERROR(#REF!/#REF!,0)+IFERROR(KP92/KQ92,0))*L92*(C92+D92+E92+I92)</f>
        <v>0</v>
      </c>
      <c r="Y92" s="484"/>
      <c r="Z92" s="484"/>
      <c r="AA92" s="484"/>
      <c r="AB92" s="484"/>
      <c r="AC92" s="150">
        <f t="shared" si="20"/>
        <v>0</v>
      </c>
      <c r="AD92" s="150"/>
      <c r="AE92" s="150">
        <f t="shared" si="24"/>
        <v>0</v>
      </c>
      <c r="AF92" s="151">
        <v>413</v>
      </c>
      <c r="AG92" s="143">
        <v>61</v>
      </c>
      <c r="AH92" s="154"/>
      <c r="AI92" s="144">
        <v>47</v>
      </c>
      <c r="AJ92" s="154">
        <v>500</v>
      </c>
      <c r="AK92" s="489" t="s">
        <v>81</v>
      </c>
      <c r="AL92" s="497" t="s">
        <v>529</v>
      </c>
      <c r="AM92" s="490">
        <v>76</v>
      </c>
      <c r="AN92" s="498">
        <v>1000</v>
      </c>
      <c r="AO92" s="490" t="s">
        <v>82</v>
      </c>
      <c r="AP92" s="497" t="s">
        <v>525</v>
      </c>
      <c r="AQ92" s="145">
        <v>270</v>
      </c>
      <c r="AR92" s="498">
        <v>2000</v>
      </c>
      <c r="AS92" s="496" t="s">
        <v>1078</v>
      </c>
      <c r="AT92" s="497" t="s">
        <v>526</v>
      </c>
      <c r="AU92" s="140"/>
      <c r="AV92" s="277"/>
      <c r="AW92" s="277"/>
      <c r="AX92" s="277"/>
      <c r="AY92" s="140"/>
      <c r="AZ92" s="277"/>
      <c r="BA92" s="277"/>
      <c r="BB92" s="277"/>
      <c r="BC92" s="490">
        <v>60</v>
      </c>
      <c r="BD92" s="498">
        <v>2000</v>
      </c>
      <c r="BE92" s="490" t="s">
        <v>82</v>
      </c>
      <c r="BF92" s="495" t="s">
        <v>531</v>
      </c>
      <c r="BG92" s="490">
        <v>56</v>
      </c>
      <c r="BH92" s="498">
        <v>2000</v>
      </c>
      <c r="BI92" s="490" t="s">
        <v>82</v>
      </c>
      <c r="BJ92" s="495" t="s">
        <v>531</v>
      </c>
      <c r="BK92" s="140"/>
      <c r="BL92" s="277"/>
      <c r="BM92" s="277"/>
      <c r="BN92" s="277"/>
      <c r="BO92" s="140"/>
      <c r="BP92" s="277"/>
      <c r="BQ92" s="277"/>
      <c r="BR92" s="277"/>
      <c r="BS92" s="140"/>
      <c r="BT92" s="277"/>
      <c r="BU92" s="277"/>
      <c r="BV92" s="277"/>
      <c r="BW92" s="140"/>
      <c r="BX92" s="154"/>
      <c r="BY92" s="154"/>
      <c r="BZ92" s="220"/>
      <c r="CA92" s="140"/>
      <c r="CB92" s="154"/>
      <c r="CC92" s="154"/>
      <c r="CD92" s="220"/>
      <c r="CE92" s="140"/>
      <c r="CF92" s="154"/>
      <c r="CG92" s="154"/>
      <c r="CH92" s="154"/>
      <c r="CI92" s="140"/>
      <c r="CJ92" s="154"/>
      <c r="CK92" s="154"/>
      <c r="CL92" s="154"/>
      <c r="CM92" s="140"/>
      <c r="CN92" s="154"/>
      <c r="CO92" s="154"/>
      <c r="CP92" s="154"/>
      <c r="CQ92" s="140"/>
      <c r="CR92" s="154"/>
      <c r="CS92" s="154"/>
      <c r="CT92" s="154"/>
      <c r="CU92" s="140"/>
      <c r="CV92" s="154"/>
      <c r="CW92" s="154"/>
      <c r="CX92" s="220"/>
      <c r="CY92" s="140"/>
      <c r="CZ92" s="154"/>
      <c r="DA92" s="154"/>
      <c r="DB92" s="220"/>
      <c r="DC92" s="140"/>
      <c r="DD92" s="154"/>
      <c r="DE92" s="154"/>
      <c r="DF92" s="154"/>
      <c r="DG92" s="140"/>
      <c r="DH92" s="154"/>
      <c r="DI92" s="154"/>
      <c r="DJ92" s="154"/>
      <c r="DK92" s="154"/>
      <c r="DL92" s="154"/>
      <c r="DM92" s="154"/>
      <c r="DN92" s="154"/>
      <c r="DO92" s="154"/>
      <c r="DP92" s="154"/>
      <c r="DQ92" s="154"/>
      <c r="DR92" s="154"/>
      <c r="DS92" s="140"/>
      <c r="DT92" s="154"/>
      <c r="DU92" s="154"/>
      <c r="DV92" s="154"/>
      <c r="DW92" s="140"/>
      <c r="DX92" s="220"/>
      <c r="DY92" s="220"/>
      <c r="DZ92" s="220"/>
      <c r="EA92" s="140"/>
      <c r="EB92" s="147"/>
      <c r="EC92" s="147"/>
      <c r="ED92" s="147"/>
      <c r="EE92" s="140"/>
      <c r="EF92" s="220"/>
      <c r="EG92" s="220"/>
      <c r="EH92" s="220"/>
      <c r="EI92" s="140"/>
      <c r="EJ92" s="222"/>
      <c r="EK92" s="222"/>
      <c r="EL92" s="222"/>
      <c r="EM92" s="140"/>
      <c r="EN92" s="148"/>
      <c r="EO92" s="148"/>
      <c r="EP92" s="148"/>
      <c r="EQ92" s="140"/>
      <c r="ER92" s="148"/>
      <c r="ES92" s="148"/>
      <c r="ET92" s="148"/>
      <c r="EU92" s="140"/>
      <c r="EV92" s="148"/>
      <c r="EW92" s="148"/>
      <c r="EX92" s="148"/>
      <c r="EY92" s="344"/>
      <c r="EZ92" s="148"/>
      <c r="FA92" s="148"/>
      <c r="FB92" s="148"/>
      <c r="FC92" s="273"/>
      <c r="FD92" s="149"/>
      <c r="FE92" s="149"/>
      <c r="FF92" s="276"/>
      <c r="FG92" s="156"/>
      <c r="FH92" s="156"/>
      <c r="FI92" s="156"/>
      <c r="FJ92" s="140"/>
      <c r="FK92" s="277"/>
      <c r="FL92" s="277"/>
      <c r="FM92" s="277"/>
      <c r="FN92" s="140"/>
      <c r="FO92" s="277"/>
      <c r="FP92" s="277"/>
      <c r="FQ92" s="277"/>
      <c r="FR92" s="280"/>
      <c r="FS92" s="277"/>
      <c r="FT92" s="277"/>
      <c r="FU92" s="277"/>
      <c r="FV92" s="277"/>
      <c r="FW92" s="277"/>
      <c r="FX92" s="277"/>
      <c r="FY92" s="277"/>
      <c r="FZ92" s="277"/>
      <c r="GA92" s="277"/>
      <c r="GB92" s="277"/>
      <c r="GC92" s="277"/>
      <c r="GD92" s="277"/>
      <c r="GE92" s="277"/>
      <c r="GF92" s="277"/>
      <c r="GG92" s="277"/>
      <c r="GH92" s="277"/>
      <c r="GI92" s="277"/>
      <c r="GJ92" s="277"/>
      <c r="GK92" s="277"/>
      <c r="GL92" s="277"/>
      <c r="GM92" s="277"/>
      <c r="GN92" s="277"/>
      <c r="GO92" s="277"/>
      <c r="GP92" s="277"/>
      <c r="GQ92" s="277"/>
      <c r="GR92" s="277"/>
      <c r="GS92" s="277"/>
      <c r="GT92" s="277"/>
      <c r="GU92" s="277"/>
      <c r="GV92" s="277"/>
      <c r="GW92" s="277"/>
      <c r="GX92" s="277"/>
      <c r="GY92" s="277"/>
      <c r="GZ92" s="277"/>
      <c r="HA92" s="277"/>
      <c r="HB92" s="277"/>
      <c r="HC92" s="277"/>
      <c r="HD92" s="277"/>
      <c r="HE92" s="277"/>
      <c r="HF92" s="140"/>
      <c r="HG92" s="277"/>
      <c r="HH92" s="277"/>
      <c r="HI92" s="277"/>
      <c r="HJ92" s="140"/>
      <c r="HK92" s="277"/>
      <c r="HL92" s="277"/>
      <c r="HM92" s="277"/>
      <c r="HN92" s="140"/>
      <c r="HO92" s="277"/>
      <c r="HP92" s="277"/>
      <c r="HQ92" s="277"/>
      <c r="HR92" s="277"/>
      <c r="HS92" s="277"/>
      <c r="HT92" s="277"/>
      <c r="HU92" s="277"/>
      <c r="HV92" s="277"/>
      <c r="HW92" s="277"/>
      <c r="HX92" s="277"/>
      <c r="HY92" s="277"/>
      <c r="HZ92" s="140"/>
      <c r="IA92" s="277"/>
      <c r="IB92" s="277"/>
      <c r="IC92" s="277"/>
      <c r="ID92" s="140"/>
      <c r="IE92" s="277"/>
      <c r="IF92" s="277"/>
      <c r="IG92" s="277"/>
      <c r="IH92" s="140"/>
      <c r="II92" s="277"/>
      <c r="IJ92" s="277"/>
      <c r="IK92" s="277"/>
      <c r="IL92" s="140"/>
      <c r="IM92" s="277"/>
      <c r="IN92" s="277"/>
      <c r="IO92" s="277"/>
      <c r="IP92" s="277"/>
      <c r="IQ92" s="277"/>
      <c r="IR92" s="277"/>
      <c r="IS92" s="277"/>
      <c r="IT92" s="277"/>
      <c r="IU92" s="277"/>
      <c r="IV92" s="277"/>
      <c r="IW92" s="277"/>
      <c r="IX92" s="140"/>
      <c r="IY92" s="277"/>
      <c r="IZ92" s="277"/>
      <c r="JA92" s="277"/>
      <c r="JB92" s="140"/>
      <c r="JC92" s="277"/>
      <c r="JD92" s="277"/>
      <c r="JE92" s="277"/>
      <c r="JF92" s="140"/>
      <c r="JG92" s="277"/>
      <c r="JH92" s="277"/>
      <c r="JI92" s="140"/>
      <c r="JJ92" s="277"/>
      <c r="JK92" s="277"/>
      <c r="JL92" s="140"/>
      <c r="JM92" s="277"/>
      <c r="JN92" s="277"/>
      <c r="JO92" s="140"/>
      <c r="JP92" s="277"/>
      <c r="JQ92" s="277"/>
      <c r="JR92" s="277"/>
      <c r="JS92" s="277"/>
      <c r="JT92" s="277"/>
      <c r="JU92" s="277"/>
      <c r="JV92" s="277"/>
      <c r="JW92" s="277"/>
      <c r="JX92" s="277"/>
      <c r="JY92" s="277"/>
      <c r="JZ92" s="277"/>
      <c r="KA92" s="277"/>
      <c r="KB92" s="277"/>
      <c r="KC92" s="277"/>
      <c r="KD92" s="277"/>
      <c r="KE92" s="277"/>
      <c r="KF92" s="277"/>
      <c r="KG92" s="277"/>
      <c r="KH92" s="277"/>
      <c r="KI92" s="277"/>
      <c r="KJ92" s="277"/>
      <c r="KK92" s="277"/>
      <c r="KL92" s="277"/>
      <c r="KM92" s="277"/>
      <c r="KN92" s="277"/>
      <c r="KO92" s="277"/>
      <c r="KP92" s="274"/>
      <c r="KQ92" s="253"/>
      <c r="KR92" s="253"/>
      <c r="KY92" s="141">
        <f t="shared" si="25"/>
        <v>0</v>
      </c>
      <c r="KZ92" s="141">
        <f t="shared" si="26"/>
        <v>0</v>
      </c>
      <c r="LB92" s="141">
        <f t="shared" si="27"/>
        <v>1</v>
      </c>
      <c r="LC92" s="141">
        <f t="shared" si="28"/>
        <v>1</v>
      </c>
      <c r="LD92" s="141">
        <f t="shared" si="29"/>
        <v>1</v>
      </c>
      <c r="LE92" s="141" t="e">
        <f>((N(AU92)&gt;0)*(AX92&lt;&gt;"")+(N(AY92)&gt;0)*(BB92&lt;&gt;"")+(N(BC92)&gt;0)*(BF92&lt;&gt;"")+(N(BG92)&gt;0)*(BJ92&lt;&gt;"")+(N(BK92)&gt;0)*(BN92&lt;&gt;"")+(N(BO92)&gt;0)*(BR92&lt;&gt;"")+(N(BS92)&gt;0)*(BV92&lt;&gt;"")+(N(BW92)&gt;0)*(BZ92&lt;&gt;"")+(N(CA92)&gt;0)*(CD92&lt;&gt;"")+(N(CE92)&gt;0)*(CH92&lt;&gt;"")+(N(CI92)&gt;0)*(CL92&lt;&gt;"")+(N(CM92)&gt;0)*(CP92&lt;&gt;"")+(N(CQ92)&gt;0)*(CT92&lt;&gt;"")+(N(CU92)&gt;0)*(CX92&lt;&gt;"")+(N(CY92)&gt;0)*(DB92&lt;&gt;"")+(N(DC92)&gt;0)*(DF92&lt;&gt;"")+(N(DG92)&gt;0)*(DJ92&lt;&gt;"")+(N(DS92)&gt;0)*(DV92&lt;&gt;"")+(N(DW92)&gt;0)*(DZ92&lt;&gt;"")+(N(EA92)&gt;0)*(ED92&lt;&gt;"")+(N(EE92)&gt;0)*(EH92&lt;&gt;"")+(N(EI92)&gt;0)*(EL92&lt;&gt;"")+(N(EM92)&gt;0)*(EP92&lt;&gt;"")+(N(EQ92)&gt;0)*(ET92&lt;&gt;"")+(N(EU92)&gt;0)*(EX92&lt;&gt;"")+(N(#REF!)&gt;0)*(#REF!&lt;&gt;"")+(N(#REF!)&gt;0)*(#REF!&lt;&gt;"")+(N(FJ92)&gt;0)*(FM92&lt;&gt;"")+(N(FN92)&gt;0)*(FQ92&lt;&gt;"")+(N(#REF!)&gt;0)*(#REF!&lt;&gt;"")+(N(#REF!)&gt;0)*(#REF!&lt;&gt;"")+(N(HF92)&gt;0)*(HI92&lt;&gt;"")+(N(#REF!)&gt;0)*(#REF!&lt;&gt;"")+(N(HJ92)&gt;0)*(HM92&lt;&gt;"")+(N(HN92)&gt;0)*(HQ92&lt;&gt;"")+(N(HZ92)&gt;0)*(IC92&lt;&gt;"")+(N(ID92)&gt;0)*(IG92&lt;&gt;"")+(N(IH92)&gt;0)*(IK92&lt;&gt;"")+(N(IL92)&gt;0)*(IO92&lt;&gt;"")+(N(IX92)&gt;0)*(JA92&lt;&gt;"")+(N(JB92)&gt;0)*(JE92&lt;&gt;"")+(N(JF92)&gt;0)*(JH92&lt;&gt;"")+(N(JI92)&gt;0)*(JK92&lt;&gt;"")+(N(JL92)&gt;0)*(JN92&lt;&gt;"")+(N(JO92)&gt;0)*(JQ92&lt;&gt;""))</f>
        <v>#REF!</v>
      </c>
      <c r="LF92" s="141">
        <f t="shared" si="21"/>
        <v>0</v>
      </c>
      <c r="LG92" s="141">
        <f t="shared" si="30"/>
        <v>0</v>
      </c>
    </row>
    <row r="93" spans="1:319" ht="38.25" customHeight="1" x14ac:dyDescent="0.55000000000000004">
      <c r="B93" s="314" t="s">
        <v>491</v>
      </c>
      <c r="C93" s="218"/>
      <c r="D93" s="218"/>
      <c r="E93" s="218"/>
      <c r="F93" s="218"/>
      <c r="G93" s="218"/>
      <c r="H93" s="218"/>
      <c r="I93" s="162" cm="1">
        <f t="array" ref="I93">SUMPRODUCT(($AI$2:$KV$2&lt;&gt;"")*($AI93:$KV93&lt;&gt;""))</f>
        <v>0</v>
      </c>
      <c r="J93" s="142">
        <f t="shared" si="17"/>
        <v>0</v>
      </c>
      <c r="K93" s="142">
        <f t="shared" si="18"/>
        <v>0</v>
      </c>
      <c r="L93" s="268">
        <f t="shared" si="31"/>
        <v>7000</v>
      </c>
      <c r="M93" s="164">
        <f t="shared" si="22"/>
        <v>0</v>
      </c>
      <c r="N93" s="397"/>
      <c r="O93" s="165">
        <f t="shared" si="19"/>
        <v>0</v>
      </c>
      <c r="P93" s="165"/>
      <c r="Q93" s="165"/>
      <c r="R93" s="165">
        <f>(IFERROR(AM93/AN93,0)+IFERROR(AU93/AV93,0)+IFERROR(AY93/AZ93,0)+IFERROR(BC93/BD93,0)+IFERROR(BG93/BH93,0)+IFERROR(BK93/BL93,0)+IFERROR(BO93/BP93,0)+IFERROR(BS93/BT93,0)+IFERROR(BW93/BX93,0)+IFERROR(CA93/CB93,0)+IFERROR(CE93/CF93,0)+IFERROR(CI93/CJ93,0)+IFERROR(CM93/CN93,0)+IFERROR(CQ93/CR93,0)+IFERROR(CU93/CV93,0)+IFERROR(CY93/CZ93,0)+IFERROR(DC93/DD93,0)+IFERROR(DG93/DH93,0)+IFERROR(DS93/DT93,0)+IFERROR(DW93/DX93,0)+IFERROR(EA93/EB93,0)+IFERROR(EE93/EF93,0)+IFERROR(EI93/EJ93,0)+IFERROR(EM93/EN93,0)+IFERROR(EQ93/ER93,0)+IFERROR(EU93/EV93,0)+IFERROR(#REF!/#REF!,0)+IFERROR(#REF!/#REF!,0)+IFERROR(FJ93/FK93,0)+IFERROR(FN93/FO93,0)+IFERROR(#REF!/#REF!,0)+IFERROR(#REF!/#REF!,0)+IFERROR(HF93/HG93,0)+IFERROR(#REF!/#REF!,0)+IFERROR(HJ93/HK93,0)+IFERROR(HN93/HO93,0)+IFERROR(HZ93/IA93,0)+IFERROR(ID93/IE93,0)+IFERROR(IH93/II93,0)+IFERROR(IL93/IM93,0)+IFERROR(IX93/IY93,0)+IFERROR(JB93/JC93,0)+IFERROR(JF93/JG93,0)+IFERROR(JI93/JJ93,0)+IFERROR(JL93/JM93,0)+IFERROR(JO93/JP93,0))*L93*(C93+D93+E93+I93)</f>
        <v>0</v>
      </c>
      <c r="S93" s="165"/>
      <c r="T93" s="165">
        <f t="shared" si="23"/>
        <v>0</v>
      </c>
      <c r="U93" s="165"/>
      <c r="V93" s="165"/>
      <c r="W93" s="165"/>
      <c r="X93" s="165">
        <f>(IFERROR(FF93/FG93,0)+IFERROR(FC93/FD93,0)+IFERROR(#REF!/#REF!,0)+IFERROR(KP93/KQ93,0))*L93*(C93+D93+E93+I93)</f>
        <v>0</v>
      </c>
      <c r="Y93" s="484"/>
      <c r="Z93" s="484"/>
      <c r="AA93" s="484"/>
      <c r="AB93" s="484"/>
      <c r="AC93" s="150">
        <f t="shared" si="20"/>
        <v>0</v>
      </c>
      <c r="AD93" s="150"/>
      <c r="AE93" s="150">
        <f t="shared" si="24"/>
        <v>0</v>
      </c>
      <c r="AF93" s="161"/>
      <c r="AG93" s="143"/>
      <c r="AH93" s="154"/>
      <c r="AI93" s="144"/>
      <c r="AJ93" s="154"/>
      <c r="AK93" s="154"/>
      <c r="AL93" s="220"/>
      <c r="AM93" s="140"/>
      <c r="AN93" s="154"/>
      <c r="AO93" s="154"/>
      <c r="AP93" s="220"/>
      <c r="AQ93" s="145"/>
      <c r="AR93" s="154"/>
      <c r="AS93" s="154"/>
      <c r="AT93" s="220"/>
      <c r="AU93" s="140"/>
      <c r="AV93" s="277"/>
      <c r="AW93" s="277"/>
      <c r="AX93" s="277"/>
      <c r="AY93" s="140"/>
      <c r="AZ93" s="277"/>
      <c r="BA93" s="277"/>
      <c r="BB93" s="277"/>
      <c r="BC93" s="140"/>
      <c r="BD93" s="277"/>
      <c r="BE93" s="277"/>
      <c r="BF93" s="277"/>
      <c r="BG93" s="140"/>
      <c r="BH93" s="277"/>
      <c r="BI93" s="277"/>
      <c r="BJ93" s="277"/>
      <c r="BK93" s="140"/>
      <c r="BL93" s="277"/>
      <c r="BM93" s="277"/>
      <c r="BN93" s="277"/>
      <c r="BO93" s="140"/>
      <c r="BP93" s="277"/>
      <c r="BQ93" s="277"/>
      <c r="BR93" s="277"/>
      <c r="BS93" s="140"/>
      <c r="BT93" s="277"/>
      <c r="BU93" s="277"/>
      <c r="BV93" s="277"/>
      <c r="BW93" s="140"/>
      <c r="BX93" s="154"/>
      <c r="BY93" s="154"/>
      <c r="BZ93" s="220"/>
      <c r="CA93" s="140"/>
      <c r="CB93" s="154"/>
      <c r="CC93" s="154"/>
      <c r="CD93" s="220"/>
      <c r="CE93" s="140"/>
      <c r="CF93" s="271"/>
      <c r="CG93" s="271"/>
      <c r="CH93" s="271"/>
      <c r="CI93" s="140"/>
      <c r="CJ93" s="154"/>
      <c r="CK93" s="154"/>
      <c r="CL93" s="154"/>
      <c r="CM93" s="140"/>
      <c r="CN93" s="271"/>
      <c r="CO93" s="271"/>
      <c r="CP93" s="271"/>
      <c r="CQ93" s="140"/>
      <c r="CR93" s="154"/>
      <c r="CS93" s="154"/>
      <c r="CT93" s="154"/>
      <c r="CU93" s="140"/>
      <c r="CV93" s="154"/>
      <c r="CW93" s="154"/>
      <c r="CX93" s="220"/>
      <c r="CY93" s="140"/>
      <c r="CZ93" s="154"/>
      <c r="DA93" s="154"/>
      <c r="DB93" s="220"/>
      <c r="DC93" s="140"/>
      <c r="DD93" s="146"/>
      <c r="DE93" s="146"/>
      <c r="DF93" s="146"/>
      <c r="DG93" s="140"/>
      <c r="DH93" s="146"/>
      <c r="DI93" s="146"/>
      <c r="DJ93" s="146"/>
      <c r="DK93" s="146"/>
      <c r="DL93" s="146"/>
      <c r="DM93" s="146"/>
      <c r="DN93" s="146"/>
      <c r="DO93" s="146"/>
      <c r="DP93" s="146"/>
      <c r="DQ93" s="146"/>
      <c r="DR93" s="146"/>
      <c r="DS93" s="140"/>
      <c r="DT93" s="154"/>
      <c r="DU93" s="154"/>
      <c r="DV93" s="154"/>
      <c r="DW93" s="140"/>
      <c r="DX93" s="220"/>
      <c r="DY93" s="220"/>
      <c r="DZ93" s="220"/>
      <c r="EA93" s="140"/>
      <c r="EB93" s="220"/>
      <c r="EC93" s="220"/>
      <c r="ED93" s="220"/>
      <c r="EE93" s="140"/>
      <c r="EF93" s="154"/>
      <c r="EG93" s="154"/>
      <c r="EH93" s="154"/>
      <c r="EI93" s="140"/>
      <c r="EJ93" s="154"/>
      <c r="EK93" s="154"/>
      <c r="EL93" s="154"/>
      <c r="EM93" s="140"/>
      <c r="EN93" s="222"/>
      <c r="EO93" s="222"/>
      <c r="EP93" s="222"/>
      <c r="EQ93" s="140"/>
      <c r="ER93" s="222"/>
      <c r="ES93" s="222"/>
      <c r="ET93" s="222"/>
      <c r="EU93" s="140"/>
      <c r="EV93" s="222"/>
      <c r="EW93" s="222"/>
      <c r="EX93" s="222"/>
      <c r="EY93" s="344"/>
      <c r="EZ93" s="222"/>
      <c r="FA93" s="222"/>
      <c r="FB93" s="222"/>
      <c r="FC93" s="273"/>
      <c r="FD93" s="223"/>
      <c r="FE93" s="223"/>
      <c r="FF93" s="276"/>
      <c r="FG93" s="156"/>
      <c r="FH93" s="156"/>
      <c r="FI93" s="156"/>
      <c r="FJ93" s="140"/>
      <c r="FK93" s="277"/>
      <c r="FL93" s="277"/>
      <c r="FM93" s="277"/>
      <c r="FN93" s="140"/>
      <c r="FO93" s="277"/>
      <c r="FP93" s="277"/>
      <c r="FQ93" s="277"/>
      <c r="FR93" s="280"/>
      <c r="FS93" s="277"/>
      <c r="FT93" s="277"/>
      <c r="FU93" s="277"/>
      <c r="FV93" s="277"/>
      <c r="FW93" s="277"/>
      <c r="FX93" s="277"/>
      <c r="FY93" s="277"/>
      <c r="FZ93" s="277"/>
      <c r="GA93" s="277"/>
      <c r="GB93" s="277"/>
      <c r="GC93" s="277"/>
      <c r="GD93" s="277"/>
      <c r="GE93" s="277"/>
      <c r="GF93" s="277"/>
      <c r="GG93" s="277"/>
      <c r="GH93" s="277"/>
      <c r="GI93" s="277"/>
      <c r="GJ93" s="277"/>
      <c r="GK93" s="277"/>
      <c r="GL93" s="277"/>
      <c r="GM93" s="277"/>
      <c r="GN93" s="277"/>
      <c r="GO93" s="277"/>
      <c r="GP93" s="277"/>
      <c r="GQ93" s="277"/>
      <c r="GR93" s="277"/>
      <c r="GS93" s="277"/>
      <c r="GT93" s="277"/>
      <c r="GU93" s="277"/>
      <c r="GV93" s="277"/>
      <c r="GW93" s="277"/>
      <c r="GX93" s="277"/>
      <c r="GY93" s="277"/>
      <c r="GZ93" s="277"/>
      <c r="HA93" s="277"/>
      <c r="HB93" s="277"/>
      <c r="HC93" s="277"/>
      <c r="HD93" s="277"/>
      <c r="HE93" s="277"/>
      <c r="HF93" s="140"/>
      <c r="HG93" s="277"/>
      <c r="HH93" s="277"/>
      <c r="HI93" s="277"/>
      <c r="HJ93" s="140"/>
      <c r="HK93" s="277"/>
      <c r="HL93" s="277"/>
      <c r="HM93" s="277"/>
      <c r="HN93" s="140"/>
      <c r="HO93" s="277"/>
      <c r="HP93" s="277"/>
      <c r="HQ93" s="277"/>
      <c r="HR93" s="277"/>
      <c r="HS93" s="277"/>
      <c r="HT93" s="277"/>
      <c r="HU93" s="277"/>
      <c r="HV93" s="277"/>
      <c r="HW93" s="277"/>
      <c r="HX93" s="277"/>
      <c r="HY93" s="277"/>
      <c r="HZ93" s="140"/>
      <c r="IA93" s="277"/>
      <c r="IB93" s="277"/>
      <c r="IC93" s="277"/>
      <c r="ID93" s="140"/>
      <c r="IE93" s="277"/>
      <c r="IF93" s="277"/>
      <c r="IG93" s="277"/>
      <c r="IH93" s="140"/>
      <c r="II93" s="277"/>
      <c r="IJ93" s="277"/>
      <c r="IK93" s="277"/>
      <c r="IL93" s="140"/>
      <c r="IM93" s="277"/>
      <c r="IN93" s="277"/>
      <c r="IO93" s="277"/>
      <c r="IP93" s="277"/>
      <c r="IQ93" s="277"/>
      <c r="IR93" s="277"/>
      <c r="IS93" s="277"/>
      <c r="IT93" s="277"/>
      <c r="IU93" s="277"/>
      <c r="IV93" s="277"/>
      <c r="IW93" s="277"/>
      <c r="IX93" s="140"/>
      <c r="IY93" s="277"/>
      <c r="IZ93" s="277"/>
      <c r="JA93" s="277"/>
      <c r="JB93" s="140"/>
      <c r="JC93" s="277"/>
      <c r="JD93" s="277"/>
      <c r="JE93" s="277"/>
      <c r="JF93" s="140"/>
      <c r="JG93" s="277"/>
      <c r="JH93" s="277"/>
      <c r="JI93" s="140"/>
      <c r="JJ93" s="277"/>
      <c r="JK93" s="277"/>
      <c r="JL93" s="140"/>
      <c r="JM93" s="277"/>
      <c r="JN93" s="277"/>
      <c r="JO93" s="140"/>
      <c r="JP93" s="277"/>
      <c r="JQ93" s="277"/>
      <c r="JR93" s="277"/>
      <c r="JS93" s="277"/>
      <c r="JT93" s="277"/>
      <c r="JU93" s="277"/>
      <c r="JV93" s="277"/>
      <c r="JW93" s="277"/>
      <c r="JX93" s="277"/>
      <c r="JY93" s="277"/>
      <c r="JZ93" s="277"/>
      <c r="KA93" s="277"/>
      <c r="KB93" s="277"/>
      <c r="KC93" s="277"/>
      <c r="KD93" s="277"/>
      <c r="KE93" s="277"/>
      <c r="KF93" s="277"/>
      <c r="KG93" s="277"/>
      <c r="KH93" s="277"/>
      <c r="KI93" s="277"/>
      <c r="KJ93" s="277"/>
      <c r="KK93" s="277"/>
      <c r="KL93" s="277"/>
      <c r="KM93" s="277"/>
      <c r="KN93" s="277"/>
      <c r="KO93" s="277"/>
      <c r="KP93" s="274"/>
      <c r="KQ93" s="253"/>
      <c r="KR93" s="253"/>
      <c r="KY93" s="141">
        <f t="shared" si="25"/>
        <v>0</v>
      </c>
      <c r="KZ93" s="141">
        <f t="shared" si="26"/>
        <v>0</v>
      </c>
      <c r="LB93" s="141">
        <f t="shared" si="27"/>
        <v>0</v>
      </c>
      <c r="LC93" s="141">
        <f t="shared" si="28"/>
        <v>0</v>
      </c>
      <c r="LD93" s="141">
        <f t="shared" si="29"/>
        <v>0</v>
      </c>
      <c r="LE93" s="141" t="e">
        <f>((N(AU93)&gt;0)*(AX93&lt;&gt;"")+(N(AY93)&gt;0)*(BB93&lt;&gt;"")+(N(BC93)&gt;0)*(BF93&lt;&gt;"")+(N(BG93)&gt;0)*(BJ93&lt;&gt;"")+(N(BK93)&gt;0)*(BN93&lt;&gt;"")+(N(BO93)&gt;0)*(BR93&lt;&gt;"")+(N(BS93)&gt;0)*(BV93&lt;&gt;"")+(N(BW93)&gt;0)*(BZ93&lt;&gt;"")+(N(CA93)&gt;0)*(CD93&lt;&gt;"")+(N(CE93)&gt;0)*(CH93&lt;&gt;"")+(N(CI93)&gt;0)*(CL93&lt;&gt;"")+(N(CM93)&gt;0)*(CP93&lt;&gt;"")+(N(CQ93)&gt;0)*(CT93&lt;&gt;"")+(N(CU93)&gt;0)*(CX93&lt;&gt;"")+(N(CY93)&gt;0)*(DB93&lt;&gt;"")+(N(DC93)&gt;0)*(DF93&lt;&gt;"")+(N(DG93)&gt;0)*(DJ93&lt;&gt;"")+(N(DS93)&gt;0)*(DV93&lt;&gt;"")+(N(DW93)&gt;0)*(DZ93&lt;&gt;"")+(N(EA93)&gt;0)*(ED93&lt;&gt;"")+(N(EE93)&gt;0)*(EH93&lt;&gt;"")+(N(EI93)&gt;0)*(EL93&lt;&gt;"")+(N(EM93)&gt;0)*(EP93&lt;&gt;"")+(N(EQ93)&gt;0)*(ET93&lt;&gt;"")+(N(EU93)&gt;0)*(EX93&lt;&gt;"")+(N(#REF!)&gt;0)*(#REF!&lt;&gt;"")+(N(#REF!)&gt;0)*(#REF!&lt;&gt;"")+(N(FJ93)&gt;0)*(FM93&lt;&gt;"")+(N(FN93)&gt;0)*(FQ93&lt;&gt;"")+(N(#REF!)&gt;0)*(#REF!&lt;&gt;"")+(N(#REF!)&gt;0)*(#REF!&lt;&gt;"")+(N(HF93)&gt;0)*(HI93&lt;&gt;"")+(N(#REF!)&gt;0)*(#REF!&lt;&gt;"")+(N(HJ93)&gt;0)*(HM93&lt;&gt;"")+(N(HN93)&gt;0)*(HQ93&lt;&gt;"")+(N(HZ93)&gt;0)*(IC93&lt;&gt;"")+(N(ID93)&gt;0)*(IG93&lt;&gt;"")+(N(IH93)&gt;0)*(IK93&lt;&gt;"")+(N(IL93)&gt;0)*(IO93&lt;&gt;"")+(N(IX93)&gt;0)*(JA93&lt;&gt;"")+(N(JB93)&gt;0)*(JE93&lt;&gt;"")+(N(JF93)&gt;0)*(JH93&lt;&gt;"")+(N(JI93)&gt;0)*(JK93&lt;&gt;"")+(N(JL93)&gt;0)*(JN93&lt;&gt;"")+(N(JO93)&gt;0)*(JQ93&lt;&gt;""))</f>
        <v>#REF!</v>
      </c>
      <c r="LF93" s="141">
        <f t="shared" si="21"/>
        <v>0</v>
      </c>
      <c r="LG93" s="141">
        <f t="shared" si="30"/>
        <v>0</v>
      </c>
    </row>
    <row r="94" spans="1:319" ht="38.25" customHeight="1" x14ac:dyDescent="0.55000000000000004">
      <c r="B94" s="314" t="s">
        <v>492</v>
      </c>
      <c r="C94" s="218"/>
      <c r="D94" s="218"/>
      <c r="E94" s="218"/>
      <c r="F94" s="218"/>
      <c r="G94" s="218"/>
      <c r="H94" s="218"/>
      <c r="I94" s="162" cm="1">
        <f t="array" ref="I94">SUMPRODUCT(($AI$2:$KV$2&lt;&gt;"")*($AI94:$KV94&lt;&gt;""))</f>
        <v>0</v>
      </c>
      <c r="J94" s="142">
        <f t="shared" si="17"/>
        <v>0</v>
      </c>
      <c r="K94" s="142">
        <f t="shared" si="18"/>
        <v>0</v>
      </c>
      <c r="L94" s="268">
        <f t="shared" si="31"/>
        <v>7000</v>
      </c>
      <c r="M94" s="164">
        <f t="shared" si="22"/>
        <v>0</v>
      </c>
      <c r="N94" s="397"/>
      <c r="O94" s="165">
        <f t="shared" si="19"/>
        <v>0</v>
      </c>
      <c r="P94" s="165"/>
      <c r="Q94" s="165"/>
      <c r="R94" s="165">
        <f>(IFERROR(AM94/AN94,0)+IFERROR(AU94/AV94,0)+IFERROR(AY94/AZ94,0)+IFERROR(BC94/BD94,0)+IFERROR(BG94/BH94,0)+IFERROR(BK94/BL94,0)+IFERROR(BO94/BP94,0)+IFERROR(BS94/BT94,0)+IFERROR(BW94/BX94,0)+IFERROR(CA94/CB94,0)+IFERROR(CE94/CF94,0)+IFERROR(CI94/CJ94,0)+IFERROR(CM94/CN94,0)+IFERROR(CQ94/CR94,0)+IFERROR(CU94/CV94,0)+IFERROR(CY94/CZ94,0)+IFERROR(DC94/DD94,0)+IFERROR(DG94/DH94,0)+IFERROR(DS94/DT94,0)+IFERROR(DW94/DX94,0)+IFERROR(EA94/EB94,0)+IFERROR(EE94/EF94,0)+IFERROR(EI94/EJ94,0)+IFERROR(EM94/EN94,0)+IFERROR(EQ94/ER94,0)+IFERROR(EU94/EV94,0)+IFERROR(#REF!/#REF!,0)+IFERROR(#REF!/#REF!,0)+IFERROR(FJ94/FK94,0)+IFERROR(FN94/FO94,0)+IFERROR(#REF!/#REF!,0)+IFERROR(#REF!/#REF!,0)+IFERROR(HF94/HG94,0)+IFERROR(#REF!/#REF!,0)+IFERROR(HJ94/HK94,0)+IFERROR(HN94/HO94,0)+IFERROR(HZ94/IA94,0)+IFERROR(ID94/IE94,0)+IFERROR(IH94/II94,0)+IFERROR(IL94/IM94,0)+IFERROR(IX94/IY94,0)+IFERROR(JB94/JC94,0)+IFERROR(JF94/JG94,0)+IFERROR(JI94/JJ94,0)+IFERROR(JL94/JM94,0)+IFERROR(JO94/JP94,0))*L94*(C94+D94+E94+I94)</f>
        <v>0</v>
      </c>
      <c r="S94" s="165"/>
      <c r="T94" s="165">
        <f t="shared" si="23"/>
        <v>0</v>
      </c>
      <c r="U94" s="165"/>
      <c r="V94" s="165"/>
      <c r="W94" s="165"/>
      <c r="X94" s="165">
        <f>(IFERROR(FF94/FG94,0)+IFERROR(FC94/FD94,0)+IFERROR(#REF!/#REF!,0)+IFERROR(KP94/KQ94,0))*L94*(C94+D94+E94+I94)</f>
        <v>0</v>
      </c>
      <c r="Y94" s="484"/>
      <c r="Z94" s="484"/>
      <c r="AA94" s="484"/>
      <c r="AB94" s="484"/>
      <c r="AC94" s="150">
        <f t="shared" si="20"/>
        <v>0</v>
      </c>
      <c r="AD94" s="150"/>
      <c r="AE94" s="150">
        <f t="shared" si="24"/>
        <v>0</v>
      </c>
      <c r="AF94" s="161"/>
      <c r="AG94" s="143"/>
      <c r="AH94" s="154"/>
      <c r="AI94" s="144"/>
      <c r="AJ94" s="154"/>
      <c r="AK94" s="154"/>
      <c r="AL94" s="220"/>
      <c r="AM94" s="140"/>
      <c r="AN94" s="154"/>
      <c r="AO94" s="154"/>
      <c r="AP94" s="220"/>
      <c r="AQ94" s="145"/>
      <c r="AR94" s="154"/>
      <c r="AS94" s="154"/>
      <c r="AT94" s="220"/>
      <c r="AU94" s="140"/>
      <c r="AV94" s="277"/>
      <c r="AW94" s="277"/>
      <c r="AX94" s="277"/>
      <c r="AY94" s="140"/>
      <c r="AZ94" s="277"/>
      <c r="BA94" s="277"/>
      <c r="BB94" s="277"/>
      <c r="BC94" s="140"/>
      <c r="BD94" s="277"/>
      <c r="BE94" s="277"/>
      <c r="BF94" s="277"/>
      <c r="BG94" s="140"/>
      <c r="BH94" s="277"/>
      <c r="BI94" s="277"/>
      <c r="BJ94" s="277"/>
      <c r="BK94" s="140"/>
      <c r="BL94" s="277"/>
      <c r="BM94" s="277"/>
      <c r="BN94" s="277"/>
      <c r="BO94" s="140"/>
      <c r="BP94" s="277"/>
      <c r="BQ94" s="277"/>
      <c r="BR94" s="277"/>
      <c r="BS94" s="140"/>
      <c r="BT94" s="277"/>
      <c r="BU94" s="277"/>
      <c r="BV94" s="277"/>
      <c r="BW94" s="140"/>
      <c r="BX94" s="154"/>
      <c r="BY94" s="154"/>
      <c r="BZ94" s="220"/>
      <c r="CA94" s="140"/>
      <c r="CB94" s="154"/>
      <c r="CC94" s="154"/>
      <c r="CD94" s="220"/>
      <c r="CE94" s="140"/>
      <c r="CF94" s="271"/>
      <c r="CG94" s="271"/>
      <c r="CH94" s="271"/>
      <c r="CI94" s="140"/>
      <c r="CJ94" s="154"/>
      <c r="CK94" s="154"/>
      <c r="CL94" s="154"/>
      <c r="CM94" s="140"/>
      <c r="CN94" s="271"/>
      <c r="CO94" s="271"/>
      <c r="CP94" s="271"/>
      <c r="CQ94" s="140"/>
      <c r="CR94" s="154"/>
      <c r="CS94" s="154"/>
      <c r="CT94" s="154"/>
      <c r="CU94" s="140"/>
      <c r="CV94" s="154"/>
      <c r="CW94" s="154"/>
      <c r="CX94" s="220"/>
      <c r="CY94" s="140"/>
      <c r="CZ94" s="154"/>
      <c r="DA94" s="154"/>
      <c r="DB94" s="220"/>
      <c r="DC94" s="140"/>
      <c r="DD94" s="146"/>
      <c r="DE94" s="146"/>
      <c r="DF94" s="146"/>
      <c r="DG94" s="140"/>
      <c r="DH94" s="146"/>
      <c r="DI94" s="146"/>
      <c r="DJ94" s="146"/>
      <c r="DK94" s="146"/>
      <c r="DL94" s="146"/>
      <c r="DM94" s="146"/>
      <c r="DN94" s="146"/>
      <c r="DO94" s="146"/>
      <c r="DP94" s="146"/>
      <c r="DQ94" s="146"/>
      <c r="DR94" s="146"/>
      <c r="DS94" s="140"/>
      <c r="DT94" s="154"/>
      <c r="DU94" s="154"/>
      <c r="DV94" s="154"/>
      <c r="DW94" s="140"/>
      <c r="DX94" s="220"/>
      <c r="DY94" s="220"/>
      <c r="DZ94" s="220"/>
      <c r="EA94" s="140"/>
      <c r="EB94" s="220"/>
      <c r="EC94" s="220"/>
      <c r="ED94" s="220"/>
      <c r="EE94" s="140"/>
      <c r="EF94" s="154"/>
      <c r="EG94" s="154"/>
      <c r="EH94" s="154"/>
      <c r="EI94" s="140"/>
      <c r="EJ94" s="154"/>
      <c r="EK94" s="154"/>
      <c r="EL94" s="154"/>
      <c r="EM94" s="140"/>
      <c r="EN94" s="222"/>
      <c r="EO94" s="222"/>
      <c r="EP94" s="222"/>
      <c r="EQ94" s="140"/>
      <c r="ER94" s="222"/>
      <c r="ES94" s="222"/>
      <c r="ET94" s="222"/>
      <c r="EU94" s="140"/>
      <c r="EV94" s="222"/>
      <c r="EW94" s="222"/>
      <c r="EX94" s="222"/>
      <c r="EY94" s="344"/>
      <c r="EZ94" s="222"/>
      <c r="FA94" s="222"/>
      <c r="FB94" s="222"/>
      <c r="FC94" s="273"/>
      <c r="FD94" s="223"/>
      <c r="FE94" s="223"/>
      <c r="FF94" s="276"/>
      <c r="FG94" s="156"/>
      <c r="FH94" s="156"/>
      <c r="FI94" s="156"/>
      <c r="FJ94" s="140"/>
      <c r="FK94" s="277"/>
      <c r="FL94" s="277"/>
      <c r="FM94" s="277"/>
      <c r="FN94" s="140"/>
      <c r="FO94" s="277"/>
      <c r="FP94" s="277"/>
      <c r="FQ94" s="277"/>
      <c r="FR94" s="280"/>
      <c r="FS94" s="277"/>
      <c r="FT94" s="277"/>
      <c r="FU94" s="277"/>
      <c r="FV94" s="277"/>
      <c r="FW94" s="277"/>
      <c r="FX94" s="277"/>
      <c r="FY94" s="277"/>
      <c r="FZ94" s="277"/>
      <c r="GA94" s="277"/>
      <c r="GB94" s="277"/>
      <c r="GC94" s="277"/>
      <c r="GD94" s="277"/>
      <c r="GE94" s="277"/>
      <c r="GF94" s="277"/>
      <c r="GG94" s="277"/>
      <c r="GH94" s="277"/>
      <c r="GI94" s="277"/>
      <c r="GJ94" s="277"/>
      <c r="GK94" s="277"/>
      <c r="GL94" s="277"/>
      <c r="GM94" s="277"/>
      <c r="GN94" s="277"/>
      <c r="GO94" s="277"/>
      <c r="GP94" s="277"/>
      <c r="GQ94" s="277"/>
      <c r="GR94" s="277"/>
      <c r="GS94" s="277"/>
      <c r="GT94" s="277"/>
      <c r="GU94" s="277"/>
      <c r="GV94" s="277"/>
      <c r="GW94" s="277"/>
      <c r="GX94" s="277"/>
      <c r="GY94" s="277"/>
      <c r="GZ94" s="277"/>
      <c r="HA94" s="277"/>
      <c r="HB94" s="277"/>
      <c r="HC94" s="277"/>
      <c r="HD94" s="277"/>
      <c r="HE94" s="277"/>
      <c r="HF94" s="140"/>
      <c r="HG94" s="277"/>
      <c r="HH94" s="277"/>
      <c r="HI94" s="277"/>
      <c r="HJ94" s="140"/>
      <c r="HK94" s="277"/>
      <c r="HL94" s="277"/>
      <c r="HM94" s="277"/>
      <c r="HN94" s="140"/>
      <c r="HO94" s="277"/>
      <c r="HP94" s="277"/>
      <c r="HQ94" s="277"/>
      <c r="HR94" s="277"/>
      <c r="HS94" s="277"/>
      <c r="HT94" s="277"/>
      <c r="HU94" s="277"/>
      <c r="HV94" s="277"/>
      <c r="HW94" s="277"/>
      <c r="HX94" s="277"/>
      <c r="HY94" s="277"/>
      <c r="HZ94" s="140"/>
      <c r="IA94" s="277"/>
      <c r="IB94" s="277"/>
      <c r="IC94" s="277"/>
      <c r="ID94" s="140"/>
      <c r="IE94" s="277"/>
      <c r="IF94" s="277"/>
      <c r="IG94" s="277"/>
      <c r="IH94" s="140"/>
      <c r="II94" s="277"/>
      <c r="IJ94" s="277"/>
      <c r="IK94" s="277"/>
      <c r="IL94" s="140"/>
      <c r="IM94" s="277"/>
      <c r="IN94" s="277"/>
      <c r="IO94" s="277"/>
      <c r="IP94" s="277"/>
      <c r="IQ94" s="277"/>
      <c r="IR94" s="277"/>
      <c r="IS94" s="277"/>
      <c r="IT94" s="277"/>
      <c r="IU94" s="277"/>
      <c r="IV94" s="277"/>
      <c r="IW94" s="277"/>
      <c r="IX94" s="140"/>
      <c r="IY94" s="277"/>
      <c r="IZ94" s="277"/>
      <c r="JA94" s="277"/>
      <c r="JB94" s="140"/>
      <c r="JC94" s="277"/>
      <c r="JD94" s="277"/>
      <c r="JE94" s="277"/>
      <c r="JF94" s="140"/>
      <c r="JG94" s="277"/>
      <c r="JH94" s="277"/>
      <c r="JI94" s="140"/>
      <c r="JJ94" s="277"/>
      <c r="JK94" s="277"/>
      <c r="JL94" s="140"/>
      <c r="JM94" s="277"/>
      <c r="JN94" s="277"/>
      <c r="JO94" s="140"/>
      <c r="JP94" s="277"/>
      <c r="JQ94" s="277"/>
      <c r="JR94" s="277"/>
      <c r="JS94" s="277"/>
      <c r="JT94" s="277"/>
      <c r="JU94" s="277"/>
      <c r="JV94" s="277"/>
      <c r="JW94" s="277"/>
      <c r="JX94" s="277"/>
      <c r="JY94" s="277"/>
      <c r="JZ94" s="277"/>
      <c r="KA94" s="277"/>
      <c r="KB94" s="277"/>
      <c r="KC94" s="277"/>
      <c r="KD94" s="277"/>
      <c r="KE94" s="277"/>
      <c r="KF94" s="277"/>
      <c r="KG94" s="277"/>
      <c r="KH94" s="277"/>
      <c r="KI94" s="277"/>
      <c r="KJ94" s="277"/>
      <c r="KK94" s="277"/>
      <c r="KL94" s="277"/>
      <c r="KM94" s="277"/>
      <c r="KN94" s="277"/>
      <c r="KO94" s="277"/>
      <c r="KP94" s="274"/>
      <c r="KQ94" s="253"/>
      <c r="KR94" s="253"/>
      <c r="KY94" s="141">
        <f t="shared" si="25"/>
        <v>0</v>
      </c>
      <c r="KZ94" s="141">
        <f t="shared" si="26"/>
        <v>0</v>
      </c>
      <c r="LB94" s="141">
        <f t="shared" si="27"/>
        <v>0</v>
      </c>
      <c r="LC94" s="141">
        <f t="shared" si="28"/>
        <v>0</v>
      </c>
      <c r="LD94" s="141">
        <f t="shared" si="29"/>
        <v>0</v>
      </c>
      <c r="LE94" s="141" t="e">
        <f>((N(AU94)&gt;0)*(AX94&lt;&gt;"")+(N(AY94)&gt;0)*(BB94&lt;&gt;"")+(N(BC94)&gt;0)*(BF94&lt;&gt;"")+(N(BG94)&gt;0)*(BJ94&lt;&gt;"")+(N(BK94)&gt;0)*(BN94&lt;&gt;"")+(N(BO94)&gt;0)*(BR94&lt;&gt;"")+(N(BS94)&gt;0)*(BV94&lt;&gt;"")+(N(BW94)&gt;0)*(BZ94&lt;&gt;"")+(N(CA94)&gt;0)*(CD94&lt;&gt;"")+(N(CE94)&gt;0)*(CH94&lt;&gt;"")+(N(CI94)&gt;0)*(CL94&lt;&gt;"")+(N(CM94)&gt;0)*(CP94&lt;&gt;"")+(N(CQ94)&gt;0)*(CT94&lt;&gt;"")+(N(CU94)&gt;0)*(CX94&lt;&gt;"")+(N(CY94)&gt;0)*(DB94&lt;&gt;"")+(N(DC94)&gt;0)*(DF94&lt;&gt;"")+(N(DG94)&gt;0)*(DJ94&lt;&gt;"")+(N(DS94)&gt;0)*(DV94&lt;&gt;"")+(N(DW94)&gt;0)*(DZ94&lt;&gt;"")+(N(EA94)&gt;0)*(ED94&lt;&gt;"")+(N(EE94)&gt;0)*(EH94&lt;&gt;"")+(N(EI94)&gt;0)*(EL94&lt;&gt;"")+(N(EM94)&gt;0)*(EP94&lt;&gt;"")+(N(EQ94)&gt;0)*(ET94&lt;&gt;"")+(N(EU94)&gt;0)*(EX94&lt;&gt;"")+(N(#REF!)&gt;0)*(#REF!&lt;&gt;"")+(N(#REF!)&gt;0)*(#REF!&lt;&gt;"")+(N(FJ94)&gt;0)*(FM94&lt;&gt;"")+(N(FN94)&gt;0)*(FQ94&lt;&gt;"")+(N(#REF!)&gt;0)*(#REF!&lt;&gt;"")+(N(#REF!)&gt;0)*(#REF!&lt;&gt;"")+(N(HF94)&gt;0)*(HI94&lt;&gt;"")+(N(#REF!)&gt;0)*(#REF!&lt;&gt;"")+(N(HJ94)&gt;0)*(HM94&lt;&gt;"")+(N(HN94)&gt;0)*(HQ94&lt;&gt;"")+(N(HZ94)&gt;0)*(IC94&lt;&gt;"")+(N(ID94)&gt;0)*(IG94&lt;&gt;"")+(N(IH94)&gt;0)*(IK94&lt;&gt;"")+(N(IL94)&gt;0)*(IO94&lt;&gt;"")+(N(IX94)&gt;0)*(JA94&lt;&gt;"")+(N(JB94)&gt;0)*(JE94&lt;&gt;"")+(N(JF94)&gt;0)*(JH94&lt;&gt;"")+(N(JI94)&gt;0)*(JK94&lt;&gt;"")+(N(JL94)&gt;0)*(JN94&lt;&gt;"")+(N(JO94)&gt;0)*(JQ94&lt;&gt;""))</f>
        <v>#REF!</v>
      </c>
      <c r="LF94" s="141">
        <f t="shared" si="21"/>
        <v>0</v>
      </c>
      <c r="LG94" s="141">
        <f t="shared" si="30"/>
        <v>0</v>
      </c>
    </row>
    <row r="95" spans="1:319" ht="38.25" customHeight="1" x14ac:dyDescent="0.55000000000000004">
      <c r="B95" s="314" t="s">
        <v>484</v>
      </c>
      <c r="C95" s="218"/>
      <c r="D95" s="218"/>
      <c r="E95" s="218"/>
      <c r="F95" s="218"/>
      <c r="G95" s="218"/>
      <c r="H95" s="218"/>
      <c r="I95" s="162" cm="1">
        <f t="array" ref="I95">SUMPRODUCT(($AI$2:$KV$2&lt;&gt;"")*($AI95:$KV95&lt;&gt;""))</f>
        <v>0</v>
      </c>
      <c r="J95" s="142">
        <f t="shared" si="17"/>
        <v>0</v>
      </c>
      <c r="K95" s="142">
        <f t="shared" si="18"/>
        <v>0</v>
      </c>
      <c r="L95" s="268">
        <f t="shared" si="31"/>
        <v>7000</v>
      </c>
      <c r="M95" s="164">
        <f t="shared" ref="M95" si="34">IFERROR(IF(N(AJ95)=0,0,(AI95/AJ95)*L95*(C95+D95+E95+I95)),0)</f>
        <v>0</v>
      </c>
      <c r="N95" s="397"/>
      <c r="O95" s="165">
        <f t="shared" si="19"/>
        <v>0</v>
      </c>
      <c r="P95" s="165"/>
      <c r="Q95" s="165"/>
      <c r="R95" s="165">
        <f>(IFERROR(AM95/AN95,0)+IFERROR(AU95/AV95,0)+IFERROR(AY95/AZ95,0)+IFERROR(BC95/BD95,0)+IFERROR(BG95/BH95,0)+IFERROR(BK95/BL95,0)+IFERROR(BO95/BP95,0)+IFERROR(BS95/BT95,0)+IFERROR(BW95/BX95,0)+IFERROR(CA95/CB95,0)+IFERROR(CE95/CF95,0)+IFERROR(CI95/CJ95,0)+IFERROR(CM95/CN95,0)+IFERROR(CQ95/CR95,0)+IFERROR(CU95/CV95,0)+IFERROR(CY95/CZ95,0)+IFERROR(DC95/DD95,0)+IFERROR(DG95/DH95,0)+IFERROR(DS95/DT95,0)+IFERROR(DW95/DX95,0)+IFERROR(EA95/EB95,0)+IFERROR(EE95/EF95,0)+IFERROR(EI95/EJ95,0)+IFERROR(EM95/EN95,0)+IFERROR(EQ95/ER95,0)+IFERROR(EU95/EV95,0)+IFERROR(#REF!/#REF!,0)+IFERROR(#REF!/#REF!,0)+IFERROR(FJ95/FK95,0)+IFERROR(FN95/FO95,0)+IFERROR(#REF!/#REF!,0)+IFERROR(#REF!/#REF!,0)+IFERROR(HF95/HG95,0)+IFERROR(#REF!/#REF!,0)+IFERROR(HJ95/HK95,0)+IFERROR(HN95/HO95,0)+IFERROR(HZ95/IA95,0)+IFERROR(ID95/IE95,0)+IFERROR(IH95/II95,0)+IFERROR(IL95/IM95,0)+IFERROR(IX95/IY95,0)+IFERROR(JB95/JC95,0)+IFERROR(JF95/JG95,0)+IFERROR(JI95/JJ95,0)+IFERROR(JL95/JM95,0)+IFERROR(JO95/JP95,0))*L95*(C95+D95+E95+I95)</f>
        <v>0</v>
      </c>
      <c r="S95" s="165"/>
      <c r="T95" s="165">
        <f t="shared" ref="T95:T126" si="35">IFERROR(IF(N(FS95)=0,0,(FR95/FS95)*L95*(C95+D95+E95+I95)),0)</f>
        <v>0</v>
      </c>
      <c r="U95" s="165"/>
      <c r="V95" s="165"/>
      <c r="W95" s="165"/>
      <c r="X95" s="165">
        <f>(IFERROR(FF95/FG95,0)+IFERROR(FC95/FD95,0)+IFERROR(#REF!/#REF!,0)+IFERROR(KP95/KQ95,0))*L95*(C95+D95+E95+I95)</f>
        <v>0</v>
      </c>
      <c r="Y95" s="484"/>
      <c r="Z95" s="484"/>
      <c r="AA95" s="484"/>
      <c r="AB95" s="484"/>
      <c r="AC95" s="150">
        <f t="shared" si="20"/>
        <v>0</v>
      </c>
      <c r="AD95" s="150"/>
      <c r="AE95" s="150">
        <f t="shared" ref="AE95:AE126" si="36">IFERROR(IF(N(EZ95)=0,0,(EY95/EZ95)*L95*(C95+D95+E95+I95)),0)</f>
        <v>0</v>
      </c>
      <c r="AF95" s="161"/>
      <c r="AG95" s="143"/>
      <c r="AH95" s="154"/>
      <c r="AI95" s="144"/>
      <c r="AJ95" s="154"/>
      <c r="AK95" s="154"/>
      <c r="AL95" s="220"/>
      <c r="AM95" s="140"/>
      <c r="AN95" s="154"/>
      <c r="AO95" s="154"/>
      <c r="AP95" s="220"/>
      <c r="AQ95" s="145"/>
      <c r="AR95" s="154"/>
      <c r="AS95" s="154"/>
      <c r="AT95" s="220"/>
      <c r="AU95" s="140"/>
      <c r="AV95" s="277"/>
      <c r="AW95" s="277"/>
      <c r="AX95" s="277"/>
      <c r="AY95" s="140"/>
      <c r="AZ95" s="277"/>
      <c r="BA95" s="277"/>
      <c r="BB95" s="277"/>
      <c r="BC95" s="140"/>
      <c r="BD95" s="277"/>
      <c r="BE95" s="277"/>
      <c r="BF95" s="277"/>
      <c r="BG95" s="140"/>
      <c r="BH95" s="277"/>
      <c r="BI95" s="277"/>
      <c r="BJ95" s="277"/>
      <c r="BK95" s="140"/>
      <c r="BL95" s="277"/>
      <c r="BM95" s="277"/>
      <c r="BN95" s="277"/>
      <c r="BO95" s="140"/>
      <c r="BP95" s="277"/>
      <c r="BQ95" s="277"/>
      <c r="BR95" s="277"/>
      <c r="BS95" s="140"/>
      <c r="BT95" s="277"/>
      <c r="BU95" s="277"/>
      <c r="BV95" s="277"/>
      <c r="BW95" s="140"/>
      <c r="BX95" s="154"/>
      <c r="BY95" s="154"/>
      <c r="BZ95" s="220"/>
      <c r="CA95" s="140"/>
      <c r="CB95" s="154"/>
      <c r="CC95" s="154"/>
      <c r="CD95" s="220"/>
      <c r="CE95" s="140"/>
      <c r="CF95" s="271"/>
      <c r="CG95" s="271"/>
      <c r="CH95" s="271"/>
      <c r="CI95" s="140"/>
      <c r="CJ95" s="154"/>
      <c r="CK95" s="154"/>
      <c r="CL95" s="154"/>
      <c r="CM95" s="140"/>
      <c r="CN95" s="271"/>
      <c r="CO95" s="271"/>
      <c r="CP95" s="271"/>
      <c r="CQ95" s="140"/>
      <c r="CR95" s="154"/>
      <c r="CS95" s="154"/>
      <c r="CT95" s="154"/>
      <c r="CU95" s="140"/>
      <c r="CV95" s="154"/>
      <c r="CW95" s="154"/>
      <c r="CX95" s="220"/>
      <c r="CY95" s="140"/>
      <c r="CZ95" s="154"/>
      <c r="DA95" s="154"/>
      <c r="DB95" s="220"/>
      <c r="DC95" s="140"/>
      <c r="DD95" s="146"/>
      <c r="DE95" s="146"/>
      <c r="DF95" s="146"/>
      <c r="DG95" s="140"/>
      <c r="DH95" s="146"/>
      <c r="DI95" s="146"/>
      <c r="DJ95" s="146"/>
      <c r="DK95" s="146"/>
      <c r="DL95" s="146"/>
      <c r="DM95" s="146"/>
      <c r="DN95" s="146"/>
      <c r="DO95" s="146"/>
      <c r="DP95" s="146"/>
      <c r="DQ95" s="146"/>
      <c r="DR95" s="146"/>
      <c r="DS95" s="140"/>
      <c r="DT95" s="154"/>
      <c r="DU95" s="154"/>
      <c r="DV95" s="154"/>
      <c r="DW95" s="140"/>
      <c r="DX95" s="220"/>
      <c r="DY95" s="220"/>
      <c r="DZ95" s="220"/>
      <c r="EA95" s="140"/>
      <c r="EB95" s="220"/>
      <c r="EC95" s="220"/>
      <c r="ED95" s="220"/>
      <c r="EE95" s="140"/>
      <c r="EF95" s="154"/>
      <c r="EG95" s="154"/>
      <c r="EH95" s="154"/>
      <c r="EI95" s="140"/>
      <c r="EJ95" s="154"/>
      <c r="EK95" s="154"/>
      <c r="EL95" s="154"/>
      <c r="EM95" s="140"/>
      <c r="EN95" s="222"/>
      <c r="EO95" s="222"/>
      <c r="EP95" s="222"/>
      <c r="EQ95" s="140"/>
      <c r="ER95" s="222"/>
      <c r="ES95" s="222"/>
      <c r="ET95" s="222"/>
      <c r="EU95" s="140"/>
      <c r="EV95" s="222"/>
      <c r="EW95" s="222"/>
      <c r="EX95" s="222"/>
      <c r="EY95" s="344"/>
      <c r="EZ95" s="222"/>
      <c r="FA95" s="222"/>
      <c r="FB95" s="222"/>
      <c r="FC95" s="273"/>
      <c r="FD95" s="223"/>
      <c r="FE95" s="223"/>
      <c r="FF95" s="276"/>
      <c r="FG95" s="156"/>
      <c r="FH95" s="156"/>
      <c r="FI95" s="156"/>
      <c r="FJ95" s="140"/>
      <c r="FK95" s="277"/>
      <c r="FL95" s="277"/>
      <c r="FM95" s="277"/>
      <c r="FN95" s="140"/>
      <c r="FO95" s="277"/>
      <c r="FP95" s="277"/>
      <c r="FQ95" s="277"/>
      <c r="FR95" s="280"/>
      <c r="FS95" s="277"/>
      <c r="FT95" s="277"/>
      <c r="FU95" s="277"/>
      <c r="FV95" s="277"/>
      <c r="FW95" s="277"/>
      <c r="FX95" s="277"/>
      <c r="FY95" s="277"/>
      <c r="FZ95" s="277"/>
      <c r="GA95" s="277"/>
      <c r="GB95" s="277"/>
      <c r="GC95" s="277"/>
      <c r="GD95" s="277"/>
      <c r="GE95" s="277"/>
      <c r="GF95" s="277"/>
      <c r="GG95" s="277"/>
      <c r="GH95" s="277"/>
      <c r="GI95" s="277"/>
      <c r="GJ95" s="277"/>
      <c r="GK95" s="277"/>
      <c r="GL95" s="277"/>
      <c r="GM95" s="277"/>
      <c r="GN95" s="277"/>
      <c r="GO95" s="277"/>
      <c r="GP95" s="277"/>
      <c r="GQ95" s="277"/>
      <c r="GR95" s="277"/>
      <c r="GS95" s="277"/>
      <c r="GT95" s="277"/>
      <c r="GU95" s="277"/>
      <c r="GV95" s="277"/>
      <c r="GW95" s="277"/>
      <c r="GX95" s="277"/>
      <c r="GY95" s="277"/>
      <c r="GZ95" s="277"/>
      <c r="HA95" s="277"/>
      <c r="HB95" s="277"/>
      <c r="HC95" s="277"/>
      <c r="HD95" s="277"/>
      <c r="HE95" s="277"/>
      <c r="HF95" s="140"/>
      <c r="HG95" s="277"/>
      <c r="HH95" s="277"/>
      <c r="HI95" s="277"/>
      <c r="HJ95" s="140"/>
      <c r="HK95" s="277"/>
      <c r="HL95" s="277"/>
      <c r="HM95" s="277"/>
      <c r="HN95" s="140"/>
      <c r="HO95" s="277"/>
      <c r="HP95" s="277"/>
      <c r="HQ95" s="277"/>
      <c r="HR95" s="277"/>
      <c r="HS95" s="277"/>
      <c r="HT95" s="277"/>
      <c r="HU95" s="277"/>
      <c r="HV95" s="277"/>
      <c r="HW95" s="277"/>
      <c r="HX95" s="277"/>
      <c r="HY95" s="277"/>
      <c r="HZ95" s="140"/>
      <c r="IA95" s="277"/>
      <c r="IB95" s="277"/>
      <c r="IC95" s="277"/>
      <c r="ID95" s="140"/>
      <c r="IE95" s="277"/>
      <c r="IF95" s="277"/>
      <c r="IG95" s="277"/>
      <c r="IH95" s="140"/>
      <c r="II95" s="277"/>
      <c r="IJ95" s="277"/>
      <c r="IK95" s="277"/>
      <c r="IL95" s="140"/>
      <c r="IM95" s="277"/>
      <c r="IN95" s="277"/>
      <c r="IO95" s="277"/>
      <c r="IP95" s="277"/>
      <c r="IQ95" s="277"/>
      <c r="IR95" s="277"/>
      <c r="IS95" s="277"/>
      <c r="IT95" s="277"/>
      <c r="IU95" s="277"/>
      <c r="IV95" s="277"/>
      <c r="IW95" s="277"/>
      <c r="IX95" s="140"/>
      <c r="IY95" s="277"/>
      <c r="IZ95" s="277"/>
      <c r="JA95" s="277"/>
      <c r="JB95" s="140"/>
      <c r="JC95" s="277"/>
      <c r="JD95" s="277"/>
      <c r="JE95" s="277"/>
      <c r="JF95" s="140"/>
      <c r="JG95" s="277"/>
      <c r="JH95" s="277"/>
      <c r="JI95" s="140"/>
      <c r="JJ95" s="277"/>
      <c r="JK95" s="277"/>
      <c r="JL95" s="140"/>
      <c r="JM95" s="277"/>
      <c r="JN95" s="277"/>
      <c r="JO95" s="140"/>
      <c r="JP95" s="277"/>
      <c r="JQ95" s="277"/>
      <c r="JR95" s="277"/>
      <c r="JS95" s="277"/>
      <c r="JT95" s="277"/>
      <c r="JU95" s="277"/>
      <c r="JV95" s="277"/>
      <c r="JW95" s="277"/>
      <c r="JX95" s="277"/>
      <c r="JY95" s="277"/>
      <c r="JZ95" s="277"/>
      <c r="KA95" s="277"/>
      <c r="KB95" s="277"/>
      <c r="KC95" s="277"/>
      <c r="KD95" s="277"/>
      <c r="KE95" s="277"/>
      <c r="KF95" s="277"/>
      <c r="KG95" s="277"/>
      <c r="KH95" s="277"/>
      <c r="KI95" s="277"/>
      <c r="KJ95" s="277"/>
      <c r="KK95" s="277"/>
      <c r="KL95" s="277"/>
      <c r="KM95" s="277"/>
      <c r="KN95" s="277"/>
      <c r="KO95" s="277"/>
      <c r="KP95" s="274"/>
      <c r="KQ95" s="253"/>
      <c r="KR95" s="253"/>
      <c r="KY95" s="141">
        <f t="shared" ref="KY95:KY126" si="37">IFERROR(IF(N(KT95)=0,0,(KS95/KT95)*L95*(C95+D95+E95+I95)),0)</f>
        <v>0</v>
      </c>
      <c r="KZ95" s="141">
        <f t="shared" ref="KZ95:KZ126" si="38">IFERROR(IF(N(KW95)=0,0,(KV95/KW95)*L95*(C95+D95+E95+I95)),0)</f>
        <v>0</v>
      </c>
      <c r="LB95" s="141">
        <f t="shared" ref="LB95:LB126" si="39">(N(AI95)&gt;0)*(AL95&lt;&gt;"")</f>
        <v>0</v>
      </c>
      <c r="LC95" s="141">
        <f t="shared" ref="LC95:LC126" si="40">(N(AM95)&gt;0)*(AP95&lt;&gt;"")</f>
        <v>0</v>
      </c>
      <c r="LD95" s="141">
        <f t="shared" ref="LD95:LD126" si="41">(N(AQ95)&gt;0)*(AT95&lt;&gt;"")</f>
        <v>0</v>
      </c>
      <c r="LE95" s="141" t="e">
        <f>((N(AU95)&gt;0)*(AX95&lt;&gt;"")+(N(AY95)&gt;0)*(BB95&lt;&gt;"")+(N(BC95)&gt;0)*(BF95&lt;&gt;"")+(N(BG95)&gt;0)*(BJ95&lt;&gt;"")+(N(BK95)&gt;0)*(BN95&lt;&gt;"")+(N(BO95)&gt;0)*(BR95&lt;&gt;"")+(N(BS95)&gt;0)*(BV95&lt;&gt;"")+(N(BW95)&gt;0)*(BZ95&lt;&gt;"")+(N(CA95)&gt;0)*(CD95&lt;&gt;"")+(N(CE95)&gt;0)*(CH95&lt;&gt;"")+(N(CI95)&gt;0)*(CL95&lt;&gt;"")+(N(CM95)&gt;0)*(CP95&lt;&gt;"")+(N(CQ95)&gt;0)*(CT95&lt;&gt;"")+(N(CU95)&gt;0)*(CX95&lt;&gt;"")+(N(CY95)&gt;0)*(DB95&lt;&gt;"")+(N(DC95)&gt;0)*(DF95&lt;&gt;"")+(N(DG95)&gt;0)*(DJ95&lt;&gt;"")+(N(DS95)&gt;0)*(DV95&lt;&gt;"")+(N(DW95)&gt;0)*(DZ95&lt;&gt;"")+(N(EA95)&gt;0)*(ED95&lt;&gt;"")+(N(EE95)&gt;0)*(EH95&lt;&gt;"")+(N(EI95)&gt;0)*(EL95&lt;&gt;"")+(N(EM95)&gt;0)*(EP95&lt;&gt;"")+(N(EQ95)&gt;0)*(ET95&lt;&gt;"")+(N(EU95)&gt;0)*(EX95&lt;&gt;"")+(N(#REF!)&gt;0)*(#REF!&lt;&gt;"")+(N(#REF!)&gt;0)*(#REF!&lt;&gt;"")+(N(FJ95)&gt;0)*(FM95&lt;&gt;"")+(N(FN95)&gt;0)*(FQ95&lt;&gt;"")+(N(#REF!)&gt;0)*(#REF!&lt;&gt;"")+(N(#REF!)&gt;0)*(#REF!&lt;&gt;"")+(N(HF95)&gt;0)*(HI95&lt;&gt;"")+(N(#REF!)&gt;0)*(#REF!&lt;&gt;"")+(N(HJ95)&gt;0)*(HM95&lt;&gt;"")+(N(HN95)&gt;0)*(HQ95&lt;&gt;"")+(N(HZ95)&gt;0)*(IC95&lt;&gt;"")+(N(ID95)&gt;0)*(IG95&lt;&gt;"")+(N(IH95)&gt;0)*(IK95&lt;&gt;"")+(N(IL95)&gt;0)*(IO95&lt;&gt;"")+(N(IX95)&gt;0)*(JA95&lt;&gt;"")+(N(JB95)&gt;0)*(JE95&lt;&gt;"")+(N(JF95)&gt;0)*(JH95&lt;&gt;"")+(N(JI95)&gt;0)*(JK95&lt;&gt;"")+(N(JL95)&gt;0)*(JN95&lt;&gt;"")+(N(JO95)&gt;0)*(JQ95&lt;&gt;""))</f>
        <v>#REF!</v>
      </c>
      <c r="LF95" s="141">
        <f t="shared" si="21"/>
        <v>0</v>
      </c>
      <c r="LG95" s="141">
        <f t="shared" ref="LG95:LG126" si="42">(N(AG95)&gt;0)*(N(AH95)&gt;0)</f>
        <v>0</v>
      </c>
    </row>
    <row r="96" spans="1:319" ht="38.25" customHeight="1" x14ac:dyDescent="0.55000000000000004">
      <c r="B96" s="314" t="s">
        <v>497</v>
      </c>
      <c r="C96" s="218"/>
      <c r="D96" s="218"/>
      <c r="E96" s="218"/>
      <c r="F96" s="218"/>
      <c r="G96" s="218"/>
      <c r="H96" s="218"/>
      <c r="I96" s="162" cm="1">
        <f t="array" ref="I96">SUMPRODUCT(($AI$2:$KV$2&lt;&gt;"")*($AI96:$KV96&lt;&gt;""))</f>
        <v>0</v>
      </c>
      <c r="J96" s="142">
        <f t="shared" ref="J96:J159" si="43">I96*C96</f>
        <v>0</v>
      </c>
      <c r="K96" s="142">
        <f t="shared" ref="K96:K159" si="44">($L$1/$K$2)*J96</f>
        <v>0</v>
      </c>
      <c r="L96" s="268">
        <f t="shared" si="31"/>
        <v>7000</v>
      </c>
      <c r="M96" s="164">
        <f t="shared" ref="M96:M159" si="45">IFERROR(IF(N(AJ96)=0,0,(AI96/AJ96)*L96*(C96+D96+E96+I96)),0)</f>
        <v>0</v>
      </c>
      <c r="N96" s="397"/>
      <c r="O96" s="165">
        <f t="shared" ref="O96:O159" si="46">IFERROR(IF(N(AR96)=0,0,(AQ96/AR96)*L96*(C96+D96+E96+I96)),0)</f>
        <v>0</v>
      </c>
      <c r="P96" s="165"/>
      <c r="Q96" s="165"/>
      <c r="R96" s="165">
        <f>(IFERROR(AM96/AN96,0)+IFERROR(AU96/AV96,0)+IFERROR(AY96/AZ96,0)+IFERROR(BC96/BD96,0)+IFERROR(BG96/BH96,0)+IFERROR(BK96/BL96,0)+IFERROR(BO96/BP96,0)+IFERROR(BS96/BT96,0)+IFERROR(BW96/BX96,0)+IFERROR(CA96/CB96,0)+IFERROR(CE96/CF96,0)+IFERROR(CI96/CJ96,0)+IFERROR(CM96/CN96,0)+IFERROR(CQ96/CR96,0)+IFERROR(CU96/CV96,0)+IFERROR(CY96/CZ96,0)+IFERROR(DC96/DD96,0)+IFERROR(DG96/DH96,0)+IFERROR(DS96/DT96,0)+IFERROR(DW96/DX96,0)+IFERROR(EA96/EB96,0)+IFERROR(EE96/EF96,0)+IFERROR(EI96/EJ96,0)+IFERROR(EM96/EN96,0)+IFERROR(EQ96/ER96,0)+IFERROR(EU96/EV96,0)+IFERROR(#REF!/#REF!,0)+IFERROR(#REF!/#REF!,0)+IFERROR(FJ96/FK96,0)+IFERROR(FN96/FO96,0)+IFERROR(#REF!/#REF!,0)+IFERROR(#REF!/#REF!,0)+IFERROR(HF96/HG96,0)+IFERROR(#REF!/#REF!,0)+IFERROR(HJ96/HK96,0)+IFERROR(HN96/HO96,0)+IFERROR(HZ96/IA96,0)+IFERROR(ID96/IE96,0)+IFERROR(IH96/II96,0)+IFERROR(IL96/IM96,0)+IFERROR(IX96/IY96,0)+IFERROR(JB96/JC96,0)+IFERROR(JF96/JG96,0)+IFERROR(JI96/JJ96,0)+IFERROR(JL96/JM96,0)+IFERROR(JO96/JP96,0))*L96*(C96+D96+E96+I96)</f>
        <v>0</v>
      </c>
      <c r="S96" s="165"/>
      <c r="T96" s="165">
        <f t="shared" si="35"/>
        <v>0</v>
      </c>
      <c r="U96" s="165"/>
      <c r="V96" s="165"/>
      <c r="W96" s="165"/>
      <c r="X96" s="165">
        <f>(IFERROR(FF96/FG96,0)+IFERROR(FC96/FD96,0)+IFERROR(#REF!/#REF!,0)+IFERROR(KP96/KQ96,0))*L96*(C96+D96+E96+I96)</f>
        <v>0</v>
      </c>
      <c r="Y96" s="484"/>
      <c r="Z96" s="484"/>
      <c r="AA96" s="484"/>
      <c r="AB96" s="484"/>
      <c r="AC96" s="150">
        <f t="shared" ref="AC96:AC159" si="47">IFERROR(IF(N(AH96)=0,0,(AG96/AH96)*L96*(C96+D96+E96+I96)),0)</f>
        <v>0</v>
      </c>
      <c r="AD96" s="150"/>
      <c r="AE96" s="150">
        <f t="shared" si="36"/>
        <v>0</v>
      </c>
      <c r="AF96" s="161"/>
      <c r="AG96" s="143"/>
      <c r="AH96" s="154"/>
      <c r="AI96" s="144"/>
      <c r="AJ96" s="154"/>
      <c r="AK96" s="154"/>
      <c r="AL96" s="220"/>
      <c r="AM96" s="140"/>
      <c r="AN96" s="154"/>
      <c r="AO96" s="154"/>
      <c r="AP96" s="220"/>
      <c r="AQ96" s="145"/>
      <c r="AR96" s="154"/>
      <c r="AS96" s="154"/>
      <c r="AT96" s="220"/>
      <c r="AU96" s="140"/>
      <c r="AV96" s="277"/>
      <c r="AW96" s="277"/>
      <c r="AX96" s="277"/>
      <c r="AY96" s="140"/>
      <c r="AZ96" s="277"/>
      <c r="BA96" s="277"/>
      <c r="BB96" s="277"/>
      <c r="BC96" s="140"/>
      <c r="BD96" s="277"/>
      <c r="BE96" s="277"/>
      <c r="BF96" s="277"/>
      <c r="BG96" s="140"/>
      <c r="BH96" s="277"/>
      <c r="BI96" s="277"/>
      <c r="BJ96" s="277"/>
      <c r="BK96" s="140"/>
      <c r="BL96" s="277"/>
      <c r="BM96" s="277"/>
      <c r="BN96" s="277"/>
      <c r="BO96" s="140"/>
      <c r="BP96" s="277"/>
      <c r="BQ96" s="277"/>
      <c r="BR96" s="277"/>
      <c r="BS96" s="140"/>
      <c r="BT96" s="277"/>
      <c r="BU96" s="277"/>
      <c r="BV96" s="277"/>
      <c r="BW96" s="140"/>
      <c r="BX96" s="154"/>
      <c r="BY96" s="154"/>
      <c r="BZ96" s="220"/>
      <c r="CA96" s="140"/>
      <c r="CB96" s="154"/>
      <c r="CC96" s="154"/>
      <c r="CD96" s="220"/>
      <c r="CE96" s="140"/>
      <c r="CF96" s="271"/>
      <c r="CG96" s="271"/>
      <c r="CH96" s="271"/>
      <c r="CI96" s="140"/>
      <c r="CJ96" s="154"/>
      <c r="CK96" s="154"/>
      <c r="CL96" s="154"/>
      <c r="CM96" s="140"/>
      <c r="CN96" s="271"/>
      <c r="CO96" s="271"/>
      <c r="CP96" s="271"/>
      <c r="CQ96" s="140"/>
      <c r="CR96" s="154"/>
      <c r="CS96" s="154"/>
      <c r="CT96" s="154"/>
      <c r="CU96" s="140"/>
      <c r="CV96" s="154"/>
      <c r="CW96" s="154"/>
      <c r="CX96" s="220"/>
      <c r="CY96" s="140"/>
      <c r="CZ96" s="154"/>
      <c r="DA96" s="154"/>
      <c r="DB96" s="220"/>
      <c r="DC96" s="140"/>
      <c r="DD96" s="146"/>
      <c r="DE96" s="146"/>
      <c r="DF96" s="146"/>
      <c r="DG96" s="140"/>
      <c r="DH96" s="146"/>
      <c r="DI96" s="146"/>
      <c r="DJ96" s="146"/>
      <c r="DK96" s="146"/>
      <c r="DL96" s="146"/>
      <c r="DM96" s="146"/>
      <c r="DN96" s="146"/>
      <c r="DO96" s="146"/>
      <c r="DP96" s="146"/>
      <c r="DQ96" s="146"/>
      <c r="DR96" s="146"/>
      <c r="DS96" s="140"/>
      <c r="DT96" s="154"/>
      <c r="DU96" s="154"/>
      <c r="DV96" s="154"/>
      <c r="DW96" s="140"/>
      <c r="DX96" s="220"/>
      <c r="DY96" s="220"/>
      <c r="DZ96" s="220"/>
      <c r="EA96" s="140"/>
      <c r="EB96" s="220"/>
      <c r="EC96" s="220"/>
      <c r="ED96" s="220"/>
      <c r="EE96" s="140"/>
      <c r="EF96" s="154"/>
      <c r="EG96" s="154"/>
      <c r="EH96" s="154"/>
      <c r="EI96" s="140"/>
      <c r="EJ96" s="154"/>
      <c r="EK96" s="154"/>
      <c r="EL96" s="154"/>
      <c r="EM96" s="140"/>
      <c r="EN96" s="222"/>
      <c r="EO96" s="222"/>
      <c r="EP96" s="222"/>
      <c r="EQ96" s="140"/>
      <c r="ER96" s="222"/>
      <c r="ES96" s="222"/>
      <c r="ET96" s="222"/>
      <c r="EU96" s="140"/>
      <c r="EV96" s="222"/>
      <c r="EW96" s="222"/>
      <c r="EX96" s="222"/>
      <c r="EY96" s="344"/>
      <c r="EZ96" s="222"/>
      <c r="FA96" s="222"/>
      <c r="FB96" s="222"/>
      <c r="FC96" s="273"/>
      <c r="FD96" s="223"/>
      <c r="FE96" s="223"/>
      <c r="FF96" s="276"/>
      <c r="FG96" s="156"/>
      <c r="FH96" s="156"/>
      <c r="FI96" s="156"/>
      <c r="FJ96" s="140"/>
      <c r="FK96" s="277"/>
      <c r="FL96" s="277"/>
      <c r="FM96" s="277"/>
      <c r="FN96" s="140"/>
      <c r="FO96" s="277"/>
      <c r="FP96" s="277"/>
      <c r="FQ96" s="277"/>
      <c r="FR96" s="280"/>
      <c r="FS96" s="277"/>
      <c r="FT96" s="277"/>
      <c r="FU96" s="277"/>
      <c r="FV96" s="277"/>
      <c r="FW96" s="277"/>
      <c r="FX96" s="277"/>
      <c r="FY96" s="277"/>
      <c r="FZ96" s="277"/>
      <c r="GA96" s="277"/>
      <c r="GB96" s="277"/>
      <c r="GC96" s="277"/>
      <c r="GD96" s="277"/>
      <c r="GE96" s="277"/>
      <c r="GF96" s="277"/>
      <c r="GG96" s="277"/>
      <c r="GH96" s="277"/>
      <c r="GI96" s="277"/>
      <c r="GJ96" s="277"/>
      <c r="GK96" s="277"/>
      <c r="GL96" s="277"/>
      <c r="GM96" s="277"/>
      <c r="GN96" s="277"/>
      <c r="GO96" s="277"/>
      <c r="GP96" s="277"/>
      <c r="GQ96" s="277"/>
      <c r="GR96" s="277"/>
      <c r="GS96" s="277"/>
      <c r="GT96" s="277"/>
      <c r="GU96" s="277"/>
      <c r="GV96" s="277"/>
      <c r="GW96" s="277"/>
      <c r="GX96" s="277"/>
      <c r="GY96" s="277"/>
      <c r="GZ96" s="277"/>
      <c r="HA96" s="277"/>
      <c r="HB96" s="277"/>
      <c r="HC96" s="277"/>
      <c r="HD96" s="277"/>
      <c r="HE96" s="277"/>
      <c r="HF96" s="140"/>
      <c r="HG96" s="277"/>
      <c r="HH96" s="277"/>
      <c r="HI96" s="277"/>
      <c r="HJ96" s="140"/>
      <c r="HK96" s="277"/>
      <c r="HL96" s="277"/>
      <c r="HM96" s="277"/>
      <c r="HN96" s="140"/>
      <c r="HO96" s="277"/>
      <c r="HP96" s="277"/>
      <c r="HQ96" s="277"/>
      <c r="HR96" s="277"/>
      <c r="HS96" s="277"/>
      <c r="HT96" s="277"/>
      <c r="HU96" s="277"/>
      <c r="HV96" s="277"/>
      <c r="HW96" s="277"/>
      <c r="HX96" s="277"/>
      <c r="HY96" s="277"/>
      <c r="HZ96" s="140"/>
      <c r="IA96" s="277"/>
      <c r="IB96" s="277"/>
      <c r="IC96" s="277"/>
      <c r="ID96" s="140"/>
      <c r="IE96" s="277"/>
      <c r="IF96" s="277"/>
      <c r="IG96" s="277"/>
      <c r="IH96" s="140"/>
      <c r="II96" s="277"/>
      <c r="IJ96" s="277"/>
      <c r="IK96" s="277"/>
      <c r="IL96" s="140"/>
      <c r="IM96" s="277"/>
      <c r="IN96" s="277"/>
      <c r="IO96" s="277"/>
      <c r="IP96" s="277"/>
      <c r="IQ96" s="277"/>
      <c r="IR96" s="277"/>
      <c r="IS96" s="277"/>
      <c r="IT96" s="277"/>
      <c r="IU96" s="277"/>
      <c r="IV96" s="277"/>
      <c r="IW96" s="277"/>
      <c r="IX96" s="140"/>
      <c r="IY96" s="277"/>
      <c r="IZ96" s="277"/>
      <c r="JA96" s="277"/>
      <c r="JB96" s="140"/>
      <c r="JC96" s="277"/>
      <c r="JD96" s="277"/>
      <c r="JE96" s="277"/>
      <c r="JF96" s="140"/>
      <c r="JG96" s="277"/>
      <c r="JH96" s="277"/>
      <c r="JI96" s="140"/>
      <c r="JJ96" s="277"/>
      <c r="JK96" s="277"/>
      <c r="JL96" s="140"/>
      <c r="JM96" s="277"/>
      <c r="JN96" s="277"/>
      <c r="JO96" s="140"/>
      <c r="JP96" s="277"/>
      <c r="JQ96" s="277"/>
      <c r="JR96" s="277"/>
      <c r="JS96" s="277"/>
      <c r="JT96" s="277"/>
      <c r="JU96" s="277"/>
      <c r="JV96" s="277"/>
      <c r="JW96" s="277"/>
      <c r="JX96" s="277"/>
      <c r="JY96" s="277"/>
      <c r="JZ96" s="277"/>
      <c r="KA96" s="277"/>
      <c r="KB96" s="277"/>
      <c r="KC96" s="277"/>
      <c r="KD96" s="277"/>
      <c r="KE96" s="277"/>
      <c r="KF96" s="277"/>
      <c r="KG96" s="277"/>
      <c r="KH96" s="277"/>
      <c r="KI96" s="277"/>
      <c r="KJ96" s="277"/>
      <c r="KK96" s="277"/>
      <c r="KL96" s="277"/>
      <c r="KM96" s="277"/>
      <c r="KN96" s="277"/>
      <c r="KO96" s="277"/>
      <c r="KP96" s="274"/>
      <c r="KQ96" s="253"/>
      <c r="KR96" s="253"/>
      <c r="KY96" s="141">
        <f t="shared" si="37"/>
        <v>0</v>
      </c>
      <c r="KZ96" s="141">
        <f t="shared" si="38"/>
        <v>0</v>
      </c>
      <c r="LB96" s="141">
        <f t="shared" si="39"/>
        <v>0</v>
      </c>
      <c r="LC96" s="141">
        <f t="shared" si="40"/>
        <v>0</v>
      </c>
      <c r="LD96" s="141">
        <f t="shared" si="41"/>
        <v>0</v>
      </c>
      <c r="LE96" s="141" t="e">
        <f>((N(AU96)&gt;0)*(AX96&lt;&gt;"")+(N(AY96)&gt;0)*(BB96&lt;&gt;"")+(N(BC96)&gt;0)*(BF96&lt;&gt;"")+(N(BG96)&gt;0)*(BJ96&lt;&gt;"")+(N(BK96)&gt;0)*(BN96&lt;&gt;"")+(N(BO96)&gt;0)*(BR96&lt;&gt;"")+(N(BS96)&gt;0)*(BV96&lt;&gt;"")+(N(BW96)&gt;0)*(BZ96&lt;&gt;"")+(N(CA96)&gt;0)*(CD96&lt;&gt;"")+(N(CE96)&gt;0)*(CH96&lt;&gt;"")+(N(CI96)&gt;0)*(CL96&lt;&gt;"")+(N(CM96)&gt;0)*(CP96&lt;&gt;"")+(N(CQ96)&gt;0)*(CT96&lt;&gt;"")+(N(CU96)&gt;0)*(CX96&lt;&gt;"")+(N(CY96)&gt;0)*(DB96&lt;&gt;"")+(N(DC96)&gt;0)*(DF96&lt;&gt;"")+(N(DG96)&gt;0)*(DJ96&lt;&gt;"")+(N(DS96)&gt;0)*(DV96&lt;&gt;"")+(N(DW96)&gt;0)*(DZ96&lt;&gt;"")+(N(EA96)&gt;0)*(ED96&lt;&gt;"")+(N(EE96)&gt;0)*(EH96&lt;&gt;"")+(N(EI96)&gt;0)*(EL96&lt;&gt;"")+(N(EM96)&gt;0)*(EP96&lt;&gt;"")+(N(EQ96)&gt;0)*(ET96&lt;&gt;"")+(N(EU96)&gt;0)*(EX96&lt;&gt;"")+(N(#REF!)&gt;0)*(#REF!&lt;&gt;"")+(N(#REF!)&gt;0)*(#REF!&lt;&gt;"")+(N(FJ96)&gt;0)*(FM96&lt;&gt;"")+(N(FN96)&gt;0)*(FQ96&lt;&gt;"")+(N(#REF!)&gt;0)*(#REF!&lt;&gt;"")+(N(#REF!)&gt;0)*(#REF!&lt;&gt;"")+(N(HF96)&gt;0)*(HI96&lt;&gt;"")+(N(#REF!)&gt;0)*(#REF!&lt;&gt;"")+(N(HJ96)&gt;0)*(HM96&lt;&gt;"")+(N(HN96)&gt;0)*(HQ96&lt;&gt;"")+(N(HZ96)&gt;0)*(IC96&lt;&gt;"")+(N(ID96)&gt;0)*(IG96&lt;&gt;"")+(N(IH96)&gt;0)*(IK96&lt;&gt;"")+(N(IL96)&gt;0)*(IO96&lt;&gt;"")+(N(IX96)&gt;0)*(JA96&lt;&gt;"")+(N(JB96)&gt;0)*(JE96&lt;&gt;"")+(N(JF96)&gt;0)*(JH96&lt;&gt;"")+(N(JI96)&gt;0)*(JK96&lt;&gt;"")+(N(JL96)&gt;0)*(JN96&lt;&gt;"")+(N(JO96)&gt;0)*(JQ96&lt;&gt;""))</f>
        <v>#REF!</v>
      </c>
      <c r="LF96" s="141">
        <f t="shared" ref="LF96:LF159" si="48">(N(EY96)&gt;0)*(FB96&lt;&gt;"")</f>
        <v>0</v>
      </c>
      <c r="LG96" s="141">
        <f t="shared" si="42"/>
        <v>0</v>
      </c>
    </row>
    <row r="97" spans="1:319" ht="38.25" customHeight="1" x14ac:dyDescent="0.55000000000000004">
      <c r="B97" s="314" t="s">
        <v>483</v>
      </c>
      <c r="C97" s="218"/>
      <c r="D97" s="218"/>
      <c r="E97" s="218"/>
      <c r="F97" s="218"/>
      <c r="G97" s="218"/>
      <c r="H97" s="218"/>
      <c r="I97" s="162" cm="1">
        <f t="array" ref="I97">SUMPRODUCT(($AI$2:$KV$2&lt;&gt;"")*($AI97:$KV97&lt;&gt;""))</f>
        <v>0</v>
      </c>
      <c r="J97" s="142">
        <f t="shared" si="43"/>
        <v>0</v>
      </c>
      <c r="K97" s="142">
        <f t="shared" si="44"/>
        <v>0</v>
      </c>
      <c r="L97" s="268">
        <f t="shared" si="31"/>
        <v>7000</v>
      </c>
      <c r="M97" s="164">
        <f t="shared" si="45"/>
        <v>0</v>
      </c>
      <c r="N97" s="397"/>
      <c r="O97" s="165">
        <f t="shared" si="46"/>
        <v>0</v>
      </c>
      <c r="P97" s="165"/>
      <c r="Q97" s="165"/>
      <c r="R97" s="165">
        <f>(IFERROR(AM97/AN97,0)+IFERROR(AU97/AV97,0)+IFERROR(AY97/AZ97,0)+IFERROR(BC97/BD97,0)+IFERROR(BG97/BH97,0)+IFERROR(BK97/BL97,0)+IFERROR(BO97/BP97,0)+IFERROR(BS97/BT97,0)+IFERROR(BW97/BX97,0)+IFERROR(CA97/CB97,0)+IFERROR(CE97/CF97,0)+IFERROR(CI97/CJ97,0)+IFERROR(CM97/CN97,0)+IFERROR(CQ97/CR97,0)+IFERROR(CU97/CV97,0)+IFERROR(CY97/CZ97,0)+IFERROR(DC97/DD97,0)+IFERROR(DG97/DH97,0)+IFERROR(DS97/DT97,0)+IFERROR(DW97/DX97,0)+IFERROR(EA97/EB97,0)+IFERROR(EE97/EF97,0)+IFERROR(EI97/EJ97,0)+IFERROR(EM97/EN97,0)+IFERROR(EQ97/ER97,0)+IFERROR(EU97/EV97,0)+IFERROR(#REF!/#REF!,0)+IFERROR(#REF!/#REF!,0)+IFERROR(FJ97/FK97,0)+IFERROR(FN97/FO97,0)+IFERROR(#REF!/#REF!,0)+IFERROR(#REF!/#REF!,0)+IFERROR(HF97/HG97,0)+IFERROR(#REF!/#REF!,0)+IFERROR(HJ97/HK97,0)+IFERROR(HN97/HO97,0)+IFERROR(HZ97/IA97,0)+IFERROR(ID97/IE97,0)+IFERROR(IH97/II97,0)+IFERROR(IL97/IM97,0)+IFERROR(IX97/IY97,0)+IFERROR(JB97/JC97,0)+IFERROR(JF97/JG97,0)+IFERROR(JI97/JJ97,0)+IFERROR(JL97/JM97,0)+IFERROR(JO97/JP97,0))*L97*(C97+D97+E97+I97)</f>
        <v>0</v>
      </c>
      <c r="S97" s="165"/>
      <c r="T97" s="165">
        <f t="shared" si="35"/>
        <v>0</v>
      </c>
      <c r="U97" s="165"/>
      <c r="V97" s="165"/>
      <c r="W97" s="165"/>
      <c r="X97" s="165">
        <f>(IFERROR(FF97/FG97,0)+IFERROR(FC97/FD97,0)+IFERROR(#REF!/#REF!,0)+IFERROR(KP97/KQ97,0))*L97*(C97+D97+E97+I97)</f>
        <v>0</v>
      </c>
      <c r="Y97" s="484"/>
      <c r="Z97" s="484"/>
      <c r="AA97" s="484"/>
      <c r="AB97" s="484"/>
      <c r="AC97" s="150">
        <f t="shared" si="47"/>
        <v>0</v>
      </c>
      <c r="AD97" s="150"/>
      <c r="AE97" s="150">
        <f t="shared" si="36"/>
        <v>0</v>
      </c>
      <c r="AF97" s="161"/>
      <c r="AG97" s="143"/>
      <c r="AH97" s="154"/>
      <c r="AI97" s="144"/>
      <c r="AJ97" s="154"/>
      <c r="AK97" s="154"/>
      <c r="AL97" s="220"/>
      <c r="AM97" s="140"/>
      <c r="AN97" s="154"/>
      <c r="AO97" s="154"/>
      <c r="AP97" s="220"/>
      <c r="AQ97" s="145"/>
      <c r="AR97" s="154"/>
      <c r="AS97" s="154"/>
      <c r="AT97" s="220"/>
      <c r="AU97" s="140"/>
      <c r="AV97" s="277"/>
      <c r="AW97" s="277"/>
      <c r="AX97" s="277"/>
      <c r="AY97" s="140"/>
      <c r="AZ97" s="277"/>
      <c r="BA97" s="277"/>
      <c r="BB97" s="277"/>
      <c r="BC97" s="140"/>
      <c r="BD97" s="277"/>
      <c r="BE97" s="277"/>
      <c r="BF97" s="277"/>
      <c r="BG97" s="140"/>
      <c r="BH97" s="277"/>
      <c r="BI97" s="277"/>
      <c r="BJ97" s="277"/>
      <c r="BK97" s="140"/>
      <c r="BL97" s="277"/>
      <c r="BM97" s="277"/>
      <c r="BN97" s="277"/>
      <c r="BO97" s="140"/>
      <c r="BP97" s="277"/>
      <c r="BQ97" s="277"/>
      <c r="BR97" s="277"/>
      <c r="BS97" s="140"/>
      <c r="BT97" s="277"/>
      <c r="BU97" s="277"/>
      <c r="BV97" s="277"/>
      <c r="BW97" s="140"/>
      <c r="BX97" s="154"/>
      <c r="BY97" s="154"/>
      <c r="BZ97" s="220"/>
      <c r="CA97" s="140"/>
      <c r="CB97" s="154"/>
      <c r="CC97" s="154"/>
      <c r="CD97" s="220"/>
      <c r="CE97" s="140"/>
      <c r="CF97" s="271"/>
      <c r="CG97" s="271"/>
      <c r="CH97" s="271"/>
      <c r="CI97" s="140"/>
      <c r="CJ97" s="154"/>
      <c r="CK97" s="154"/>
      <c r="CL97" s="154"/>
      <c r="CM97" s="140"/>
      <c r="CN97" s="271"/>
      <c r="CO97" s="271"/>
      <c r="CP97" s="271"/>
      <c r="CQ97" s="140"/>
      <c r="CR97" s="154"/>
      <c r="CS97" s="154"/>
      <c r="CT97" s="154"/>
      <c r="CU97" s="140"/>
      <c r="CV97" s="154"/>
      <c r="CW97" s="154"/>
      <c r="CX97" s="220"/>
      <c r="CY97" s="140"/>
      <c r="CZ97" s="154"/>
      <c r="DA97" s="154"/>
      <c r="DB97" s="220"/>
      <c r="DC97" s="140"/>
      <c r="DD97" s="146"/>
      <c r="DE97" s="146"/>
      <c r="DF97" s="146"/>
      <c r="DG97" s="140"/>
      <c r="DH97" s="146"/>
      <c r="DI97" s="146"/>
      <c r="DJ97" s="146"/>
      <c r="DK97" s="146"/>
      <c r="DL97" s="146"/>
      <c r="DM97" s="146"/>
      <c r="DN97" s="146"/>
      <c r="DO97" s="146"/>
      <c r="DP97" s="146"/>
      <c r="DQ97" s="146"/>
      <c r="DR97" s="146"/>
      <c r="DS97" s="140"/>
      <c r="DT97" s="154"/>
      <c r="DU97" s="154"/>
      <c r="DV97" s="154"/>
      <c r="DW97" s="140"/>
      <c r="DX97" s="220"/>
      <c r="DY97" s="220"/>
      <c r="DZ97" s="220"/>
      <c r="EA97" s="140"/>
      <c r="EB97" s="220"/>
      <c r="EC97" s="220"/>
      <c r="ED97" s="220"/>
      <c r="EE97" s="140"/>
      <c r="EF97" s="154"/>
      <c r="EG97" s="154"/>
      <c r="EH97" s="154"/>
      <c r="EI97" s="140"/>
      <c r="EJ97" s="154"/>
      <c r="EK97" s="154"/>
      <c r="EL97" s="154"/>
      <c r="EM97" s="140"/>
      <c r="EN97" s="222"/>
      <c r="EO97" s="222"/>
      <c r="EP97" s="222"/>
      <c r="EQ97" s="140"/>
      <c r="ER97" s="222"/>
      <c r="ES97" s="222"/>
      <c r="ET97" s="222"/>
      <c r="EU97" s="140"/>
      <c r="EV97" s="222"/>
      <c r="EW97" s="222"/>
      <c r="EX97" s="222"/>
      <c r="EY97" s="344"/>
      <c r="EZ97" s="222"/>
      <c r="FA97" s="222"/>
      <c r="FB97" s="222"/>
      <c r="FC97" s="273"/>
      <c r="FD97" s="223"/>
      <c r="FE97" s="223"/>
      <c r="FF97" s="276"/>
      <c r="FG97" s="156"/>
      <c r="FH97" s="156"/>
      <c r="FI97" s="156"/>
      <c r="FJ97" s="140"/>
      <c r="FK97" s="277"/>
      <c r="FL97" s="277"/>
      <c r="FM97" s="277"/>
      <c r="FN97" s="140"/>
      <c r="FO97" s="277"/>
      <c r="FP97" s="277"/>
      <c r="FQ97" s="277"/>
      <c r="FR97" s="280"/>
      <c r="FS97" s="277"/>
      <c r="FT97" s="277"/>
      <c r="FU97" s="277"/>
      <c r="FV97" s="277"/>
      <c r="FW97" s="277"/>
      <c r="FX97" s="277"/>
      <c r="FY97" s="277"/>
      <c r="FZ97" s="277"/>
      <c r="GA97" s="277"/>
      <c r="GB97" s="277"/>
      <c r="GC97" s="277"/>
      <c r="GD97" s="277"/>
      <c r="GE97" s="277"/>
      <c r="GF97" s="277"/>
      <c r="GG97" s="277"/>
      <c r="GH97" s="277"/>
      <c r="GI97" s="277"/>
      <c r="GJ97" s="277"/>
      <c r="GK97" s="277"/>
      <c r="GL97" s="277"/>
      <c r="GM97" s="277"/>
      <c r="GN97" s="277"/>
      <c r="GO97" s="277"/>
      <c r="GP97" s="277"/>
      <c r="GQ97" s="277"/>
      <c r="GR97" s="277"/>
      <c r="GS97" s="277"/>
      <c r="GT97" s="277"/>
      <c r="GU97" s="277"/>
      <c r="GV97" s="277"/>
      <c r="GW97" s="277"/>
      <c r="GX97" s="277"/>
      <c r="GY97" s="277"/>
      <c r="GZ97" s="277"/>
      <c r="HA97" s="277"/>
      <c r="HB97" s="277"/>
      <c r="HC97" s="277"/>
      <c r="HD97" s="277"/>
      <c r="HE97" s="277"/>
      <c r="HF97" s="140"/>
      <c r="HG97" s="277"/>
      <c r="HH97" s="277"/>
      <c r="HI97" s="277"/>
      <c r="HJ97" s="140"/>
      <c r="HK97" s="277"/>
      <c r="HL97" s="277"/>
      <c r="HM97" s="277"/>
      <c r="HN97" s="140"/>
      <c r="HO97" s="277"/>
      <c r="HP97" s="277"/>
      <c r="HQ97" s="277"/>
      <c r="HR97" s="277"/>
      <c r="HS97" s="277"/>
      <c r="HT97" s="277"/>
      <c r="HU97" s="277"/>
      <c r="HV97" s="277"/>
      <c r="HW97" s="277"/>
      <c r="HX97" s="277"/>
      <c r="HY97" s="277"/>
      <c r="HZ97" s="140"/>
      <c r="IA97" s="277"/>
      <c r="IB97" s="277"/>
      <c r="IC97" s="277"/>
      <c r="ID97" s="140"/>
      <c r="IE97" s="277"/>
      <c r="IF97" s="277"/>
      <c r="IG97" s="277"/>
      <c r="IH97" s="140"/>
      <c r="II97" s="277"/>
      <c r="IJ97" s="277"/>
      <c r="IK97" s="277"/>
      <c r="IL97" s="140"/>
      <c r="IM97" s="277"/>
      <c r="IN97" s="277"/>
      <c r="IO97" s="277"/>
      <c r="IP97" s="277"/>
      <c r="IQ97" s="277"/>
      <c r="IR97" s="277"/>
      <c r="IS97" s="277"/>
      <c r="IT97" s="277"/>
      <c r="IU97" s="277"/>
      <c r="IV97" s="277"/>
      <c r="IW97" s="277"/>
      <c r="IX97" s="140"/>
      <c r="IY97" s="277"/>
      <c r="IZ97" s="277"/>
      <c r="JA97" s="277"/>
      <c r="JB97" s="140"/>
      <c r="JC97" s="277"/>
      <c r="JD97" s="277"/>
      <c r="JE97" s="277"/>
      <c r="JF97" s="140"/>
      <c r="JG97" s="277"/>
      <c r="JH97" s="277"/>
      <c r="JI97" s="140"/>
      <c r="JJ97" s="277"/>
      <c r="JK97" s="277"/>
      <c r="JL97" s="140"/>
      <c r="JM97" s="277"/>
      <c r="JN97" s="277"/>
      <c r="JO97" s="140"/>
      <c r="JP97" s="277"/>
      <c r="JQ97" s="277"/>
      <c r="JR97" s="277"/>
      <c r="JS97" s="277"/>
      <c r="JT97" s="277"/>
      <c r="JU97" s="277"/>
      <c r="JV97" s="277"/>
      <c r="JW97" s="277"/>
      <c r="JX97" s="277"/>
      <c r="JY97" s="277"/>
      <c r="JZ97" s="277"/>
      <c r="KA97" s="277"/>
      <c r="KB97" s="277"/>
      <c r="KC97" s="277"/>
      <c r="KD97" s="277"/>
      <c r="KE97" s="277"/>
      <c r="KF97" s="277"/>
      <c r="KG97" s="277"/>
      <c r="KH97" s="277"/>
      <c r="KI97" s="277"/>
      <c r="KJ97" s="277"/>
      <c r="KK97" s="277"/>
      <c r="KL97" s="277"/>
      <c r="KM97" s="277"/>
      <c r="KN97" s="277"/>
      <c r="KO97" s="277"/>
      <c r="KP97" s="274"/>
      <c r="KQ97" s="253"/>
      <c r="KR97" s="253"/>
      <c r="KY97" s="141">
        <f t="shared" si="37"/>
        <v>0</v>
      </c>
      <c r="KZ97" s="141">
        <f t="shared" si="38"/>
        <v>0</v>
      </c>
      <c r="LB97" s="141">
        <f t="shared" si="39"/>
        <v>0</v>
      </c>
      <c r="LC97" s="141">
        <f t="shared" si="40"/>
        <v>0</v>
      </c>
      <c r="LD97" s="141">
        <f t="shared" si="41"/>
        <v>0</v>
      </c>
      <c r="LE97" s="141" t="e">
        <f>((N(AU97)&gt;0)*(AX97&lt;&gt;"")+(N(AY97)&gt;0)*(BB97&lt;&gt;"")+(N(BC97)&gt;0)*(BF97&lt;&gt;"")+(N(BG97)&gt;0)*(BJ97&lt;&gt;"")+(N(BK97)&gt;0)*(BN97&lt;&gt;"")+(N(BO97)&gt;0)*(BR97&lt;&gt;"")+(N(BS97)&gt;0)*(BV97&lt;&gt;"")+(N(BW97)&gt;0)*(BZ97&lt;&gt;"")+(N(CA97)&gt;0)*(CD97&lt;&gt;"")+(N(CE97)&gt;0)*(CH97&lt;&gt;"")+(N(CI97)&gt;0)*(CL97&lt;&gt;"")+(N(CM97)&gt;0)*(CP97&lt;&gt;"")+(N(CQ97)&gt;0)*(CT97&lt;&gt;"")+(N(CU97)&gt;0)*(CX97&lt;&gt;"")+(N(CY97)&gt;0)*(DB97&lt;&gt;"")+(N(DC97)&gt;0)*(DF97&lt;&gt;"")+(N(DG97)&gt;0)*(DJ97&lt;&gt;"")+(N(DS97)&gt;0)*(DV97&lt;&gt;"")+(N(DW97)&gt;0)*(DZ97&lt;&gt;"")+(N(EA97)&gt;0)*(ED97&lt;&gt;"")+(N(EE97)&gt;0)*(EH97&lt;&gt;"")+(N(EI97)&gt;0)*(EL97&lt;&gt;"")+(N(EM97)&gt;0)*(EP97&lt;&gt;"")+(N(EQ97)&gt;0)*(ET97&lt;&gt;"")+(N(EU97)&gt;0)*(EX97&lt;&gt;"")+(N(#REF!)&gt;0)*(#REF!&lt;&gt;"")+(N(#REF!)&gt;0)*(#REF!&lt;&gt;"")+(N(FJ97)&gt;0)*(FM97&lt;&gt;"")+(N(FN97)&gt;0)*(FQ97&lt;&gt;"")+(N(#REF!)&gt;0)*(#REF!&lt;&gt;"")+(N(#REF!)&gt;0)*(#REF!&lt;&gt;"")+(N(HF97)&gt;0)*(HI97&lt;&gt;"")+(N(#REF!)&gt;0)*(#REF!&lt;&gt;"")+(N(HJ97)&gt;0)*(HM97&lt;&gt;"")+(N(HN97)&gt;0)*(HQ97&lt;&gt;"")+(N(HZ97)&gt;0)*(IC97&lt;&gt;"")+(N(ID97)&gt;0)*(IG97&lt;&gt;"")+(N(IH97)&gt;0)*(IK97&lt;&gt;"")+(N(IL97)&gt;0)*(IO97&lt;&gt;"")+(N(IX97)&gt;0)*(JA97&lt;&gt;"")+(N(JB97)&gt;0)*(JE97&lt;&gt;"")+(N(JF97)&gt;0)*(JH97&lt;&gt;"")+(N(JI97)&gt;0)*(JK97&lt;&gt;"")+(N(JL97)&gt;0)*(JN97&lt;&gt;"")+(N(JO97)&gt;0)*(JQ97&lt;&gt;""))</f>
        <v>#REF!</v>
      </c>
      <c r="LF97" s="141">
        <f t="shared" si="48"/>
        <v>0</v>
      </c>
      <c r="LG97" s="141">
        <f t="shared" si="42"/>
        <v>0</v>
      </c>
    </row>
    <row r="98" spans="1:319" ht="38.25" customHeight="1" x14ac:dyDescent="0.55000000000000004">
      <c r="B98" s="314" t="s">
        <v>487</v>
      </c>
      <c r="C98" s="218"/>
      <c r="D98" s="218"/>
      <c r="E98" s="218"/>
      <c r="F98" s="218"/>
      <c r="G98" s="218"/>
      <c r="H98" s="218"/>
      <c r="I98" s="162" cm="1">
        <f t="array" ref="I98">SUMPRODUCT(($AI$2:$KV$2&lt;&gt;"")*($AI98:$KV98&lt;&gt;""))</f>
        <v>0</v>
      </c>
      <c r="J98" s="142">
        <f t="shared" si="43"/>
        <v>0</v>
      </c>
      <c r="K98" s="142">
        <f t="shared" si="44"/>
        <v>0</v>
      </c>
      <c r="L98" s="268">
        <f t="shared" si="31"/>
        <v>7000</v>
      </c>
      <c r="M98" s="164">
        <f t="shared" si="45"/>
        <v>0</v>
      </c>
      <c r="N98" s="397"/>
      <c r="O98" s="165">
        <f t="shared" si="46"/>
        <v>0</v>
      </c>
      <c r="P98" s="165"/>
      <c r="Q98" s="165"/>
      <c r="R98" s="165">
        <f>(IFERROR(AM98/AN98,0)+IFERROR(AU98/AV98,0)+IFERROR(AY98/AZ98,0)+IFERROR(BC98/BD98,0)+IFERROR(BG98/BH98,0)+IFERROR(BK98/BL98,0)+IFERROR(BO98/BP98,0)+IFERROR(BS98/BT98,0)+IFERROR(BW98/BX98,0)+IFERROR(CA98/CB98,0)+IFERROR(CE98/CF98,0)+IFERROR(CI98/CJ98,0)+IFERROR(CM98/CN98,0)+IFERROR(CQ98/CR98,0)+IFERROR(CU98/CV98,0)+IFERROR(CY98/CZ98,0)+IFERROR(DC98/DD98,0)+IFERROR(DG98/DH98,0)+IFERROR(DS98/DT98,0)+IFERROR(DW98/DX98,0)+IFERROR(EA98/EB98,0)+IFERROR(EE98/EF98,0)+IFERROR(EI98/EJ98,0)+IFERROR(EM98/EN98,0)+IFERROR(EQ98/ER98,0)+IFERROR(EU98/EV98,0)+IFERROR(#REF!/#REF!,0)+IFERROR(#REF!/#REF!,0)+IFERROR(FJ98/FK98,0)+IFERROR(FN98/FO98,0)+IFERROR(#REF!/#REF!,0)+IFERROR(#REF!/#REF!,0)+IFERROR(HF98/HG98,0)+IFERROR(#REF!/#REF!,0)+IFERROR(HJ98/HK98,0)+IFERROR(HN98/HO98,0)+IFERROR(HZ98/IA98,0)+IFERROR(ID98/IE98,0)+IFERROR(IH98/II98,0)+IFERROR(IL98/IM98,0)+IFERROR(IX98/IY98,0)+IFERROR(JB98/JC98,0)+IFERROR(JF98/JG98,0)+IFERROR(JI98/JJ98,0)+IFERROR(JL98/JM98,0)+IFERROR(JO98/JP98,0))*L98*(C98+D98+E98+I98)</f>
        <v>0</v>
      </c>
      <c r="S98" s="165"/>
      <c r="T98" s="165">
        <f t="shared" si="35"/>
        <v>0</v>
      </c>
      <c r="U98" s="165"/>
      <c r="V98" s="165"/>
      <c r="W98" s="165"/>
      <c r="X98" s="165">
        <f>(IFERROR(FF98/FG98,0)+IFERROR(FC98/FD98,0)+IFERROR(#REF!/#REF!,0)+IFERROR(KP98/KQ98,0))*L98*(C98+D98+E98+I98)</f>
        <v>0</v>
      </c>
      <c r="Y98" s="484"/>
      <c r="Z98" s="484"/>
      <c r="AA98" s="484"/>
      <c r="AB98" s="484"/>
      <c r="AC98" s="150">
        <f t="shared" si="47"/>
        <v>0</v>
      </c>
      <c r="AD98" s="150"/>
      <c r="AE98" s="150">
        <f t="shared" si="36"/>
        <v>0</v>
      </c>
      <c r="AF98" s="161"/>
      <c r="AG98" s="143"/>
      <c r="AH98" s="154"/>
      <c r="AI98" s="144"/>
      <c r="AJ98" s="154"/>
      <c r="AK98" s="154"/>
      <c r="AL98" s="220"/>
      <c r="AM98" s="140"/>
      <c r="AN98" s="154"/>
      <c r="AO98" s="154"/>
      <c r="AP98" s="220"/>
      <c r="AQ98" s="145"/>
      <c r="AR98" s="154"/>
      <c r="AS98" s="154"/>
      <c r="AT98" s="220"/>
      <c r="AU98" s="140"/>
      <c r="AV98" s="277"/>
      <c r="AW98" s="277"/>
      <c r="AX98" s="277"/>
      <c r="AY98" s="140"/>
      <c r="AZ98" s="277"/>
      <c r="BA98" s="277"/>
      <c r="BB98" s="277"/>
      <c r="BC98" s="140"/>
      <c r="BD98" s="277"/>
      <c r="BE98" s="277"/>
      <c r="BF98" s="277"/>
      <c r="BG98" s="140"/>
      <c r="BH98" s="277"/>
      <c r="BI98" s="277"/>
      <c r="BJ98" s="277"/>
      <c r="BK98" s="140"/>
      <c r="BL98" s="277"/>
      <c r="BM98" s="277"/>
      <c r="BN98" s="277"/>
      <c r="BO98" s="140"/>
      <c r="BP98" s="277"/>
      <c r="BQ98" s="277"/>
      <c r="BR98" s="277"/>
      <c r="BS98" s="140"/>
      <c r="BT98" s="277"/>
      <c r="BU98" s="277"/>
      <c r="BV98" s="277"/>
      <c r="BW98" s="140"/>
      <c r="BX98" s="154"/>
      <c r="BY98" s="154"/>
      <c r="BZ98" s="220"/>
      <c r="CA98" s="140"/>
      <c r="CB98" s="154"/>
      <c r="CC98" s="154"/>
      <c r="CD98" s="220"/>
      <c r="CE98" s="140"/>
      <c r="CF98" s="271"/>
      <c r="CG98" s="271"/>
      <c r="CH98" s="271"/>
      <c r="CI98" s="140"/>
      <c r="CJ98" s="154"/>
      <c r="CK98" s="154"/>
      <c r="CL98" s="154"/>
      <c r="CM98" s="140"/>
      <c r="CN98" s="271"/>
      <c r="CO98" s="271"/>
      <c r="CP98" s="271"/>
      <c r="CQ98" s="140"/>
      <c r="CR98" s="154"/>
      <c r="CS98" s="154"/>
      <c r="CT98" s="154"/>
      <c r="CU98" s="140"/>
      <c r="CV98" s="154"/>
      <c r="CW98" s="154"/>
      <c r="CX98" s="220"/>
      <c r="CY98" s="140"/>
      <c r="CZ98" s="154"/>
      <c r="DA98" s="154"/>
      <c r="DB98" s="220"/>
      <c r="DC98" s="140"/>
      <c r="DD98" s="146"/>
      <c r="DE98" s="146"/>
      <c r="DF98" s="146"/>
      <c r="DG98" s="140"/>
      <c r="DH98" s="146"/>
      <c r="DI98" s="146"/>
      <c r="DJ98" s="146"/>
      <c r="DK98" s="146"/>
      <c r="DL98" s="146"/>
      <c r="DM98" s="146"/>
      <c r="DN98" s="146"/>
      <c r="DO98" s="146"/>
      <c r="DP98" s="146"/>
      <c r="DQ98" s="146"/>
      <c r="DR98" s="146"/>
      <c r="DS98" s="140"/>
      <c r="DT98" s="154"/>
      <c r="DU98" s="154"/>
      <c r="DV98" s="154"/>
      <c r="DW98" s="140"/>
      <c r="DX98" s="220"/>
      <c r="DY98" s="220"/>
      <c r="DZ98" s="220"/>
      <c r="EA98" s="140"/>
      <c r="EB98" s="220"/>
      <c r="EC98" s="220"/>
      <c r="ED98" s="220"/>
      <c r="EE98" s="140"/>
      <c r="EF98" s="154"/>
      <c r="EG98" s="154"/>
      <c r="EH98" s="154"/>
      <c r="EI98" s="140"/>
      <c r="EJ98" s="154"/>
      <c r="EK98" s="154"/>
      <c r="EL98" s="154"/>
      <c r="EM98" s="140"/>
      <c r="EN98" s="222"/>
      <c r="EO98" s="222"/>
      <c r="EP98" s="222"/>
      <c r="EQ98" s="140"/>
      <c r="ER98" s="222"/>
      <c r="ES98" s="222"/>
      <c r="ET98" s="222"/>
      <c r="EU98" s="140"/>
      <c r="EV98" s="222"/>
      <c r="EW98" s="222"/>
      <c r="EX98" s="222"/>
      <c r="EY98" s="344"/>
      <c r="EZ98" s="222"/>
      <c r="FA98" s="222"/>
      <c r="FB98" s="222"/>
      <c r="FC98" s="273"/>
      <c r="FD98" s="223"/>
      <c r="FE98" s="223"/>
      <c r="FF98" s="276"/>
      <c r="FG98" s="156"/>
      <c r="FH98" s="156"/>
      <c r="FI98" s="156"/>
      <c r="FJ98" s="140"/>
      <c r="FK98" s="277"/>
      <c r="FL98" s="277"/>
      <c r="FM98" s="277"/>
      <c r="FN98" s="140"/>
      <c r="FO98" s="277"/>
      <c r="FP98" s="277"/>
      <c r="FQ98" s="277"/>
      <c r="FR98" s="280"/>
      <c r="FS98" s="277"/>
      <c r="FT98" s="277"/>
      <c r="FU98" s="277"/>
      <c r="FV98" s="277"/>
      <c r="FW98" s="277"/>
      <c r="FX98" s="277"/>
      <c r="FY98" s="277"/>
      <c r="FZ98" s="277"/>
      <c r="GA98" s="277"/>
      <c r="GB98" s="277"/>
      <c r="GC98" s="277"/>
      <c r="GD98" s="277"/>
      <c r="GE98" s="277"/>
      <c r="GF98" s="277"/>
      <c r="GG98" s="277"/>
      <c r="GH98" s="277"/>
      <c r="GI98" s="277"/>
      <c r="GJ98" s="277"/>
      <c r="GK98" s="277"/>
      <c r="GL98" s="277"/>
      <c r="GM98" s="277"/>
      <c r="GN98" s="277"/>
      <c r="GO98" s="277"/>
      <c r="GP98" s="277"/>
      <c r="GQ98" s="277"/>
      <c r="GR98" s="277"/>
      <c r="GS98" s="277"/>
      <c r="GT98" s="277"/>
      <c r="GU98" s="277"/>
      <c r="GV98" s="277"/>
      <c r="GW98" s="277"/>
      <c r="GX98" s="277"/>
      <c r="GY98" s="277"/>
      <c r="GZ98" s="277"/>
      <c r="HA98" s="277"/>
      <c r="HB98" s="277"/>
      <c r="HC98" s="277"/>
      <c r="HD98" s="277"/>
      <c r="HE98" s="277"/>
      <c r="HF98" s="140"/>
      <c r="HG98" s="277"/>
      <c r="HH98" s="277"/>
      <c r="HI98" s="277"/>
      <c r="HJ98" s="140"/>
      <c r="HK98" s="277"/>
      <c r="HL98" s="277"/>
      <c r="HM98" s="277"/>
      <c r="HN98" s="140"/>
      <c r="HO98" s="277"/>
      <c r="HP98" s="277"/>
      <c r="HQ98" s="277"/>
      <c r="HR98" s="277"/>
      <c r="HS98" s="277"/>
      <c r="HT98" s="277"/>
      <c r="HU98" s="277"/>
      <c r="HV98" s="277"/>
      <c r="HW98" s="277"/>
      <c r="HX98" s="277"/>
      <c r="HY98" s="277"/>
      <c r="HZ98" s="140"/>
      <c r="IA98" s="277"/>
      <c r="IB98" s="277"/>
      <c r="IC98" s="277"/>
      <c r="ID98" s="140"/>
      <c r="IE98" s="277"/>
      <c r="IF98" s="277"/>
      <c r="IG98" s="277"/>
      <c r="IH98" s="140"/>
      <c r="II98" s="277"/>
      <c r="IJ98" s="277"/>
      <c r="IK98" s="277"/>
      <c r="IL98" s="140"/>
      <c r="IM98" s="277"/>
      <c r="IN98" s="277"/>
      <c r="IO98" s="277"/>
      <c r="IP98" s="277"/>
      <c r="IQ98" s="277"/>
      <c r="IR98" s="277"/>
      <c r="IS98" s="277"/>
      <c r="IT98" s="277"/>
      <c r="IU98" s="277"/>
      <c r="IV98" s="277"/>
      <c r="IW98" s="277"/>
      <c r="IX98" s="140"/>
      <c r="IY98" s="277"/>
      <c r="IZ98" s="277"/>
      <c r="JA98" s="277"/>
      <c r="JB98" s="140"/>
      <c r="JC98" s="277"/>
      <c r="JD98" s="277"/>
      <c r="JE98" s="277"/>
      <c r="JF98" s="140"/>
      <c r="JG98" s="277"/>
      <c r="JH98" s="277"/>
      <c r="JI98" s="140"/>
      <c r="JJ98" s="277"/>
      <c r="JK98" s="277"/>
      <c r="JL98" s="140"/>
      <c r="JM98" s="277"/>
      <c r="JN98" s="277"/>
      <c r="JO98" s="140"/>
      <c r="JP98" s="277"/>
      <c r="JQ98" s="277"/>
      <c r="JR98" s="277"/>
      <c r="JS98" s="277"/>
      <c r="JT98" s="277"/>
      <c r="JU98" s="277"/>
      <c r="JV98" s="277"/>
      <c r="JW98" s="277"/>
      <c r="JX98" s="277"/>
      <c r="JY98" s="277"/>
      <c r="JZ98" s="277"/>
      <c r="KA98" s="277"/>
      <c r="KB98" s="277"/>
      <c r="KC98" s="277"/>
      <c r="KD98" s="277"/>
      <c r="KE98" s="277"/>
      <c r="KF98" s="277"/>
      <c r="KG98" s="277"/>
      <c r="KH98" s="277"/>
      <c r="KI98" s="277"/>
      <c r="KJ98" s="277"/>
      <c r="KK98" s="277"/>
      <c r="KL98" s="277"/>
      <c r="KM98" s="277"/>
      <c r="KN98" s="277"/>
      <c r="KO98" s="277"/>
      <c r="KP98" s="274"/>
      <c r="KQ98" s="253"/>
      <c r="KR98" s="253"/>
      <c r="KY98" s="141">
        <f t="shared" si="37"/>
        <v>0</v>
      </c>
      <c r="KZ98" s="141">
        <f t="shared" si="38"/>
        <v>0</v>
      </c>
      <c r="LB98" s="141">
        <f t="shared" si="39"/>
        <v>0</v>
      </c>
      <c r="LC98" s="141">
        <f t="shared" si="40"/>
        <v>0</v>
      </c>
      <c r="LD98" s="141">
        <f t="shared" si="41"/>
        <v>0</v>
      </c>
      <c r="LE98" s="141" t="e">
        <f>((N(AU98)&gt;0)*(AX98&lt;&gt;"")+(N(AY98)&gt;0)*(BB98&lt;&gt;"")+(N(BC98)&gt;0)*(BF98&lt;&gt;"")+(N(BG98)&gt;0)*(BJ98&lt;&gt;"")+(N(BK98)&gt;0)*(BN98&lt;&gt;"")+(N(BO98)&gt;0)*(BR98&lt;&gt;"")+(N(BS98)&gt;0)*(BV98&lt;&gt;"")+(N(BW98)&gt;0)*(BZ98&lt;&gt;"")+(N(CA98)&gt;0)*(CD98&lt;&gt;"")+(N(CE98)&gt;0)*(CH98&lt;&gt;"")+(N(CI98)&gt;0)*(CL98&lt;&gt;"")+(N(CM98)&gt;0)*(CP98&lt;&gt;"")+(N(CQ98)&gt;0)*(CT98&lt;&gt;"")+(N(CU98)&gt;0)*(CX98&lt;&gt;"")+(N(CY98)&gt;0)*(DB98&lt;&gt;"")+(N(DC98)&gt;0)*(DF98&lt;&gt;"")+(N(DG98)&gt;0)*(DJ98&lt;&gt;"")+(N(DS98)&gt;0)*(DV98&lt;&gt;"")+(N(DW98)&gt;0)*(DZ98&lt;&gt;"")+(N(EA98)&gt;0)*(ED98&lt;&gt;"")+(N(EE98)&gt;0)*(EH98&lt;&gt;"")+(N(EI98)&gt;0)*(EL98&lt;&gt;"")+(N(EM98)&gt;0)*(EP98&lt;&gt;"")+(N(EQ98)&gt;0)*(ET98&lt;&gt;"")+(N(EU98)&gt;0)*(EX98&lt;&gt;"")+(N(#REF!)&gt;0)*(#REF!&lt;&gt;"")+(N(#REF!)&gt;0)*(#REF!&lt;&gt;"")+(N(FJ98)&gt;0)*(FM98&lt;&gt;"")+(N(FN98)&gt;0)*(FQ98&lt;&gt;"")+(N(#REF!)&gt;0)*(#REF!&lt;&gt;"")+(N(#REF!)&gt;0)*(#REF!&lt;&gt;"")+(N(HF98)&gt;0)*(HI98&lt;&gt;"")+(N(#REF!)&gt;0)*(#REF!&lt;&gt;"")+(N(HJ98)&gt;0)*(HM98&lt;&gt;"")+(N(HN98)&gt;0)*(HQ98&lt;&gt;"")+(N(HZ98)&gt;0)*(IC98&lt;&gt;"")+(N(ID98)&gt;0)*(IG98&lt;&gt;"")+(N(IH98)&gt;0)*(IK98&lt;&gt;"")+(N(IL98)&gt;0)*(IO98&lt;&gt;"")+(N(IX98)&gt;0)*(JA98&lt;&gt;"")+(N(JB98)&gt;0)*(JE98&lt;&gt;"")+(N(JF98)&gt;0)*(JH98&lt;&gt;"")+(N(JI98)&gt;0)*(JK98&lt;&gt;"")+(N(JL98)&gt;0)*(JN98&lt;&gt;"")+(N(JO98)&gt;0)*(JQ98&lt;&gt;""))</f>
        <v>#REF!</v>
      </c>
      <c r="LF98" s="141">
        <f t="shared" si="48"/>
        <v>0</v>
      </c>
      <c r="LG98" s="141">
        <f t="shared" si="42"/>
        <v>0</v>
      </c>
    </row>
    <row r="99" spans="1:319" ht="38.25" customHeight="1" x14ac:dyDescent="0.55000000000000004">
      <c r="B99" s="316" t="s">
        <v>496</v>
      </c>
      <c r="C99" s="218"/>
      <c r="D99" s="218"/>
      <c r="E99" s="218"/>
      <c r="F99" s="218"/>
      <c r="G99" s="218"/>
      <c r="H99" s="218"/>
      <c r="I99" s="162" cm="1">
        <f t="array" ref="I99">SUMPRODUCT(($AI$2:$KV$2&lt;&gt;"")*($AI99:$KV99&lt;&gt;""))</f>
        <v>5</v>
      </c>
      <c r="J99" s="142">
        <f t="shared" si="43"/>
        <v>0</v>
      </c>
      <c r="K99" s="142">
        <f t="shared" si="44"/>
        <v>0</v>
      </c>
      <c r="L99" s="268">
        <f t="shared" si="31"/>
        <v>7000</v>
      </c>
      <c r="M99" s="164">
        <f t="shared" si="45"/>
        <v>0</v>
      </c>
      <c r="N99" s="397"/>
      <c r="O99" s="165">
        <f t="shared" si="46"/>
        <v>0</v>
      </c>
      <c r="P99" s="165"/>
      <c r="Q99" s="165"/>
      <c r="R99" s="165">
        <f>(IFERROR(AM99/AN99,0)+IFERROR(AU99/AV99,0)+IFERROR(AY99/AZ99,0)+IFERROR(BC99/BD99,0)+IFERROR(BG99/BH99,0)+IFERROR(BK99/BL99,0)+IFERROR(BO99/BP99,0)+IFERROR(BS99/BT99,0)+IFERROR(BW99/BX99,0)+IFERROR(CA99/CB99,0)+IFERROR(CE99/CF99,0)+IFERROR(CI99/CJ99,0)+IFERROR(CM99/CN99,0)+IFERROR(CQ99/CR99,0)+IFERROR(CU99/CV99,0)+IFERROR(CY99/CZ99,0)+IFERROR(DC99/DD99,0)+IFERROR(DG99/DH99,0)+IFERROR(DS99/DT99,0)+IFERROR(DW99/DX99,0)+IFERROR(EA99/EB99,0)+IFERROR(EE99/EF99,0)+IFERROR(EI99/EJ99,0)+IFERROR(EM99/EN99,0)+IFERROR(EQ99/ER99,0)+IFERROR(EU99/EV99,0)+IFERROR(#REF!/#REF!,0)+IFERROR(#REF!/#REF!,0)+IFERROR(FJ99/FK99,0)+IFERROR(FN99/FO99,0)+IFERROR(#REF!/#REF!,0)+IFERROR(#REF!/#REF!,0)+IFERROR(HF99/HG99,0)+IFERROR(#REF!/#REF!,0)+IFERROR(HJ99/HK99,0)+IFERROR(HN99/HO99,0)+IFERROR(HZ99/IA99,0)+IFERROR(ID99/IE99,0)+IFERROR(IH99/II99,0)+IFERROR(IL99/IM99,0)+IFERROR(IX99/IY99,0)+IFERROR(JB99/JC99,0)+IFERROR(JF99/JG99,0)+IFERROR(JI99/JJ99,0)+IFERROR(JL99/JM99,0)+IFERROR(JO99/JP99,0))*L99*(C99+D99+E99+I99)</f>
        <v>0</v>
      </c>
      <c r="S99" s="165"/>
      <c r="T99" s="165">
        <f t="shared" si="35"/>
        <v>0</v>
      </c>
      <c r="U99" s="165"/>
      <c r="V99" s="165"/>
      <c r="W99" s="165"/>
      <c r="X99" s="165">
        <f>(IFERROR(FF99/FG99,0)+IFERROR(FC99/FD99,0)+IFERROR(#REF!/#REF!,0)+IFERROR(KP99/KQ99,0))*L99*(C99+D99+E99+I99)</f>
        <v>0</v>
      </c>
      <c r="Y99" s="484"/>
      <c r="Z99" s="484"/>
      <c r="AA99" s="484"/>
      <c r="AB99" s="484"/>
      <c r="AC99" s="150">
        <f t="shared" si="47"/>
        <v>0</v>
      </c>
      <c r="AD99" s="150"/>
      <c r="AE99" s="150">
        <f t="shared" si="36"/>
        <v>0</v>
      </c>
      <c r="AF99" s="161">
        <v>60</v>
      </c>
      <c r="AG99" s="143">
        <v>15</v>
      </c>
      <c r="AH99" s="154"/>
      <c r="AI99" s="144">
        <v>8.6</v>
      </c>
      <c r="AJ99" s="338"/>
      <c r="AK99" s="338"/>
      <c r="AL99" s="220" t="s">
        <v>512</v>
      </c>
      <c r="AM99" s="140">
        <v>8</v>
      </c>
      <c r="AN99" s="338"/>
      <c r="AO99" s="338"/>
      <c r="AP99" s="343" t="s">
        <v>762</v>
      </c>
      <c r="AQ99" s="145">
        <v>65</v>
      </c>
      <c r="AR99" s="338"/>
      <c r="AS99" s="338"/>
      <c r="AT99" s="220" t="s">
        <v>514</v>
      </c>
      <c r="AU99" s="140"/>
      <c r="AV99" s="277"/>
      <c r="AW99" s="277"/>
      <c r="AX99" s="277"/>
      <c r="AY99" s="140"/>
      <c r="AZ99" s="277"/>
      <c r="BA99" s="277"/>
      <c r="BB99" s="277"/>
      <c r="BC99" s="140"/>
      <c r="BD99" s="277"/>
      <c r="BE99" s="277"/>
      <c r="BF99" s="277"/>
      <c r="BG99" s="140"/>
      <c r="BH99" s="277"/>
      <c r="BI99" s="277"/>
      <c r="BJ99" s="277"/>
      <c r="BK99" s="140"/>
      <c r="BL99" s="277"/>
      <c r="BM99" s="277"/>
      <c r="BN99" s="277"/>
      <c r="BO99" s="140"/>
      <c r="BP99" s="277"/>
      <c r="BQ99" s="277"/>
      <c r="BR99" s="277"/>
      <c r="BS99" s="140"/>
      <c r="BT99" s="277"/>
      <c r="BU99" s="277"/>
      <c r="BV99" s="277"/>
      <c r="BW99" s="140">
        <v>8</v>
      </c>
      <c r="BX99" s="338"/>
      <c r="BY99" s="338"/>
      <c r="BZ99" s="220" t="s">
        <v>513</v>
      </c>
      <c r="CA99" s="140">
        <v>8</v>
      </c>
      <c r="CB99" s="338"/>
      <c r="CC99" s="338"/>
      <c r="CD99" s="220" t="s">
        <v>513</v>
      </c>
      <c r="CE99" s="140"/>
      <c r="CF99" s="271"/>
      <c r="CG99" s="271"/>
      <c r="CH99" s="271"/>
      <c r="CI99" s="140"/>
      <c r="CJ99" s="154"/>
      <c r="CK99" s="154"/>
      <c r="CL99" s="154"/>
      <c r="CM99" s="140"/>
      <c r="CN99" s="271"/>
      <c r="CO99" s="271"/>
      <c r="CP99" s="271"/>
      <c r="CQ99" s="140"/>
      <c r="CR99" s="154"/>
      <c r="CS99" s="154"/>
      <c r="CT99" s="154"/>
      <c r="CU99" s="140"/>
      <c r="CV99" s="154"/>
      <c r="CW99" s="154"/>
      <c r="CX99" s="220"/>
      <c r="CY99" s="140"/>
      <c r="CZ99" s="154"/>
      <c r="DA99" s="154"/>
      <c r="DB99" s="220"/>
      <c r="DC99" s="140"/>
      <c r="DD99" s="146"/>
      <c r="DE99" s="146"/>
      <c r="DF99" s="146"/>
      <c r="DG99" s="140"/>
      <c r="DH99" s="146"/>
      <c r="DI99" s="146"/>
      <c r="DJ99" s="146"/>
      <c r="DK99" s="146"/>
      <c r="DL99" s="146"/>
      <c r="DM99" s="146"/>
      <c r="DN99" s="146"/>
      <c r="DO99" s="146"/>
      <c r="DP99" s="146"/>
      <c r="DQ99" s="146"/>
      <c r="DR99" s="146"/>
      <c r="DS99" s="140"/>
      <c r="DT99" s="154"/>
      <c r="DU99" s="154"/>
      <c r="DV99" s="154"/>
      <c r="DW99" s="140"/>
      <c r="DX99" s="220"/>
      <c r="DY99" s="220"/>
      <c r="DZ99" s="220"/>
      <c r="EA99" s="140"/>
      <c r="EB99" s="220"/>
      <c r="EC99" s="220"/>
      <c r="ED99" s="220"/>
      <c r="EE99" s="140"/>
      <c r="EF99" s="154"/>
      <c r="EG99" s="154"/>
      <c r="EH99" s="154"/>
      <c r="EI99" s="140"/>
      <c r="EJ99" s="154"/>
      <c r="EK99" s="154"/>
      <c r="EL99" s="154"/>
      <c r="EM99" s="140"/>
      <c r="EN99" s="222"/>
      <c r="EO99" s="222"/>
      <c r="EP99" s="222"/>
      <c r="EQ99" s="140"/>
      <c r="ER99" s="222"/>
      <c r="ES99" s="222"/>
      <c r="ET99" s="222"/>
      <c r="EU99" s="140"/>
      <c r="EV99" s="222"/>
      <c r="EW99" s="222"/>
      <c r="EX99" s="222"/>
      <c r="EY99" s="344"/>
      <c r="EZ99" s="222"/>
      <c r="FA99" s="222"/>
      <c r="FB99" s="222"/>
      <c r="FC99" s="273"/>
      <c r="FD99" s="223"/>
      <c r="FE99" s="223"/>
      <c r="FF99" s="276"/>
      <c r="FG99" s="156"/>
      <c r="FH99" s="156"/>
      <c r="FI99" s="156"/>
      <c r="FJ99" s="140"/>
      <c r="FK99" s="277"/>
      <c r="FL99" s="277"/>
      <c r="FM99" s="277"/>
      <c r="FN99" s="140"/>
      <c r="FO99" s="277"/>
      <c r="FP99" s="277"/>
      <c r="FQ99" s="277"/>
      <c r="FR99" s="280"/>
      <c r="FS99" s="277"/>
      <c r="FT99" s="277"/>
      <c r="FU99" s="277"/>
      <c r="FV99" s="277"/>
      <c r="FW99" s="277"/>
      <c r="FX99" s="277"/>
      <c r="FY99" s="277"/>
      <c r="FZ99" s="277"/>
      <c r="GA99" s="277"/>
      <c r="GB99" s="277"/>
      <c r="GC99" s="277"/>
      <c r="GD99" s="277"/>
      <c r="GE99" s="277"/>
      <c r="GF99" s="277"/>
      <c r="GG99" s="277"/>
      <c r="GH99" s="277"/>
      <c r="GI99" s="277"/>
      <c r="GJ99" s="277"/>
      <c r="GK99" s="277"/>
      <c r="GL99" s="277"/>
      <c r="GM99" s="277"/>
      <c r="GN99" s="277"/>
      <c r="GO99" s="277"/>
      <c r="GP99" s="277"/>
      <c r="GQ99" s="277"/>
      <c r="GR99" s="277"/>
      <c r="GS99" s="277"/>
      <c r="GT99" s="277"/>
      <c r="GU99" s="277"/>
      <c r="GV99" s="277"/>
      <c r="GW99" s="277"/>
      <c r="GX99" s="277"/>
      <c r="GY99" s="277"/>
      <c r="GZ99" s="277"/>
      <c r="HA99" s="277"/>
      <c r="HB99" s="277"/>
      <c r="HC99" s="277"/>
      <c r="HD99" s="277"/>
      <c r="HE99" s="277"/>
      <c r="HF99" s="140"/>
      <c r="HG99" s="277"/>
      <c r="HH99" s="277"/>
      <c r="HI99" s="277"/>
      <c r="HJ99" s="140"/>
      <c r="HK99" s="277"/>
      <c r="HL99" s="277"/>
      <c r="HM99" s="277"/>
      <c r="HN99" s="140"/>
      <c r="HO99" s="277"/>
      <c r="HP99" s="277"/>
      <c r="HQ99" s="277"/>
      <c r="HR99" s="277"/>
      <c r="HS99" s="277"/>
      <c r="HT99" s="277"/>
      <c r="HU99" s="277"/>
      <c r="HV99" s="277"/>
      <c r="HW99" s="277"/>
      <c r="HX99" s="277"/>
      <c r="HY99" s="277"/>
      <c r="HZ99" s="140"/>
      <c r="IA99" s="277"/>
      <c r="IB99" s="277"/>
      <c r="IC99" s="277"/>
      <c r="ID99" s="140"/>
      <c r="IE99" s="277"/>
      <c r="IF99" s="277"/>
      <c r="IG99" s="277"/>
      <c r="IH99" s="140"/>
      <c r="II99" s="277"/>
      <c r="IJ99" s="277"/>
      <c r="IK99" s="277"/>
      <c r="IL99" s="140"/>
      <c r="IM99" s="277"/>
      <c r="IN99" s="277"/>
      <c r="IO99" s="277"/>
      <c r="IP99" s="277"/>
      <c r="IQ99" s="277"/>
      <c r="IR99" s="277"/>
      <c r="IS99" s="277"/>
      <c r="IT99" s="277"/>
      <c r="IU99" s="277"/>
      <c r="IV99" s="277"/>
      <c r="IW99" s="277"/>
      <c r="IX99" s="140"/>
      <c r="IY99" s="277"/>
      <c r="IZ99" s="277"/>
      <c r="JA99" s="277"/>
      <c r="JB99" s="140"/>
      <c r="JC99" s="277"/>
      <c r="JD99" s="277"/>
      <c r="JE99" s="277"/>
      <c r="JF99" s="140"/>
      <c r="JG99" s="277"/>
      <c r="JH99" s="277"/>
      <c r="JI99" s="140"/>
      <c r="JJ99" s="277"/>
      <c r="JK99" s="277"/>
      <c r="JL99" s="140"/>
      <c r="JM99" s="277"/>
      <c r="JN99" s="277"/>
      <c r="JO99" s="140"/>
      <c r="JP99" s="277"/>
      <c r="JQ99" s="277"/>
      <c r="JR99" s="277"/>
      <c r="JS99" s="277"/>
      <c r="JT99" s="277"/>
      <c r="JU99" s="277"/>
      <c r="JV99" s="277"/>
      <c r="JW99" s="277"/>
      <c r="JX99" s="277"/>
      <c r="JY99" s="277"/>
      <c r="JZ99" s="277"/>
      <c r="KA99" s="277"/>
      <c r="KB99" s="277"/>
      <c r="KC99" s="277"/>
      <c r="KD99" s="277"/>
      <c r="KE99" s="277"/>
      <c r="KF99" s="277"/>
      <c r="KG99" s="277"/>
      <c r="KH99" s="277"/>
      <c r="KI99" s="277"/>
      <c r="KJ99" s="277"/>
      <c r="KK99" s="277"/>
      <c r="KL99" s="277"/>
      <c r="KM99" s="277"/>
      <c r="KN99" s="277"/>
      <c r="KO99" s="277"/>
      <c r="KP99" s="274"/>
      <c r="KQ99" s="253"/>
      <c r="KR99" s="253"/>
      <c r="KY99" s="141">
        <f t="shared" si="37"/>
        <v>0</v>
      </c>
      <c r="KZ99" s="141">
        <f t="shared" si="38"/>
        <v>0</v>
      </c>
      <c r="LB99" s="141">
        <f t="shared" si="39"/>
        <v>1</v>
      </c>
      <c r="LC99" s="141">
        <f t="shared" si="40"/>
        <v>1</v>
      </c>
      <c r="LD99" s="141">
        <f t="shared" si="41"/>
        <v>1</v>
      </c>
      <c r="LE99" s="141" t="e">
        <f>((N(AU99)&gt;0)*(AX99&lt;&gt;"")+(N(AY99)&gt;0)*(BB99&lt;&gt;"")+(N(BC99)&gt;0)*(BF99&lt;&gt;"")+(N(BG99)&gt;0)*(BJ99&lt;&gt;"")+(N(BK99)&gt;0)*(BN99&lt;&gt;"")+(N(BO99)&gt;0)*(BR99&lt;&gt;"")+(N(BS99)&gt;0)*(BV99&lt;&gt;"")+(N(BW99)&gt;0)*(BZ99&lt;&gt;"")+(N(CA99)&gt;0)*(CD99&lt;&gt;"")+(N(CE99)&gt;0)*(CH99&lt;&gt;"")+(N(CI99)&gt;0)*(CL99&lt;&gt;"")+(N(CM99)&gt;0)*(CP99&lt;&gt;"")+(N(CQ99)&gt;0)*(CT99&lt;&gt;"")+(N(CU99)&gt;0)*(CX99&lt;&gt;"")+(N(CY99)&gt;0)*(DB99&lt;&gt;"")+(N(DC99)&gt;0)*(DF99&lt;&gt;"")+(N(DG99)&gt;0)*(DJ99&lt;&gt;"")+(N(DS99)&gt;0)*(DV99&lt;&gt;"")+(N(DW99)&gt;0)*(DZ99&lt;&gt;"")+(N(EA99)&gt;0)*(ED99&lt;&gt;"")+(N(EE99)&gt;0)*(EH99&lt;&gt;"")+(N(EI99)&gt;0)*(EL99&lt;&gt;"")+(N(EM99)&gt;0)*(EP99&lt;&gt;"")+(N(EQ99)&gt;0)*(ET99&lt;&gt;"")+(N(EU99)&gt;0)*(EX99&lt;&gt;"")+(N(#REF!)&gt;0)*(#REF!&lt;&gt;"")+(N(#REF!)&gt;0)*(#REF!&lt;&gt;"")+(N(FJ99)&gt;0)*(FM99&lt;&gt;"")+(N(FN99)&gt;0)*(FQ99&lt;&gt;"")+(N(#REF!)&gt;0)*(#REF!&lt;&gt;"")+(N(#REF!)&gt;0)*(#REF!&lt;&gt;"")+(N(HF99)&gt;0)*(HI99&lt;&gt;"")+(N(#REF!)&gt;0)*(#REF!&lt;&gt;"")+(N(HJ99)&gt;0)*(HM99&lt;&gt;"")+(N(HN99)&gt;0)*(HQ99&lt;&gt;"")+(N(HZ99)&gt;0)*(IC99&lt;&gt;"")+(N(ID99)&gt;0)*(IG99&lt;&gt;"")+(N(IH99)&gt;0)*(IK99&lt;&gt;"")+(N(IL99)&gt;0)*(IO99&lt;&gt;"")+(N(IX99)&gt;0)*(JA99&lt;&gt;"")+(N(JB99)&gt;0)*(JE99&lt;&gt;"")+(N(JF99)&gt;0)*(JH99&lt;&gt;"")+(N(JI99)&gt;0)*(JK99&lt;&gt;"")+(N(JL99)&gt;0)*(JN99&lt;&gt;"")+(N(JO99)&gt;0)*(JQ99&lt;&gt;""))</f>
        <v>#REF!</v>
      </c>
      <c r="LF99" s="141">
        <f t="shared" si="48"/>
        <v>0</v>
      </c>
      <c r="LG99" s="141">
        <f t="shared" si="42"/>
        <v>0</v>
      </c>
    </row>
    <row r="100" spans="1:319" ht="38.25" customHeight="1" x14ac:dyDescent="0.55000000000000004">
      <c r="B100" s="314" t="s">
        <v>356</v>
      </c>
      <c r="C100" s="218">
        <v>3</v>
      </c>
      <c r="D100" s="396">
        <v>3</v>
      </c>
      <c r="E100" s="396">
        <v>3</v>
      </c>
      <c r="F100" s="218"/>
      <c r="G100" s="218"/>
      <c r="H100" s="218"/>
      <c r="I100" s="162" cm="1">
        <f t="array" ref="I100">SUMPRODUCT(($AI$2:$KV$2&lt;&gt;"")*($AI100:$KV100&lt;&gt;""))</f>
        <v>1</v>
      </c>
      <c r="J100" s="142">
        <f t="shared" si="43"/>
        <v>3</v>
      </c>
      <c r="K100" s="142">
        <f t="shared" si="44"/>
        <v>42</v>
      </c>
      <c r="L100" s="268">
        <f t="shared" si="31"/>
        <v>7000</v>
      </c>
      <c r="M100" s="164">
        <f t="shared" si="45"/>
        <v>5600</v>
      </c>
      <c r="N100" s="397"/>
      <c r="O100" s="165">
        <f t="shared" si="46"/>
        <v>0</v>
      </c>
      <c r="P100" s="165"/>
      <c r="Q100" s="165"/>
      <c r="R100" s="165">
        <f>(IFERROR(AM100/AN100,0)+IFERROR(AU100/AV100,0)+IFERROR(AY100/AZ100,0)+IFERROR(BC100/BD100,0)+IFERROR(BG100/BH100,0)+IFERROR(BK100/BL100,0)+IFERROR(BO100/BP100,0)+IFERROR(BS100/BT100,0)+IFERROR(BW100/BX100,0)+IFERROR(CA100/CB100,0)+IFERROR(CE100/CF100,0)+IFERROR(CI100/CJ100,0)+IFERROR(CM100/CN100,0)+IFERROR(CQ100/CR100,0)+IFERROR(CU100/CV100,0)+IFERROR(CY100/CZ100,0)+IFERROR(DC100/DD100,0)+IFERROR(DG100/DH100,0)+IFERROR(DS100/DT100,0)+IFERROR(DW100/DX100,0)+IFERROR(EA100/EB100,0)+IFERROR(EE100/EF100,0)+IFERROR(EI100/EJ100,0)+IFERROR(EM100/EN100,0)+IFERROR(EQ100/ER100,0)+IFERROR(EU100/EV100,0)+IFERROR(#REF!/#REF!,0)+IFERROR(#REF!/#REF!,0)+IFERROR(FJ100/FK100,0)+IFERROR(FN100/FO100,0)+IFERROR(#REF!/#REF!,0)+IFERROR(#REF!/#REF!,0)+IFERROR(HF100/HG100,0)+IFERROR(#REF!/#REF!,0)+IFERROR(HJ100/HK100,0)+IFERROR(HN100/HO100,0)+IFERROR(HZ100/IA100,0)+IFERROR(ID100/IE100,0)+IFERROR(IH100/II100,0)+IFERROR(IL100/IM100,0)+IFERROR(IX100/IY100,0)+IFERROR(JB100/JC100,0)+IFERROR(JF100/JG100,0)+IFERROR(JI100/JJ100,0)+IFERROR(JL100/JM100,0)+IFERROR(JO100/JP100,0))*L100*(C100+D100+E100+I100)</f>
        <v>0</v>
      </c>
      <c r="S100" s="165"/>
      <c r="T100" s="165">
        <f t="shared" si="35"/>
        <v>0</v>
      </c>
      <c r="U100" s="165"/>
      <c r="V100" s="165"/>
      <c r="W100" s="165"/>
      <c r="X100" s="165">
        <f>(IFERROR(FF100/FG100,0)+IFERROR(FC100/FD100,0)+IFERROR(#REF!/#REF!,0)+IFERROR(KP100/KQ100,0))*L100*(C100+D100+E100+I100)</f>
        <v>0</v>
      </c>
      <c r="Y100" s="484"/>
      <c r="Z100" s="484"/>
      <c r="AA100" s="484"/>
      <c r="AB100" s="484"/>
      <c r="AC100" s="150">
        <f t="shared" si="47"/>
        <v>0</v>
      </c>
      <c r="AD100" s="150"/>
      <c r="AE100" s="150">
        <f t="shared" si="36"/>
        <v>0</v>
      </c>
      <c r="AF100" s="161"/>
      <c r="AG100" s="143"/>
      <c r="AH100" s="154"/>
      <c r="AI100" s="342">
        <v>20</v>
      </c>
      <c r="AJ100" s="342">
        <v>250</v>
      </c>
      <c r="AK100" s="342"/>
      <c r="AL100" s="343" t="s">
        <v>545</v>
      </c>
      <c r="AM100" s="140"/>
      <c r="AN100" s="154"/>
      <c r="AO100" s="154"/>
      <c r="AP100" s="220"/>
      <c r="AQ100" s="145"/>
      <c r="AR100" s="154"/>
      <c r="AS100" s="154"/>
      <c r="AT100" s="220"/>
      <c r="AU100" s="140"/>
      <c r="AV100" s="277"/>
      <c r="AW100" s="277"/>
      <c r="AX100" s="277"/>
      <c r="AY100" s="140"/>
      <c r="AZ100" s="277"/>
      <c r="BA100" s="277"/>
      <c r="BB100" s="277"/>
      <c r="BC100" s="140"/>
      <c r="BD100" s="277"/>
      <c r="BE100" s="277"/>
      <c r="BF100" s="277"/>
      <c r="BG100" s="140"/>
      <c r="BH100" s="277"/>
      <c r="BI100" s="277"/>
      <c r="BJ100" s="277"/>
      <c r="BK100" s="140"/>
      <c r="BL100" s="277"/>
      <c r="BM100" s="277"/>
      <c r="BN100" s="277"/>
      <c r="BO100" s="140"/>
      <c r="BP100" s="277"/>
      <c r="BQ100" s="277"/>
      <c r="BR100" s="277"/>
      <c r="BS100" s="140"/>
      <c r="BT100" s="277"/>
      <c r="BU100" s="277"/>
      <c r="BV100" s="277"/>
      <c r="BW100" s="140"/>
      <c r="BX100" s="154"/>
      <c r="BY100" s="154"/>
      <c r="BZ100" s="220"/>
      <c r="CA100" s="140"/>
      <c r="CB100" s="154"/>
      <c r="CC100" s="154"/>
      <c r="CD100" s="220"/>
      <c r="CE100" s="140"/>
      <c r="CF100" s="146"/>
      <c r="CG100" s="146"/>
      <c r="CH100" s="146"/>
      <c r="CI100" s="140"/>
      <c r="CJ100" s="154"/>
      <c r="CK100" s="154"/>
      <c r="CL100" s="154"/>
      <c r="CM100" s="140"/>
      <c r="CN100" s="271"/>
      <c r="CO100" s="271"/>
      <c r="CP100" s="271"/>
      <c r="CQ100" s="140"/>
      <c r="CR100" s="154"/>
      <c r="CS100" s="154"/>
      <c r="CT100" s="154"/>
      <c r="CU100" s="140"/>
      <c r="CV100" s="154"/>
      <c r="CW100" s="154"/>
      <c r="CX100" s="220"/>
      <c r="CY100" s="140"/>
      <c r="CZ100" s="154"/>
      <c r="DA100" s="154"/>
      <c r="DB100" s="220"/>
      <c r="DC100" s="140"/>
      <c r="DD100" s="146"/>
      <c r="DE100" s="146"/>
      <c r="DF100" s="146"/>
      <c r="DG100" s="140"/>
      <c r="DH100" s="146"/>
      <c r="DI100" s="146"/>
      <c r="DJ100" s="146"/>
      <c r="DK100" s="146"/>
      <c r="DL100" s="146"/>
      <c r="DM100" s="146"/>
      <c r="DN100" s="146"/>
      <c r="DO100" s="146"/>
      <c r="DP100" s="146"/>
      <c r="DQ100" s="146"/>
      <c r="DR100" s="146"/>
      <c r="DS100" s="140"/>
      <c r="DT100" s="154"/>
      <c r="DU100" s="154"/>
      <c r="DV100" s="154"/>
      <c r="DW100" s="140"/>
      <c r="DX100" s="220"/>
      <c r="DY100" s="220"/>
      <c r="DZ100" s="220"/>
      <c r="EA100" s="140"/>
      <c r="EB100" s="220"/>
      <c r="EC100" s="220"/>
      <c r="ED100" s="220"/>
      <c r="EE100" s="140"/>
      <c r="EF100" s="154"/>
      <c r="EG100" s="154"/>
      <c r="EH100" s="154"/>
      <c r="EI100" s="140"/>
      <c r="EJ100" s="154"/>
      <c r="EK100" s="154"/>
      <c r="EL100" s="154"/>
      <c r="EM100" s="140"/>
      <c r="EN100" s="222"/>
      <c r="EO100" s="222"/>
      <c r="EP100" s="222"/>
      <c r="EQ100" s="140"/>
      <c r="ER100" s="222"/>
      <c r="ES100" s="222"/>
      <c r="ET100" s="222"/>
      <c r="EU100" s="140"/>
      <c r="EV100" s="222"/>
      <c r="EW100" s="222"/>
      <c r="EX100" s="222"/>
      <c r="EY100" s="344"/>
      <c r="EZ100" s="222"/>
      <c r="FA100" s="222"/>
      <c r="FB100" s="222"/>
      <c r="FC100" s="273"/>
      <c r="FD100" s="223"/>
      <c r="FE100" s="223"/>
      <c r="FF100" s="276"/>
      <c r="FG100" s="156"/>
      <c r="FH100" s="156"/>
      <c r="FI100" s="156"/>
      <c r="FJ100" s="140"/>
      <c r="FK100" s="277"/>
      <c r="FL100" s="277"/>
      <c r="FM100" s="277"/>
      <c r="FN100" s="140"/>
      <c r="FO100" s="277"/>
      <c r="FP100" s="277"/>
      <c r="FQ100" s="277"/>
      <c r="FR100" s="280"/>
      <c r="FS100" s="277"/>
      <c r="FT100" s="277"/>
      <c r="FU100" s="277"/>
      <c r="FV100" s="277"/>
      <c r="FW100" s="277"/>
      <c r="FX100" s="277"/>
      <c r="FY100" s="277"/>
      <c r="FZ100" s="277"/>
      <c r="GA100" s="277"/>
      <c r="GB100" s="277"/>
      <c r="GC100" s="277"/>
      <c r="GD100" s="277"/>
      <c r="GE100" s="277"/>
      <c r="GF100" s="277"/>
      <c r="GG100" s="277"/>
      <c r="GH100" s="277"/>
      <c r="GI100" s="277"/>
      <c r="GJ100" s="277"/>
      <c r="GK100" s="277"/>
      <c r="GL100" s="277"/>
      <c r="GM100" s="277"/>
      <c r="GN100" s="277"/>
      <c r="GO100" s="277"/>
      <c r="GP100" s="277"/>
      <c r="GQ100" s="277"/>
      <c r="GR100" s="277"/>
      <c r="GS100" s="277"/>
      <c r="GT100" s="277"/>
      <c r="GU100" s="277"/>
      <c r="GV100" s="277"/>
      <c r="GW100" s="277"/>
      <c r="GX100" s="277"/>
      <c r="GY100" s="277"/>
      <c r="GZ100" s="277"/>
      <c r="HA100" s="277"/>
      <c r="HB100" s="277"/>
      <c r="HC100" s="277"/>
      <c r="HD100" s="277"/>
      <c r="HE100" s="277"/>
      <c r="HF100" s="140"/>
      <c r="HG100" s="277"/>
      <c r="HH100" s="277"/>
      <c r="HI100" s="277"/>
      <c r="HJ100" s="140"/>
      <c r="HK100" s="277"/>
      <c r="HL100" s="277"/>
      <c r="HM100" s="277"/>
      <c r="HN100" s="140"/>
      <c r="HO100" s="277"/>
      <c r="HP100" s="277"/>
      <c r="HQ100" s="277"/>
      <c r="HR100" s="277"/>
      <c r="HS100" s="277"/>
      <c r="HT100" s="277"/>
      <c r="HU100" s="277"/>
      <c r="HV100" s="277"/>
      <c r="HW100" s="277"/>
      <c r="HX100" s="277"/>
      <c r="HY100" s="277"/>
      <c r="HZ100" s="140"/>
      <c r="IA100" s="277"/>
      <c r="IB100" s="277"/>
      <c r="IC100" s="277"/>
      <c r="ID100" s="140"/>
      <c r="IE100" s="277"/>
      <c r="IF100" s="277"/>
      <c r="IG100" s="277"/>
      <c r="IH100" s="140"/>
      <c r="II100" s="277"/>
      <c r="IJ100" s="277"/>
      <c r="IK100" s="277"/>
      <c r="IL100" s="140"/>
      <c r="IM100" s="277"/>
      <c r="IN100" s="277"/>
      <c r="IO100" s="277"/>
      <c r="IP100" s="277"/>
      <c r="IQ100" s="277"/>
      <c r="IR100" s="277"/>
      <c r="IS100" s="277"/>
      <c r="IT100" s="277"/>
      <c r="IU100" s="277"/>
      <c r="IV100" s="277"/>
      <c r="IW100" s="277"/>
      <c r="IX100" s="140"/>
      <c r="IY100" s="277"/>
      <c r="IZ100" s="277"/>
      <c r="JA100" s="277"/>
      <c r="JB100" s="140"/>
      <c r="JC100" s="277"/>
      <c r="JD100" s="277"/>
      <c r="JE100" s="277"/>
      <c r="JF100" s="140"/>
      <c r="JG100" s="277"/>
      <c r="JH100" s="277"/>
      <c r="JI100" s="140"/>
      <c r="JJ100" s="277"/>
      <c r="JK100" s="277"/>
      <c r="JL100" s="140"/>
      <c r="JM100" s="277"/>
      <c r="JN100" s="277"/>
      <c r="JO100" s="140"/>
      <c r="JP100" s="277"/>
      <c r="JQ100" s="277"/>
      <c r="JR100" s="277"/>
      <c r="JS100" s="277"/>
      <c r="JT100" s="277"/>
      <c r="JU100" s="277"/>
      <c r="JV100" s="277"/>
      <c r="JW100" s="277"/>
      <c r="JX100" s="277"/>
      <c r="JY100" s="277"/>
      <c r="JZ100" s="277"/>
      <c r="KA100" s="277"/>
      <c r="KB100" s="277"/>
      <c r="KC100" s="277"/>
      <c r="KD100" s="277"/>
      <c r="KE100" s="277"/>
      <c r="KF100" s="277"/>
      <c r="KG100" s="277"/>
      <c r="KH100" s="277"/>
      <c r="KI100" s="277"/>
      <c r="KJ100" s="277"/>
      <c r="KK100" s="277"/>
      <c r="KL100" s="277"/>
      <c r="KM100" s="277"/>
      <c r="KN100" s="277"/>
      <c r="KO100" s="277"/>
      <c r="KP100" s="274"/>
      <c r="KQ100" s="253"/>
      <c r="KR100" s="253"/>
      <c r="KY100" s="141">
        <f t="shared" si="37"/>
        <v>0</v>
      </c>
      <c r="KZ100" s="141">
        <f t="shared" si="38"/>
        <v>0</v>
      </c>
      <c r="LB100" s="141">
        <f t="shared" si="39"/>
        <v>1</v>
      </c>
      <c r="LC100" s="141">
        <f t="shared" si="40"/>
        <v>0</v>
      </c>
      <c r="LD100" s="141">
        <f t="shared" si="41"/>
        <v>0</v>
      </c>
      <c r="LE100" s="141" t="e">
        <f>((N(AU100)&gt;0)*(AX100&lt;&gt;"")+(N(AY100)&gt;0)*(BB100&lt;&gt;"")+(N(BC100)&gt;0)*(BF100&lt;&gt;"")+(N(BG100)&gt;0)*(BJ100&lt;&gt;"")+(N(BK100)&gt;0)*(BN100&lt;&gt;"")+(N(BO100)&gt;0)*(BR100&lt;&gt;"")+(N(BS100)&gt;0)*(BV100&lt;&gt;"")+(N(BW100)&gt;0)*(BZ100&lt;&gt;"")+(N(CA100)&gt;0)*(CD100&lt;&gt;"")+(N(CE100)&gt;0)*(CH100&lt;&gt;"")+(N(CI100)&gt;0)*(CL100&lt;&gt;"")+(N(CM100)&gt;0)*(CP100&lt;&gt;"")+(N(CQ100)&gt;0)*(CT100&lt;&gt;"")+(N(CU100)&gt;0)*(CX100&lt;&gt;"")+(N(CY100)&gt;0)*(DB100&lt;&gt;"")+(N(DC100)&gt;0)*(DF100&lt;&gt;"")+(N(DG100)&gt;0)*(DJ100&lt;&gt;"")+(N(DS100)&gt;0)*(DV100&lt;&gt;"")+(N(DW100)&gt;0)*(DZ100&lt;&gt;"")+(N(EA100)&gt;0)*(ED100&lt;&gt;"")+(N(EE100)&gt;0)*(EH100&lt;&gt;"")+(N(EI100)&gt;0)*(EL100&lt;&gt;"")+(N(EM100)&gt;0)*(EP100&lt;&gt;"")+(N(EQ100)&gt;0)*(ET100&lt;&gt;"")+(N(EU100)&gt;0)*(EX100&lt;&gt;"")+(N(#REF!)&gt;0)*(#REF!&lt;&gt;"")+(N(#REF!)&gt;0)*(#REF!&lt;&gt;"")+(N(FJ100)&gt;0)*(FM100&lt;&gt;"")+(N(FN100)&gt;0)*(FQ100&lt;&gt;"")+(N(#REF!)&gt;0)*(#REF!&lt;&gt;"")+(N(#REF!)&gt;0)*(#REF!&lt;&gt;"")+(N(HF100)&gt;0)*(HI100&lt;&gt;"")+(N(#REF!)&gt;0)*(#REF!&lt;&gt;"")+(N(HJ100)&gt;0)*(HM100&lt;&gt;"")+(N(HN100)&gt;0)*(HQ100&lt;&gt;"")+(N(HZ100)&gt;0)*(IC100&lt;&gt;"")+(N(ID100)&gt;0)*(IG100&lt;&gt;"")+(N(IH100)&gt;0)*(IK100&lt;&gt;"")+(N(IL100)&gt;0)*(IO100&lt;&gt;"")+(N(IX100)&gt;0)*(JA100&lt;&gt;"")+(N(JB100)&gt;0)*(JE100&lt;&gt;"")+(N(JF100)&gt;0)*(JH100&lt;&gt;"")+(N(JI100)&gt;0)*(JK100&lt;&gt;"")+(N(JL100)&gt;0)*(JN100&lt;&gt;"")+(N(JO100)&gt;0)*(JQ100&lt;&gt;""))</f>
        <v>#REF!</v>
      </c>
      <c r="LF100" s="141">
        <f t="shared" si="48"/>
        <v>0</v>
      </c>
      <c r="LG100" s="141">
        <f t="shared" si="42"/>
        <v>0</v>
      </c>
    </row>
    <row r="101" spans="1:319" ht="38.25" customHeight="1" x14ac:dyDescent="0.55000000000000004">
      <c r="B101" s="506" t="s">
        <v>164</v>
      </c>
      <c r="C101" s="353">
        <v>2</v>
      </c>
      <c r="D101" s="396">
        <v>2</v>
      </c>
      <c r="E101" s="396">
        <v>2</v>
      </c>
      <c r="F101" s="162">
        <f>($AI$101/$AJ$101)*$L$101*C101</f>
        <v>1792</v>
      </c>
      <c r="G101" s="162">
        <f>($AI$101/$AJ$101)*$L$101*D101</f>
        <v>1792</v>
      </c>
      <c r="H101" s="162">
        <f>($AI$101/$AJ$101)*$L$101*E101</f>
        <v>1792</v>
      </c>
      <c r="I101" s="162" cm="1">
        <f t="array" ref="I101">SUMPRODUCT(($AI$2:$KV$2&lt;&gt;"")*($AI101:$KV101&lt;&gt;""))</f>
        <v>8</v>
      </c>
      <c r="J101" s="142">
        <f t="shared" si="43"/>
        <v>16</v>
      </c>
      <c r="K101" s="142">
        <f t="shared" si="44"/>
        <v>224</v>
      </c>
      <c r="L101" s="268">
        <f>$L$1</f>
        <v>7000</v>
      </c>
      <c r="M101" s="164">
        <f t="shared" si="45"/>
        <v>12544</v>
      </c>
      <c r="N101" s="397"/>
      <c r="O101" s="165">
        <f t="shared" si="46"/>
        <v>18816</v>
      </c>
      <c r="P101" s="165"/>
      <c r="Q101" s="165"/>
      <c r="R101" s="165">
        <f>(IFERROR(AM101/AN101,0)+IFERROR(AU101/AV101,0)+IFERROR(AY101/AZ101,0)+IFERROR(BC101/BD101,0)+IFERROR(BG101/BH101,0)+IFERROR(BK101/BL101,0)+IFERROR(BO101/BP101,0)+IFERROR(BS101/BT101,0)+IFERROR(BW101/BX101,0)+IFERROR(CA101/CB101,0)+IFERROR(CE101/CF101,0)+IFERROR(CI101/CJ101,0)+IFERROR(CM101/CN101,0)+IFERROR(CQ101/CR101,0)+IFERROR(CU101/CV101,0)+IFERROR(CY101/CZ101,0)+IFERROR(DC101/DD101,0)+IFERROR(DG101/DH101,0)+IFERROR(DS101/DT101,0)+IFERROR(DW101/DX101,0)+IFERROR(EA101/EB101,0)+IFERROR(EE101/EF101,0)+IFERROR(EI101/EJ101,0)+IFERROR(EM101/EN101,0)+IFERROR(EQ101/ER101,0)+IFERROR(EU101/EV101,0)+IFERROR(#REF!/#REF!,0)+IFERROR(#REF!/#REF!,0)+IFERROR(FJ101/FK101,0)+IFERROR(FN101/FO101,0)+IFERROR(#REF!/#REF!,0)+IFERROR(#REF!/#REF!,0)+IFERROR(HF101/HG101,0)+IFERROR(#REF!/#REF!,0)+IFERROR(HJ101/HK101,0)+IFERROR(HN101/HO101,0)+IFERROR(HZ101/IA101,0)+IFERROR(ID101/IE101,0)+IFERROR(IH101/II101,0)+IFERROR(IL101/IM101,0)+IFERROR(IX101/IY101,0)+IFERROR(JB101/JC101,0)+IFERROR(JF101/JG101,0)+IFERROR(JI101/JJ101,0)+IFERROR(JL101/JM101,0)+IFERROR(JO101/JP101,0))*L101*(C101+D101+E101+I101)</f>
        <v>7644</v>
      </c>
      <c r="S101" s="165"/>
      <c r="T101" s="165">
        <f t="shared" si="35"/>
        <v>0</v>
      </c>
      <c r="U101" s="165"/>
      <c r="V101" s="165"/>
      <c r="W101" s="165"/>
      <c r="X101" s="165">
        <f>(IFERROR(FF101/FG101,0)+IFERROR(FC101/FD101,0)+IFERROR(#REF!/#REF!,0)+IFERROR(KP101/KQ101,0))*L101*(C101+D101+E101+I101)</f>
        <v>0</v>
      </c>
      <c r="Y101" s="484"/>
      <c r="Z101" s="484"/>
      <c r="AA101" s="484"/>
      <c r="AB101" s="484"/>
      <c r="AC101" s="150">
        <f t="shared" si="47"/>
        <v>3430.0000000000005</v>
      </c>
      <c r="AD101" s="150"/>
      <c r="AE101" s="150">
        <f t="shared" si="36"/>
        <v>0</v>
      </c>
      <c r="AF101" s="161">
        <v>1240</v>
      </c>
      <c r="AG101" s="143">
        <v>70</v>
      </c>
      <c r="AH101" s="278">
        <v>2000</v>
      </c>
      <c r="AI101" s="144">
        <v>64</v>
      </c>
      <c r="AJ101" s="154">
        <v>500</v>
      </c>
      <c r="AK101" s="489" t="s">
        <v>81</v>
      </c>
      <c r="AL101" s="220" t="s">
        <v>537</v>
      </c>
      <c r="AM101" s="140"/>
      <c r="AN101" s="154"/>
      <c r="AO101" s="154"/>
      <c r="AP101" s="220"/>
      <c r="AQ101" s="145">
        <v>960</v>
      </c>
      <c r="AR101" s="278">
        <v>5000</v>
      </c>
      <c r="AS101" s="496" t="s">
        <v>1078</v>
      </c>
      <c r="AT101" s="220" t="s">
        <v>538</v>
      </c>
      <c r="AU101" s="140"/>
      <c r="AV101" s="277"/>
      <c r="AW101" s="277"/>
      <c r="AX101" s="277"/>
      <c r="AY101" s="140"/>
      <c r="AZ101" s="277"/>
      <c r="BA101" s="277"/>
      <c r="BB101" s="277"/>
      <c r="BC101" s="140"/>
      <c r="BD101" s="277"/>
      <c r="BE101" s="277"/>
      <c r="BF101" s="277"/>
      <c r="BG101" s="140"/>
      <c r="BH101" s="277"/>
      <c r="BI101" s="277"/>
      <c r="BJ101" s="277"/>
      <c r="BK101" s="140"/>
      <c r="BL101" s="277"/>
      <c r="BM101" s="277"/>
      <c r="BN101" s="277"/>
      <c r="BO101" s="140"/>
      <c r="BP101" s="277"/>
      <c r="BQ101" s="277"/>
      <c r="BR101" s="277"/>
      <c r="BS101" s="140"/>
      <c r="BT101" s="277"/>
      <c r="BU101" s="277"/>
      <c r="BV101" s="277"/>
      <c r="BW101" s="140"/>
      <c r="BX101" s="154"/>
      <c r="BY101" s="154"/>
      <c r="BZ101" s="220"/>
      <c r="CA101" s="140"/>
      <c r="CB101" s="154"/>
      <c r="CC101" s="154"/>
      <c r="CD101" s="220"/>
      <c r="CE101" s="493">
        <v>25</v>
      </c>
      <c r="CF101" s="154">
        <v>1000</v>
      </c>
      <c r="CG101" s="493" t="s">
        <v>345</v>
      </c>
      <c r="CH101" s="154" t="s">
        <v>345</v>
      </c>
      <c r="CI101" s="493">
        <v>25</v>
      </c>
      <c r="CJ101" s="154">
        <v>1000</v>
      </c>
      <c r="CK101" s="493" t="s">
        <v>345</v>
      </c>
      <c r="CL101" s="154" t="s">
        <v>345</v>
      </c>
      <c r="CM101" s="140"/>
      <c r="CN101" s="271"/>
      <c r="CO101" s="271"/>
      <c r="CP101" s="271"/>
      <c r="CQ101" s="140"/>
      <c r="CR101" s="154"/>
      <c r="CS101" s="154"/>
      <c r="CT101" s="154"/>
      <c r="CU101" s="140"/>
      <c r="CV101" s="154"/>
      <c r="CW101" s="154"/>
      <c r="CX101" s="220"/>
      <c r="CY101" s="140"/>
      <c r="CZ101" s="154"/>
      <c r="DA101" s="154"/>
      <c r="DB101" s="220"/>
      <c r="DC101" s="140"/>
      <c r="DD101" s="146"/>
      <c r="DE101" s="146"/>
      <c r="DF101" s="146"/>
      <c r="DG101" s="140"/>
      <c r="DH101" s="146"/>
      <c r="DI101" s="146"/>
      <c r="DJ101" s="146"/>
      <c r="DK101" s="146"/>
      <c r="DL101" s="146"/>
      <c r="DM101" s="146"/>
      <c r="DN101" s="146"/>
      <c r="DO101" s="146"/>
      <c r="DP101" s="146"/>
      <c r="DQ101" s="146"/>
      <c r="DR101" s="146"/>
      <c r="DS101" s="140"/>
      <c r="DT101" s="154"/>
      <c r="DU101" s="154"/>
      <c r="DV101" s="154"/>
      <c r="DW101" s="140"/>
      <c r="DX101" s="220"/>
      <c r="DY101" s="220"/>
      <c r="DZ101" s="220"/>
      <c r="EA101" s="140"/>
      <c r="EB101" s="147"/>
      <c r="EC101" s="147"/>
      <c r="ED101" s="147"/>
      <c r="EE101" s="493">
        <v>14</v>
      </c>
      <c r="EF101" s="154">
        <v>1000</v>
      </c>
      <c r="EG101" s="493" t="s">
        <v>345</v>
      </c>
      <c r="EH101" s="154" t="s">
        <v>345</v>
      </c>
      <c r="EI101" s="493">
        <v>14</v>
      </c>
      <c r="EJ101" s="154">
        <v>1000</v>
      </c>
      <c r="EK101" s="493" t="s">
        <v>345</v>
      </c>
      <c r="EL101" s="497" t="s">
        <v>345</v>
      </c>
      <c r="EM101" s="140"/>
      <c r="EN101" s="148"/>
      <c r="EO101" s="148"/>
      <c r="EP101" s="148"/>
      <c r="EQ101" s="140"/>
      <c r="ER101" s="148"/>
      <c r="ES101" s="148"/>
      <c r="ET101" s="148"/>
      <c r="EU101" s="140"/>
      <c r="EV101" s="148"/>
      <c r="EW101" s="148"/>
      <c r="EX101" s="148"/>
      <c r="EY101" s="344"/>
      <c r="EZ101" s="148"/>
      <c r="FA101" s="148"/>
      <c r="FB101" s="148"/>
      <c r="FC101" s="273"/>
      <c r="FD101" s="149"/>
      <c r="FE101" s="149"/>
      <c r="FF101" s="276"/>
      <c r="FG101" s="156"/>
      <c r="FH101" s="156"/>
      <c r="FI101" s="156"/>
      <c r="FJ101" s="140"/>
      <c r="FK101" s="277"/>
      <c r="FL101" s="277"/>
      <c r="FM101" s="277"/>
      <c r="FN101" s="140"/>
      <c r="FO101" s="277"/>
      <c r="FP101" s="277"/>
      <c r="FQ101" s="277"/>
      <c r="FR101" s="280"/>
      <c r="FS101" s="277"/>
      <c r="FT101" s="277"/>
      <c r="FU101" s="277"/>
      <c r="FV101" s="277"/>
      <c r="FW101" s="277"/>
      <c r="FX101" s="277"/>
      <c r="FY101" s="277"/>
      <c r="FZ101" s="277"/>
      <c r="GA101" s="277"/>
      <c r="GB101" s="277"/>
      <c r="GC101" s="277"/>
      <c r="GD101" s="277"/>
      <c r="GE101" s="277"/>
      <c r="GF101" s="277"/>
      <c r="GG101" s="277"/>
      <c r="GH101" s="277"/>
      <c r="GI101" s="277"/>
      <c r="GJ101" s="277"/>
      <c r="GK101" s="277"/>
      <c r="GL101" s="277"/>
      <c r="GM101" s="277"/>
      <c r="GN101" s="277"/>
      <c r="GO101" s="277"/>
      <c r="GP101" s="277"/>
      <c r="GQ101" s="277"/>
      <c r="GR101" s="277"/>
      <c r="GS101" s="277"/>
      <c r="GT101" s="277"/>
      <c r="GU101" s="277"/>
      <c r="GV101" s="277"/>
      <c r="GW101" s="277"/>
      <c r="GX101" s="277"/>
      <c r="GY101" s="277"/>
      <c r="GZ101" s="277"/>
      <c r="HA101" s="277"/>
      <c r="HB101" s="277"/>
      <c r="HC101" s="277"/>
      <c r="HD101" s="277"/>
      <c r="HE101" s="277"/>
      <c r="HF101" s="140"/>
      <c r="HG101" s="277"/>
      <c r="HH101" s="277"/>
      <c r="HI101" s="277"/>
      <c r="HJ101" s="140"/>
      <c r="HK101" s="277"/>
      <c r="HL101" s="277"/>
      <c r="HM101" s="277"/>
      <c r="HN101" s="140"/>
      <c r="HO101" s="277"/>
      <c r="HP101" s="277"/>
      <c r="HQ101" s="277"/>
      <c r="HR101" s="277"/>
      <c r="HS101" s="277"/>
      <c r="HT101" s="277"/>
      <c r="HU101" s="277"/>
      <c r="HV101" s="277"/>
      <c r="HW101" s="277"/>
      <c r="HX101" s="277"/>
      <c r="HY101" s="277"/>
      <c r="HZ101" s="140"/>
      <c r="IA101" s="277"/>
      <c r="IB101" s="277"/>
      <c r="IC101" s="277"/>
      <c r="ID101" s="140"/>
      <c r="IE101" s="277"/>
      <c r="IF101" s="277"/>
      <c r="IG101" s="277"/>
      <c r="IH101" s="140"/>
      <c r="II101" s="277"/>
      <c r="IJ101" s="277"/>
      <c r="IK101" s="277"/>
      <c r="IL101" s="140"/>
      <c r="IM101" s="277"/>
      <c r="IN101" s="277"/>
      <c r="IO101" s="277"/>
      <c r="IP101" s="277"/>
      <c r="IQ101" s="277"/>
      <c r="IR101" s="277"/>
      <c r="IS101" s="277"/>
      <c r="IT101" s="277"/>
      <c r="IU101" s="277"/>
      <c r="IV101" s="277"/>
      <c r="IW101" s="277"/>
      <c r="IX101" s="140"/>
      <c r="IY101" s="277"/>
      <c r="IZ101" s="277"/>
      <c r="JA101" s="277"/>
      <c r="JB101" s="140"/>
      <c r="JC101" s="277"/>
      <c r="JD101" s="277"/>
      <c r="JE101" s="277"/>
      <c r="JF101" s="140"/>
      <c r="JG101" s="277"/>
      <c r="JH101" s="277"/>
      <c r="JI101" s="140"/>
      <c r="JJ101" s="277"/>
      <c r="JK101" s="277"/>
      <c r="JL101" s="140"/>
      <c r="JM101" s="277"/>
      <c r="JN101" s="277"/>
      <c r="JO101" s="140"/>
      <c r="JP101" s="277"/>
      <c r="JQ101" s="277"/>
      <c r="JR101" s="277">
        <v>4.8</v>
      </c>
      <c r="JS101" s="277">
        <v>250</v>
      </c>
      <c r="JT101" s="489" t="s">
        <v>81</v>
      </c>
      <c r="JU101" s="277" t="s">
        <v>81</v>
      </c>
      <c r="JV101" s="277">
        <v>4.8</v>
      </c>
      <c r="JW101" s="277">
        <v>250</v>
      </c>
      <c r="JX101" s="489" t="s">
        <v>81</v>
      </c>
      <c r="JY101" s="277" t="s">
        <v>81</v>
      </c>
      <c r="JZ101" s="277"/>
      <c r="KA101" s="277"/>
      <c r="KB101" s="277"/>
      <c r="KC101" s="277"/>
      <c r="KD101" s="277"/>
      <c r="KE101" s="277"/>
      <c r="KF101" s="277"/>
      <c r="KG101" s="277"/>
      <c r="KH101" s="277"/>
      <c r="KI101" s="277"/>
      <c r="KJ101" s="277"/>
      <c r="KK101" s="277"/>
      <c r="KL101" s="277"/>
      <c r="KM101" s="277"/>
      <c r="KN101" s="277"/>
      <c r="KO101" s="277"/>
      <c r="KP101" s="274"/>
      <c r="KQ101" s="253"/>
      <c r="KR101" s="253"/>
      <c r="KY101" s="141">
        <f t="shared" si="37"/>
        <v>0</v>
      </c>
      <c r="KZ101" s="141">
        <f t="shared" si="38"/>
        <v>0</v>
      </c>
      <c r="LB101" s="141">
        <f t="shared" si="39"/>
        <v>1</v>
      </c>
      <c r="LC101" s="141">
        <f t="shared" si="40"/>
        <v>0</v>
      </c>
      <c r="LD101" s="141">
        <f t="shared" si="41"/>
        <v>1</v>
      </c>
      <c r="LE101" s="141" t="e">
        <f>((N(AU101)&gt;0)*(AX101&lt;&gt;"")+(N(AY101)&gt;0)*(BB101&lt;&gt;"")+(N(BC101)&gt;0)*(BF101&lt;&gt;"")+(N(BG101)&gt;0)*(BJ101&lt;&gt;"")+(N(BK101)&gt;0)*(BN101&lt;&gt;"")+(N(BO101)&gt;0)*(BR101&lt;&gt;"")+(N(BS101)&gt;0)*(BV101&lt;&gt;"")+(N(BW101)&gt;0)*(BZ101&lt;&gt;"")+(N(CA101)&gt;0)*(CD101&lt;&gt;"")+(N(CE101)&gt;0)*(CH101&lt;&gt;"")+(N(CI101)&gt;0)*(CL101&lt;&gt;"")+(N(CM101)&gt;0)*(CP101&lt;&gt;"")+(N(CQ101)&gt;0)*(CT101&lt;&gt;"")+(N(CU101)&gt;0)*(CX101&lt;&gt;"")+(N(CY101)&gt;0)*(DB101&lt;&gt;"")+(N(DC101)&gt;0)*(DF101&lt;&gt;"")+(N(DG101)&gt;0)*(DJ101&lt;&gt;"")+(N(DS101)&gt;0)*(DV101&lt;&gt;"")+(N(DW101)&gt;0)*(DZ101&lt;&gt;"")+(N(EA101)&gt;0)*(ED101&lt;&gt;"")+(N(EE101)&gt;0)*(EH101&lt;&gt;"")+(N(EI101)&gt;0)*(EL101&lt;&gt;"")+(N(EM101)&gt;0)*(EP101&lt;&gt;"")+(N(EQ101)&gt;0)*(ET101&lt;&gt;"")+(N(EU101)&gt;0)*(EX101&lt;&gt;"")+(N(#REF!)&gt;0)*(#REF!&lt;&gt;"")+(N(#REF!)&gt;0)*(#REF!&lt;&gt;"")+(N(FJ101)&gt;0)*(FM101&lt;&gt;"")+(N(FN101)&gt;0)*(FQ101&lt;&gt;"")+(N(#REF!)&gt;0)*(#REF!&lt;&gt;"")+(N(#REF!)&gt;0)*(#REF!&lt;&gt;"")+(N(HF101)&gt;0)*(HI101&lt;&gt;"")+(N(#REF!)&gt;0)*(#REF!&lt;&gt;"")+(N(HJ101)&gt;0)*(HM101&lt;&gt;"")+(N(HN101)&gt;0)*(HQ101&lt;&gt;"")+(N(HZ101)&gt;0)*(IC101&lt;&gt;"")+(N(ID101)&gt;0)*(IG101&lt;&gt;"")+(N(IH101)&gt;0)*(IK101&lt;&gt;"")+(N(IL101)&gt;0)*(IO101&lt;&gt;"")+(N(IX101)&gt;0)*(JA101&lt;&gt;"")+(N(JB101)&gt;0)*(JE101&lt;&gt;"")+(N(JF101)&gt;0)*(JH101&lt;&gt;"")+(N(JI101)&gt;0)*(JK101&lt;&gt;"")+(N(JL101)&gt;0)*(JN101&lt;&gt;"")+(N(JO101)&gt;0)*(JQ101&lt;&gt;""))</f>
        <v>#REF!</v>
      </c>
      <c r="LF101" s="141">
        <f t="shared" si="48"/>
        <v>0</v>
      </c>
      <c r="LG101" s="141">
        <f t="shared" si="42"/>
        <v>1</v>
      </c>
    </row>
    <row r="102" spans="1:319" ht="38.25" customHeight="1" x14ac:dyDescent="0.55000000000000004">
      <c r="A102" s="141" t="s">
        <v>199</v>
      </c>
      <c r="B102" s="506" t="s">
        <v>167</v>
      </c>
      <c r="C102" s="353">
        <v>4</v>
      </c>
      <c r="D102" s="396">
        <v>4</v>
      </c>
      <c r="E102" s="396">
        <v>4</v>
      </c>
      <c r="F102" s="162">
        <f>($AI$102/$AJ$102)*$L$102*C102</f>
        <v>1176</v>
      </c>
      <c r="G102" s="162">
        <f>($AI$102/$AJ$102)*$L$102*D102</f>
        <v>1176</v>
      </c>
      <c r="H102" s="162">
        <f>($AI$102/$AJ$102)*$L$102*E102</f>
        <v>1176</v>
      </c>
      <c r="I102" s="162" cm="1">
        <f t="array" ref="I102">SUMPRODUCT(($AI$2:$KV$2&lt;&gt;"")*($AI102:$KV102&lt;&gt;""))</f>
        <v>10</v>
      </c>
      <c r="J102" s="142">
        <f t="shared" si="43"/>
        <v>40</v>
      </c>
      <c r="K102" s="142">
        <f t="shared" si="44"/>
        <v>560</v>
      </c>
      <c r="L102" s="268">
        <f t="shared" ref="L102:L165" si="49">$L$1</f>
        <v>7000</v>
      </c>
      <c r="M102" s="164">
        <f t="shared" si="45"/>
        <v>6468</v>
      </c>
      <c r="N102" s="397"/>
      <c r="O102" s="165">
        <f t="shared" si="46"/>
        <v>17325</v>
      </c>
      <c r="P102" s="165"/>
      <c r="Q102" s="165"/>
      <c r="R102" s="165">
        <f>(IFERROR(AM102/AN102,0)+IFERROR(AU102/AV102,0)+IFERROR(AY102/AZ102,0)+IFERROR(BC102/BD102,0)+IFERROR(BG102/BH102,0)+IFERROR(BK102/BL102,0)+IFERROR(BO102/BP102,0)+IFERROR(BS102/BT102,0)+IFERROR(BW102/BX102,0)+IFERROR(CA102/CB102,0)+IFERROR(CE102/CF102,0)+IFERROR(CI102/CJ102,0)+IFERROR(CM102/CN102,0)+IFERROR(CQ102/CR102,0)+IFERROR(CU102/CV102,0)+IFERROR(CY102/CZ102,0)+IFERROR(DC102/DD102,0)+IFERROR(DG102/DH102,0)+IFERROR(DS102/DT102,0)+IFERROR(DW102/DX102,0)+IFERROR(EA102/EB102,0)+IFERROR(EE102/EF102,0)+IFERROR(EI102/EJ102,0)+IFERROR(EM102/EN102,0)+IFERROR(EQ102/ER102,0)+IFERROR(EU102/EV102,0)+IFERROR(#REF!/#REF!,0)+IFERROR(#REF!/#REF!,0)+IFERROR(FJ102/FK102,0)+IFERROR(FN102/FO102,0)+IFERROR(#REF!/#REF!,0)+IFERROR(#REF!/#REF!,0)+IFERROR(HF102/HG102,0)+IFERROR(#REF!/#REF!,0)+IFERROR(HJ102/HK102,0)+IFERROR(HN102/HO102,0)+IFERROR(HZ102/IA102,0)+IFERROR(ID102/IE102,0)+IFERROR(IH102/II102,0)+IFERROR(IL102/IM102,0)+IFERROR(IX102/IY102,0)+IFERROR(JB102/JC102,0)+IFERROR(JF102/JG102,0)+IFERROR(JI102/JJ102,0)+IFERROR(JL102/JM102,0)+IFERROR(JO102/JP102,0))*L102*(C102+D102+E102+I102)</f>
        <v>18326</v>
      </c>
      <c r="S102" s="165"/>
      <c r="T102" s="165">
        <f t="shared" si="35"/>
        <v>0</v>
      </c>
      <c r="U102" s="165"/>
      <c r="V102" s="165"/>
      <c r="W102" s="165"/>
      <c r="X102" s="165">
        <f>(IFERROR(FF102/FG102,0)+IFERROR(FC102/FD102,0)+IFERROR(#REF!/#REF!,0)+IFERROR(KP102/KQ102,0))*L102*(C102+D102+E102+I102)</f>
        <v>0</v>
      </c>
      <c r="Y102" s="484"/>
      <c r="Z102" s="484"/>
      <c r="AA102" s="484"/>
      <c r="AB102" s="484"/>
      <c r="AC102" s="150">
        <f t="shared" si="47"/>
        <v>3080</v>
      </c>
      <c r="AD102" s="150"/>
      <c r="AE102" s="150">
        <f t="shared" si="36"/>
        <v>0</v>
      </c>
      <c r="AF102" s="161">
        <v>348</v>
      </c>
      <c r="AG102" s="143">
        <v>40</v>
      </c>
      <c r="AH102" s="154">
        <v>2000</v>
      </c>
      <c r="AI102" s="144">
        <v>21</v>
      </c>
      <c r="AJ102" s="154">
        <v>500</v>
      </c>
      <c r="AK102" s="489" t="s">
        <v>81</v>
      </c>
      <c r="AL102" s="220" t="s">
        <v>541</v>
      </c>
      <c r="AM102" s="490">
        <v>27</v>
      </c>
      <c r="AN102" s="154">
        <v>2000</v>
      </c>
      <c r="AO102" s="490" t="s">
        <v>82</v>
      </c>
      <c r="AP102" s="220" t="s">
        <v>539</v>
      </c>
      <c r="AQ102" s="145">
        <v>225</v>
      </c>
      <c r="AR102" s="154">
        <v>2000</v>
      </c>
      <c r="AS102" s="496" t="s">
        <v>1078</v>
      </c>
      <c r="AT102" s="220" t="s">
        <v>540</v>
      </c>
      <c r="AU102" s="140"/>
      <c r="AV102" s="277"/>
      <c r="AW102" s="277"/>
      <c r="AX102" s="277"/>
      <c r="AY102" s="140"/>
      <c r="AZ102" s="277"/>
      <c r="BA102" s="277"/>
      <c r="BB102" s="277"/>
      <c r="BC102" s="140"/>
      <c r="BD102" s="277"/>
      <c r="BE102" s="277"/>
      <c r="BF102" s="277"/>
      <c r="BG102" s="493">
        <v>12.5</v>
      </c>
      <c r="BH102" s="277">
        <v>1000</v>
      </c>
      <c r="BI102" s="493" t="s">
        <v>345</v>
      </c>
      <c r="BJ102" s="277" t="s">
        <v>1112</v>
      </c>
      <c r="BK102" s="140"/>
      <c r="BL102" s="277"/>
      <c r="BM102" s="277"/>
      <c r="BN102" s="277"/>
      <c r="BO102" s="140"/>
      <c r="BP102" s="277"/>
      <c r="BQ102" s="277"/>
      <c r="BR102" s="277"/>
      <c r="BS102" s="140"/>
      <c r="BT102" s="277"/>
      <c r="BU102" s="277"/>
      <c r="BV102" s="277"/>
      <c r="BW102" s="140"/>
      <c r="BX102" s="154"/>
      <c r="BY102" s="154"/>
      <c r="BZ102" s="220"/>
      <c r="CA102" s="140"/>
      <c r="CB102" s="154"/>
      <c r="CC102" s="154"/>
      <c r="CD102" s="220"/>
      <c r="CE102" s="493">
        <v>6.5</v>
      </c>
      <c r="CF102" s="154">
        <v>1000</v>
      </c>
      <c r="CG102" s="493" t="s">
        <v>345</v>
      </c>
      <c r="CH102" s="154" t="s">
        <v>1113</v>
      </c>
      <c r="CI102" s="493">
        <v>6.5</v>
      </c>
      <c r="CJ102" s="154">
        <v>1000</v>
      </c>
      <c r="CK102" s="493" t="s">
        <v>345</v>
      </c>
      <c r="CL102" s="154" t="s">
        <v>1113</v>
      </c>
      <c r="CM102" s="493">
        <v>6.5</v>
      </c>
      <c r="CN102" s="154">
        <v>1000</v>
      </c>
      <c r="CO102" s="493" t="s">
        <v>345</v>
      </c>
      <c r="CP102" s="154" t="s">
        <v>1113</v>
      </c>
      <c r="CQ102" s="493">
        <v>6.5</v>
      </c>
      <c r="CR102" s="154">
        <v>1000</v>
      </c>
      <c r="CS102" s="493" t="s">
        <v>345</v>
      </c>
      <c r="CT102" s="154" t="s">
        <v>1113</v>
      </c>
      <c r="CU102" s="140"/>
      <c r="CV102" s="154"/>
      <c r="CW102" s="154"/>
      <c r="CX102" s="220"/>
      <c r="CY102" s="140"/>
      <c r="CZ102" s="154"/>
      <c r="DA102" s="154"/>
      <c r="DB102" s="220"/>
      <c r="DC102" s="493">
        <v>33.5</v>
      </c>
      <c r="DD102" s="154">
        <v>1000</v>
      </c>
      <c r="DE102" s="493" t="s">
        <v>345</v>
      </c>
      <c r="DF102" s="154" t="s">
        <v>542</v>
      </c>
      <c r="DG102" s="493">
        <v>33.5</v>
      </c>
      <c r="DH102" s="154">
        <v>1000</v>
      </c>
      <c r="DI102" s="493" t="s">
        <v>345</v>
      </c>
      <c r="DJ102" s="154" t="s">
        <v>542</v>
      </c>
      <c r="DK102" s="154"/>
      <c r="DL102" s="154"/>
      <c r="DM102" s="154"/>
      <c r="DN102" s="154"/>
      <c r="DO102" s="154"/>
      <c r="DP102" s="154"/>
      <c r="DQ102" s="154"/>
      <c r="DR102" s="154"/>
      <c r="DS102" s="140"/>
      <c r="DT102" s="154"/>
      <c r="DU102" s="154"/>
      <c r="DV102" s="154"/>
      <c r="DW102" s="140"/>
      <c r="DX102" s="220"/>
      <c r="DY102" s="220"/>
      <c r="DZ102" s="220"/>
      <c r="EA102" s="140"/>
      <c r="EB102" s="220"/>
      <c r="EC102" s="220"/>
      <c r="ED102" s="220"/>
      <c r="EE102" s="140"/>
      <c r="EF102" s="154"/>
      <c r="EG102" s="154"/>
      <c r="EH102" s="154"/>
      <c r="EI102" s="140"/>
      <c r="EJ102" s="154"/>
      <c r="EK102" s="154"/>
      <c r="EL102" s="154"/>
      <c r="EM102" s="140"/>
      <c r="EN102" s="222"/>
      <c r="EO102" s="222"/>
      <c r="EP102" s="222"/>
      <c r="EQ102" s="140"/>
      <c r="ER102" s="222"/>
      <c r="ES102" s="222"/>
      <c r="ET102" s="222"/>
      <c r="EU102" s="140"/>
      <c r="EV102" s="222"/>
      <c r="EW102" s="222"/>
      <c r="EX102" s="222"/>
      <c r="EY102" s="344"/>
      <c r="EZ102" s="222"/>
      <c r="FA102" s="222"/>
      <c r="FB102" s="222"/>
      <c r="FC102" s="273"/>
      <c r="FD102" s="223"/>
      <c r="FE102" s="223"/>
      <c r="FF102" s="276"/>
      <c r="FG102" s="156"/>
      <c r="FH102" s="156"/>
      <c r="FI102" s="156"/>
      <c r="FJ102" s="140"/>
      <c r="FK102" s="277"/>
      <c r="FL102" s="277"/>
      <c r="FM102" s="277"/>
      <c r="FN102" s="140"/>
      <c r="FO102" s="277"/>
      <c r="FP102" s="277"/>
      <c r="FQ102" s="277"/>
      <c r="FR102" s="280"/>
      <c r="FS102" s="277"/>
      <c r="FT102" s="277"/>
      <c r="FU102" s="277"/>
      <c r="FV102" s="277"/>
      <c r="FW102" s="277"/>
      <c r="FX102" s="277"/>
      <c r="FY102" s="277"/>
      <c r="FZ102" s="277"/>
      <c r="GA102" s="277"/>
      <c r="GB102" s="277"/>
      <c r="GC102" s="277"/>
      <c r="GD102" s="277"/>
      <c r="GE102" s="277"/>
      <c r="GF102" s="277"/>
      <c r="GG102" s="277"/>
      <c r="GH102" s="277"/>
      <c r="GI102" s="277"/>
      <c r="GJ102" s="277"/>
      <c r="GK102" s="277"/>
      <c r="GL102" s="277"/>
      <c r="GM102" s="277"/>
      <c r="GN102" s="277"/>
      <c r="GO102" s="277"/>
      <c r="GP102" s="277"/>
      <c r="GQ102" s="277"/>
      <c r="GR102" s="277"/>
      <c r="GS102" s="277"/>
      <c r="GT102" s="277"/>
      <c r="GU102" s="277"/>
      <c r="GV102" s="277"/>
      <c r="GW102" s="277"/>
      <c r="GX102" s="277"/>
      <c r="GY102" s="277"/>
      <c r="GZ102" s="277"/>
      <c r="HA102" s="277"/>
      <c r="HB102" s="277"/>
      <c r="HC102" s="277"/>
      <c r="HD102" s="277"/>
      <c r="HE102" s="277"/>
      <c r="HF102" s="140"/>
      <c r="HG102" s="277"/>
      <c r="HH102" s="277"/>
      <c r="HI102" s="277"/>
      <c r="HJ102" s="140"/>
      <c r="HK102" s="277"/>
      <c r="HL102" s="277"/>
      <c r="HM102" s="277"/>
      <c r="HN102" s="140"/>
      <c r="HO102" s="277"/>
      <c r="HP102" s="277"/>
      <c r="HQ102" s="277"/>
      <c r="HR102" s="277"/>
      <c r="HS102" s="277"/>
      <c r="HT102" s="277"/>
      <c r="HU102" s="277"/>
      <c r="HV102" s="277"/>
      <c r="HW102" s="277"/>
      <c r="HX102" s="277"/>
      <c r="HY102" s="277"/>
      <c r="HZ102" s="140"/>
      <c r="IA102" s="277"/>
      <c r="IB102" s="277"/>
      <c r="IC102" s="277"/>
      <c r="ID102" s="140"/>
      <c r="IE102" s="277"/>
      <c r="IF102" s="277"/>
      <c r="IG102" s="277"/>
      <c r="IH102" s="140"/>
      <c r="II102" s="277"/>
      <c r="IJ102" s="277"/>
      <c r="IK102" s="277"/>
      <c r="IL102" s="140"/>
      <c r="IM102" s="277"/>
      <c r="IN102" s="277"/>
      <c r="IO102" s="277"/>
      <c r="IP102" s="277"/>
      <c r="IQ102" s="277"/>
      <c r="IR102" s="277"/>
      <c r="IS102" s="277"/>
      <c r="IT102" s="277"/>
      <c r="IU102" s="277"/>
      <c r="IV102" s="277"/>
      <c r="IW102" s="277"/>
      <c r="IX102" s="140"/>
      <c r="IY102" s="277"/>
      <c r="IZ102" s="277"/>
      <c r="JA102" s="277"/>
      <c r="JB102" s="140"/>
      <c r="JC102" s="277"/>
      <c r="JD102" s="277"/>
      <c r="JE102" s="277"/>
      <c r="JF102" s="140"/>
      <c r="JG102" s="277"/>
      <c r="JH102" s="277"/>
      <c r="JI102" s="140"/>
      <c r="JJ102" s="277"/>
      <c r="JK102" s="277"/>
      <c r="JL102" s="140"/>
      <c r="JM102" s="277"/>
      <c r="JN102" s="277"/>
      <c r="JO102" s="140"/>
      <c r="JP102" s="277"/>
      <c r="JQ102" s="277"/>
      <c r="JR102" s="277"/>
      <c r="JS102" s="277"/>
      <c r="JT102" s="277"/>
      <c r="JU102" s="277"/>
      <c r="JV102" s="277"/>
      <c r="JW102" s="277"/>
      <c r="JX102" s="277"/>
      <c r="JY102" s="277"/>
      <c r="JZ102" s="277"/>
      <c r="KA102" s="277"/>
      <c r="KB102" s="277"/>
      <c r="KC102" s="277"/>
      <c r="KD102" s="277"/>
      <c r="KE102" s="277"/>
      <c r="KF102" s="277"/>
      <c r="KG102" s="277"/>
      <c r="KH102" s="277"/>
      <c r="KI102" s="277"/>
      <c r="KJ102" s="277"/>
      <c r="KK102" s="277"/>
      <c r="KL102" s="277"/>
      <c r="KM102" s="277"/>
      <c r="KN102" s="277"/>
      <c r="KO102" s="277"/>
      <c r="KP102" s="274"/>
      <c r="KQ102" s="253"/>
      <c r="KR102" s="253"/>
      <c r="KY102" s="141">
        <f t="shared" si="37"/>
        <v>0</v>
      </c>
      <c r="KZ102" s="141">
        <f t="shared" si="38"/>
        <v>0</v>
      </c>
      <c r="LB102" s="141">
        <f t="shared" si="39"/>
        <v>1</v>
      </c>
      <c r="LC102" s="141">
        <f t="shared" si="40"/>
        <v>1</v>
      </c>
      <c r="LD102" s="141">
        <f t="shared" si="41"/>
        <v>1</v>
      </c>
      <c r="LE102" s="141" t="e">
        <f>((N(AU102)&gt;0)*(AX102&lt;&gt;"")+(N(AY102)&gt;0)*(BB102&lt;&gt;"")+(N(BC102)&gt;0)*(BF102&lt;&gt;"")+(N(BG102)&gt;0)*(BJ102&lt;&gt;"")+(N(BK102)&gt;0)*(BN102&lt;&gt;"")+(N(BO102)&gt;0)*(BR102&lt;&gt;"")+(N(BS102)&gt;0)*(BV102&lt;&gt;"")+(N(BW102)&gt;0)*(BZ102&lt;&gt;"")+(N(CA102)&gt;0)*(CD102&lt;&gt;"")+(N(CE102)&gt;0)*(CH102&lt;&gt;"")+(N(CI102)&gt;0)*(CL102&lt;&gt;"")+(N(CM102)&gt;0)*(CP102&lt;&gt;"")+(N(CQ102)&gt;0)*(CT102&lt;&gt;"")+(N(CU102)&gt;0)*(CX102&lt;&gt;"")+(N(CY102)&gt;0)*(DB102&lt;&gt;"")+(N(DC102)&gt;0)*(DF102&lt;&gt;"")+(N(DG102)&gt;0)*(DJ102&lt;&gt;"")+(N(DS102)&gt;0)*(DV102&lt;&gt;"")+(N(DW102)&gt;0)*(DZ102&lt;&gt;"")+(N(EA102)&gt;0)*(ED102&lt;&gt;"")+(N(EE102)&gt;0)*(EH102&lt;&gt;"")+(N(EI102)&gt;0)*(EL102&lt;&gt;"")+(N(EM102)&gt;0)*(EP102&lt;&gt;"")+(N(EQ102)&gt;0)*(ET102&lt;&gt;"")+(N(EU102)&gt;0)*(EX102&lt;&gt;"")+(N(#REF!)&gt;0)*(#REF!&lt;&gt;"")+(N(#REF!)&gt;0)*(#REF!&lt;&gt;"")+(N(FJ102)&gt;0)*(FM102&lt;&gt;"")+(N(FN102)&gt;0)*(FQ102&lt;&gt;"")+(N(#REF!)&gt;0)*(#REF!&lt;&gt;"")+(N(#REF!)&gt;0)*(#REF!&lt;&gt;"")+(N(HF102)&gt;0)*(HI102&lt;&gt;"")+(N(#REF!)&gt;0)*(#REF!&lt;&gt;"")+(N(HJ102)&gt;0)*(HM102&lt;&gt;"")+(N(HN102)&gt;0)*(HQ102&lt;&gt;"")+(N(HZ102)&gt;0)*(IC102&lt;&gt;"")+(N(ID102)&gt;0)*(IG102&lt;&gt;"")+(N(IH102)&gt;0)*(IK102&lt;&gt;"")+(N(IL102)&gt;0)*(IO102&lt;&gt;"")+(N(IX102)&gt;0)*(JA102&lt;&gt;"")+(N(JB102)&gt;0)*(JE102&lt;&gt;"")+(N(JF102)&gt;0)*(JH102&lt;&gt;"")+(N(JI102)&gt;0)*(JK102&lt;&gt;"")+(N(JL102)&gt;0)*(JN102&lt;&gt;"")+(N(JO102)&gt;0)*(JQ102&lt;&gt;""))</f>
        <v>#REF!</v>
      </c>
      <c r="LF102" s="141">
        <f t="shared" si="48"/>
        <v>0</v>
      </c>
      <c r="LG102" s="141">
        <f t="shared" si="42"/>
        <v>1</v>
      </c>
    </row>
    <row r="103" spans="1:319" ht="38.25" customHeight="1" x14ac:dyDescent="0.55000000000000004">
      <c r="B103" s="506" t="s">
        <v>165</v>
      </c>
      <c r="C103" s="353">
        <v>3</v>
      </c>
      <c r="D103" s="396">
        <v>3</v>
      </c>
      <c r="E103" s="396">
        <v>3</v>
      </c>
      <c r="F103" s="162">
        <f>($AI$103/$AJ$103)*$L$103*C103</f>
        <v>3864</v>
      </c>
      <c r="G103" s="162">
        <f>($AI$103/$AJ$103)*$L$103*D103</f>
        <v>3864</v>
      </c>
      <c r="H103" s="162">
        <f>($AI$103/$AJ$103)*$L$103*E103</f>
        <v>3864</v>
      </c>
      <c r="I103" s="162" cm="1">
        <f t="array" ref="I103">SUMPRODUCT(($AI$2:$KV$2&lt;&gt;"")*($AI103:$KV103&lt;&gt;""))</f>
        <v>6</v>
      </c>
      <c r="J103" s="142">
        <f t="shared" si="43"/>
        <v>18</v>
      </c>
      <c r="K103" s="142">
        <f t="shared" si="44"/>
        <v>252</v>
      </c>
      <c r="L103" s="268">
        <f t="shared" si="49"/>
        <v>7000</v>
      </c>
      <c r="M103" s="164">
        <f t="shared" si="45"/>
        <v>19320</v>
      </c>
      <c r="N103" s="397"/>
      <c r="O103" s="165">
        <f t="shared" si="46"/>
        <v>14280.000000000002</v>
      </c>
      <c r="P103" s="165"/>
      <c r="Q103" s="165"/>
      <c r="R103" s="165">
        <f>(IFERROR(AM103/AN103,0)+IFERROR(AU103/AV103,0)+IFERROR(AY103/AZ103,0)+IFERROR(BC103/BD103,0)+IFERROR(BG103/BH103,0)+IFERROR(BK103/BL103,0)+IFERROR(BO103/BP103,0)+IFERROR(BS103/BT103,0)+IFERROR(BW103/BX103,0)+IFERROR(CA103/CB103,0)+IFERROR(CE103/CF103,0)+IFERROR(CI103/CJ103,0)+IFERROR(CM103/CN103,0)+IFERROR(CQ103/CR103,0)+IFERROR(CU103/CV103,0)+IFERROR(CY103/CZ103,0)+IFERROR(DC103/DD103,0)+IFERROR(DG103/DH103,0)+IFERROR(DS103/DT103,0)+IFERROR(DW103/DX103,0)+IFERROR(EA103/EB103,0)+IFERROR(EE103/EF103,0)+IFERROR(EI103/EJ103,0)+IFERROR(EM103/EN103,0)+IFERROR(EQ103/ER103,0)+IFERROR(EU103/EV103,0)+IFERROR(#REF!/#REF!,0)+IFERROR(#REF!/#REF!,0)+IFERROR(FJ103/FK103,0)+IFERROR(FN103/FO103,0)+IFERROR(#REF!/#REF!,0)+IFERROR(#REF!/#REF!,0)+IFERROR(HF103/HG103,0)+IFERROR(#REF!/#REF!,0)+IFERROR(HJ103/HK103,0)+IFERROR(HN103/HO103,0)+IFERROR(HZ103/IA103,0)+IFERROR(ID103/IE103,0)+IFERROR(IH103/II103,0)+IFERROR(IL103/IM103,0)+IFERROR(IX103/IY103,0)+IFERROR(JB103/JC103,0)+IFERROR(JF103/JG103,0)+IFERROR(JI103/JJ103,0)+IFERROR(JL103/JM103,0)+IFERROR(JO103/JP103,0))*L103*(C103+D103+E103+I103)</f>
        <v>7140.0000000000009</v>
      </c>
      <c r="S103" s="165"/>
      <c r="T103" s="165">
        <f t="shared" si="35"/>
        <v>0</v>
      </c>
      <c r="U103" s="165"/>
      <c r="V103" s="165"/>
      <c r="W103" s="165"/>
      <c r="X103" s="165">
        <f>(IFERROR(FF103/FG103,0)+IFERROR(FC103/FD103,0)+IFERROR(#REF!/#REF!,0)+IFERROR(KP103/KQ103,0))*L103*(C103+D103+E103+I103)</f>
        <v>0</v>
      </c>
      <c r="Y103" s="484"/>
      <c r="Z103" s="484"/>
      <c r="AA103" s="484"/>
      <c r="AB103" s="484"/>
      <c r="AC103" s="150">
        <f t="shared" si="47"/>
        <v>3779.9999999999995</v>
      </c>
      <c r="AD103" s="150"/>
      <c r="AE103" s="150">
        <f t="shared" si="36"/>
        <v>0</v>
      </c>
      <c r="AF103" s="161">
        <v>900</v>
      </c>
      <c r="AG103" s="143">
        <v>72</v>
      </c>
      <c r="AH103" s="154">
        <v>2000</v>
      </c>
      <c r="AI103" s="144">
        <v>46</v>
      </c>
      <c r="AJ103" s="154">
        <v>250</v>
      </c>
      <c r="AK103" s="489" t="s">
        <v>81</v>
      </c>
      <c r="AL103" s="220" t="s">
        <v>537</v>
      </c>
      <c r="AM103" s="140"/>
      <c r="AN103" s="154"/>
      <c r="AO103" s="154"/>
      <c r="AP103" s="220"/>
      <c r="AQ103" s="145">
        <v>680</v>
      </c>
      <c r="AR103" s="154">
        <v>5000</v>
      </c>
      <c r="AS103" s="496" t="s">
        <v>1078</v>
      </c>
      <c r="AT103" s="154" t="s">
        <v>1107</v>
      </c>
      <c r="AU103" s="140"/>
      <c r="AV103" s="277"/>
      <c r="AW103" s="277"/>
      <c r="AX103" s="277"/>
      <c r="AY103" s="140"/>
      <c r="AZ103" s="277"/>
      <c r="BA103" s="277"/>
      <c r="BB103" s="277"/>
      <c r="BC103" s="140"/>
      <c r="BD103" s="277"/>
      <c r="BE103" s="277"/>
      <c r="BF103" s="277"/>
      <c r="BG103" s="140"/>
      <c r="BH103" s="277"/>
      <c r="BI103" s="277"/>
      <c r="BJ103" s="277"/>
      <c r="BK103" s="140"/>
      <c r="BL103" s="277"/>
      <c r="BM103" s="277"/>
      <c r="BN103" s="277"/>
      <c r="BO103" s="140"/>
      <c r="BP103" s="277"/>
      <c r="BQ103" s="277"/>
      <c r="BR103" s="277"/>
      <c r="BS103" s="140"/>
      <c r="BT103" s="277"/>
      <c r="BU103" s="277"/>
      <c r="BV103" s="277"/>
      <c r="BW103" s="140"/>
      <c r="BX103" s="154"/>
      <c r="BY103" s="154"/>
      <c r="BZ103" s="220"/>
      <c r="CA103" s="140"/>
      <c r="CB103" s="154"/>
      <c r="CC103" s="154"/>
      <c r="CD103" s="220"/>
      <c r="CE103" s="493">
        <v>20</v>
      </c>
      <c r="CF103" s="154">
        <v>1000</v>
      </c>
      <c r="CG103" s="493" t="s">
        <v>345</v>
      </c>
      <c r="CH103" s="154" t="s">
        <v>345</v>
      </c>
      <c r="CI103" s="493">
        <v>20</v>
      </c>
      <c r="CJ103" s="154">
        <v>1000</v>
      </c>
      <c r="CK103" s="493" t="s">
        <v>345</v>
      </c>
      <c r="CL103" s="154" t="s">
        <v>345</v>
      </c>
      <c r="CM103" s="140"/>
      <c r="CN103" s="271"/>
      <c r="CO103" s="271"/>
      <c r="CP103" s="271"/>
      <c r="CQ103" s="140"/>
      <c r="CR103" s="154"/>
      <c r="CS103" s="154"/>
      <c r="CT103" s="154"/>
      <c r="CU103" s="140"/>
      <c r="CV103" s="154"/>
      <c r="CW103" s="154"/>
      <c r="CX103" s="220"/>
      <c r="CY103" s="140"/>
      <c r="CZ103" s="154"/>
      <c r="DA103" s="154"/>
      <c r="DB103" s="220"/>
      <c r="DC103" s="140"/>
      <c r="DD103" s="146"/>
      <c r="DE103" s="146"/>
      <c r="DF103" s="146"/>
      <c r="DG103" s="140"/>
      <c r="DH103" s="146"/>
      <c r="DI103" s="146"/>
      <c r="DJ103" s="146"/>
      <c r="DK103" s="146"/>
      <c r="DL103" s="146"/>
      <c r="DM103" s="146"/>
      <c r="DN103" s="146"/>
      <c r="DO103" s="146"/>
      <c r="DP103" s="146"/>
      <c r="DQ103" s="146"/>
      <c r="DR103" s="146"/>
      <c r="DS103" s="140"/>
      <c r="DT103" s="154"/>
      <c r="DU103" s="154"/>
      <c r="DV103" s="154"/>
      <c r="DW103" s="140"/>
      <c r="DX103" s="220"/>
      <c r="DY103" s="220"/>
      <c r="DZ103" s="220"/>
      <c r="EA103" s="140"/>
      <c r="EB103" s="147"/>
      <c r="EC103" s="147"/>
      <c r="ED103" s="147"/>
      <c r="EE103" s="493">
        <v>14</v>
      </c>
      <c r="EF103" s="154">
        <v>1000</v>
      </c>
      <c r="EG103" s="493" t="s">
        <v>345</v>
      </c>
      <c r="EH103" s="154" t="s">
        <v>345</v>
      </c>
      <c r="EI103" s="493">
        <v>14</v>
      </c>
      <c r="EJ103" s="154">
        <v>1000</v>
      </c>
      <c r="EK103" s="493" t="s">
        <v>345</v>
      </c>
      <c r="EL103" s="497" t="s">
        <v>345</v>
      </c>
      <c r="EM103" s="140"/>
      <c r="EN103" s="148"/>
      <c r="EO103" s="148"/>
      <c r="EP103" s="148"/>
      <c r="EQ103" s="140"/>
      <c r="ER103" s="148"/>
      <c r="ES103" s="148"/>
      <c r="ET103" s="148"/>
      <c r="EU103" s="140"/>
      <c r="EV103" s="148"/>
      <c r="EW103" s="148"/>
      <c r="EX103" s="148"/>
      <c r="EY103" s="344"/>
      <c r="EZ103" s="148"/>
      <c r="FA103" s="148"/>
      <c r="FB103" s="148"/>
      <c r="FC103" s="273"/>
      <c r="FD103" s="149"/>
      <c r="FE103" s="149"/>
      <c r="FF103" s="276"/>
      <c r="FG103" s="156"/>
      <c r="FH103" s="156"/>
      <c r="FI103" s="156"/>
      <c r="FJ103" s="140"/>
      <c r="FK103" s="277"/>
      <c r="FL103" s="277"/>
      <c r="FM103" s="277"/>
      <c r="FN103" s="140"/>
      <c r="FO103" s="277"/>
      <c r="FP103" s="277"/>
      <c r="FQ103" s="277"/>
      <c r="FR103" s="280"/>
      <c r="FS103" s="277"/>
      <c r="FT103" s="277"/>
      <c r="FU103" s="277"/>
      <c r="FV103" s="277"/>
      <c r="FW103" s="277"/>
      <c r="FX103" s="277"/>
      <c r="FY103" s="277"/>
      <c r="FZ103" s="277"/>
      <c r="GA103" s="277"/>
      <c r="GB103" s="277"/>
      <c r="GC103" s="277"/>
      <c r="GD103" s="277"/>
      <c r="GE103" s="277"/>
      <c r="GF103" s="277"/>
      <c r="GG103" s="277"/>
      <c r="GH103" s="277"/>
      <c r="GI103" s="277"/>
      <c r="GJ103" s="277"/>
      <c r="GK103" s="277"/>
      <c r="GL103" s="277"/>
      <c r="GM103" s="277"/>
      <c r="GN103" s="277"/>
      <c r="GO103" s="277"/>
      <c r="GP103" s="277"/>
      <c r="GQ103" s="277"/>
      <c r="GR103" s="277"/>
      <c r="GS103" s="277"/>
      <c r="GT103" s="277"/>
      <c r="GU103" s="277"/>
      <c r="GV103" s="277"/>
      <c r="GW103" s="277"/>
      <c r="GX103" s="277"/>
      <c r="GY103" s="277"/>
      <c r="GZ103" s="277"/>
      <c r="HA103" s="277"/>
      <c r="HB103" s="277"/>
      <c r="HC103" s="277"/>
      <c r="HD103" s="277"/>
      <c r="HE103" s="277"/>
      <c r="HF103" s="140"/>
      <c r="HG103" s="277"/>
      <c r="HH103" s="277"/>
      <c r="HI103" s="277"/>
      <c r="HJ103" s="140"/>
      <c r="HK103" s="277"/>
      <c r="HL103" s="277"/>
      <c r="HM103" s="277"/>
      <c r="HN103" s="140"/>
      <c r="HO103" s="277"/>
      <c r="HP103" s="277"/>
      <c r="HQ103" s="277"/>
      <c r="HR103" s="277"/>
      <c r="HS103" s="277"/>
      <c r="HT103" s="277"/>
      <c r="HU103" s="277"/>
      <c r="HV103" s="277"/>
      <c r="HW103" s="277"/>
      <c r="HX103" s="277"/>
      <c r="HY103" s="277"/>
      <c r="HZ103" s="140"/>
      <c r="IA103" s="277"/>
      <c r="IB103" s="277"/>
      <c r="IC103" s="277"/>
      <c r="ID103" s="140"/>
      <c r="IE103" s="277"/>
      <c r="IF103" s="277"/>
      <c r="IG103" s="277"/>
      <c r="IH103" s="140"/>
      <c r="II103" s="277"/>
      <c r="IJ103" s="277"/>
      <c r="IK103" s="277"/>
      <c r="IL103" s="140"/>
      <c r="IM103" s="277"/>
      <c r="IN103" s="277"/>
      <c r="IO103" s="277"/>
      <c r="IP103" s="277"/>
      <c r="IQ103" s="277"/>
      <c r="IR103" s="277"/>
      <c r="IS103" s="277"/>
      <c r="IT103" s="277"/>
      <c r="IU103" s="277"/>
      <c r="IV103" s="277"/>
      <c r="IW103" s="277"/>
      <c r="IX103" s="140"/>
      <c r="IY103" s="277"/>
      <c r="IZ103" s="277"/>
      <c r="JA103" s="277"/>
      <c r="JB103" s="140"/>
      <c r="JC103" s="277"/>
      <c r="JD103" s="277"/>
      <c r="JE103" s="277"/>
      <c r="JF103" s="140"/>
      <c r="JG103" s="277"/>
      <c r="JH103" s="277"/>
      <c r="JI103" s="140"/>
      <c r="JJ103" s="277"/>
      <c r="JK103" s="277"/>
      <c r="JL103" s="140"/>
      <c r="JM103" s="277"/>
      <c r="JN103" s="277"/>
      <c r="JO103" s="140"/>
      <c r="JP103" s="277"/>
      <c r="JQ103" s="277"/>
      <c r="JR103" s="277"/>
      <c r="JS103" s="277"/>
      <c r="JT103" s="277"/>
      <c r="JU103" s="277"/>
      <c r="JV103" s="277"/>
      <c r="JW103" s="277"/>
      <c r="JX103" s="277"/>
      <c r="JY103" s="277"/>
      <c r="JZ103" s="277"/>
      <c r="KA103" s="277"/>
      <c r="KB103" s="277"/>
      <c r="KC103" s="277"/>
      <c r="KD103" s="277"/>
      <c r="KE103" s="277"/>
      <c r="KF103" s="277"/>
      <c r="KG103" s="277"/>
      <c r="KH103" s="277"/>
      <c r="KI103" s="277"/>
      <c r="KJ103" s="277"/>
      <c r="KK103" s="277"/>
      <c r="KL103" s="277"/>
      <c r="KM103" s="277"/>
      <c r="KN103" s="277"/>
      <c r="KO103" s="277"/>
      <c r="KP103" s="274"/>
      <c r="KQ103" s="253"/>
      <c r="KR103" s="253"/>
      <c r="KY103" s="141">
        <f t="shared" si="37"/>
        <v>0</v>
      </c>
      <c r="KZ103" s="141">
        <f t="shared" si="38"/>
        <v>0</v>
      </c>
      <c r="LB103" s="141">
        <f t="shared" si="39"/>
        <v>1</v>
      </c>
      <c r="LC103" s="141">
        <f t="shared" si="40"/>
        <v>0</v>
      </c>
      <c r="LD103" s="141">
        <f t="shared" si="41"/>
        <v>1</v>
      </c>
      <c r="LE103" s="141" t="e">
        <f>((N(AU103)&gt;0)*(AX103&lt;&gt;"")+(N(AY103)&gt;0)*(BB103&lt;&gt;"")+(N(BC103)&gt;0)*(BF103&lt;&gt;"")+(N(BG103)&gt;0)*(BJ103&lt;&gt;"")+(N(BK103)&gt;0)*(BN103&lt;&gt;"")+(N(BO103)&gt;0)*(BR103&lt;&gt;"")+(N(BS103)&gt;0)*(BV103&lt;&gt;"")+(N(BW103)&gt;0)*(BZ103&lt;&gt;"")+(N(CA103)&gt;0)*(CD103&lt;&gt;"")+(N(CE103)&gt;0)*(CH103&lt;&gt;"")+(N(CI103)&gt;0)*(CL103&lt;&gt;"")+(N(CM103)&gt;0)*(CP103&lt;&gt;"")+(N(CQ103)&gt;0)*(CT103&lt;&gt;"")+(N(CU103)&gt;0)*(CX103&lt;&gt;"")+(N(CY103)&gt;0)*(DB103&lt;&gt;"")+(N(DC103)&gt;0)*(DF103&lt;&gt;"")+(N(DG103)&gt;0)*(DJ103&lt;&gt;"")+(N(DS103)&gt;0)*(DV103&lt;&gt;"")+(N(DW103)&gt;0)*(DZ103&lt;&gt;"")+(N(EA103)&gt;0)*(ED103&lt;&gt;"")+(N(EE103)&gt;0)*(EH103&lt;&gt;"")+(N(EI103)&gt;0)*(EL103&lt;&gt;"")+(N(EM103)&gt;0)*(EP103&lt;&gt;"")+(N(EQ103)&gt;0)*(ET103&lt;&gt;"")+(N(EU103)&gt;0)*(EX103&lt;&gt;"")+(N(#REF!)&gt;0)*(#REF!&lt;&gt;"")+(N(#REF!)&gt;0)*(#REF!&lt;&gt;"")+(N(FJ103)&gt;0)*(FM103&lt;&gt;"")+(N(FN103)&gt;0)*(FQ103&lt;&gt;"")+(N(#REF!)&gt;0)*(#REF!&lt;&gt;"")+(N(#REF!)&gt;0)*(#REF!&lt;&gt;"")+(N(HF103)&gt;0)*(HI103&lt;&gt;"")+(N(#REF!)&gt;0)*(#REF!&lt;&gt;"")+(N(HJ103)&gt;0)*(HM103&lt;&gt;"")+(N(HN103)&gt;0)*(HQ103&lt;&gt;"")+(N(HZ103)&gt;0)*(IC103&lt;&gt;"")+(N(ID103)&gt;0)*(IG103&lt;&gt;"")+(N(IH103)&gt;0)*(IK103&lt;&gt;"")+(N(IL103)&gt;0)*(IO103&lt;&gt;"")+(N(IX103)&gt;0)*(JA103&lt;&gt;"")+(N(JB103)&gt;0)*(JE103&lt;&gt;"")+(N(JF103)&gt;0)*(JH103&lt;&gt;"")+(N(JI103)&gt;0)*(JK103&lt;&gt;"")+(N(JL103)&gt;0)*(JN103&lt;&gt;"")+(N(JO103)&gt;0)*(JQ103&lt;&gt;""))</f>
        <v>#REF!</v>
      </c>
      <c r="LF103" s="141">
        <f t="shared" si="48"/>
        <v>0</v>
      </c>
      <c r="LG103" s="141">
        <f t="shared" si="42"/>
        <v>1</v>
      </c>
    </row>
    <row r="104" spans="1:319" ht="38.25" customHeight="1" x14ac:dyDescent="0.55000000000000004">
      <c r="B104" s="506" t="s">
        <v>364</v>
      </c>
      <c r="C104" s="218">
        <v>1</v>
      </c>
      <c r="D104" s="396">
        <v>1</v>
      </c>
      <c r="E104" s="396">
        <v>1</v>
      </c>
      <c r="F104" s="162">
        <f>($AI$104/$AJ$104)*$L$104*C104</f>
        <v>308</v>
      </c>
      <c r="G104" s="162">
        <f>($AI$104/$AJ$104)*$L$104*D104</f>
        <v>308</v>
      </c>
      <c r="H104" s="162">
        <f>($AI$104/$AJ$104)*$L$104*E104</f>
        <v>308</v>
      </c>
      <c r="I104" s="162" cm="1">
        <f t="array" ref="I104">SUMPRODUCT(($AI$2:$KV$2&lt;&gt;"")*($AI104:$KV104&lt;&gt;""))</f>
        <v>5</v>
      </c>
      <c r="J104" s="142">
        <f t="shared" si="43"/>
        <v>5</v>
      </c>
      <c r="K104" s="142">
        <f t="shared" si="44"/>
        <v>70</v>
      </c>
      <c r="L104" s="268">
        <f t="shared" si="49"/>
        <v>7000</v>
      </c>
      <c r="M104" s="164">
        <f t="shared" si="45"/>
        <v>2464</v>
      </c>
      <c r="N104" s="397"/>
      <c r="O104" s="165">
        <f t="shared" si="46"/>
        <v>8680</v>
      </c>
      <c r="P104" s="165"/>
      <c r="Q104" s="165"/>
      <c r="R104" s="165">
        <f>(IFERROR(AM104/AN104,0)+IFERROR(AU104/AV104,0)+IFERROR(AY104/AZ104,0)+IFERROR(BC104/BD104,0)+IFERROR(BG104/BH104,0)+IFERROR(BK104/BL104,0)+IFERROR(BO104/BP104,0)+IFERROR(BS104/BT104,0)+IFERROR(BW104/BX104,0)+IFERROR(CA104/CB104,0)+IFERROR(CE104/CF104,0)+IFERROR(CI104/CJ104,0)+IFERROR(CM104/CN104,0)+IFERROR(CQ104/CR104,0)+IFERROR(CU104/CV104,0)+IFERROR(CY104/CZ104,0)+IFERROR(DC104/DD104,0)+IFERROR(DG104/DH104,0)+IFERROR(DS104/DT104,0)+IFERROR(DW104/DX104,0)+IFERROR(EA104/EB104,0)+IFERROR(EE104/EF104,0)+IFERROR(EI104/EJ104,0)+IFERROR(EM104/EN104,0)+IFERROR(EQ104/ER104,0)+IFERROR(EU104/EV104,0)+IFERROR(#REF!/#REF!,0)+IFERROR(#REF!/#REF!,0)+IFERROR(FJ104/FK104,0)+IFERROR(FN104/FO104,0)+IFERROR(#REF!/#REF!,0)+IFERROR(#REF!/#REF!,0)+IFERROR(HF104/HG104,0)+IFERROR(#REF!/#REF!,0)+IFERROR(HJ104/HK104,0)+IFERROR(HN104/HO104,0)+IFERROR(HZ104/IA104,0)+IFERROR(ID104/IE104,0)+IFERROR(IH104/II104,0)+IFERROR(IL104/IM104,0)+IFERROR(IX104/IY104,0)+IFERROR(JB104/JC104,0)+IFERROR(JF104/JG104,0)+IFERROR(JI104/JJ104,0)+IFERROR(JL104/JM104,0)+IFERROR(JO104/JP104,0))*L104*(C104+D104+E104+I104)</f>
        <v>6664</v>
      </c>
      <c r="S104" s="165"/>
      <c r="T104" s="165">
        <f t="shared" si="35"/>
        <v>0</v>
      </c>
      <c r="U104" s="165"/>
      <c r="V104" s="165"/>
      <c r="W104" s="165"/>
      <c r="X104" s="165">
        <f>(IFERROR(FF104/FG104,0)+IFERROR(FC104/FD104,0)+IFERROR(#REF!/#REF!,0)+IFERROR(KP104/KQ104,0))*L104*(C104+D104+E104+I104)</f>
        <v>0</v>
      </c>
      <c r="Y104" s="484"/>
      <c r="Z104" s="484"/>
      <c r="AA104" s="484"/>
      <c r="AB104" s="484"/>
      <c r="AC104" s="150">
        <f t="shared" si="47"/>
        <v>1176</v>
      </c>
      <c r="AD104" s="150"/>
      <c r="AE104" s="150">
        <f t="shared" si="36"/>
        <v>0</v>
      </c>
      <c r="AF104" s="161">
        <v>340</v>
      </c>
      <c r="AG104" s="143">
        <v>42</v>
      </c>
      <c r="AH104" s="154">
        <v>2000</v>
      </c>
      <c r="AI104" s="489">
        <v>22</v>
      </c>
      <c r="AJ104" s="154">
        <v>500</v>
      </c>
      <c r="AK104" s="489" t="s">
        <v>81</v>
      </c>
      <c r="AL104" s="154" t="s">
        <v>1170</v>
      </c>
      <c r="AM104" s="517">
        <v>45</v>
      </c>
      <c r="AN104" s="154">
        <v>1000</v>
      </c>
      <c r="AO104" s="517" t="s">
        <v>65</v>
      </c>
      <c r="AP104" s="220" t="s">
        <v>1172</v>
      </c>
      <c r="AQ104" s="496">
        <v>310</v>
      </c>
      <c r="AR104" s="154">
        <v>2000</v>
      </c>
      <c r="AS104" s="496" t="s">
        <v>1078</v>
      </c>
      <c r="AT104" s="154" t="s">
        <v>544</v>
      </c>
      <c r="AU104" s="140"/>
      <c r="AV104" s="277"/>
      <c r="AW104" s="277"/>
      <c r="AX104" s="277"/>
      <c r="AY104" s="140"/>
      <c r="AZ104" s="277"/>
      <c r="BA104" s="277"/>
      <c r="BB104" s="277"/>
      <c r="BC104" s="493">
        <v>37</v>
      </c>
      <c r="BD104" s="154">
        <v>1000</v>
      </c>
      <c r="BE104" s="493" t="s">
        <v>345</v>
      </c>
      <c r="BF104" s="220" t="s">
        <v>543</v>
      </c>
      <c r="BG104" s="493">
        <v>37</v>
      </c>
      <c r="BH104" s="154">
        <v>1000</v>
      </c>
      <c r="BI104" s="493" t="s">
        <v>345</v>
      </c>
      <c r="BJ104" s="220" t="s">
        <v>543</v>
      </c>
      <c r="BK104" s="140"/>
      <c r="BL104" s="277"/>
      <c r="BM104" s="277"/>
      <c r="BN104" s="277"/>
      <c r="BO104" s="140"/>
      <c r="BP104" s="277"/>
      <c r="BQ104" s="277"/>
      <c r="BR104" s="277"/>
      <c r="BS104" s="140"/>
      <c r="BT104" s="277"/>
      <c r="BU104" s="277"/>
      <c r="BV104" s="277"/>
      <c r="BW104" s="140"/>
      <c r="BX104" s="154"/>
      <c r="BY104" s="154"/>
      <c r="BZ104" s="220"/>
      <c r="CA104" s="140"/>
      <c r="CB104" s="154"/>
      <c r="CC104" s="154"/>
      <c r="CD104" s="220"/>
      <c r="CE104" s="140"/>
      <c r="CF104" s="154"/>
      <c r="CG104" s="154"/>
      <c r="CH104" s="154"/>
      <c r="CI104" s="140"/>
      <c r="CJ104" s="154"/>
      <c r="CK104" s="154"/>
      <c r="CL104" s="154"/>
      <c r="CM104" s="140"/>
      <c r="CN104" s="271"/>
      <c r="CO104" s="271"/>
      <c r="CP104" s="271"/>
      <c r="CQ104" s="140"/>
      <c r="CR104" s="154"/>
      <c r="CS104" s="154"/>
      <c r="CT104" s="154"/>
      <c r="CU104" s="140"/>
      <c r="CV104" s="154"/>
      <c r="CW104" s="154"/>
      <c r="CX104" s="220"/>
      <c r="CY104" s="140"/>
      <c r="CZ104" s="154"/>
      <c r="DA104" s="154"/>
      <c r="DB104" s="220"/>
      <c r="DC104" s="140"/>
      <c r="DD104" s="146"/>
      <c r="DE104" s="146"/>
      <c r="DF104" s="146"/>
      <c r="DG104" s="140"/>
      <c r="DH104" s="146"/>
      <c r="DI104" s="146"/>
      <c r="DJ104" s="146"/>
      <c r="DK104" s="146"/>
      <c r="DL104" s="146"/>
      <c r="DM104" s="146"/>
      <c r="DN104" s="146"/>
      <c r="DO104" s="146"/>
      <c r="DP104" s="146"/>
      <c r="DQ104" s="146"/>
      <c r="DR104" s="146"/>
      <c r="DS104" s="140"/>
      <c r="DT104" s="154"/>
      <c r="DU104" s="154"/>
      <c r="DV104" s="154"/>
      <c r="DW104" s="140"/>
      <c r="DX104" s="220"/>
      <c r="DY104" s="220"/>
      <c r="DZ104" s="220"/>
      <c r="EA104" s="140"/>
      <c r="EB104" s="220"/>
      <c r="EC104" s="220"/>
      <c r="ED104" s="220"/>
      <c r="EE104" s="140"/>
      <c r="EF104" s="154"/>
      <c r="EG104" s="154"/>
      <c r="EH104" s="154"/>
      <c r="EI104" s="140"/>
      <c r="EJ104" s="154"/>
      <c r="EK104" s="154"/>
      <c r="EL104" s="154"/>
      <c r="EM104" s="140"/>
      <c r="EN104" s="222"/>
      <c r="EO104" s="222"/>
      <c r="EP104" s="222"/>
      <c r="EQ104" s="140"/>
      <c r="ER104" s="222"/>
      <c r="ES104" s="222"/>
      <c r="ET104" s="222"/>
      <c r="EU104" s="140"/>
      <c r="EV104" s="222"/>
      <c r="EW104" s="222"/>
      <c r="EX104" s="222"/>
      <c r="EY104" s="344"/>
      <c r="EZ104" s="222"/>
      <c r="FA104" s="222"/>
      <c r="FB104" s="222"/>
      <c r="FC104" s="273"/>
      <c r="FD104" s="223"/>
      <c r="FE104" s="223"/>
      <c r="FF104" s="276"/>
      <c r="FG104" s="156"/>
      <c r="FH104" s="156"/>
      <c r="FI104" s="156"/>
      <c r="FJ104" s="140"/>
      <c r="FK104" s="277"/>
      <c r="FL104" s="277"/>
      <c r="FM104" s="277"/>
      <c r="FN104" s="140"/>
      <c r="FO104" s="277"/>
      <c r="FP104" s="277"/>
      <c r="FQ104" s="277"/>
      <c r="FR104" s="280"/>
      <c r="FS104" s="277"/>
      <c r="FT104" s="277"/>
      <c r="FU104" s="277"/>
      <c r="FV104" s="277"/>
      <c r="FW104" s="277"/>
      <c r="FX104" s="277"/>
      <c r="FY104" s="277"/>
      <c r="FZ104" s="277"/>
      <c r="GA104" s="277"/>
      <c r="GB104" s="277"/>
      <c r="GC104" s="277"/>
      <c r="GD104" s="277"/>
      <c r="GE104" s="277"/>
      <c r="GF104" s="277"/>
      <c r="GG104" s="277"/>
      <c r="GH104" s="277"/>
      <c r="GI104" s="277"/>
      <c r="GJ104" s="277"/>
      <c r="GK104" s="277"/>
      <c r="GL104" s="277"/>
      <c r="GM104" s="277"/>
      <c r="GN104" s="277"/>
      <c r="GO104" s="277"/>
      <c r="GP104" s="277"/>
      <c r="GQ104" s="277"/>
      <c r="GR104" s="277"/>
      <c r="GS104" s="277"/>
      <c r="GT104" s="277"/>
      <c r="GU104" s="277"/>
      <c r="GV104" s="277"/>
      <c r="GW104" s="277"/>
      <c r="GX104" s="277"/>
      <c r="GY104" s="277"/>
      <c r="GZ104" s="277"/>
      <c r="HA104" s="277"/>
      <c r="HB104" s="277"/>
      <c r="HC104" s="277"/>
      <c r="HD104" s="277"/>
      <c r="HE104" s="277"/>
      <c r="HF104" s="140"/>
      <c r="HG104" s="277"/>
      <c r="HH104" s="277"/>
      <c r="HI104" s="277"/>
      <c r="HJ104" s="140"/>
      <c r="HK104" s="277"/>
      <c r="HL104" s="277"/>
      <c r="HM104" s="277"/>
      <c r="HN104" s="140"/>
      <c r="HO104" s="277"/>
      <c r="HP104" s="277"/>
      <c r="HQ104" s="277"/>
      <c r="HR104" s="277"/>
      <c r="HS104" s="277"/>
      <c r="HT104" s="277"/>
      <c r="HU104" s="277"/>
      <c r="HV104" s="277"/>
      <c r="HW104" s="277"/>
      <c r="HX104" s="277"/>
      <c r="HY104" s="277"/>
      <c r="HZ104" s="140"/>
      <c r="IA104" s="277"/>
      <c r="IB104" s="277"/>
      <c r="IC104" s="277"/>
      <c r="ID104" s="140"/>
      <c r="IE104" s="277"/>
      <c r="IF104" s="277"/>
      <c r="IG104" s="277"/>
      <c r="IH104" s="140"/>
      <c r="II104" s="277"/>
      <c r="IJ104" s="277"/>
      <c r="IK104" s="277"/>
      <c r="IL104" s="140"/>
      <c r="IM104" s="277"/>
      <c r="IN104" s="277"/>
      <c r="IO104" s="277"/>
      <c r="IP104" s="277"/>
      <c r="IQ104" s="277"/>
      <c r="IR104" s="277"/>
      <c r="IS104" s="277"/>
      <c r="IT104" s="277"/>
      <c r="IU104" s="277"/>
      <c r="IV104" s="277"/>
      <c r="IW104" s="277"/>
      <c r="IX104" s="140"/>
      <c r="IY104" s="277"/>
      <c r="IZ104" s="277"/>
      <c r="JA104" s="277"/>
      <c r="JB104" s="140"/>
      <c r="JC104" s="277"/>
      <c r="JD104" s="277"/>
      <c r="JE104" s="277"/>
      <c r="JF104" s="140"/>
      <c r="JG104" s="277"/>
      <c r="JH104" s="277"/>
      <c r="JI104" s="140"/>
      <c r="JJ104" s="277"/>
      <c r="JK104" s="277"/>
      <c r="JL104" s="140"/>
      <c r="JM104" s="277"/>
      <c r="JN104" s="277"/>
      <c r="JO104" s="140"/>
      <c r="JP104" s="277"/>
      <c r="JQ104" s="277"/>
      <c r="JR104" s="277"/>
      <c r="JS104" s="277"/>
      <c r="JT104" s="277"/>
      <c r="JU104" s="277"/>
      <c r="JV104" s="277"/>
      <c r="JW104" s="277"/>
      <c r="JX104" s="277"/>
      <c r="JY104" s="277"/>
      <c r="JZ104" s="277"/>
      <c r="KA104" s="277"/>
      <c r="KB104" s="277"/>
      <c r="KC104" s="277"/>
      <c r="KD104" s="277"/>
      <c r="KE104" s="277"/>
      <c r="KF104" s="277"/>
      <c r="KG104" s="277"/>
      <c r="KH104" s="277"/>
      <c r="KI104" s="277"/>
      <c r="KJ104" s="277"/>
      <c r="KK104" s="277"/>
      <c r="KL104" s="277"/>
      <c r="KM104" s="277"/>
      <c r="KN104" s="277"/>
      <c r="KO104" s="277"/>
      <c r="KP104" s="274"/>
      <c r="KQ104" s="253"/>
      <c r="KR104" s="253"/>
      <c r="KY104" s="141">
        <f t="shared" si="37"/>
        <v>0</v>
      </c>
      <c r="KZ104" s="141">
        <f t="shared" si="38"/>
        <v>0</v>
      </c>
      <c r="LB104" s="141">
        <f t="shared" si="39"/>
        <v>1</v>
      </c>
      <c r="LC104" s="141">
        <f t="shared" si="40"/>
        <v>1</v>
      </c>
      <c r="LD104" s="141">
        <f t="shared" si="41"/>
        <v>1</v>
      </c>
      <c r="LE104" s="141" t="e">
        <f>((N(AU104)&gt;0)*(AX104&lt;&gt;"")+(N(AY104)&gt;0)*(BB104&lt;&gt;"")+(N(BC104)&gt;0)*(BF104&lt;&gt;"")+(N(BG104)&gt;0)*(BJ104&lt;&gt;"")+(N(BK104)&gt;0)*(BN104&lt;&gt;"")+(N(BO104)&gt;0)*(BR104&lt;&gt;"")+(N(BS104)&gt;0)*(BV104&lt;&gt;"")+(N(BW104)&gt;0)*(BZ104&lt;&gt;"")+(N(CA104)&gt;0)*(CD104&lt;&gt;"")+(N(CE104)&gt;0)*(CH104&lt;&gt;"")+(N(CI104)&gt;0)*(CL104&lt;&gt;"")+(N(CM104)&gt;0)*(CP104&lt;&gt;"")+(N(CQ104)&gt;0)*(CT104&lt;&gt;"")+(N(CU104)&gt;0)*(CX104&lt;&gt;"")+(N(CY104)&gt;0)*(DB104&lt;&gt;"")+(N(DC104)&gt;0)*(DF104&lt;&gt;"")+(N(DG104)&gt;0)*(DJ104&lt;&gt;"")+(N(DS104)&gt;0)*(DV104&lt;&gt;"")+(N(DW104)&gt;0)*(DZ104&lt;&gt;"")+(N(EA104)&gt;0)*(ED104&lt;&gt;"")+(N(EE104)&gt;0)*(EH104&lt;&gt;"")+(N(EI104)&gt;0)*(EL104&lt;&gt;"")+(N(EM104)&gt;0)*(EP104&lt;&gt;"")+(N(EQ104)&gt;0)*(ET104&lt;&gt;"")+(N(EU104)&gt;0)*(EX104&lt;&gt;"")+(N(#REF!)&gt;0)*(#REF!&lt;&gt;"")+(N(#REF!)&gt;0)*(#REF!&lt;&gt;"")+(N(FJ104)&gt;0)*(FM104&lt;&gt;"")+(N(FN104)&gt;0)*(FQ104&lt;&gt;"")+(N(#REF!)&gt;0)*(#REF!&lt;&gt;"")+(N(#REF!)&gt;0)*(#REF!&lt;&gt;"")+(N(HF104)&gt;0)*(HI104&lt;&gt;"")+(N(#REF!)&gt;0)*(#REF!&lt;&gt;"")+(N(HJ104)&gt;0)*(HM104&lt;&gt;"")+(N(HN104)&gt;0)*(HQ104&lt;&gt;"")+(N(HZ104)&gt;0)*(IC104&lt;&gt;"")+(N(ID104)&gt;0)*(IG104&lt;&gt;"")+(N(IH104)&gt;0)*(IK104&lt;&gt;"")+(N(IL104)&gt;0)*(IO104&lt;&gt;"")+(N(IX104)&gt;0)*(JA104&lt;&gt;"")+(N(JB104)&gt;0)*(JE104&lt;&gt;"")+(N(JF104)&gt;0)*(JH104&lt;&gt;"")+(N(JI104)&gt;0)*(JK104&lt;&gt;"")+(N(JL104)&gt;0)*(JN104&lt;&gt;"")+(N(JO104)&gt;0)*(JQ104&lt;&gt;""))</f>
        <v>#REF!</v>
      </c>
      <c r="LF104" s="141">
        <f t="shared" si="48"/>
        <v>0</v>
      </c>
      <c r="LG104" s="141">
        <f t="shared" si="42"/>
        <v>1</v>
      </c>
    </row>
    <row r="105" spans="1:319" ht="38.25" customHeight="1" x14ac:dyDescent="0.55000000000000004">
      <c r="B105" s="314" t="s">
        <v>434</v>
      </c>
      <c r="C105" s="218"/>
      <c r="D105" s="218"/>
      <c r="E105" s="218"/>
      <c r="F105" s="218"/>
      <c r="G105" s="218"/>
      <c r="H105" s="218"/>
      <c r="I105" s="162" cm="1">
        <f t="array" ref="I105">SUMPRODUCT(($AI$2:$KV$2&lt;&gt;"")*($AI105:$KV105&lt;&gt;""))</f>
        <v>1</v>
      </c>
      <c r="J105" s="142">
        <f t="shared" si="43"/>
        <v>0</v>
      </c>
      <c r="K105" s="142">
        <f t="shared" si="44"/>
        <v>0</v>
      </c>
      <c r="L105" s="268">
        <f t="shared" si="49"/>
        <v>7000</v>
      </c>
      <c r="M105" s="164">
        <f t="shared" si="45"/>
        <v>336</v>
      </c>
      <c r="N105" s="397"/>
      <c r="O105" s="165">
        <f t="shared" si="46"/>
        <v>0</v>
      </c>
      <c r="P105" s="165"/>
      <c r="Q105" s="165"/>
      <c r="R105" s="165">
        <f>(IFERROR(AM105/AN105,0)+IFERROR(AU105/AV105,0)+IFERROR(AY105/AZ105,0)+IFERROR(BC105/BD105,0)+IFERROR(BG105/BH105,0)+IFERROR(BK105/BL105,0)+IFERROR(BO105/BP105,0)+IFERROR(BS105/BT105,0)+IFERROR(BW105/BX105,0)+IFERROR(CA105/CB105,0)+IFERROR(CE105/CF105,0)+IFERROR(CI105/CJ105,0)+IFERROR(CM105/CN105,0)+IFERROR(CQ105/CR105,0)+IFERROR(CU105/CV105,0)+IFERROR(CY105/CZ105,0)+IFERROR(DC105/DD105,0)+IFERROR(DG105/DH105,0)+IFERROR(DS105/DT105,0)+IFERROR(DW105/DX105,0)+IFERROR(EA105/EB105,0)+IFERROR(EE105/EF105,0)+IFERROR(EI105/EJ105,0)+IFERROR(EM105/EN105,0)+IFERROR(EQ105/ER105,0)+IFERROR(EU105/EV105,0)+IFERROR(#REF!/#REF!,0)+IFERROR(#REF!/#REF!,0)+IFERROR(FJ105/FK105,0)+IFERROR(FN105/FO105,0)+IFERROR(#REF!/#REF!,0)+IFERROR(#REF!/#REF!,0)+IFERROR(HF105/HG105,0)+IFERROR(#REF!/#REF!,0)+IFERROR(HJ105/HK105,0)+IFERROR(HN105/HO105,0)+IFERROR(HZ105/IA105,0)+IFERROR(ID105/IE105,0)+IFERROR(IH105/II105,0)+IFERROR(IL105/IM105,0)+IFERROR(IX105/IY105,0)+IFERROR(JB105/JC105,0)+IFERROR(JF105/JG105,0)+IFERROR(JI105/JJ105,0)+IFERROR(JL105/JM105,0)+IFERROR(JO105/JP105,0))*L105*(C105+D105+E105+I105)</f>
        <v>0</v>
      </c>
      <c r="S105" s="165"/>
      <c r="T105" s="165">
        <f t="shared" si="35"/>
        <v>0</v>
      </c>
      <c r="U105" s="165"/>
      <c r="V105" s="165"/>
      <c r="W105" s="165"/>
      <c r="X105" s="165">
        <f>(IFERROR(FF105/FG105,0)+IFERROR(FC105/FD105,0)+IFERROR(#REF!/#REF!,0)+IFERROR(KP105/KQ105,0))*L105*(C105+D105+E105+I105)</f>
        <v>0</v>
      </c>
      <c r="Y105" s="484"/>
      <c r="Z105" s="484"/>
      <c r="AA105" s="484"/>
      <c r="AB105" s="484"/>
      <c r="AC105" s="150">
        <f t="shared" si="47"/>
        <v>0</v>
      </c>
      <c r="AD105" s="150"/>
      <c r="AE105" s="150">
        <f t="shared" si="36"/>
        <v>0</v>
      </c>
      <c r="AF105" s="161"/>
      <c r="AG105" s="143"/>
      <c r="AH105" s="154"/>
      <c r="AI105" s="342">
        <v>12</v>
      </c>
      <c r="AJ105" s="342">
        <v>250</v>
      </c>
      <c r="AK105" s="342"/>
      <c r="AL105" s="343" t="s">
        <v>545</v>
      </c>
      <c r="AM105" s="140"/>
      <c r="AN105" s="154"/>
      <c r="AO105" s="154"/>
      <c r="AP105" s="220"/>
      <c r="AQ105" s="145"/>
      <c r="AR105" s="154"/>
      <c r="AS105" s="154"/>
      <c r="AT105" s="220"/>
      <c r="AU105" s="140"/>
      <c r="AV105" s="277"/>
      <c r="AW105" s="277"/>
      <c r="AX105" s="277"/>
      <c r="AY105" s="140"/>
      <c r="AZ105" s="277"/>
      <c r="BA105" s="277"/>
      <c r="BB105" s="277"/>
      <c r="BC105" s="140"/>
      <c r="BD105" s="277"/>
      <c r="BE105" s="277"/>
      <c r="BF105" s="277"/>
      <c r="BG105" s="140"/>
      <c r="BH105" s="277"/>
      <c r="BI105" s="277"/>
      <c r="BJ105" s="277"/>
      <c r="BK105" s="140"/>
      <c r="BL105" s="277"/>
      <c r="BM105" s="277"/>
      <c r="BN105" s="277"/>
      <c r="BO105" s="140"/>
      <c r="BP105" s="277"/>
      <c r="BQ105" s="277"/>
      <c r="BR105" s="277"/>
      <c r="BS105" s="140"/>
      <c r="BT105" s="277"/>
      <c r="BU105" s="277"/>
      <c r="BV105" s="277"/>
      <c r="BW105" s="140"/>
      <c r="BX105" s="154"/>
      <c r="BY105" s="154"/>
      <c r="BZ105" s="220"/>
      <c r="CA105" s="140"/>
      <c r="CB105" s="154"/>
      <c r="CC105" s="154"/>
      <c r="CD105" s="220"/>
      <c r="CE105" s="140"/>
      <c r="CF105" s="271"/>
      <c r="CG105" s="271"/>
      <c r="CH105" s="271"/>
      <c r="CI105" s="140"/>
      <c r="CJ105" s="154"/>
      <c r="CK105" s="154"/>
      <c r="CL105" s="154"/>
      <c r="CM105" s="140"/>
      <c r="CN105" s="271"/>
      <c r="CO105" s="271"/>
      <c r="CP105" s="271"/>
      <c r="CQ105" s="140"/>
      <c r="CR105" s="154"/>
      <c r="CS105" s="154"/>
      <c r="CT105" s="154"/>
      <c r="CU105" s="140"/>
      <c r="CV105" s="154"/>
      <c r="CW105" s="154"/>
      <c r="CX105" s="220"/>
      <c r="CY105" s="140"/>
      <c r="CZ105" s="154"/>
      <c r="DA105" s="154"/>
      <c r="DB105" s="220"/>
      <c r="DC105" s="140"/>
      <c r="DD105" s="146"/>
      <c r="DE105" s="146"/>
      <c r="DF105" s="146"/>
      <c r="DG105" s="140"/>
      <c r="DH105" s="146"/>
      <c r="DI105" s="146"/>
      <c r="DJ105" s="146"/>
      <c r="DK105" s="146"/>
      <c r="DL105" s="146"/>
      <c r="DM105" s="146"/>
      <c r="DN105" s="146"/>
      <c r="DO105" s="146"/>
      <c r="DP105" s="146"/>
      <c r="DQ105" s="146"/>
      <c r="DR105" s="146"/>
      <c r="DS105" s="140"/>
      <c r="DT105" s="154"/>
      <c r="DU105" s="154"/>
      <c r="DV105" s="154"/>
      <c r="DW105" s="140"/>
      <c r="DX105" s="220"/>
      <c r="DY105" s="220"/>
      <c r="DZ105" s="220"/>
      <c r="EA105" s="140"/>
      <c r="EB105" s="220"/>
      <c r="EC105" s="220"/>
      <c r="ED105" s="220"/>
      <c r="EE105" s="140"/>
      <c r="EF105" s="154"/>
      <c r="EG105" s="154"/>
      <c r="EH105" s="154"/>
      <c r="EI105" s="140"/>
      <c r="EJ105" s="154"/>
      <c r="EK105" s="154"/>
      <c r="EL105" s="154"/>
      <c r="EM105" s="140"/>
      <c r="EN105" s="222"/>
      <c r="EO105" s="222"/>
      <c r="EP105" s="222"/>
      <c r="EQ105" s="140"/>
      <c r="ER105" s="222"/>
      <c r="ES105" s="222"/>
      <c r="ET105" s="222"/>
      <c r="EU105" s="140"/>
      <c r="EV105" s="222"/>
      <c r="EW105" s="222"/>
      <c r="EX105" s="222"/>
      <c r="EY105" s="344"/>
      <c r="EZ105" s="222"/>
      <c r="FA105" s="222"/>
      <c r="FB105" s="222"/>
      <c r="FC105" s="273"/>
      <c r="FD105" s="223"/>
      <c r="FE105" s="223"/>
      <c r="FF105" s="276"/>
      <c r="FG105" s="156"/>
      <c r="FH105" s="156"/>
      <c r="FI105" s="156"/>
      <c r="FJ105" s="140"/>
      <c r="FK105" s="277"/>
      <c r="FL105" s="277"/>
      <c r="FM105" s="277"/>
      <c r="FN105" s="140"/>
      <c r="FO105" s="277"/>
      <c r="FP105" s="277"/>
      <c r="FQ105" s="277"/>
      <c r="FR105" s="280"/>
      <c r="FS105" s="277"/>
      <c r="FT105" s="277"/>
      <c r="FU105" s="277"/>
      <c r="FV105" s="277"/>
      <c r="FW105" s="277"/>
      <c r="FX105" s="277"/>
      <c r="FY105" s="277"/>
      <c r="FZ105" s="277"/>
      <c r="GA105" s="277"/>
      <c r="GB105" s="277"/>
      <c r="GC105" s="277"/>
      <c r="GD105" s="277"/>
      <c r="GE105" s="277"/>
      <c r="GF105" s="277"/>
      <c r="GG105" s="277"/>
      <c r="GH105" s="277"/>
      <c r="GI105" s="277"/>
      <c r="GJ105" s="277"/>
      <c r="GK105" s="277"/>
      <c r="GL105" s="277"/>
      <c r="GM105" s="277"/>
      <c r="GN105" s="277"/>
      <c r="GO105" s="277"/>
      <c r="GP105" s="277"/>
      <c r="GQ105" s="277"/>
      <c r="GR105" s="277"/>
      <c r="GS105" s="277"/>
      <c r="GT105" s="277"/>
      <c r="GU105" s="277"/>
      <c r="GV105" s="277"/>
      <c r="GW105" s="277"/>
      <c r="GX105" s="277"/>
      <c r="GY105" s="277"/>
      <c r="GZ105" s="277"/>
      <c r="HA105" s="277"/>
      <c r="HB105" s="277"/>
      <c r="HC105" s="277"/>
      <c r="HD105" s="277"/>
      <c r="HE105" s="277"/>
      <c r="HF105" s="140"/>
      <c r="HG105" s="277"/>
      <c r="HH105" s="277"/>
      <c r="HI105" s="277"/>
      <c r="HJ105" s="140"/>
      <c r="HK105" s="277"/>
      <c r="HL105" s="277"/>
      <c r="HM105" s="277"/>
      <c r="HN105" s="140"/>
      <c r="HO105" s="277"/>
      <c r="HP105" s="277"/>
      <c r="HQ105" s="277"/>
      <c r="HR105" s="277"/>
      <c r="HS105" s="277"/>
      <c r="HT105" s="277"/>
      <c r="HU105" s="277"/>
      <c r="HV105" s="277"/>
      <c r="HW105" s="277"/>
      <c r="HX105" s="277"/>
      <c r="HY105" s="277"/>
      <c r="HZ105" s="140"/>
      <c r="IA105" s="277"/>
      <c r="IB105" s="277"/>
      <c r="IC105" s="277"/>
      <c r="ID105" s="140"/>
      <c r="IE105" s="277"/>
      <c r="IF105" s="277"/>
      <c r="IG105" s="277"/>
      <c r="IH105" s="140"/>
      <c r="II105" s="277"/>
      <c r="IJ105" s="277"/>
      <c r="IK105" s="277"/>
      <c r="IL105" s="140"/>
      <c r="IM105" s="277"/>
      <c r="IN105" s="277"/>
      <c r="IO105" s="277"/>
      <c r="IP105" s="277"/>
      <c r="IQ105" s="277"/>
      <c r="IR105" s="277"/>
      <c r="IS105" s="277"/>
      <c r="IT105" s="277"/>
      <c r="IU105" s="277"/>
      <c r="IV105" s="277"/>
      <c r="IW105" s="277"/>
      <c r="IX105" s="140"/>
      <c r="IY105" s="277"/>
      <c r="IZ105" s="277"/>
      <c r="JA105" s="277"/>
      <c r="JB105" s="140"/>
      <c r="JC105" s="277"/>
      <c r="JD105" s="277"/>
      <c r="JE105" s="277"/>
      <c r="JF105" s="140"/>
      <c r="JG105" s="277"/>
      <c r="JH105" s="277"/>
      <c r="JI105" s="140"/>
      <c r="JJ105" s="277"/>
      <c r="JK105" s="277"/>
      <c r="JL105" s="140"/>
      <c r="JM105" s="277"/>
      <c r="JN105" s="277"/>
      <c r="JO105" s="140"/>
      <c r="JP105" s="277"/>
      <c r="JQ105" s="277"/>
      <c r="JR105" s="277"/>
      <c r="JS105" s="277"/>
      <c r="JT105" s="277"/>
      <c r="JU105" s="277"/>
      <c r="JV105" s="277"/>
      <c r="JW105" s="277"/>
      <c r="JX105" s="277"/>
      <c r="JY105" s="277"/>
      <c r="JZ105" s="277"/>
      <c r="KA105" s="277"/>
      <c r="KB105" s="277"/>
      <c r="KC105" s="277"/>
      <c r="KD105" s="277"/>
      <c r="KE105" s="277"/>
      <c r="KF105" s="277"/>
      <c r="KG105" s="277"/>
      <c r="KH105" s="277"/>
      <c r="KI105" s="277"/>
      <c r="KJ105" s="277"/>
      <c r="KK105" s="277"/>
      <c r="KL105" s="277"/>
      <c r="KM105" s="277"/>
      <c r="KN105" s="277"/>
      <c r="KO105" s="277"/>
      <c r="KP105" s="274"/>
      <c r="KQ105" s="253"/>
      <c r="KR105" s="253"/>
      <c r="KY105" s="141">
        <f t="shared" si="37"/>
        <v>0</v>
      </c>
      <c r="KZ105" s="141">
        <f t="shared" si="38"/>
        <v>0</v>
      </c>
      <c r="LB105" s="141">
        <f t="shared" si="39"/>
        <v>1</v>
      </c>
      <c r="LC105" s="141">
        <f t="shared" si="40"/>
        <v>0</v>
      </c>
      <c r="LD105" s="141">
        <f t="shared" si="41"/>
        <v>0</v>
      </c>
      <c r="LE105" s="141" t="e">
        <f>((N(AU105)&gt;0)*(AX105&lt;&gt;"")+(N(AY105)&gt;0)*(BB105&lt;&gt;"")+(N(BC105)&gt;0)*(BF105&lt;&gt;"")+(N(BG105)&gt;0)*(BJ105&lt;&gt;"")+(N(BK105)&gt;0)*(BN105&lt;&gt;"")+(N(BO105)&gt;0)*(BR105&lt;&gt;"")+(N(BS105)&gt;0)*(BV105&lt;&gt;"")+(N(BW105)&gt;0)*(BZ105&lt;&gt;"")+(N(CA105)&gt;0)*(CD105&lt;&gt;"")+(N(CE105)&gt;0)*(CH105&lt;&gt;"")+(N(CI105)&gt;0)*(CL105&lt;&gt;"")+(N(CM105)&gt;0)*(CP105&lt;&gt;"")+(N(CQ105)&gt;0)*(CT105&lt;&gt;"")+(N(CU105)&gt;0)*(CX105&lt;&gt;"")+(N(CY105)&gt;0)*(DB105&lt;&gt;"")+(N(DC105)&gt;0)*(DF105&lt;&gt;"")+(N(DG105)&gt;0)*(DJ105&lt;&gt;"")+(N(DS105)&gt;0)*(DV105&lt;&gt;"")+(N(DW105)&gt;0)*(DZ105&lt;&gt;"")+(N(EA105)&gt;0)*(ED105&lt;&gt;"")+(N(EE105)&gt;0)*(EH105&lt;&gt;"")+(N(EI105)&gt;0)*(EL105&lt;&gt;"")+(N(EM105)&gt;0)*(EP105&lt;&gt;"")+(N(EQ105)&gt;0)*(ET105&lt;&gt;"")+(N(EU105)&gt;0)*(EX105&lt;&gt;"")+(N(#REF!)&gt;0)*(#REF!&lt;&gt;"")+(N(#REF!)&gt;0)*(#REF!&lt;&gt;"")+(N(FJ105)&gt;0)*(FM105&lt;&gt;"")+(N(FN105)&gt;0)*(FQ105&lt;&gt;"")+(N(#REF!)&gt;0)*(#REF!&lt;&gt;"")+(N(#REF!)&gt;0)*(#REF!&lt;&gt;"")+(N(HF105)&gt;0)*(HI105&lt;&gt;"")+(N(#REF!)&gt;0)*(#REF!&lt;&gt;"")+(N(HJ105)&gt;0)*(HM105&lt;&gt;"")+(N(HN105)&gt;0)*(HQ105&lt;&gt;"")+(N(HZ105)&gt;0)*(IC105&lt;&gt;"")+(N(ID105)&gt;0)*(IG105&lt;&gt;"")+(N(IH105)&gt;0)*(IK105&lt;&gt;"")+(N(IL105)&gt;0)*(IO105&lt;&gt;"")+(N(IX105)&gt;0)*(JA105&lt;&gt;"")+(N(JB105)&gt;0)*(JE105&lt;&gt;"")+(N(JF105)&gt;0)*(JH105&lt;&gt;"")+(N(JI105)&gt;0)*(JK105&lt;&gt;"")+(N(JL105)&gt;0)*(JN105&lt;&gt;"")+(N(JO105)&gt;0)*(JQ105&lt;&gt;""))</f>
        <v>#REF!</v>
      </c>
      <c r="LF105" s="141">
        <f t="shared" si="48"/>
        <v>0</v>
      </c>
      <c r="LG105" s="141">
        <f t="shared" si="42"/>
        <v>0</v>
      </c>
    </row>
    <row r="106" spans="1:319" ht="38.25" customHeight="1" x14ac:dyDescent="0.55000000000000004">
      <c r="B106" s="314" t="s">
        <v>435</v>
      </c>
      <c r="C106" s="218"/>
      <c r="D106" s="218"/>
      <c r="E106" s="218"/>
      <c r="F106" s="218"/>
      <c r="G106" s="218"/>
      <c r="H106" s="218"/>
      <c r="I106" s="162" cm="1">
        <f t="array" ref="I106">SUMPRODUCT(($AI$2:$KV$2&lt;&gt;"")*($AI106:$KV106&lt;&gt;""))</f>
        <v>1</v>
      </c>
      <c r="J106" s="142">
        <f t="shared" si="43"/>
        <v>0</v>
      </c>
      <c r="K106" s="142">
        <f t="shared" si="44"/>
        <v>0</v>
      </c>
      <c r="L106" s="268">
        <f t="shared" si="49"/>
        <v>7000</v>
      </c>
      <c r="M106" s="164">
        <f t="shared" si="45"/>
        <v>336</v>
      </c>
      <c r="N106" s="397"/>
      <c r="O106" s="165">
        <f t="shared" si="46"/>
        <v>0</v>
      </c>
      <c r="P106" s="165"/>
      <c r="Q106" s="165"/>
      <c r="R106" s="165">
        <f>(IFERROR(AM106/AN106,0)+IFERROR(AU106/AV106,0)+IFERROR(AY106/AZ106,0)+IFERROR(BC106/BD106,0)+IFERROR(BG106/BH106,0)+IFERROR(BK106/BL106,0)+IFERROR(BO106/BP106,0)+IFERROR(BS106/BT106,0)+IFERROR(BW106/BX106,0)+IFERROR(CA106/CB106,0)+IFERROR(CE106/CF106,0)+IFERROR(CI106/CJ106,0)+IFERROR(CM106/CN106,0)+IFERROR(CQ106/CR106,0)+IFERROR(CU106/CV106,0)+IFERROR(CY106/CZ106,0)+IFERROR(DC106/DD106,0)+IFERROR(DG106/DH106,0)+IFERROR(DS106/DT106,0)+IFERROR(DW106/DX106,0)+IFERROR(EA106/EB106,0)+IFERROR(EE106/EF106,0)+IFERROR(EI106/EJ106,0)+IFERROR(EM106/EN106,0)+IFERROR(EQ106/ER106,0)+IFERROR(EU106/EV106,0)+IFERROR(#REF!/#REF!,0)+IFERROR(#REF!/#REF!,0)+IFERROR(FJ106/FK106,0)+IFERROR(FN106/FO106,0)+IFERROR(#REF!/#REF!,0)+IFERROR(#REF!/#REF!,0)+IFERROR(HF106/HG106,0)+IFERROR(#REF!/#REF!,0)+IFERROR(HJ106/HK106,0)+IFERROR(HN106/HO106,0)+IFERROR(HZ106/IA106,0)+IFERROR(ID106/IE106,0)+IFERROR(IH106/II106,0)+IFERROR(IL106/IM106,0)+IFERROR(IX106/IY106,0)+IFERROR(JB106/JC106,0)+IFERROR(JF106/JG106,0)+IFERROR(JI106/JJ106,0)+IFERROR(JL106/JM106,0)+IFERROR(JO106/JP106,0))*L106*(C106+D106+E106+I106)</f>
        <v>0</v>
      </c>
      <c r="S106" s="165"/>
      <c r="T106" s="165">
        <f t="shared" si="35"/>
        <v>0</v>
      </c>
      <c r="U106" s="165"/>
      <c r="V106" s="165"/>
      <c r="W106" s="165"/>
      <c r="X106" s="165">
        <f>(IFERROR(FF106/FG106,0)+IFERROR(FC106/FD106,0)+IFERROR(#REF!/#REF!,0)+IFERROR(KP106/KQ106,0))*L106*(C106+D106+E106+I106)</f>
        <v>0</v>
      </c>
      <c r="Y106" s="484"/>
      <c r="Z106" s="484"/>
      <c r="AA106" s="484"/>
      <c r="AB106" s="484"/>
      <c r="AC106" s="150">
        <f t="shared" si="47"/>
        <v>0</v>
      </c>
      <c r="AD106" s="150"/>
      <c r="AE106" s="150">
        <f t="shared" si="36"/>
        <v>0</v>
      </c>
      <c r="AF106" s="161"/>
      <c r="AG106" s="143"/>
      <c r="AH106" s="154"/>
      <c r="AI106" s="342">
        <v>12</v>
      </c>
      <c r="AJ106" s="342">
        <v>250</v>
      </c>
      <c r="AK106" s="342"/>
      <c r="AL106" s="343" t="s">
        <v>545</v>
      </c>
      <c r="AM106" s="140"/>
      <c r="AN106" s="154"/>
      <c r="AO106" s="154"/>
      <c r="AP106" s="220"/>
      <c r="AQ106" s="145"/>
      <c r="AR106" s="154"/>
      <c r="AS106" s="154"/>
      <c r="AT106" s="220"/>
      <c r="AU106" s="140"/>
      <c r="AV106" s="277"/>
      <c r="AW106" s="277"/>
      <c r="AX106" s="277"/>
      <c r="AY106" s="140"/>
      <c r="AZ106" s="277"/>
      <c r="BA106" s="277"/>
      <c r="BB106" s="277"/>
      <c r="BC106" s="140"/>
      <c r="BD106" s="277"/>
      <c r="BE106" s="277"/>
      <c r="BF106" s="277"/>
      <c r="BG106" s="140"/>
      <c r="BH106" s="277"/>
      <c r="BI106" s="277"/>
      <c r="BJ106" s="277"/>
      <c r="BK106" s="140"/>
      <c r="BL106" s="277"/>
      <c r="BM106" s="277"/>
      <c r="BN106" s="277"/>
      <c r="BO106" s="140"/>
      <c r="BP106" s="277"/>
      <c r="BQ106" s="277"/>
      <c r="BR106" s="277"/>
      <c r="BS106" s="140"/>
      <c r="BT106" s="277"/>
      <c r="BU106" s="277"/>
      <c r="BV106" s="277"/>
      <c r="BW106" s="140"/>
      <c r="BX106" s="154"/>
      <c r="BY106" s="154"/>
      <c r="BZ106" s="220"/>
      <c r="CA106" s="140"/>
      <c r="CB106" s="154"/>
      <c r="CC106" s="154"/>
      <c r="CD106" s="220"/>
      <c r="CE106" s="140"/>
      <c r="CF106" s="271"/>
      <c r="CG106" s="271"/>
      <c r="CH106" s="271"/>
      <c r="CI106" s="140"/>
      <c r="CJ106" s="154"/>
      <c r="CK106" s="154"/>
      <c r="CL106" s="154"/>
      <c r="CM106" s="140"/>
      <c r="CN106" s="271"/>
      <c r="CO106" s="271"/>
      <c r="CP106" s="271"/>
      <c r="CQ106" s="140"/>
      <c r="CR106" s="154"/>
      <c r="CS106" s="154"/>
      <c r="CT106" s="154"/>
      <c r="CU106" s="140"/>
      <c r="CV106" s="154"/>
      <c r="CW106" s="154"/>
      <c r="CX106" s="220"/>
      <c r="CY106" s="140"/>
      <c r="CZ106" s="154"/>
      <c r="DA106" s="154"/>
      <c r="DB106" s="220"/>
      <c r="DC106" s="140"/>
      <c r="DD106" s="146"/>
      <c r="DE106" s="146"/>
      <c r="DF106" s="146"/>
      <c r="DG106" s="140"/>
      <c r="DH106" s="146"/>
      <c r="DI106" s="146"/>
      <c r="DJ106" s="146"/>
      <c r="DK106" s="146"/>
      <c r="DL106" s="146"/>
      <c r="DM106" s="146"/>
      <c r="DN106" s="146"/>
      <c r="DO106" s="146"/>
      <c r="DP106" s="146"/>
      <c r="DQ106" s="146"/>
      <c r="DR106" s="146"/>
      <c r="DS106" s="140"/>
      <c r="DT106" s="154"/>
      <c r="DU106" s="154"/>
      <c r="DV106" s="154"/>
      <c r="DW106" s="140"/>
      <c r="DX106" s="220"/>
      <c r="DY106" s="220"/>
      <c r="DZ106" s="220"/>
      <c r="EA106" s="140"/>
      <c r="EB106" s="220"/>
      <c r="EC106" s="220"/>
      <c r="ED106" s="220"/>
      <c r="EE106" s="140"/>
      <c r="EF106" s="154"/>
      <c r="EG106" s="154"/>
      <c r="EH106" s="154"/>
      <c r="EI106" s="140"/>
      <c r="EJ106" s="154"/>
      <c r="EK106" s="154"/>
      <c r="EL106" s="154"/>
      <c r="EM106" s="140"/>
      <c r="EN106" s="222"/>
      <c r="EO106" s="222"/>
      <c r="EP106" s="222"/>
      <c r="EQ106" s="140"/>
      <c r="ER106" s="222"/>
      <c r="ES106" s="222"/>
      <c r="ET106" s="222"/>
      <c r="EU106" s="140"/>
      <c r="EV106" s="222"/>
      <c r="EW106" s="222"/>
      <c r="EX106" s="222"/>
      <c r="EY106" s="344"/>
      <c r="EZ106" s="222"/>
      <c r="FA106" s="222"/>
      <c r="FB106" s="222"/>
      <c r="FC106" s="273"/>
      <c r="FD106" s="223"/>
      <c r="FE106" s="223"/>
      <c r="FF106" s="276"/>
      <c r="FG106" s="156"/>
      <c r="FH106" s="156"/>
      <c r="FI106" s="156"/>
      <c r="FJ106" s="140"/>
      <c r="FK106" s="277"/>
      <c r="FL106" s="277"/>
      <c r="FM106" s="277"/>
      <c r="FN106" s="140"/>
      <c r="FO106" s="277"/>
      <c r="FP106" s="277"/>
      <c r="FQ106" s="277"/>
      <c r="FR106" s="280"/>
      <c r="FS106" s="277"/>
      <c r="FT106" s="277"/>
      <c r="FU106" s="277"/>
      <c r="FV106" s="277"/>
      <c r="FW106" s="277"/>
      <c r="FX106" s="277"/>
      <c r="FY106" s="277"/>
      <c r="FZ106" s="277"/>
      <c r="GA106" s="277"/>
      <c r="GB106" s="277"/>
      <c r="GC106" s="277"/>
      <c r="GD106" s="277"/>
      <c r="GE106" s="277"/>
      <c r="GF106" s="277"/>
      <c r="GG106" s="277"/>
      <c r="GH106" s="277"/>
      <c r="GI106" s="277"/>
      <c r="GJ106" s="277"/>
      <c r="GK106" s="277"/>
      <c r="GL106" s="277"/>
      <c r="GM106" s="277"/>
      <c r="GN106" s="277"/>
      <c r="GO106" s="277"/>
      <c r="GP106" s="277"/>
      <c r="GQ106" s="277"/>
      <c r="GR106" s="277"/>
      <c r="GS106" s="277"/>
      <c r="GT106" s="277"/>
      <c r="GU106" s="277"/>
      <c r="GV106" s="277"/>
      <c r="GW106" s="277"/>
      <c r="GX106" s="277"/>
      <c r="GY106" s="277"/>
      <c r="GZ106" s="277"/>
      <c r="HA106" s="277"/>
      <c r="HB106" s="277"/>
      <c r="HC106" s="277"/>
      <c r="HD106" s="277"/>
      <c r="HE106" s="277"/>
      <c r="HF106" s="140"/>
      <c r="HG106" s="277"/>
      <c r="HH106" s="277"/>
      <c r="HI106" s="277"/>
      <c r="HJ106" s="140"/>
      <c r="HK106" s="277"/>
      <c r="HL106" s="277"/>
      <c r="HM106" s="277"/>
      <c r="HN106" s="140"/>
      <c r="HO106" s="277"/>
      <c r="HP106" s="277"/>
      <c r="HQ106" s="277"/>
      <c r="HR106" s="277"/>
      <c r="HS106" s="277"/>
      <c r="HT106" s="277"/>
      <c r="HU106" s="277"/>
      <c r="HV106" s="277"/>
      <c r="HW106" s="277"/>
      <c r="HX106" s="277"/>
      <c r="HY106" s="277"/>
      <c r="HZ106" s="140"/>
      <c r="IA106" s="277"/>
      <c r="IB106" s="277"/>
      <c r="IC106" s="277"/>
      <c r="ID106" s="140"/>
      <c r="IE106" s="277"/>
      <c r="IF106" s="277"/>
      <c r="IG106" s="277"/>
      <c r="IH106" s="140"/>
      <c r="II106" s="277"/>
      <c r="IJ106" s="277"/>
      <c r="IK106" s="277"/>
      <c r="IL106" s="140"/>
      <c r="IM106" s="277"/>
      <c r="IN106" s="277"/>
      <c r="IO106" s="277"/>
      <c r="IP106" s="277"/>
      <c r="IQ106" s="277"/>
      <c r="IR106" s="277"/>
      <c r="IS106" s="277"/>
      <c r="IT106" s="277"/>
      <c r="IU106" s="277"/>
      <c r="IV106" s="277"/>
      <c r="IW106" s="277"/>
      <c r="IX106" s="140"/>
      <c r="IY106" s="277"/>
      <c r="IZ106" s="277"/>
      <c r="JA106" s="277"/>
      <c r="JB106" s="140"/>
      <c r="JC106" s="277"/>
      <c r="JD106" s="277"/>
      <c r="JE106" s="277"/>
      <c r="JF106" s="140"/>
      <c r="JG106" s="277"/>
      <c r="JH106" s="277"/>
      <c r="JI106" s="140"/>
      <c r="JJ106" s="277"/>
      <c r="JK106" s="277"/>
      <c r="JL106" s="140"/>
      <c r="JM106" s="277"/>
      <c r="JN106" s="277"/>
      <c r="JO106" s="140"/>
      <c r="JP106" s="277"/>
      <c r="JQ106" s="277"/>
      <c r="JR106" s="277"/>
      <c r="JS106" s="277"/>
      <c r="JT106" s="277"/>
      <c r="JU106" s="277"/>
      <c r="JV106" s="277"/>
      <c r="JW106" s="277"/>
      <c r="JX106" s="277"/>
      <c r="JY106" s="277"/>
      <c r="JZ106" s="277"/>
      <c r="KA106" s="277"/>
      <c r="KB106" s="277"/>
      <c r="KC106" s="277"/>
      <c r="KD106" s="277"/>
      <c r="KE106" s="277"/>
      <c r="KF106" s="277"/>
      <c r="KG106" s="277"/>
      <c r="KH106" s="277"/>
      <c r="KI106" s="277"/>
      <c r="KJ106" s="277"/>
      <c r="KK106" s="277"/>
      <c r="KL106" s="277"/>
      <c r="KM106" s="277"/>
      <c r="KN106" s="277"/>
      <c r="KO106" s="277"/>
      <c r="KP106" s="274"/>
      <c r="KQ106" s="253"/>
      <c r="KR106" s="253"/>
      <c r="KY106" s="141">
        <f t="shared" si="37"/>
        <v>0</v>
      </c>
      <c r="KZ106" s="141">
        <f t="shared" si="38"/>
        <v>0</v>
      </c>
      <c r="LB106" s="141">
        <f t="shared" si="39"/>
        <v>1</v>
      </c>
      <c r="LC106" s="141">
        <f t="shared" si="40"/>
        <v>0</v>
      </c>
      <c r="LD106" s="141">
        <f t="shared" si="41"/>
        <v>0</v>
      </c>
      <c r="LE106" s="141" t="e">
        <f>((N(AU106)&gt;0)*(AX106&lt;&gt;"")+(N(AY106)&gt;0)*(BB106&lt;&gt;"")+(N(BC106)&gt;0)*(BF106&lt;&gt;"")+(N(BG106)&gt;0)*(BJ106&lt;&gt;"")+(N(BK106)&gt;0)*(BN106&lt;&gt;"")+(N(BO106)&gt;0)*(BR106&lt;&gt;"")+(N(BS106)&gt;0)*(BV106&lt;&gt;"")+(N(BW106)&gt;0)*(BZ106&lt;&gt;"")+(N(CA106)&gt;0)*(CD106&lt;&gt;"")+(N(CE106)&gt;0)*(CH106&lt;&gt;"")+(N(CI106)&gt;0)*(CL106&lt;&gt;"")+(N(CM106)&gt;0)*(CP106&lt;&gt;"")+(N(CQ106)&gt;0)*(CT106&lt;&gt;"")+(N(CU106)&gt;0)*(CX106&lt;&gt;"")+(N(CY106)&gt;0)*(DB106&lt;&gt;"")+(N(DC106)&gt;0)*(DF106&lt;&gt;"")+(N(DG106)&gt;0)*(DJ106&lt;&gt;"")+(N(DS106)&gt;0)*(DV106&lt;&gt;"")+(N(DW106)&gt;0)*(DZ106&lt;&gt;"")+(N(EA106)&gt;0)*(ED106&lt;&gt;"")+(N(EE106)&gt;0)*(EH106&lt;&gt;"")+(N(EI106)&gt;0)*(EL106&lt;&gt;"")+(N(EM106)&gt;0)*(EP106&lt;&gt;"")+(N(EQ106)&gt;0)*(ET106&lt;&gt;"")+(N(EU106)&gt;0)*(EX106&lt;&gt;"")+(N(#REF!)&gt;0)*(#REF!&lt;&gt;"")+(N(#REF!)&gt;0)*(#REF!&lt;&gt;"")+(N(FJ106)&gt;0)*(FM106&lt;&gt;"")+(N(FN106)&gt;0)*(FQ106&lt;&gt;"")+(N(#REF!)&gt;0)*(#REF!&lt;&gt;"")+(N(#REF!)&gt;0)*(#REF!&lt;&gt;"")+(N(HF106)&gt;0)*(HI106&lt;&gt;"")+(N(#REF!)&gt;0)*(#REF!&lt;&gt;"")+(N(HJ106)&gt;0)*(HM106&lt;&gt;"")+(N(HN106)&gt;0)*(HQ106&lt;&gt;"")+(N(HZ106)&gt;0)*(IC106&lt;&gt;"")+(N(ID106)&gt;0)*(IG106&lt;&gt;"")+(N(IH106)&gt;0)*(IK106&lt;&gt;"")+(N(IL106)&gt;0)*(IO106&lt;&gt;"")+(N(IX106)&gt;0)*(JA106&lt;&gt;"")+(N(JB106)&gt;0)*(JE106&lt;&gt;"")+(N(JF106)&gt;0)*(JH106&lt;&gt;"")+(N(JI106)&gt;0)*(JK106&lt;&gt;"")+(N(JL106)&gt;0)*(JN106&lt;&gt;"")+(N(JO106)&gt;0)*(JQ106&lt;&gt;""))</f>
        <v>#REF!</v>
      </c>
      <c r="LF106" s="141">
        <f t="shared" si="48"/>
        <v>0</v>
      </c>
      <c r="LG106" s="141">
        <f t="shared" si="42"/>
        <v>0</v>
      </c>
    </row>
    <row r="107" spans="1:319" ht="38.25" customHeight="1" x14ac:dyDescent="0.55000000000000004">
      <c r="B107" s="314" t="s">
        <v>436</v>
      </c>
      <c r="C107" s="218"/>
      <c r="D107" s="218"/>
      <c r="E107" s="218"/>
      <c r="F107" s="218"/>
      <c r="G107" s="218"/>
      <c r="H107" s="218"/>
      <c r="I107" s="162" cm="1">
        <f t="array" ref="I107">SUMPRODUCT(($AI$2:$KV$2&lt;&gt;"")*($AI107:$KV107&lt;&gt;""))</f>
        <v>1</v>
      </c>
      <c r="J107" s="142">
        <f t="shared" si="43"/>
        <v>0</v>
      </c>
      <c r="K107" s="142">
        <f t="shared" si="44"/>
        <v>0</v>
      </c>
      <c r="L107" s="268">
        <f t="shared" si="49"/>
        <v>7000</v>
      </c>
      <c r="M107" s="164">
        <f t="shared" si="45"/>
        <v>336</v>
      </c>
      <c r="N107" s="397"/>
      <c r="O107" s="165">
        <f t="shared" si="46"/>
        <v>0</v>
      </c>
      <c r="P107" s="165"/>
      <c r="Q107" s="165"/>
      <c r="R107" s="165">
        <f>(IFERROR(AM107/AN107,0)+IFERROR(AU107/AV107,0)+IFERROR(AY107/AZ107,0)+IFERROR(BC107/BD107,0)+IFERROR(BG107/BH107,0)+IFERROR(BK107/BL107,0)+IFERROR(BO107/BP107,0)+IFERROR(BS107/BT107,0)+IFERROR(BW107/BX107,0)+IFERROR(CA107/CB107,0)+IFERROR(CE107/CF107,0)+IFERROR(CI107/CJ107,0)+IFERROR(CM107/CN107,0)+IFERROR(CQ107/CR107,0)+IFERROR(CU107/CV107,0)+IFERROR(CY107/CZ107,0)+IFERROR(DC107/DD107,0)+IFERROR(DG107/DH107,0)+IFERROR(DS107/DT107,0)+IFERROR(DW107/DX107,0)+IFERROR(EA107/EB107,0)+IFERROR(EE107/EF107,0)+IFERROR(EI107/EJ107,0)+IFERROR(EM107/EN107,0)+IFERROR(EQ107/ER107,0)+IFERROR(EU107/EV107,0)+IFERROR(#REF!/#REF!,0)+IFERROR(#REF!/#REF!,0)+IFERROR(FJ107/FK107,0)+IFERROR(FN107/FO107,0)+IFERROR(#REF!/#REF!,0)+IFERROR(#REF!/#REF!,0)+IFERROR(HF107/HG107,0)+IFERROR(#REF!/#REF!,0)+IFERROR(HJ107/HK107,0)+IFERROR(HN107/HO107,0)+IFERROR(HZ107/IA107,0)+IFERROR(ID107/IE107,0)+IFERROR(IH107/II107,0)+IFERROR(IL107/IM107,0)+IFERROR(IX107/IY107,0)+IFERROR(JB107/JC107,0)+IFERROR(JF107/JG107,0)+IFERROR(JI107/JJ107,0)+IFERROR(JL107/JM107,0)+IFERROR(JO107/JP107,0))*L107*(C107+D107+E107+I107)</f>
        <v>0</v>
      </c>
      <c r="S107" s="165"/>
      <c r="T107" s="165">
        <f t="shared" si="35"/>
        <v>0</v>
      </c>
      <c r="U107" s="165"/>
      <c r="V107" s="165"/>
      <c r="W107" s="165"/>
      <c r="X107" s="165">
        <f>(IFERROR(FF107/FG107,0)+IFERROR(FC107/FD107,0)+IFERROR(#REF!/#REF!,0)+IFERROR(KP107/KQ107,0))*L107*(C107+D107+E107+I107)</f>
        <v>0</v>
      </c>
      <c r="Y107" s="484"/>
      <c r="Z107" s="484"/>
      <c r="AA107" s="484"/>
      <c r="AB107" s="484"/>
      <c r="AC107" s="150">
        <f t="shared" si="47"/>
        <v>0</v>
      </c>
      <c r="AD107" s="150"/>
      <c r="AE107" s="150">
        <f t="shared" si="36"/>
        <v>0</v>
      </c>
      <c r="AF107" s="161"/>
      <c r="AG107" s="143"/>
      <c r="AH107" s="154"/>
      <c r="AI107" s="342">
        <v>12</v>
      </c>
      <c r="AJ107" s="342">
        <v>250</v>
      </c>
      <c r="AK107" s="342"/>
      <c r="AL107" s="343" t="s">
        <v>545</v>
      </c>
      <c r="AM107" s="140"/>
      <c r="AN107" s="154"/>
      <c r="AO107" s="154"/>
      <c r="AP107" s="220"/>
      <c r="AQ107" s="145"/>
      <c r="AR107" s="154"/>
      <c r="AS107" s="154"/>
      <c r="AT107" s="220"/>
      <c r="AU107" s="140"/>
      <c r="AV107" s="277"/>
      <c r="AW107" s="277"/>
      <c r="AX107" s="277"/>
      <c r="AY107" s="140"/>
      <c r="AZ107" s="277"/>
      <c r="BA107" s="277"/>
      <c r="BB107" s="277"/>
      <c r="BC107" s="140"/>
      <c r="BD107" s="277"/>
      <c r="BE107" s="277"/>
      <c r="BF107" s="277"/>
      <c r="BG107" s="140"/>
      <c r="BH107" s="277"/>
      <c r="BI107" s="277"/>
      <c r="BJ107" s="277"/>
      <c r="BK107" s="140"/>
      <c r="BL107" s="277"/>
      <c r="BM107" s="277"/>
      <c r="BN107" s="277"/>
      <c r="BO107" s="140"/>
      <c r="BP107" s="277"/>
      <c r="BQ107" s="277"/>
      <c r="BR107" s="277"/>
      <c r="BS107" s="140"/>
      <c r="BT107" s="277"/>
      <c r="BU107" s="277"/>
      <c r="BV107" s="277"/>
      <c r="BW107" s="140"/>
      <c r="BX107" s="154"/>
      <c r="BY107" s="154"/>
      <c r="BZ107" s="220"/>
      <c r="CA107" s="140"/>
      <c r="CB107" s="154"/>
      <c r="CC107" s="154"/>
      <c r="CD107" s="220"/>
      <c r="CE107" s="140"/>
      <c r="CF107" s="271"/>
      <c r="CG107" s="271"/>
      <c r="CH107" s="271"/>
      <c r="CI107" s="140"/>
      <c r="CJ107" s="154"/>
      <c r="CK107" s="154"/>
      <c r="CL107" s="154"/>
      <c r="CM107" s="140"/>
      <c r="CN107" s="271"/>
      <c r="CO107" s="271"/>
      <c r="CP107" s="271"/>
      <c r="CQ107" s="140"/>
      <c r="CR107" s="154"/>
      <c r="CS107" s="154"/>
      <c r="CT107" s="154"/>
      <c r="CU107" s="140"/>
      <c r="CV107" s="154"/>
      <c r="CW107" s="154"/>
      <c r="CX107" s="220"/>
      <c r="CY107" s="140"/>
      <c r="CZ107" s="154"/>
      <c r="DA107" s="154"/>
      <c r="DB107" s="220"/>
      <c r="DC107" s="140"/>
      <c r="DD107" s="146"/>
      <c r="DE107" s="146"/>
      <c r="DF107" s="146"/>
      <c r="DG107" s="140"/>
      <c r="DH107" s="146"/>
      <c r="DI107" s="146"/>
      <c r="DJ107" s="146"/>
      <c r="DK107" s="146"/>
      <c r="DL107" s="146"/>
      <c r="DM107" s="146"/>
      <c r="DN107" s="146"/>
      <c r="DO107" s="146"/>
      <c r="DP107" s="146"/>
      <c r="DQ107" s="146"/>
      <c r="DR107" s="146"/>
      <c r="DS107" s="140"/>
      <c r="DT107" s="154"/>
      <c r="DU107" s="154"/>
      <c r="DV107" s="154"/>
      <c r="DW107" s="140"/>
      <c r="DX107" s="220"/>
      <c r="DY107" s="220"/>
      <c r="DZ107" s="220"/>
      <c r="EA107" s="140"/>
      <c r="EB107" s="220"/>
      <c r="EC107" s="220"/>
      <c r="ED107" s="220"/>
      <c r="EE107" s="140"/>
      <c r="EF107" s="154"/>
      <c r="EG107" s="154"/>
      <c r="EH107" s="154"/>
      <c r="EI107" s="140"/>
      <c r="EJ107" s="154"/>
      <c r="EK107" s="154"/>
      <c r="EL107" s="154"/>
      <c r="EM107" s="140"/>
      <c r="EN107" s="222"/>
      <c r="EO107" s="222"/>
      <c r="EP107" s="222"/>
      <c r="EQ107" s="140"/>
      <c r="ER107" s="222"/>
      <c r="ES107" s="222"/>
      <c r="ET107" s="222"/>
      <c r="EU107" s="140"/>
      <c r="EV107" s="222"/>
      <c r="EW107" s="222"/>
      <c r="EX107" s="222"/>
      <c r="EY107" s="344"/>
      <c r="EZ107" s="222"/>
      <c r="FA107" s="222"/>
      <c r="FB107" s="222"/>
      <c r="FC107" s="273"/>
      <c r="FD107" s="223"/>
      <c r="FE107" s="223"/>
      <c r="FF107" s="276"/>
      <c r="FG107" s="156"/>
      <c r="FH107" s="156"/>
      <c r="FI107" s="156"/>
      <c r="FJ107" s="140"/>
      <c r="FK107" s="277"/>
      <c r="FL107" s="277"/>
      <c r="FM107" s="277"/>
      <c r="FN107" s="140"/>
      <c r="FO107" s="277"/>
      <c r="FP107" s="277"/>
      <c r="FQ107" s="277"/>
      <c r="FR107" s="280"/>
      <c r="FS107" s="277"/>
      <c r="FT107" s="277"/>
      <c r="FU107" s="277"/>
      <c r="FV107" s="277"/>
      <c r="FW107" s="277"/>
      <c r="FX107" s="277"/>
      <c r="FY107" s="277"/>
      <c r="FZ107" s="277"/>
      <c r="GA107" s="277"/>
      <c r="GB107" s="277"/>
      <c r="GC107" s="277"/>
      <c r="GD107" s="277"/>
      <c r="GE107" s="277"/>
      <c r="GF107" s="277"/>
      <c r="GG107" s="277"/>
      <c r="GH107" s="277"/>
      <c r="GI107" s="277"/>
      <c r="GJ107" s="277"/>
      <c r="GK107" s="277"/>
      <c r="GL107" s="277"/>
      <c r="GM107" s="277"/>
      <c r="GN107" s="277"/>
      <c r="GO107" s="277"/>
      <c r="GP107" s="277"/>
      <c r="GQ107" s="277"/>
      <c r="GR107" s="277"/>
      <c r="GS107" s="277"/>
      <c r="GT107" s="277"/>
      <c r="GU107" s="277"/>
      <c r="GV107" s="277"/>
      <c r="GW107" s="277"/>
      <c r="GX107" s="277"/>
      <c r="GY107" s="277"/>
      <c r="GZ107" s="277"/>
      <c r="HA107" s="277"/>
      <c r="HB107" s="277"/>
      <c r="HC107" s="277"/>
      <c r="HD107" s="277"/>
      <c r="HE107" s="277"/>
      <c r="HF107" s="140"/>
      <c r="HG107" s="277"/>
      <c r="HH107" s="277"/>
      <c r="HI107" s="277"/>
      <c r="HJ107" s="140"/>
      <c r="HK107" s="277"/>
      <c r="HL107" s="277"/>
      <c r="HM107" s="277"/>
      <c r="HN107" s="140"/>
      <c r="HO107" s="277"/>
      <c r="HP107" s="277"/>
      <c r="HQ107" s="277"/>
      <c r="HR107" s="277"/>
      <c r="HS107" s="277"/>
      <c r="HT107" s="277"/>
      <c r="HU107" s="277"/>
      <c r="HV107" s="277"/>
      <c r="HW107" s="277"/>
      <c r="HX107" s="277"/>
      <c r="HY107" s="277"/>
      <c r="HZ107" s="140"/>
      <c r="IA107" s="277"/>
      <c r="IB107" s="277"/>
      <c r="IC107" s="277"/>
      <c r="ID107" s="140"/>
      <c r="IE107" s="277"/>
      <c r="IF107" s="277"/>
      <c r="IG107" s="277"/>
      <c r="IH107" s="140"/>
      <c r="II107" s="277"/>
      <c r="IJ107" s="277"/>
      <c r="IK107" s="277"/>
      <c r="IL107" s="140"/>
      <c r="IM107" s="277"/>
      <c r="IN107" s="277"/>
      <c r="IO107" s="277"/>
      <c r="IP107" s="277"/>
      <c r="IQ107" s="277"/>
      <c r="IR107" s="277"/>
      <c r="IS107" s="277"/>
      <c r="IT107" s="277"/>
      <c r="IU107" s="277"/>
      <c r="IV107" s="277"/>
      <c r="IW107" s="277"/>
      <c r="IX107" s="140"/>
      <c r="IY107" s="277"/>
      <c r="IZ107" s="277"/>
      <c r="JA107" s="277"/>
      <c r="JB107" s="140"/>
      <c r="JC107" s="277"/>
      <c r="JD107" s="277"/>
      <c r="JE107" s="277"/>
      <c r="JF107" s="140"/>
      <c r="JG107" s="277"/>
      <c r="JH107" s="277"/>
      <c r="JI107" s="140"/>
      <c r="JJ107" s="277"/>
      <c r="JK107" s="277"/>
      <c r="JL107" s="140"/>
      <c r="JM107" s="277"/>
      <c r="JN107" s="277"/>
      <c r="JO107" s="140"/>
      <c r="JP107" s="277"/>
      <c r="JQ107" s="277"/>
      <c r="JR107" s="277"/>
      <c r="JS107" s="277"/>
      <c r="JT107" s="277"/>
      <c r="JU107" s="277"/>
      <c r="JV107" s="277"/>
      <c r="JW107" s="277"/>
      <c r="JX107" s="277"/>
      <c r="JY107" s="277"/>
      <c r="JZ107" s="277"/>
      <c r="KA107" s="277"/>
      <c r="KB107" s="277"/>
      <c r="KC107" s="277"/>
      <c r="KD107" s="277"/>
      <c r="KE107" s="277"/>
      <c r="KF107" s="277"/>
      <c r="KG107" s="277"/>
      <c r="KH107" s="277"/>
      <c r="KI107" s="277"/>
      <c r="KJ107" s="277"/>
      <c r="KK107" s="277"/>
      <c r="KL107" s="277"/>
      <c r="KM107" s="277"/>
      <c r="KN107" s="277"/>
      <c r="KO107" s="277"/>
      <c r="KP107" s="274"/>
      <c r="KQ107" s="253"/>
      <c r="KR107" s="253"/>
      <c r="KY107" s="141">
        <f t="shared" si="37"/>
        <v>0</v>
      </c>
      <c r="KZ107" s="141">
        <f t="shared" si="38"/>
        <v>0</v>
      </c>
      <c r="LB107" s="141">
        <f t="shared" si="39"/>
        <v>1</v>
      </c>
      <c r="LC107" s="141">
        <f t="shared" si="40"/>
        <v>0</v>
      </c>
      <c r="LD107" s="141">
        <f t="shared" si="41"/>
        <v>0</v>
      </c>
      <c r="LE107" s="141" t="e">
        <f>((N(AU107)&gt;0)*(AX107&lt;&gt;"")+(N(AY107)&gt;0)*(BB107&lt;&gt;"")+(N(BC107)&gt;0)*(BF107&lt;&gt;"")+(N(BG107)&gt;0)*(BJ107&lt;&gt;"")+(N(BK107)&gt;0)*(BN107&lt;&gt;"")+(N(BO107)&gt;0)*(BR107&lt;&gt;"")+(N(BS107)&gt;0)*(BV107&lt;&gt;"")+(N(BW107)&gt;0)*(BZ107&lt;&gt;"")+(N(CA107)&gt;0)*(CD107&lt;&gt;"")+(N(CE107)&gt;0)*(CH107&lt;&gt;"")+(N(CI107)&gt;0)*(CL107&lt;&gt;"")+(N(CM107)&gt;0)*(CP107&lt;&gt;"")+(N(CQ107)&gt;0)*(CT107&lt;&gt;"")+(N(CU107)&gt;0)*(CX107&lt;&gt;"")+(N(CY107)&gt;0)*(DB107&lt;&gt;"")+(N(DC107)&gt;0)*(DF107&lt;&gt;"")+(N(DG107)&gt;0)*(DJ107&lt;&gt;"")+(N(DS107)&gt;0)*(DV107&lt;&gt;"")+(N(DW107)&gt;0)*(DZ107&lt;&gt;"")+(N(EA107)&gt;0)*(ED107&lt;&gt;"")+(N(EE107)&gt;0)*(EH107&lt;&gt;"")+(N(EI107)&gt;0)*(EL107&lt;&gt;"")+(N(EM107)&gt;0)*(EP107&lt;&gt;"")+(N(EQ107)&gt;0)*(ET107&lt;&gt;"")+(N(EU107)&gt;0)*(EX107&lt;&gt;"")+(N(#REF!)&gt;0)*(#REF!&lt;&gt;"")+(N(#REF!)&gt;0)*(#REF!&lt;&gt;"")+(N(FJ107)&gt;0)*(FM107&lt;&gt;"")+(N(FN107)&gt;0)*(FQ107&lt;&gt;"")+(N(#REF!)&gt;0)*(#REF!&lt;&gt;"")+(N(#REF!)&gt;0)*(#REF!&lt;&gt;"")+(N(HF107)&gt;0)*(HI107&lt;&gt;"")+(N(#REF!)&gt;0)*(#REF!&lt;&gt;"")+(N(HJ107)&gt;0)*(HM107&lt;&gt;"")+(N(HN107)&gt;0)*(HQ107&lt;&gt;"")+(N(HZ107)&gt;0)*(IC107&lt;&gt;"")+(N(ID107)&gt;0)*(IG107&lt;&gt;"")+(N(IH107)&gt;0)*(IK107&lt;&gt;"")+(N(IL107)&gt;0)*(IO107&lt;&gt;"")+(N(IX107)&gt;0)*(JA107&lt;&gt;"")+(N(JB107)&gt;0)*(JE107&lt;&gt;"")+(N(JF107)&gt;0)*(JH107&lt;&gt;"")+(N(JI107)&gt;0)*(JK107&lt;&gt;"")+(N(JL107)&gt;0)*(JN107&lt;&gt;"")+(N(JO107)&gt;0)*(JQ107&lt;&gt;""))</f>
        <v>#REF!</v>
      </c>
      <c r="LF107" s="141">
        <f t="shared" si="48"/>
        <v>0</v>
      </c>
      <c r="LG107" s="141">
        <f t="shared" si="42"/>
        <v>0</v>
      </c>
    </row>
    <row r="108" spans="1:319" ht="38.25" customHeight="1" x14ac:dyDescent="0.55000000000000004">
      <c r="B108" s="314" t="s">
        <v>437</v>
      </c>
      <c r="C108" s="218"/>
      <c r="D108" s="218"/>
      <c r="E108" s="218"/>
      <c r="F108" s="218"/>
      <c r="G108" s="218"/>
      <c r="H108" s="218"/>
      <c r="I108" s="162" cm="1">
        <f t="array" ref="I108">SUMPRODUCT(($AI$2:$KV$2&lt;&gt;"")*($AI108:$KV108&lt;&gt;""))</f>
        <v>1</v>
      </c>
      <c r="J108" s="142">
        <f t="shared" si="43"/>
        <v>0</v>
      </c>
      <c r="K108" s="142">
        <f t="shared" si="44"/>
        <v>0</v>
      </c>
      <c r="L108" s="268">
        <f t="shared" si="49"/>
        <v>7000</v>
      </c>
      <c r="M108" s="164">
        <f t="shared" si="45"/>
        <v>336</v>
      </c>
      <c r="N108" s="397"/>
      <c r="O108" s="165">
        <f t="shared" si="46"/>
        <v>0</v>
      </c>
      <c r="P108" s="165"/>
      <c r="Q108" s="165"/>
      <c r="R108" s="165">
        <f>(IFERROR(AM108/AN108,0)+IFERROR(AU108/AV108,0)+IFERROR(AY108/AZ108,0)+IFERROR(BC108/BD108,0)+IFERROR(BG108/BH108,0)+IFERROR(BK108/BL108,0)+IFERROR(BO108/BP108,0)+IFERROR(BS108/BT108,0)+IFERROR(BW108/BX108,0)+IFERROR(CA108/CB108,0)+IFERROR(CE108/CF108,0)+IFERROR(CI108/CJ108,0)+IFERROR(CM108/CN108,0)+IFERROR(CQ108/CR108,0)+IFERROR(CU108/CV108,0)+IFERROR(CY108/CZ108,0)+IFERROR(DC108/DD108,0)+IFERROR(DG108/DH108,0)+IFERROR(DS108/DT108,0)+IFERROR(DW108/DX108,0)+IFERROR(EA108/EB108,0)+IFERROR(EE108/EF108,0)+IFERROR(EI108/EJ108,0)+IFERROR(EM108/EN108,0)+IFERROR(EQ108/ER108,0)+IFERROR(EU108/EV108,0)+IFERROR(#REF!/#REF!,0)+IFERROR(#REF!/#REF!,0)+IFERROR(FJ108/FK108,0)+IFERROR(FN108/FO108,0)+IFERROR(#REF!/#REF!,0)+IFERROR(#REF!/#REF!,0)+IFERROR(HF108/HG108,0)+IFERROR(#REF!/#REF!,0)+IFERROR(HJ108/HK108,0)+IFERROR(HN108/HO108,0)+IFERROR(HZ108/IA108,0)+IFERROR(ID108/IE108,0)+IFERROR(IH108/II108,0)+IFERROR(IL108/IM108,0)+IFERROR(IX108/IY108,0)+IFERROR(JB108/JC108,0)+IFERROR(JF108/JG108,0)+IFERROR(JI108/JJ108,0)+IFERROR(JL108/JM108,0)+IFERROR(JO108/JP108,0))*L108*(C108+D108+E108+I108)</f>
        <v>0</v>
      </c>
      <c r="S108" s="165"/>
      <c r="T108" s="165">
        <f t="shared" si="35"/>
        <v>0</v>
      </c>
      <c r="U108" s="165"/>
      <c r="V108" s="165"/>
      <c r="W108" s="165"/>
      <c r="X108" s="165">
        <f>(IFERROR(FF108/FG108,0)+IFERROR(FC108/FD108,0)+IFERROR(#REF!/#REF!,0)+IFERROR(KP108/KQ108,0))*L108*(C108+D108+E108+I108)</f>
        <v>0</v>
      </c>
      <c r="Y108" s="484"/>
      <c r="Z108" s="484"/>
      <c r="AA108" s="484"/>
      <c r="AB108" s="484"/>
      <c r="AC108" s="150">
        <f t="shared" si="47"/>
        <v>0</v>
      </c>
      <c r="AD108" s="150"/>
      <c r="AE108" s="150">
        <f t="shared" si="36"/>
        <v>0</v>
      </c>
      <c r="AF108" s="161"/>
      <c r="AG108" s="143"/>
      <c r="AH108" s="154"/>
      <c r="AI108" s="342">
        <v>12</v>
      </c>
      <c r="AJ108" s="342">
        <v>250</v>
      </c>
      <c r="AK108" s="342"/>
      <c r="AL108" s="343" t="s">
        <v>545</v>
      </c>
      <c r="AM108" s="140"/>
      <c r="AN108" s="154"/>
      <c r="AO108" s="154"/>
      <c r="AP108" s="220"/>
      <c r="AQ108" s="145"/>
      <c r="AR108" s="154"/>
      <c r="AS108" s="154"/>
      <c r="AT108" s="220"/>
      <c r="AU108" s="140"/>
      <c r="AV108" s="277"/>
      <c r="AW108" s="277"/>
      <c r="AX108" s="277"/>
      <c r="AY108" s="140"/>
      <c r="AZ108" s="277"/>
      <c r="BA108" s="277"/>
      <c r="BB108" s="277"/>
      <c r="BC108" s="140"/>
      <c r="BD108" s="277"/>
      <c r="BE108" s="277"/>
      <c r="BF108" s="277"/>
      <c r="BG108" s="140"/>
      <c r="BH108" s="277"/>
      <c r="BI108" s="277"/>
      <c r="BJ108" s="277"/>
      <c r="BK108" s="140"/>
      <c r="BL108" s="277"/>
      <c r="BM108" s="277"/>
      <c r="BN108" s="277"/>
      <c r="BO108" s="140"/>
      <c r="BP108" s="277"/>
      <c r="BQ108" s="277"/>
      <c r="BR108" s="277"/>
      <c r="BS108" s="140"/>
      <c r="BT108" s="277"/>
      <c r="BU108" s="277"/>
      <c r="BV108" s="277"/>
      <c r="BW108" s="140"/>
      <c r="BX108" s="154"/>
      <c r="BY108" s="154"/>
      <c r="BZ108" s="220"/>
      <c r="CA108" s="140"/>
      <c r="CB108" s="154"/>
      <c r="CC108" s="154"/>
      <c r="CD108" s="220"/>
      <c r="CE108" s="140"/>
      <c r="CF108" s="271"/>
      <c r="CG108" s="271"/>
      <c r="CH108" s="271"/>
      <c r="CI108" s="140"/>
      <c r="CJ108" s="154"/>
      <c r="CK108" s="154"/>
      <c r="CL108" s="154"/>
      <c r="CM108" s="140"/>
      <c r="CN108" s="271"/>
      <c r="CO108" s="271"/>
      <c r="CP108" s="271"/>
      <c r="CQ108" s="140"/>
      <c r="CR108" s="154"/>
      <c r="CS108" s="154"/>
      <c r="CT108" s="154"/>
      <c r="CU108" s="140"/>
      <c r="CV108" s="154"/>
      <c r="CW108" s="154"/>
      <c r="CX108" s="220"/>
      <c r="CY108" s="140"/>
      <c r="CZ108" s="154"/>
      <c r="DA108" s="154"/>
      <c r="DB108" s="220"/>
      <c r="DC108" s="140"/>
      <c r="DD108" s="146"/>
      <c r="DE108" s="146"/>
      <c r="DF108" s="146"/>
      <c r="DG108" s="140"/>
      <c r="DH108" s="146"/>
      <c r="DI108" s="146"/>
      <c r="DJ108" s="146"/>
      <c r="DK108" s="146"/>
      <c r="DL108" s="146"/>
      <c r="DM108" s="146"/>
      <c r="DN108" s="146"/>
      <c r="DO108" s="146"/>
      <c r="DP108" s="146"/>
      <c r="DQ108" s="146"/>
      <c r="DR108" s="146"/>
      <c r="DS108" s="140"/>
      <c r="DT108" s="154"/>
      <c r="DU108" s="154"/>
      <c r="DV108" s="154"/>
      <c r="DW108" s="140"/>
      <c r="DX108" s="220"/>
      <c r="DY108" s="220"/>
      <c r="DZ108" s="220"/>
      <c r="EA108" s="140"/>
      <c r="EB108" s="220"/>
      <c r="EC108" s="220"/>
      <c r="ED108" s="220"/>
      <c r="EE108" s="140"/>
      <c r="EF108" s="154"/>
      <c r="EG108" s="154"/>
      <c r="EH108" s="154"/>
      <c r="EI108" s="140"/>
      <c r="EJ108" s="154"/>
      <c r="EK108" s="154"/>
      <c r="EL108" s="154"/>
      <c r="EM108" s="140"/>
      <c r="EN108" s="222"/>
      <c r="EO108" s="222"/>
      <c r="EP108" s="222"/>
      <c r="EQ108" s="140"/>
      <c r="ER108" s="222"/>
      <c r="ES108" s="222"/>
      <c r="ET108" s="222"/>
      <c r="EU108" s="140"/>
      <c r="EV108" s="222"/>
      <c r="EW108" s="222"/>
      <c r="EX108" s="222"/>
      <c r="EY108" s="344"/>
      <c r="EZ108" s="222"/>
      <c r="FA108" s="222"/>
      <c r="FB108" s="222"/>
      <c r="FC108" s="273"/>
      <c r="FD108" s="223"/>
      <c r="FE108" s="223"/>
      <c r="FF108" s="276"/>
      <c r="FG108" s="156"/>
      <c r="FH108" s="156"/>
      <c r="FI108" s="156"/>
      <c r="FJ108" s="140"/>
      <c r="FK108" s="277"/>
      <c r="FL108" s="277"/>
      <c r="FM108" s="277"/>
      <c r="FN108" s="140"/>
      <c r="FO108" s="277"/>
      <c r="FP108" s="277"/>
      <c r="FQ108" s="277"/>
      <c r="FR108" s="280"/>
      <c r="FS108" s="277"/>
      <c r="FT108" s="277"/>
      <c r="FU108" s="277"/>
      <c r="FV108" s="277"/>
      <c r="FW108" s="277"/>
      <c r="FX108" s="277"/>
      <c r="FY108" s="277"/>
      <c r="FZ108" s="277"/>
      <c r="GA108" s="277"/>
      <c r="GB108" s="277"/>
      <c r="GC108" s="277"/>
      <c r="GD108" s="277"/>
      <c r="GE108" s="277"/>
      <c r="GF108" s="277"/>
      <c r="GG108" s="277"/>
      <c r="GH108" s="277"/>
      <c r="GI108" s="277"/>
      <c r="GJ108" s="277"/>
      <c r="GK108" s="277"/>
      <c r="GL108" s="277"/>
      <c r="GM108" s="277"/>
      <c r="GN108" s="277"/>
      <c r="GO108" s="277"/>
      <c r="GP108" s="277"/>
      <c r="GQ108" s="277"/>
      <c r="GR108" s="277"/>
      <c r="GS108" s="277"/>
      <c r="GT108" s="277"/>
      <c r="GU108" s="277"/>
      <c r="GV108" s="277"/>
      <c r="GW108" s="277"/>
      <c r="GX108" s="277"/>
      <c r="GY108" s="277"/>
      <c r="GZ108" s="277"/>
      <c r="HA108" s="277"/>
      <c r="HB108" s="277"/>
      <c r="HC108" s="277"/>
      <c r="HD108" s="277"/>
      <c r="HE108" s="277"/>
      <c r="HF108" s="140"/>
      <c r="HG108" s="277"/>
      <c r="HH108" s="277"/>
      <c r="HI108" s="277"/>
      <c r="HJ108" s="140"/>
      <c r="HK108" s="277"/>
      <c r="HL108" s="277"/>
      <c r="HM108" s="277"/>
      <c r="HN108" s="140"/>
      <c r="HO108" s="277"/>
      <c r="HP108" s="277"/>
      <c r="HQ108" s="277"/>
      <c r="HR108" s="277"/>
      <c r="HS108" s="277"/>
      <c r="HT108" s="277"/>
      <c r="HU108" s="277"/>
      <c r="HV108" s="277"/>
      <c r="HW108" s="277"/>
      <c r="HX108" s="277"/>
      <c r="HY108" s="277"/>
      <c r="HZ108" s="140"/>
      <c r="IA108" s="277"/>
      <c r="IB108" s="277"/>
      <c r="IC108" s="277"/>
      <c r="ID108" s="140"/>
      <c r="IE108" s="277"/>
      <c r="IF108" s="277"/>
      <c r="IG108" s="277"/>
      <c r="IH108" s="140"/>
      <c r="II108" s="277"/>
      <c r="IJ108" s="277"/>
      <c r="IK108" s="277"/>
      <c r="IL108" s="140"/>
      <c r="IM108" s="277"/>
      <c r="IN108" s="277"/>
      <c r="IO108" s="277"/>
      <c r="IP108" s="277"/>
      <c r="IQ108" s="277"/>
      <c r="IR108" s="277"/>
      <c r="IS108" s="277"/>
      <c r="IT108" s="277"/>
      <c r="IU108" s="277"/>
      <c r="IV108" s="277"/>
      <c r="IW108" s="277"/>
      <c r="IX108" s="140"/>
      <c r="IY108" s="277"/>
      <c r="IZ108" s="277"/>
      <c r="JA108" s="277"/>
      <c r="JB108" s="140"/>
      <c r="JC108" s="277"/>
      <c r="JD108" s="277"/>
      <c r="JE108" s="277"/>
      <c r="JF108" s="140"/>
      <c r="JG108" s="277"/>
      <c r="JH108" s="277"/>
      <c r="JI108" s="140"/>
      <c r="JJ108" s="277"/>
      <c r="JK108" s="277"/>
      <c r="JL108" s="140"/>
      <c r="JM108" s="277"/>
      <c r="JN108" s="277"/>
      <c r="JO108" s="140"/>
      <c r="JP108" s="277"/>
      <c r="JQ108" s="277"/>
      <c r="JR108" s="277"/>
      <c r="JS108" s="277"/>
      <c r="JT108" s="277"/>
      <c r="JU108" s="277"/>
      <c r="JV108" s="277"/>
      <c r="JW108" s="277"/>
      <c r="JX108" s="277"/>
      <c r="JY108" s="277"/>
      <c r="JZ108" s="277"/>
      <c r="KA108" s="277"/>
      <c r="KB108" s="277"/>
      <c r="KC108" s="277"/>
      <c r="KD108" s="277"/>
      <c r="KE108" s="277"/>
      <c r="KF108" s="277"/>
      <c r="KG108" s="277"/>
      <c r="KH108" s="277"/>
      <c r="KI108" s="277"/>
      <c r="KJ108" s="277"/>
      <c r="KK108" s="277"/>
      <c r="KL108" s="277"/>
      <c r="KM108" s="277"/>
      <c r="KN108" s="277"/>
      <c r="KO108" s="277"/>
      <c r="KP108" s="274"/>
      <c r="KQ108" s="253"/>
      <c r="KR108" s="253"/>
      <c r="KY108" s="141">
        <f t="shared" si="37"/>
        <v>0</v>
      </c>
      <c r="KZ108" s="141">
        <f t="shared" si="38"/>
        <v>0</v>
      </c>
      <c r="LB108" s="141">
        <f t="shared" si="39"/>
        <v>1</v>
      </c>
      <c r="LC108" s="141">
        <f t="shared" si="40"/>
        <v>0</v>
      </c>
      <c r="LD108" s="141">
        <f t="shared" si="41"/>
        <v>0</v>
      </c>
      <c r="LE108" s="141" t="e">
        <f>((N(AU108)&gt;0)*(AX108&lt;&gt;"")+(N(AY108)&gt;0)*(BB108&lt;&gt;"")+(N(BC108)&gt;0)*(BF108&lt;&gt;"")+(N(BG108)&gt;0)*(BJ108&lt;&gt;"")+(N(BK108)&gt;0)*(BN108&lt;&gt;"")+(N(BO108)&gt;0)*(BR108&lt;&gt;"")+(N(BS108)&gt;0)*(BV108&lt;&gt;"")+(N(BW108)&gt;0)*(BZ108&lt;&gt;"")+(N(CA108)&gt;0)*(CD108&lt;&gt;"")+(N(CE108)&gt;0)*(CH108&lt;&gt;"")+(N(CI108)&gt;0)*(CL108&lt;&gt;"")+(N(CM108)&gt;0)*(CP108&lt;&gt;"")+(N(CQ108)&gt;0)*(CT108&lt;&gt;"")+(N(CU108)&gt;0)*(CX108&lt;&gt;"")+(N(CY108)&gt;0)*(DB108&lt;&gt;"")+(N(DC108)&gt;0)*(DF108&lt;&gt;"")+(N(DG108)&gt;0)*(DJ108&lt;&gt;"")+(N(DS108)&gt;0)*(DV108&lt;&gt;"")+(N(DW108)&gt;0)*(DZ108&lt;&gt;"")+(N(EA108)&gt;0)*(ED108&lt;&gt;"")+(N(EE108)&gt;0)*(EH108&lt;&gt;"")+(N(EI108)&gt;0)*(EL108&lt;&gt;"")+(N(EM108)&gt;0)*(EP108&lt;&gt;"")+(N(EQ108)&gt;0)*(ET108&lt;&gt;"")+(N(EU108)&gt;0)*(EX108&lt;&gt;"")+(N(#REF!)&gt;0)*(#REF!&lt;&gt;"")+(N(#REF!)&gt;0)*(#REF!&lt;&gt;"")+(N(FJ108)&gt;0)*(FM108&lt;&gt;"")+(N(FN108)&gt;0)*(FQ108&lt;&gt;"")+(N(#REF!)&gt;0)*(#REF!&lt;&gt;"")+(N(#REF!)&gt;0)*(#REF!&lt;&gt;"")+(N(HF108)&gt;0)*(HI108&lt;&gt;"")+(N(#REF!)&gt;0)*(#REF!&lt;&gt;"")+(N(HJ108)&gt;0)*(HM108&lt;&gt;"")+(N(HN108)&gt;0)*(HQ108&lt;&gt;"")+(N(HZ108)&gt;0)*(IC108&lt;&gt;"")+(N(ID108)&gt;0)*(IG108&lt;&gt;"")+(N(IH108)&gt;0)*(IK108&lt;&gt;"")+(N(IL108)&gt;0)*(IO108&lt;&gt;"")+(N(IX108)&gt;0)*(JA108&lt;&gt;"")+(N(JB108)&gt;0)*(JE108&lt;&gt;"")+(N(JF108)&gt;0)*(JH108&lt;&gt;"")+(N(JI108)&gt;0)*(JK108&lt;&gt;"")+(N(JL108)&gt;0)*(JN108&lt;&gt;"")+(N(JO108)&gt;0)*(JQ108&lt;&gt;""))</f>
        <v>#REF!</v>
      </c>
      <c r="LF108" s="141">
        <f t="shared" si="48"/>
        <v>0</v>
      </c>
      <c r="LG108" s="141">
        <f t="shared" si="42"/>
        <v>0</v>
      </c>
    </row>
    <row r="109" spans="1:319" ht="38.25" customHeight="1" x14ac:dyDescent="0.55000000000000004">
      <c r="B109" s="314" t="s">
        <v>438</v>
      </c>
      <c r="C109" s="218"/>
      <c r="D109" s="218"/>
      <c r="E109" s="218"/>
      <c r="F109" s="218"/>
      <c r="G109" s="218"/>
      <c r="H109" s="218"/>
      <c r="I109" s="162" cm="1">
        <f t="array" ref="I109">SUMPRODUCT(($AI$2:$KV$2&lt;&gt;"")*($AI109:$KV109&lt;&gt;""))</f>
        <v>1</v>
      </c>
      <c r="J109" s="142">
        <f t="shared" si="43"/>
        <v>0</v>
      </c>
      <c r="K109" s="142">
        <f t="shared" si="44"/>
        <v>0</v>
      </c>
      <c r="L109" s="268">
        <f t="shared" si="49"/>
        <v>7000</v>
      </c>
      <c r="M109" s="164">
        <f t="shared" si="45"/>
        <v>336</v>
      </c>
      <c r="N109" s="397"/>
      <c r="O109" s="165">
        <f t="shared" si="46"/>
        <v>0</v>
      </c>
      <c r="P109" s="165"/>
      <c r="Q109" s="165"/>
      <c r="R109" s="165">
        <f>(IFERROR(AM109/AN109,0)+IFERROR(AU109/AV109,0)+IFERROR(AY109/AZ109,0)+IFERROR(BC109/BD109,0)+IFERROR(BG109/BH109,0)+IFERROR(BK109/BL109,0)+IFERROR(BO109/BP109,0)+IFERROR(BS109/BT109,0)+IFERROR(BW109/BX109,0)+IFERROR(CA109/CB109,0)+IFERROR(CE109/CF109,0)+IFERROR(CI109/CJ109,0)+IFERROR(CM109/CN109,0)+IFERROR(CQ109/CR109,0)+IFERROR(CU109/CV109,0)+IFERROR(CY109/CZ109,0)+IFERROR(DC109/DD109,0)+IFERROR(DG109/DH109,0)+IFERROR(DS109/DT109,0)+IFERROR(DW109/DX109,0)+IFERROR(EA109/EB109,0)+IFERROR(EE109/EF109,0)+IFERROR(EI109/EJ109,0)+IFERROR(EM109/EN109,0)+IFERROR(EQ109/ER109,0)+IFERROR(EU109/EV109,0)+IFERROR(#REF!/#REF!,0)+IFERROR(#REF!/#REF!,0)+IFERROR(FJ109/FK109,0)+IFERROR(FN109/FO109,0)+IFERROR(#REF!/#REF!,0)+IFERROR(#REF!/#REF!,0)+IFERROR(HF109/HG109,0)+IFERROR(#REF!/#REF!,0)+IFERROR(HJ109/HK109,0)+IFERROR(HN109/HO109,0)+IFERROR(HZ109/IA109,0)+IFERROR(ID109/IE109,0)+IFERROR(IH109/II109,0)+IFERROR(IL109/IM109,0)+IFERROR(IX109/IY109,0)+IFERROR(JB109/JC109,0)+IFERROR(JF109/JG109,0)+IFERROR(JI109/JJ109,0)+IFERROR(JL109/JM109,0)+IFERROR(JO109/JP109,0))*L109*(C109+D109+E109+I109)</f>
        <v>0</v>
      </c>
      <c r="S109" s="165"/>
      <c r="T109" s="165">
        <f t="shared" si="35"/>
        <v>0</v>
      </c>
      <c r="U109" s="165"/>
      <c r="V109" s="165"/>
      <c r="W109" s="165"/>
      <c r="X109" s="165">
        <f>(IFERROR(FF109/FG109,0)+IFERROR(FC109/FD109,0)+IFERROR(#REF!/#REF!,0)+IFERROR(KP109/KQ109,0))*L109*(C109+D109+E109+I109)</f>
        <v>0</v>
      </c>
      <c r="Y109" s="484"/>
      <c r="Z109" s="484"/>
      <c r="AA109" s="484"/>
      <c r="AB109" s="484"/>
      <c r="AC109" s="150">
        <f t="shared" si="47"/>
        <v>0</v>
      </c>
      <c r="AD109" s="150"/>
      <c r="AE109" s="150">
        <f t="shared" si="36"/>
        <v>0</v>
      </c>
      <c r="AF109" s="161"/>
      <c r="AG109" s="143"/>
      <c r="AH109" s="154"/>
      <c r="AI109" s="342">
        <v>12</v>
      </c>
      <c r="AJ109" s="342">
        <v>250</v>
      </c>
      <c r="AK109" s="342"/>
      <c r="AL109" s="343" t="s">
        <v>545</v>
      </c>
      <c r="AM109" s="140"/>
      <c r="AN109" s="154"/>
      <c r="AO109" s="154"/>
      <c r="AP109" s="220"/>
      <c r="AQ109" s="145"/>
      <c r="AR109" s="154"/>
      <c r="AS109" s="154"/>
      <c r="AT109" s="220"/>
      <c r="AU109" s="140"/>
      <c r="AV109" s="277"/>
      <c r="AW109" s="277"/>
      <c r="AX109" s="277"/>
      <c r="AY109" s="140"/>
      <c r="AZ109" s="277"/>
      <c r="BA109" s="277"/>
      <c r="BB109" s="277"/>
      <c r="BC109" s="140"/>
      <c r="BD109" s="277"/>
      <c r="BE109" s="277"/>
      <c r="BF109" s="277"/>
      <c r="BG109" s="140"/>
      <c r="BH109" s="277"/>
      <c r="BI109" s="277"/>
      <c r="BJ109" s="277"/>
      <c r="BK109" s="140"/>
      <c r="BL109" s="277"/>
      <c r="BM109" s="277"/>
      <c r="BN109" s="277"/>
      <c r="BO109" s="140"/>
      <c r="BP109" s="277"/>
      <c r="BQ109" s="277"/>
      <c r="BR109" s="277"/>
      <c r="BS109" s="140"/>
      <c r="BT109" s="277"/>
      <c r="BU109" s="277"/>
      <c r="BV109" s="277"/>
      <c r="BW109" s="140"/>
      <c r="BX109" s="154"/>
      <c r="BY109" s="154"/>
      <c r="BZ109" s="220"/>
      <c r="CA109" s="140"/>
      <c r="CB109" s="154"/>
      <c r="CC109" s="154"/>
      <c r="CD109" s="220"/>
      <c r="CE109" s="140"/>
      <c r="CF109" s="271"/>
      <c r="CG109" s="271"/>
      <c r="CH109" s="271"/>
      <c r="CI109" s="140"/>
      <c r="CJ109" s="154"/>
      <c r="CK109" s="154"/>
      <c r="CL109" s="154"/>
      <c r="CM109" s="140"/>
      <c r="CN109" s="271"/>
      <c r="CO109" s="271"/>
      <c r="CP109" s="271"/>
      <c r="CQ109" s="140"/>
      <c r="CR109" s="154"/>
      <c r="CS109" s="154"/>
      <c r="CT109" s="154"/>
      <c r="CU109" s="140"/>
      <c r="CV109" s="154"/>
      <c r="CW109" s="154"/>
      <c r="CX109" s="220"/>
      <c r="CY109" s="140"/>
      <c r="CZ109" s="154"/>
      <c r="DA109" s="154"/>
      <c r="DB109" s="220"/>
      <c r="DC109" s="140"/>
      <c r="DD109" s="146"/>
      <c r="DE109" s="146"/>
      <c r="DF109" s="146"/>
      <c r="DG109" s="140"/>
      <c r="DH109" s="146"/>
      <c r="DI109" s="146"/>
      <c r="DJ109" s="146"/>
      <c r="DK109" s="146"/>
      <c r="DL109" s="146"/>
      <c r="DM109" s="146"/>
      <c r="DN109" s="146"/>
      <c r="DO109" s="146"/>
      <c r="DP109" s="146"/>
      <c r="DQ109" s="146"/>
      <c r="DR109" s="146"/>
      <c r="DS109" s="140"/>
      <c r="DT109" s="154"/>
      <c r="DU109" s="154"/>
      <c r="DV109" s="154"/>
      <c r="DW109" s="140"/>
      <c r="DX109" s="220"/>
      <c r="DY109" s="220"/>
      <c r="DZ109" s="220"/>
      <c r="EA109" s="140"/>
      <c r="EB109" s="220"/>
      <c r="EC109" s="220"/>
      <c r="ED109" s="220"/>
      <c r="EE109" s="140"/>
      <c r="EF109" s="154"/>
      <c r="EG109" s="154"/>
      <c r="EH109" s="154"/>
      <c r="EI109" s="140"/>
      <c r="EJ109" s="154"/>
      <c r="EK109" s="154"/>
      <c r="EL109" s="154"/>
      <c r="EM109" s="140"/>
      <c r="EN109" s="222"/>
      <c r="EO109" s="222"/>
      <c r="EP109" s="222"/>
      <c r="EQ109" s="140"/>
      <c r="ER109" s="222"/>
      <c r="ES109" s="222"/>
      <c r="ET109" s="222"/>
      <c r="EU109" s="140"/>
      <c r="EV109" s="222"/>
      <c r="EW109" s="222"/>
      <c r="EX109" s="222"/>
      <c r="EY109" s="344"/>
      <c r="EZ109" s="222"/>
      <c r="FA109" s="222"/>
      <c r="FB109" s="222"/>
      <c r="FC109" s="273"/>
      <c r="FD109" s="223"/>
      <c r="FE109" s="223"/>
      <c r="FF109" s="276"/>
      <c r="FG109" s="156"/>
      <c r="FH109" s="156"/>
      <c r="FI109" s="156"/>
      <c r="FJ109" s="140"/>
      <c r="FK109" s="277"/>
      <c r="FL109" s="277"/>
      <c r="FM109" s="277"/>
      <c r="FN109" s="140"/>
      <c r="FO109" s="277"/>
      <c r="FP109" s="277"/>
      <c r="FQ109" s="277"/>
      <c r="FR109" s="280"/>
      <c r="FS109" s="277"/>
      <c r="FT109" s="277"/>
      <c r="FU109" s="277"/>
      <c r="FV109" s="277"/>
      <c r="FW109" s="277"/>
      <c r="FX109" s="277"/>
      <c r="FY109" s="277"/>
      <c r="FZ109" s="277"/>
      <c r="GA109" s="277"/>
      <c r="GB109" s="277"/>
      <c r="GC109" s="277"/>
      <c r="GD109" s="277"/>
      <c r="GE109" s="277"/>
      <c r="GF109" s="277"/>
      <c r="GG109" s="277"/>
      <c r="GH109" s="277"/>
      <c r="GI109" s="277"/>
      <c r="GJ109" s="277"/>
      <c r="GK109" s="277"/>
      <c r="GL109" s="277"/>
      <c r="GM109" s="277"/>
      <c r="GN109" s="277"/>
      <c r="GO109" s="277"/>
      <c r="GP109" s="277"/>
      <c r="GQ109" s="277"/>
      <c r="GR109" s="277"/>
      <c r="GS109" s="277"/>
      <c r="GT109" s="277"/>
      <c r="GU109" s="277"/>
      <c r="GV109" s="277"/>
      <c r="GW109" s="277"/>
      <c r="GX109" s="277"/>
      <c r="GY109" s="277"/>
      <c r="GZ109" s="277"/>
      <c r="HA109" s="277"/>
      <c r="HB109" s="277"/>
      <c r="HC109" s="277"/>
      <c r="HD109" s="277"/>
      <c r="HE109" s="277"/>
      <c r="HF109" s="140"/>
      <c r="HG109" s="277"/>
      <c r="HH109" s="277"/>
      <c r="HI109" s="277"/>
      <c r="HJ109" s="140"/>
      <c r="HK109" s="277"/>
      <c r="HL109" s="277"/>
      <c r="HM109" s="277"/>
      <c r="HN109" s="140"/>
      <c r="HO109" s="277"/>
      <c r="HP109" s="277"/>
      <c r="HQ109" s="277"/>
      <c r="HR109" s="277"/>
      <c r="HS109" s="277"/>
      <c r="HT109" s="277"/>
      <c r="HU109" s="277"/>
      <c r="HV109" s="277"/>
      <c r="HW109" s="277"/>
      <c r="HX109" s="277"/>
      <c r="HY109" s="277"/>
      <c r="HZ109" s="140"/>
      <c r="IA109" s="277"/>
      <c r="IB109" s="277"/>
      <c r="IC109" s="277"/>
      <c r="ID109" s="140"/>
      <c r="IE109" s="277"/>
      <c r="IF109" s="277"/>
      <c r="IG109" s="277"/>
      <c r="IH109" s="140"/>
      <c r="II109" s="277"/>
      <c r="IJ109" s="277"/>
      <c r="IK109" s="277"/>
      <c r="IL109" s="140"/>
      <c r="IM109" s="277"/>
      <c r="IN109" s="277"/>
      <c r="IO109" s="277"/>
      <c r="IP109" s="277"/>
      <c r="IQ109" s="277"/>
      <c r="IR109" s="277"/>
      <c r="IS109" s="277"/>
      <c r="IT109" s="277"/>
      <c r="IU109" s="277"/>
      <c r="IV109" s="277"/>
      <c r="IW109" s="277"/>
      <c r="IX109" s="140"/>
      <c r="IY109" s="277"/>
      <c r="IZ109" s="277"/>
      <c r="JA109" s="277"/>
      <c r="JB109" s="140"/>
      <c r="JC109" s="277"/>
      <c r="JD109" s="277"/>
      <c r="JE109" s="277"/>
      <c r="JF109" s="140"/>
      <c r="JG109" s="277"/>
      <c r="JH109" s="277"/>
      <c r="JI109" s="140"/>
      <c r="JJ109" s="277"/>
      <c r="JK109" s="277"/>
      <c r="JL109" s="140"/>
      <c r="JM109" s="277"/>
      <c r="JN109" s="277"/>
      <c r="JO109" s="140"/>
      <c r="JP109" s="277"/>
      <c r="JQ109" s="277"/>
      <c r="JR109" s="277"/>
      <c r="JS109" s="277"/>
      <c r="JT109" s="277"/>
      <c r="JU109" s="277"/>
      <c r="JV109" s="277"/>
      <c r="JW109" s="277"/>
      <c r="JX109" s="277"/>
      <c r="JY109" s="277"/>
      <c r="JZ109" s="277"/>
      <c r="KA109" s="277"/>
      <c r="KB109" s="277"/>
      <c r="KC109" s="277"/>
      <c r="KD109" s="277"/>
      <c r="KE109" s="277"/>
      <c r="KF109" s="277"/>
      <c r="KG109" s="277"/>
      <c r="KH109" s="277"/>
      <c r="KI109" s="277"/>
      <c r="KJ109" s="277"/>
      <c r="KK109" s="277"/>
      <c r="KL109" s="277"/>
      <c r="KM109" s="277"/>
      <c r="KN109" s="277"/>
      <c r="KO109" s="277"/>
      <c r="KP109" s="274"/>
      <c r="KQ109" s="253"/>
      <c r="KR109" s="253"/>
      <c r="KY109" s="141">
        <f t="shared" si="37"/>
        <v>0</v>
      </c>
      <c r="KZ109" s="141">
        <f t="shared" si="38"/>
        <v>0</v>
      </c>
      <c r="LB109" s="141">
        <f t="shared" si="39"/>
        <v>1</v>
      </c>
      <c r="LC109" s="141">
        <f t="shared" si="40"/>
        <v>0</v>
      </c>
      <c r="LD109" s="141">
        <f t="shared" si="41"/>
        <v>0</v>
      </c>
      <c r="LE109" s="141" t="e">
        <f>((N(AU109)&gt;0)*(AX109&lt;&gt;"")+(N(AY109)&gt;0)*(BB109&lt;&gt;"")+(N(BC109)&gt;0)*(BF109&lt;&gt;"")+(N(BG109)&gt;0)*(BJ109&lt;&gt;"")+(N(BK109)&gt;0)*(BN109&lt;&gt;"")+(N(BO109)&gt;0)*(BR109&lt;&gt;"")+(N(BS109)&gt;0)*(BV109&lt;&gt;"")+(N(BW109)&gt;0)*(BZ109&lt;&gt;"")+(N(CA109)&gt;0)*(CD109&lt;&gt;"")+(N(CE109)&gt;0)*(CH109&lt;&gt;"")+(N(CI109)&gt;0)*(CL109&lt;&gt;"")+(N(CM109)&gt;0)*(CP109&lt;&gt;"")+(N(CQ109)&gt;0)*(CT109&lt;&gt;"")+(N(CU109)&gt;0)*(CX109&lt;&gt;"")+(N(CY109)&gt;0)*(DB109&lt;&gt;"")+(N(DC109)&gt;0)*(DF109&lt;&gt;"")+(N(DG109)&gt;0)*(DJ109&lt;&gt;"")+(N(DS109)&gt;0)*(DV109&lt;&gt;"")+(N(DW109)&gt;0)*(DZ109&lt;&gt;"")+(N(EA109)&gt;0)*(ED109&lt;&gt;"")+(N(EE109)&gt;0)*(EH109&lt;&gt;"")+(N(EI109)&gt;0)*(EL109&lt;&gt;"")+(N(EM109)&gt;0)*(EP109&lt;&gt;"")+(N(EQ109)&gt;0)*(ET109&lt;&gt;"")+(N(EU109)&gt;0)*(EX109&lt;&gt;"")+(N(#REF!)&gt;0)*(#REF!&lt;&gt;"")+(N(#REF!)&gt;0)*(#REF!&lt;&gt;"")+(N(FJ109)&gt;0)*(FM109&lt;&gt;"")+(N(FN109)&gt;0)*(FQ109&lt;&gt;"")+(N(#REF!)&gt;0)*(#REF!&lt;&gt;"")+(N(#REF!)&gt;0)*(#REF!&lt;&gt;"")+(N(HF109)&gt;0)*(HI109&lt;&gt;"")+(N(#REF!)&gt;0)*(#REF!&lt;&gt;"")+(N(HJ109)&gt;0)*(HM109&lt;&gt;"")+(N(HN109)&gt;0)*(HQ109&lt;&gt;"")+(N(HZ109)&gt;0)*(IC109&lt;&gt;"")+(N(ID109)&gt;0)*(IG109&lt;&gt;"")+(N(IH109)&gt;0)*(IK109&lt;&gt;"")+(N(IL109)&gt;0)*(IO109&lt;&gt;"")+(N(IX109)&gt;0)*(JA109&lt;&gt;"")+(N(JB109)&gt;0)*(JE109&lt;&gt;"")+(N(JF109)&gt;0)*(JH109&lt;&gt;"")+(N(JI109)&gt;0)*(JK109&lt;&gt;"")+(N(JL109)&gt;0)*(JN109&lt;&gt;"")+(N(JO109)&gt;0)*(JQ109&lt;&gt;""))</f>
        <v>#REF!</v>
      </c>
      <c r="LF109" s="141">
        <f t="shared" si="48"/>
        <v>0</v>
      </c>
      <c r="LG109" s="141">
        <f t="shared" si="42"/>
        <v>0</v>
      </c>
    </row>
    <row r="110" spans="1:319" ht="38.25" customHeight="1" x14ac:dyDescent="0.55000000000000004">
      <c r="B110" s="314" t="s">
        <v>439</v>
      </c>
      <c r="C110" s="218"/>
      <c r="D110" s="218"/>
      <c r="E110" s="218"/>
      <c r="F110" s="218"/>
      <c r="G110" s="218"/>
      <c r="H110" s="218"/>
      <c r="I110" s="162" cm="1">
        <f t="array" ref="I110">SUMPRODUCT(($AI$2:$KV$2&lt;&gt;"")*($AI110:$KV110&lt;&gt;""))</f>
        <v>1</v>
      </c>
      <c r="J110" s="142">
        <f t="shared" si="43"/>
        <v>0</v>
      </c>
      <c r="K110" s="142">
        <f t="shared" si="44"/>
        <v>0</v>
      </c>
      <c r="L110" s="268">
        <f t="shared" si="49"/>
        <v>7000</v>
      </c>
      <c r="M110" s="164">
        <f t="shared" si="45"/>
        <v>280</v>
      </c>
      <c r="N110" s="397"/>
      <c r="O110" s="165">
        <f t="shared" si="46"/>
        <v>0</v>
      </c>
      <c r="P110" s="165"/>
      <c r="Q110" s="165"/>
      <c r="R110" s="165">
        <f>(IFERROR(AM110/AN110,0)+IFERROR(AU110/AV110,0)+IFERROR(AY110/AZ110,0)+IFERROR(BC110/BD110,0)+IFERROR(BG110/BH110,0)+IFERROR(BK110/BL110,0)+IFERROR(BO110/BP110,0)+IFERROR(BS110/BT110,0)+IFERROR(BW110/BX110,0)+IFERROR(CA110/CB110,0)+IFERROR(CE110/CF110,0)+IFERROR(CI110/CJ110,0)+IFERROR(CM110/CN110,0)+IFERROR(CQ110/CR110,0)+IFERROR(CU110/CV110,0)+IFERROR(CY110/CZ110,0)+IFERROR(DC110/DD110,0)+IFERROR(DG110/DH110,0)+IFERROR(DS110/DT110,0)+IFERROR(DW110/DX110,0)+IFERROR(EA110/EB110,0)+IFERROR(EE110/EF110,0)+IFERROR(EI110/EJ110,0)+IFERROR(EM110/EN110,0)+IFERROR(EQ110/ER110,0)+IFERROR(EU110/EV110,0)+IFERROR(#REF!/#REF!,0)+IFERROR(#REF!/#REF!,0)+IFERROR(FJ110/FK110,0)+IFERROR(FN110/FO110,0)+IFERROR(#REF!/#REF!,0)+IFERROR(#REF!/#REF!,0)+IFERROR(HF110/HG110,0)+IFERROR(#REF!/#REF!,0)+IFERROR(HJ110/HK110,0)+IFERROR(HN110/HO110,0)+IFERROR(HZ110/IA110,0)+IFERROR(ID110/IE110,0)+IFERROR(IH110/II110,0)+IFERROR(IL110/IM110,0)+IFERROR(IX110/IY110,0)+IFERROR(JB110/JC110,0)+IFERROR(JF110/JG110,0)+IFERROR(JI110/JJ110,0)+IFERROR(JL110/JM110,0)+IFERROR(JO110/JP110,0))*L110*(C110+D110+E110+I110)</f>
        <v>0</v>
      </c>
      <c r="S110" s="165"/>
      <c r="T110" s="165">
        <f t="shared" si="35"/>
        <v>0</v>
      </c>
      <c r="U110" s="165"/>
      <c r="V110" s="165"/>
      <c r="W110" s="165"/>
      <c r="X110" s="165">
        <f>(IFERROR(FF110/FG110,0)+IFERROR(FC110/FD110,0)+IFERROR(#REF!/#REF!,0)+IFERROR(KP110/KQ110,0))*L110*(C110+D110+E110+I110)</f>
        <v>0</v>
      </c>
      <c r="Y110" s="484"/>
      <c r="Z110" s="484"/>
      <c r="AA110" s="484"/>
      <c r="AB110" s="484"/>
      <c r="AC110" s="150">
        <f t="shared" si="47"/>
        <v>0</v>
      </c>
      <c r="AD110" s="150"/>
      <c r="AE110" s="150">
        <f t="shared" si="36"/>
        <v>0</v>
      </c>
      <c r="AF110" s="161"/>
      <c r="AG110" s="143"/>
      <c r="AH110" s="154"/>
      <c r="AI110" s="342">
        <v>10</v>
      </c>
      <c r="AJ110" s="342">
        <v>250</v>
      </c>
      <c r="AK110" s="342"/>
      <c r="AL110" s="343" t="s">
        <v>545</v>
      </c>
      <c r="AM110" s="140"/>
      <c r="AN110" s="154"/>
      <c r="AO110" s="154"/>
      <c r="AP110" s="220"/>
      <c r="AQ110" s="145"/>
      <c r="AR110" s="154"/>
      <c r="AS110" s="154"/>
      <c r="AT110" s="220"/>
      <c r="AU110" s="140"/>
      <c r="AV110" s="277"/>
      <c r="AW110" s="277"/>
      <c r="AX110" s="277"/>
      <c r="AY110" s="140"/>
      <c r="AZ110" s="277"/>
      <c r="BA110" s="277"/>
      <c r="BB110" s="277"/>
      <c r="BC110" s="140"/>
      <c r="BD110" s="277"/>
      <c r="BE110" s="277"/>
      <c r="BF110" s="277"/>
      <c r="BG110" s="140"/>
      <c r="BH110" s="277"/>
      <c r="BI110" s="277"/>
      <c r="BJ110" s="277"/>
      <c r="BK110" s="140"/>
      <c r="BL110" s="277"/>
      <c r="BM110" s="277"/>
      <c r="BN110" s="277"/>
      <c r="BO110" s="140"/>
      <c r="BP110" s="277"/>
      <c r="BQ110" s="277"/>
      <c r="BR110" s="277"/>
      <c r="BS110" s="140"/>
      <c r="BT110" s="277"/>
      <c r="BU110" s="277"/>
      <c r="BV110" s="277"/>
      <c r="BW110" s="140"/>
      <c r="BX110" s="154"/>
      <c r="BY110" s="154"/>
      <c r="BZ110" s="220"/>
      <c r="CA110" s="140"/>
      <c r="CB110" s="154"/>
      <c r="CC110" s="154"/>
      <c r="CD110" s="220"/>
      <c r="CE110" s="140"/>
      <c r="CF110" s="271"/>
      <c r="CG110" s="271"/>
      <c r="CH110" s="271"/>
      <c r="CI110" s="140"/>
      <c r="CJ110" s="154"/>
      <c r="CK110" s="154"/>
      <c r="CL110" s="154"/>
      <c r="CM110" s="140"/>
      <c r="CN110" s="271"/>
      <c r="CO110" s="271"/>
      <c r="CP110" s="271"/>
      <c r="CQ110" s="140"/>
      <c r="CR110" s="154"/>
      <c r="CS110" s="154"/>
      <c r="CT110" s="154"/>
      <c r="CU110" s="140"/>
      <c r="CV110" s="154"/>
      <c r="CW110" s="154"/>
      <c r="CX110" s="220"/>
      <c r="CY110" s="140"/>
      <c r="CZ110" s="154"/>
      <c r="DA110" s="154"/>
      <c r="DB110" s="220"/>
      <c r="DC110" s="140"/>
      <c r="DD110" s="146"/>
      <c r="DE110" s="146"/>
      <c r="DF110" s="146"/>
      <c r="DG110" s="140"/>
      <c r="DH110" s="146"/>
      <c r="DI110" s="146"/>
      <c r="DJ110" s="146"/>
      <c r="DK110" s="146"/>
      <c r="DL110" s="146"/>
      <c r="DM110" s="146"/>
      <c r="DN110" s="146"/>
      <c r="DO110" s="146"/>
      <c r="DP110" s="146"/>
      <c r="DQ110" s="146"/>
      <c r="DR110" s="146"/>
      <c r="DS110" s="140"/>
      <c r="DT110" s="154"/>
      <c r="DU110" s="154"/>
      <c r="DV110" s="154"/>
      <c r="DW110" s="140"/>
      <c r="DX110" s="220"/>
      <c r="DY110" s="220"/>
      <c r="DZ110" s="220"/>
      <c r="EA110" s="140"/>
      <c r="EB110" s="220"/>
      <c r="EC110" s="220"/>
      <c r="ED110" s="220"/>
      <c r="EE110" s="140"/>
      <c r="EF110" s="154"/>
      <c r="EG110" s="154"/>
      <c r="EH110" s="154"/>
      <c r="EI110" s="140"/>
      <c r="EJ110" s="154"/>
      <c r="EK110" s="154"/>
      <c r="EL110" s="154"/>
      <c r="EM110" s="140"/>
      <c r="EN110" s="222"/>
      <c r="EO110" s="222"/>
      <c r="EP110" s="222"/>
      <c r="EQ110" s="140"/>
      <c r="ER110" s="222"/>
      <c r="ES110" s="222"/>
      <c r="ET110" s="222"/>
      <c r="EU110" s="140"/>
      <c r="EV110" s="222"/>
      <c r="EW110" s="222"/>
      <c r="EX110" s="222"/>
      <c r="EY110" s="344"/>
      <c r="EZ110" s="222"/>
      <c r="FA110" s="222"/>
      <c r="FB110" s="222"/>
      <c r="FC110" s="273"/>
      <c r="FD110" s="223"/>
      <c r="FE110" s="223"/>
      <c r="FF110" s="276"/>
      <c r="FG110" s="156"/>
      <c r="FH110" s="156"/>
      <c r="FI110" s="156"/>
      <c r="FJ110" s="140"/>
      <c r="FK110" s="277"/>
      <c r="FL110" s="277"/>
      <c r="FM110" s="277"/>
      <c r="FN110" s="140"/>
      <c r="FO110" s="277"/>
      <c r="FP110" s="277"/>
      <c r="FQ110" s="277"/>
      <c r="FR110" s="280"/>
      <c r="FS110" s="277"/>
      <c r="FT110" s="277"/>
      <c r="FU110" s="277"/>
      <c r="FV110" s="277"/>
      <c r="FW110" s="277"/>
      <c r="FX110" s="277"/>
      <c r="FY110" s="277"/>
      <c r="FZ110" s="277"/>
      <c r="GA110" s="277"/>
      <c r="GB110" s="277"/>
      <c r="GC110" s="277"/>
      <c r="GD110" s="277"/>
      <c r="GE110" s="277"/>
      <c r="GF110" s="277"/>
      <c r="GG110" s="277"/>
      <c r="GH110" s="277"/>
      <c r="GI110" s="277"/>
      <c r="GJ110" s="277"/>
      <c r="GK110" s="277"/>
      <c r="GL110" s="277"/>
      <c r="GM110" s="277"/>
      <c r="GN110" s="277"/>
      <c r="GO110" s="277"/>
      <c r="GP110" s="277"/>
      <c r="GQ110" s="277"/>
      <c r="GR110" s="277"/>
      <c r="GS110" s="277"/>
      <c r="GT110" s="277"/>
      <c r="GU110" s="277"/>
      <c r="GV110" s="277"/>
      <c r="GW110" s="277"/>
      <c r="GX110" s="277"/>
      <c r="GY110" s="277"/>
      <c r="GZ110" s="277"/>
      <c r="HA110" s="277"/>
      <c r="HB110" s="277"/>
      <c r="HC110" s="277"/>
      <c r="HD110" s="277"/>
      <c r="HE110" s="277"/>
      <c r="HF110" s="140"/>
      <c r="HG110" s="277"/>
      <c r="HH110" s="277"/>
      <c r="HI110" s="277"/>
      <c r="HJ110" s="140"/>
      <c r="HK110" s="277"/>
      <c r="HL110" s="277"/>
      <c r="HM110" s="277"/>
      <c r="HN110" s="140"/>
      <c r="HO110" s="277"/>
      <c r="HP110" s="277"/>
      <c r="HQ110" s="277"/>
      <c r="HR110" s="277"/>
      <c r="HS110" s="277"/>
      <c r="HT110" s="277"/>
      <c r="HU110" s="277"/>
      <c r="HV110" s="277"/>
      <c r="HW110" s="277"/>
      <c r="HX110" s="277"/>
      <c r="HY110" s="277"/>
      <c r="HZ110" s="140"/>
      <c r="IA110" s="277"/>
      <c r="IB110" s="277"/>
      <c r="IC110" s="277"/>
      <c r="ID110" s="140"/>
      <c r="IE110" s="277"/>
      <c r="IF110" s="277"/>
      <c r="IG110" s="277"/>
      <c r="IH110" s="140"/>
      <c r="II110" s="277"/>
      <c r="IJ110" s="277"/>
      <c r="IK110" s="277"/>
      <c r="IL110" s="140"/>
      <c r="IM110" s="277"/>
      <c r="IN110" s="277"/>
      <c r="IO110" s="277"/>
      <c r="IP110" s="277"/>
      <c r="IQ110" s="277"/>
      <c r="IR110" s="277"/>
      <c r="IS110" s="277"/>
      <c r="IT110" s="277"/>
      <c r="IU110" s="277"/>
      <c r="IV110" s="277"/>
      <c r="IW110" s="277"/>
      <c r="IX110" s="140"/>
      <c r="IY110" s="277"/>
      <c r="IZ110" s="277"/>
      <c r="JA110" s="277"/>
      <c r="JB110" s="140"/>
      <c r="JC110" s="277"/>
      <c r="JD110" s="277"/>
      <c r="JE110" s="277"/>
      <c r="JF110" s="140"/>
      <c r="JG110" s="277"/>
      <c r="JH110" s="277"/>
      <c r="JI110" s="140"/>
      <c r="JJ110" s="277"/>
      <c r="JK110" s="277"/>
      <c r="JL110" s="140"/>
      <c r="JM110" s="277"/>
      <c r="JN110" s="277"/>
      <c r="JO110" s="140"/>
      <c r="JP110" s="277"/>
      <c r="JQ110" s="277"/>
      <c r="JR110" s="277"/>
      <c r="JS110" s="277"/>
      <c r="JT110" s="277"/>
      <c r="JU110" s="277"/>
      <c r="JV110" s="277"/>
      <c r="JW110" s="277"/>
      <c r="JX110" s="277"/>
      <c r="JY110" s="277"/>
      <c r="JZ110" s="277"/>
      <c r="KA110" s="277"/>
      <c r="KB110" s="277"/>
      <c r="KC110" s="277"/>
      <c r="KD110" s="277"/>
      <c r="KE110" s="277"/>
      <c r="KF110" s="277"/>
      <c r="KG110" s="277"/>
      <c r="KH110" s="277"/>
      <c r="KI110" s="277"/>
      <c r="KJ110" s="277"/>
      <c r="KK110" s="277"/>
      <c r="KL110" s="277"/>
      <c r="KM110" s="277"/>
      <c r="KN110" s="277"/>
      <c r="KO110" s="277"/>
      <c r="KP110" s="274"/>
      <c r="KQ110" s="253"/>
      <c r="KR110" s="253"/>
      <c r="KY110" s="141">
        <f t="shared" si="37"/>
        <v>0</v>
      </c>
      <c r="KZ110" s="141">
        <f t="shared" si="38"/>
        <v>0</v>
      </c>
      <c r="LB110" s="141">
        <f t="shared" si="39"/>
        <v>1</v>
      </c>
      <c r="LC110" s="141">
        <f t="shared" si="40"/>
        <v>0</v>
      </c>
      <c r="LD110" s="141">
        <f t="shared" si="41"/>
        <v>0</v>
      </c>
      <c r="LE110" s="141" t="e">
        <f>((N(AU110)&gt;0)*(AX110&lt;&gt;"")+(N(AY110)&gt;0)*(BB110&lt;&gt;"")+(N(BC110)&gt;0)*(BF110&lt;&gt;"")+(N(BG110)&gt;0)*(BJ110&lt;&gt;"")+(N(BK110)&gt;0)*(BN110&lt;&gt;"")+(N(BO110)&gt;0)*(BR110&lt;&gt;"")+(N(BS110)&gt;0)*(BV110&lt;&gt;"")+(N(BW110)&gt;0)*(BZ110&lt;&gt;"")+(N(CA110)&gt;0)*(CD110&lt;&gt;"")+(N(CE110)&gt;0)*(CH110&lt;&gt;"")+(N(CI110)&gt;0)*(CL110&lt;&gt;"")+(N(CM110)&gt;0)*(CP110&lt;&gt;"")+(N(CQ110)&gt;0)*(CT110&lt;&gt;"")+(N(CU110)&gt;0)*(CX110&lt;&gt;"")+(N(CY110)&gt;0)*(DB110&lt;&gt;"")+(N(DC110)&gt;0)*(DF110&lt;&gt;"")+(N(DG110)&gt;0)*(DJ110&lt;&gt;"")+(N(DS110)&gt;0)*(DV110&lt;&gt;"")+(N(DW110)&gt;0)*(DZ110&lt;&gt;"")+(N(EA110)&gt;0)*(ED110&lt;&gt;"")+(N(EE110)&gt;0)*(EH110&lt;&gt;"")+(N(EI110)&gt;0)*(EL110&lt;&gt;"")+(N(EM110)&gt;0)*(EP110&lt;&gt;"")+(N(EQ110)&gt;0)*(ET110&lt;&gt;"")+(N(EU110)&gt;0)*(EX110&lt;&gt;"")+(N(#REF!)&gt;0)*(#REF!&lt;&gt;"")+(N(#REF!)&gt;0)*(#REF!&lt;&gt;"")+(N(FJ110)&gt;0)*(FM110&lt;&gt;"")+(N(FN110)&gt;0)*(FQ110&lt;&gt;"")+(N(#REF!)&gt;0)*(#REF!&lt;&gt;"")+(N(#REF!)&gt;0)*(#REF!&lt;&gt;"")+(N(HF110)&gt;0)*(HI110&lt;&gt;"")+(N(#REF!)&gt;0)*(#REF!&lt;&gt;"")+(N(HJ110)&gt;0)*(HM110&lt;&gt;"")+(N(HN110)&gt;0)*(HQ110&lt;&gt;"")+(N(HZ110)&gt;0)*(IC110&lt;&gt;"")+(N(ID110)&gt;0)*(IG110&lt;&gt;"")+(N(IH110)&gt;0)*(IK110&lt;&gt;"")+(N(IL110)&gt;0)*(IO110&lt;&gt;"")+(N(IX110)&gt;0)*(JA110&lt;&gt;"")+(N(JB110)&gt;0)*(JE110&lt;&gt;"")+(N(JF110)&gt;0)*(JH110&lt;&gt;"")+(N(JI110)&gt;0)*(JK110&lt;&gt;"")+(N(JL110)&gt;0)*(JN110&lt;&gt;"")+(N(JO110)&gt;0)*(JQ110&lt;&gt;""))</f>
        <v>#REF!</v>
      </c>
      <c r="LF110" s="141">
        <f t="shared" si="48"/>
        <v>0</v>
      </c>
      <c r="LG110" s="141">
        <f t="shared" si="42"/>
        <v>0</v>
      </c>
    </row>
    <row r="111" spans="1:319" ht="38.25" customHeight="1" x14ac:dyDescent="0.55000000000000004">
      <c r="B111" s="314" t="s">
        <v>440</v>
      </c>
      <c r="C111" s="218"/>
      <c r="D111" s="218"/>
      <c r="E111" s="218"/>
      <c r="F111" s="218"/>
      <c r="G111" s="218"/>
      <c r="H111" s="218"/>
      <c r="I111" s="162" cm="1">
        <f t="array" ref="I111">SUMPRODUCT(($AI$2:$KV$2&lt;&gt;"")*($AI111:$KV111&lt;&gt;""))</f>
        <v>1</v>
      </c>
      <c r="J111" s="142">
        <f t="shared" si="43"/>
        <v>0</v>
      </c>
      <c r="K111" s="142">
        <f t="shared" si="44"/>
        <v>0</v>
      </c>
      <c r="L111" s="268">
        <f t="shared" si="49"/>
        <v>7000</v>
      </c>
      <c r="M111" s="164">
        <f t="shared" si="45"/>
        <v>784</v>
      </c>
      <c r="N111" s="397"/>
      <c r="O111" s="165">
        <f t="shared" si="46"/>
        <v>0</v>
      </c>
      <c r="P111" s="165"/>
      <c r="Q111" s="165"/>
      <c r="R111" s="165">
        <f>(IFERROR(AM111/AN111,0)+IFERROR(AU111/AV111,0)+IFERROR(AY111/AZ111,0)+IFERROR(BC111/BD111,0)+IFERROR(BG111/BH111,0)+IFERROR(BK111/BL111,0)+IFERROR(BO111/BP111,0)+IFERROR(BS111/BT111,0)+IFERROR(BW111/BX111,0)+IFERROR(CA111/CB111,0)+IFERROR(CE111/CF111,0)+IFERROR(CI111/CJ111,0)+IFERROR(CM111/CN111,0)+IFERROR(CQ111/CR111,0)+IFERROR(CU111/CV111,0)+IFERROR(CY111/CZ111,0)+IFERROR(DC111/DD111,0)+IFERROR(DG111/DH111,0)+IFERROR(DS111/DT111,0)+IFERROR(DW111/DX111,0)+IFERROR(EA111/EB111,0)+IFERROR(EE111/EF111,0)+IFERROR(EI111/EJ111,0)+IFERROR(EM111/EN111,0)+IFERROR(EQ111/ER111,0)+IFERROR(EU111/EV111,0)+IFERROR(#REF!/#REF!,0)+IFERROR(#REF!/#REF!,0)+IFERROR(FJ111/FK111,0)+IFERROR(FN111/FO111,0)+IFERROR(#REF!/#REF!,0)+IFERROR(#REF!/#REF!,0)+IFERROR(HF111/HG111,0)+IFERROR(#REF!/#REF!,0)+IFERROR(HJ111/HK111,0)+IFERROR(HN111/HO111,0)+IFERROR(HZ111/IA111,0)+IFERROR(ID111/IE111,0)+IFERROR(IH111/II111,0)+IFERROR(IL111/IM111,0)+IFERROR(IX111/IY111,0)+IFERROR(JB111/JC111,0)+IFERROR(JF111/JG111,0)+IFERROR(JI111/JJ111,0)+IFERROR(JL111/JM111,0)+IFERROR(JO111/JP111,0))*L111*(C111+D111+E111+I111)</f>
        <v>0</v>
      </c>
      <c r="S111" s="165"/>
      <c r="T111" s="165">
        <f t="shared" si="35"/>
        <v>0</v>
      </c>
      <c r="U111" s="165"/>
      <c r="V111" s="165"/>
      <c r="W111" s="165"/>
      <c r="X111" s="165">
        <f>(IFERROR(FF111/FG111,0)+IFERROR(FC111/FD111,0)+IFERROR(#REF!/#REF!,0)+IFERROR(KP111/KQ111,0))*L111*(C111+D111+E111+I111)</f>
        <v>0</v>
      </c>
      <c r="Y111" s="484"/>
      <c r="Z111" s="484"/>
      <c r="AA111" s="484"/>
      <c r="AB111" s="484"/>
      <c r="AC111" s="150">
        <f t="shared" si="47"/>
        <v>0</v>
      </c>
      <c r="AD111" s="150"/>
      <c r="AE111" s="150">
        <f t="shared" si="36"/>
        <v>0</v>
      </c>
      <c r="AF111" s="161"/>
      <c r="AG111" s="143"/>
      <c r="AH111" s="154"/>
      <c r="AI111" s="342">
        <v>28</v>
      </c>
      <c r="AJ111" s="342">
        <v>250</v>
      </c>
      <c r="AK111" s="342"/>
      <c r="AL111" s="343" t="s">
        <v>545</v>
      </c>
      <c r="AM111" s="140"/>
      <c r="AN111" s="154"/>
      <c r="AO111" s="154"/>
      <c r="AP111" s="220"/>
      <c r="AQ111" s="145"/>
      <c r="AR111" s="154"/>
      <c r="AS111" s="154"/>
      <c r="AT111" s="220"/>
      <c r="AU111" s="140"/>
      <c r="AV111" s="277"/>
      <c r="AW111" s="277"/>
      <c r="AX111" s="277"/>
      <c r="AY111" s="140"/>
      <c r="AZ111" s="277"/>
      <c r="BA111" s="277"/>
      <c r="BB111" s="277"/>
      <c r="BC111" s="140"/>
      <c r="BD111" s="277"/>
      <c r="BE111" s="277"/>
      <c r="BF111" s="277"/>
      <c r="BG111" s="140"/>
      <c r="BH111" s="277"/>
      <c r="BI111" s="277"/>
      <c r="BJ111" s="277"/>
      <c r="BK111" s="140"/>
      <c r="BL111" s="277"/>
      <c r="BM111" s="277"/>
      <c r="BN111" s="277"/>
      <c r="BO111" s="140"/>
      <c r="BP111" s="277"/>
      <c r="BQ111" s="277"/>
      <c r="BR111" s="277"/>
      <c r="BS111" s="140"/>
      <c r="BT111" s="277"/>
      <c r="BU111" s="277"/>
      <c r="BV111" s="277"/>
      <c r="BW111" s="140"/>
      <c r="BX111" s="154"/>
      <c r="BY111" s="154"/>
      <c r="BZ111" s="220"/>
      <c r="CA111" s="140"/>
      <c r="CB111" s="154"/>
      <c r="CC111" s="154"/>
      <c r="CD111" s="220"/>
      <c r="CE111" s="140"/>
      <c r="CF111" s="271"/>
      <c r="CG111" s="271"/>
      <c r="CH111" s="271"/>
      <c r="CI111" s="140"/>
      <c r="CJ111" s="154"/>
      <c r="CK111" s="154"/>
      <c r="CL111" s="154"/>
      <c r="CM111" s="140"/>
      <c r="CN111" s="271"/>
      <c r="CO111" s="271"/>
      <c r="CP111" s="271"/>
      <c r="CQ111" s="140"/>
      <c r="CR111" s="154"/>
      <c r="CS111" s="154"/>
      <c r="CT111" s="154"/>
      <c r="CU111" s="140"/>
      <c r="CV111" s="154"/>
      <c r="CW111" s="154"/>
      <c r="CX111" s="220"/>
      <c r="CY111" s="140"/>
      <c r="CZ111" s="154"/>
      <c r="DA111" s="154"/>
      <c r="DB111" s="220"/>
      <c r="DC111" s="140"/>
      <c r="DD111" s="146"/>
      <c r="DE111" s="146"/>
      <c r="DF111" s="146"/>
      <c r="DG111" s="140"/>
      <c r="DH111" s="146"/>
      <c r="DI111" s="146"/>
      <c r="DJ111" s="146"/>
      <c r="DK111" s="146"/>
      <c r="DL111" s="146"/>
      <c r="DM111" s="146"/>
      <c r="DN111" s="146"/>
      <c r="DO111" s="146"/>
      <c r="DP111" s="146"/>
      <c r="DQ111" s="146"/>
      <c r="DR111" s="146"/>
      <c r="DS111" s="140"/>
      <c r="DT111" s="154"/>
      <c r="DU111" s="154"/>
      <c r="DV111" s="154"/>
      <c r="DW111" s="140"/>
      <c r="DX111" s="220"/>
      <c r="DY111" s="220"/>
      <c r="DZ111" s="220"/>
      <c r="EA111" s="140"/>
      <c r="EB111" s="220"/>
      <c r="EC111" s="220"/>
      <c r="ED111" s="220"/>
      <c r="EE111" s="140"/>
      <c r="EF111" s="154"/>
      <c r="EG111" s="154"/>
      <c r="EH111" s="154"/>
      <c r="EI111" s="140"/>
      <c r="EJ111" s="154"/>
      <c r="EK111" s="154"/>
      <c r="EL111" s="154"/>
      <c r="EM111" s="140"/>
      <c r="EN111" s="222"/>
      <c r="EO111" s="222"/>
      <c r="EP111" s="222"/>
      <c r="EQ111" s="140"/>
      <c r="ER111" s="222"/>
      <c r="ES111" s="222"/>
      <c r="ET111" s="222"/>
      <c r="EU111" s="140"/>
      <c r="EV111" s="222"/>
      <c r="EW111" s="222"/>
      <c r="EX111" s="222"/>
      <c r="EY111" s="344"/>
      <c r="EZ111" s="222"/>
      <c r="FA111" s="222"/>
      <c r="FB111" s="222"/>
      <c r="FC111" s="273"/>
      <c r="FD111" s="223"/>
      <c r="FE111" s="223"/>
      <c r="FF111" s="276"/>
      <c r="FG111" s="156"/>
      <c r="FH111" s="156"/>
      <c r="FI111" s="156"/>
      <c r="FJ111" s="140"/>
      <c r="FK111" s="277"/>
      <c r="FL111" s="277"/>
      <c r="FM111" s="277"/>
      <c r="FN111" s="140"/>
      <c r="FO111" s="277"/>
      <c r="FP111" s="277"/>
      <c r="FQ111" s="277"/>
      <c r="FR111" s="280"/>
      <c r="FS111" s="277"/>
      <c r="FT111" s="277"/>
      <c r="FU111" s="277"/>
      <c r="FV111" s="277"/>
      <c r="FW111" s="277"/>
      <c r="FX111" s="277"/>
      <c r="FY111" s="277"/>
      <c r="FZ111" s="277"/>
      <c r="GA111" s="277"/>
      <c r="GB111" s="277"/>
      <c r="GC111" s="277"/>
      <c r="GD111" s="277"/>
      <c r="GE111" s="277"/>
      <c r="GF111" s="277"/>
      <c r="GG111" s="277"/>
      <c r="GH111" s="277"/>
      <c r="GI111" s="277"/>
      <c r="GJ111" s="277"/>
      <c r="GK111" s="277"/>
      <c r="GL111" s="277"/>
      <c r="GM111" s="277"/>
      <c r="GN111" s="277"/>
      <c r="GO111" s="277"/>
      <c r="GP111" s="277"/>
      <c r="GQ111" s="277"/>
      <c r="GR111" s="277"/>
      <c r="GS111" s="277"/>
      <c r="GT111" s="277"/>
      <c r="GU111" s="277"/>
      <c r="GV111" s="277"/>
      <c r="GW111" s="277"/>
      <c r="GX111" s="277"/>
      <c r="GY111" s="277"/>
      <c r="GZ111" s="277"/>
      <c r="HA111" s="277"/>
      <c r="HB111" s="277"/>
      <c r="HC111" s="277"/>
      <c r="HD111" s="277"/>
      <c r="HE111" s="277"/>
      <c r="HF111" s="140"/>
      <c r="HG111" s="277"/>
      <c r="HH111" s="277"/>
      <c r="HI111" s="277"/>
      <c r="HJ111" s="140"/>
      <c r="HK111" s="277"/>
      <c r="HL111" s="277"/>
      <c r="HM111" s="277"/>
      <c r="HN111" s="140"/>
      <c r="HO111" s="277"/>
      <c r="HP111" s="277"/>
      <c r="HQ111" s="277"/>
      <c r="HR111" s="277"/>
      <c r="HS111" s="277"/>
      <c r="HT111" s="277"/>
      <c r="HU111" s="277"/>
      <c r="HV111" s="277"/>
      <c r="HW111" s="277"/>
      <c r="HX111" s="277"/>
      <c r="HY111" s="277"/>
      <c r="HZ111" s="140"/>
      <c r="IA111" s="277"/>
      <c r="IB111" s="277"/>
      <c r="IC111" s="277"/>
      <c r="ID111" s="140"/>
      <c r="IE111" s="277"/>
      <c r="IF111" s="277"/>
      <c r="IG111" s="277"/>
      <c r="IH111" s="140"/>
      <c r="II111" s="277"/>
      <c r="IJ111" s="277"/>
      <c r="IK111" s="277"/>
      <c r="IL111" s="140"/>
      <c r="IM111" s="277"/>
      <c r="IN111" s="277"/>
      <c r="IO111" s="277"/>
      <c r="IP111" s="277"/>
      <c r="IQ111" s="277"/>
      <c r="IR111" s="277"/>
      <c r="IS111" s="277"/>
      <c r="IT111" s="277"/>
      <c r="IU111" s="277"/>
      <c r="IV111" s="277"/>
      <c r="IW111" s="277"/>
      <c r="IX111" s="140"/>
      <c r="IY111" s="277"/>
      <c r="IZ111" s="277"/>
      <c r="JA111" s="277"/>
      <c r="JB111" s="140"/>
      <c r="JC111" s="277"/>
      <c r="JD111" s="277"/>
      <c r="JE111" s="277"/>
      <c r="JF111" s="140"/>
      <c r="JG111" s="277"/>
      <c r="JH111" s="277"/>
      <c r="JI111" s="140"/>
      <c r="JJ111" s="277"/>
      <c r="JK111" s="277"/>
      <c r="JL111" s="140"/>
      <c r="JM111" s="277"/>
      <c r="JN111" s="277"/>
      <c r="JO111" s="140"/>
      <c r="JP111" s="277"/>
      <c r="JQ111" s="277"/>
      <c r="JR111" s="277"/>
      <c r="JS111" s="277"/>
      <c r="JT111" s="277"/>
      <c r="JU111" s="277"/>
      <c r="JV111" s="277"/>
      <c r="JW111" s="277"/>
      <c r="JX111" s="277"/>
      <c r="JY111" s="277"/>
      <c r="JZ111" s="277"/>
      <c r="KA111" s="277"/>
      <c r="KB111" s="277"/>
      <c r="KC111" s="277"/>
      <c r="KD111" s="277"/>
      <c r="KE111" s="277"/>
      <c r="KF111" s="277"/>
      <c r="KG111" s="277"/>
      <c r="KH111" s="277"/>
      <c r="KI111" s="277"/>
      <c r="KJ111" s="277"/>
      <c r="KK111" s="277"/>
      <c r="KL111" s="277"/>
      <c r="KM111" s="277"/>
      <c r="KN111" s="277"/>
      <c r="KO111" s="277"/>
      <c r="KP111" s="274"/>
      <c r="KQ111" s="253"/>
      <c r="KR111" s="253"/>
      <c r="KY111" s="141">
        <f t="shared" si="37"/>
        <v>0</v>
      </c>
      <c r="KZ111" s="141">
        <f t="shared" si="38"/>
        <v>0</v>
      </c>
      <c r="LB111" s="141">
        <f t="shared" si="39"/>
        <v>1</v>
      </c>
      <c r="LC111" s="141">
        <f t="shared" si="40"/>
        <v>0</v>
      </c>
      <c r="LD111" s="141">
        <f t="shared" si="41"/>
        <v>0</v>
      </c>
      <c r="LE111" s="141" t="e">
        <f>((N(AU111)&gt;0)*(AX111&lt;&gt;"")+(N(AY111)&gt;0)*(BB111&lt;&gt;"")+(N(BC111)&gt;0)*(BF111&lt;&gt;"")+(N(BG111)&gt;0)*(BJ111&lt;&gt;"")+(N(BK111)&gt;0)*(BN111&lt;&gt;"")+(N(BO111)&gt;0)*(BR111&lt;&gt;"")+(N(BS111)&gt;0)*(BV111&lt;&gt;"")+(N(BW111)&gt;0)*(BZ111&lt;&gt;"")+(N(CA111)&gt;0)*(CD111&lt;&gt;"")+(N(CE111)&gt;0)*(CH111&lt;&gt;"")+(N(CI111)&gt;0)*(CL111&lt;&gt;"")+(N(CM111)&gt;0)*(CP111&lt;&gt;"")+(N(CQ111)&gt;0)*(CT111&lt;&gt;"")+(N(CU111)&gt;0)*(CX111&lt;&gt;"")+(N(CY111)&gt;0)*(DB111&lt;&gt;"")+(N(DC111)&gt;0)*(DF111&lt;&gt;"")+(N(DG111)&gt;0)*(DJ111&lt;&gt;"")+(N(DS111)&gt;0)*(DV111&lt;&gt;"")+(N(DW111)&gt;0)*(DZ111&lt;&gt;"")+(N(EA111)&gt;0)*(ED111&lt;&gt;"")+(N(EE111)&gt;0)*(EH111&lt;&gt;"")+(N(EI111)&gt;0)*(EL111&lt;&gt;"")+(N(EM111)&gt;0)*(EP111&lt;&gt;"")+(N(EQ111)&gt;0)*(ET111&lt;&gt;"")+(N(EU111)&gt;0)*(EX111&lt;&gt;"")+(N(#REF!)&gt;0)*(#REF!&lt;&gt;"")+(N(#REF!)&gt;0)*(#REF!&lt;&gt;"")+(N(FJ111)&gt;0)*(FM111&lt;&gt;"")+(N(FN111)&gt;0)*(FQ111&lt;&gt;"")+(N(#REF!)&gt;0)*(#REF!&lt;&gt;"")+(N(#REF!)&gt;0)*(#REF!&lt;&gt;"")+(N(HF111)&gt;0)*(HI111&lt;&gt;"")+(N(#REF!)&gt;0)*(#REF!&lt;&gt;"")+(N(HJ111)&gt;0)*(HM111&lt;&gt;"")+(N(HN111)&gt;0)*(HQ111&lt;&gt;"")+(N(HZ111)&gt;0)*(IC111&lt;&gt;"")+(N(ID111)&gt;0)*(IG111&lt;&gt;"")+(N(IH111)&gt;0)*(IK111&lt;&gt;"")+(N(IL111)&gt;0)*(IO111&lt;&gt;"")+(N(IX111)&gt;0)*(JA111&lt;&gt;"")+(N(JB111)&gt;0)*(JE111&lt;&gt;"")+(N(JF111)&gt;0)*(JH111&lt;&gt;"")+(N(JI111)&gt;0)*(JK111&lt;&gt;"")+(N(JL111)&gt;0)*(JN111&lt;&gt;"")+(N(JO111)&gt;0)*(JQ111&lt;&gt;""))</f>
        <v>#REF!</v>
      </c>
      <c r="LF111" s="141">
        <f t="shared" si="48"/>
        <v>0</v>
      </c>
      <c r="LG111" s="141">
        <f t="shared" si="42"/>
        <v>0</v>
      </c>
    </row>
    <row r="112" spans="1:319" ht="38.25" customHeight="1" x14ac:dyDescent="0.55000000000000004">
      <c r="B112" s="506" t="s">
        <v>183</v>
      </c>
      <c r="C112" s="218">
        <v>1</v>
      </c>
      <c r="D112" s="218">
        <v>1</v>
      </c>
      <c r="E112" s="218">
        <v>1</v>
      </c>
      <c r="F112" s="162">
        <f>(AI112/AJ112)*L112*C112</f>
        <v>896</v>
      </c>
      <c r="G112" s="162" t="e">
        <f t="shared" ref="G112" si="50">(AJ112/AL112)*M112*D112</f>
        <v>#VALUE!</v>
      </c>
      <c r="H112" s="162" t="e">
        <f t="shared" ref="H112" si="51">(AL112/AM112)*O112*E112</f>
        <v>#VALUE!</v>
      </c>
      <c r="I112" s="162" cm="1">
        <f t="array" ref="I112">SUMPRODUCT(($AI$2:$KV$2&lt;&gt;"")*($AI112:$KV112&lt;&gt;""))</f>
        <v>4</v>
      </c>
      <c r="J112" s="142">
        <f t="shared" si="43"/>
        <v>4</v>
      </c>
      <c r="K112" s="142">
        <f t="shared" si="44"/>
        <v>56</v>
      </c>
      <c r="L112" s="268">
        <f t="shared" si="49"/>
        <v>7000</v>
      </c>
      <c r="M112" s="164">
        <f t="shared" si="45"/>
        <v>6272</v>
      </c>
      <c r="N112" s="397"/>
      <c r="O112" s="165">
        <f t="shared" si="46"/>
        <v>29400</v>
      </c>
      <c r="P112" s="165"/>
      <c r="Q112" s="165"/>
      <c r="R112" s="165">
        <f>(IFERROR(AM112/AN112,0)+IFERROR(AU112/AV112,0)+IFERROR(AY112/AZ112,0)+IFERROR(BC112/BD112,0)+IFERROR(BG112/BH112,0)+IFERROR(BK112/BL112,0)+IFERROR(BO112/BP112,0)+IFERROR(BS112/BT112,0)+IFERROR(BW112/BX112,0)+IFERROR(CA112/CB112,0)+IFERROR(CE112/CF112,0)+IFERROR(CI112/CJ112,0)+IFERROR(CM112/CN112,0)+IFERROR(CQ112/CR112,0)+IFERROR(CU112/CV112,0)+IFERROR(CY112/CZ112,0)+IFERROR(DC112/DD112,0)+IFERROR(DG112/DH112,0)+IFERROR(DS112/DT112,0)+IFERROR(DW112/DX112,0)+IFERROR(EA112/EB112,0)+IFERROR(EE112/EF112,0)+IFERROR(EI112/EJ112,0)+IFERROR(EM112/EN112,0)+IFERROR(EQ112/ER112,0)+IFERROR(EU112/EV112,0)+IFERROR(#REF!/#REF!,0)+IFERROR(#REF!/#REF!,0)+IFERROR(FJ112/FK112,0)+IFERROR(FN112/FO112,0)+IFERROR(#REF!/#REF!,0)+IFERROR(#REF!/#REF!,0)+IFERROR(HF112/HG112,0)+IFERROR(#REF!/#REF!,0)+IFERROR(HJ112/HK112,0)+IFERROR(HN112/HO112,0)+IFERROR(HZ112/IA112,0)+IFERROR(ID112/IE112,0)+IFERROR(IH112/II112,0)+IFERROR(IL112/IM112,0)+IFERROR(IX112/IY112,0)+IFERROR(JB112/JC112,0)+IFERROR(JF112/JG112,0)+IFERROR(JI112/JJ112,0)+IFERROR(JL112/JM112,0)+IFERROR(JO112/JP112,0))*L112*(C112+D112+E112+I112)</f>
        <v>122.5</v>
      </c>
      <c r="S112" s="165"/>
      <c r="T112" s="165">
        <f t="shared" si="35"/>
        <v>0</v>
      </c>
      <c r="U112" s="165"/>
      <c r="V112" s="165"/>
      <c r="W112" s="165"/>
      <c r="X112" s="165">
        <f>(IFERROR(FF112/FG112,0)+IFERROR(FC112/FD112,0)+IFERROR(#REF!/#REF!,0)+IFERROR(KP112/KQ112,0))*L112*(C112+D112+E112+I112)</f>
        <v>0</v>
      </c>
      <c r="Y112" s="484"/>
      <c r="Z112" s="484"/>
      <c r="AA112" s="484"/>
      <c r="AB112" s="484"/>
      <c r="AC112" s="150">
        <f t="shared" si="47"/>
        <v>428.75000000000006</v>
      </c>
      <c r="AD112" s="150"/>
      <c r="AE112" s="150">
        <f t="shared" si="36"/>
        <v>0</v>
      </c>
      <c r="AF112" s="161">
        <v>635</v>
      </c>
      <c r="AG112" s="143">
        <v>35</v>
      </c>
      <c r="AH112" s="154">
        <v>4000</v>
      </c>
      <c r="AI112" s="144">
        <v>32</v>
      </c>
      <c r="AJ112" s="154">
        <v>250</v>
      </c>
      <c r="AK112" s="489" t="s">
        <v>81</v>
      </c>
      <c r="AL112" s="154" t="s">
        <v>545</v>
      </c>
      <c r="AM112" s="140"/>
      <c r="AN112" s="154"/>
      <c r="AO112" s="154"/>
      <c r="AP112" s="220"/>
      <c r="AQ112" s="496">
        <v>1200</v>
      </c>
      <c r="AR112" s="154">
        <v>2000</v>
      </c>
      <c r="AS112" s="496" t="s">
        <v>1078</v>
      </c>
      <c r="AT112" s="497" t="s">
        <v>763</v>
      </c>
      <c r="AU112" s="140"/>
      <c r="AV112" s="277"/>
      <c r="AW112" s="277"/>
      <c r="AX112" s="277"/>
      <c r="AY112" s="140"/>
      <c r="AZ112" s="277"/>
      <c r="BA112" s="277"/>
      <c r="BB112" s="277"/>
      <c r="BC112" s="140"/>
      <c r="BD112" s="277"/>
      <c r="BE112" s="277"/>
      <c r="BF112" s="277"/>
      <c r="BG112" s="140"/>
      <c r="BH112" s="277"/>
      <c r="BI112" s="277"/>
      <c r="BJ112" s="277"/>
      <c r="BK112" s="140"/>
      <c r="BL112" s="277"/>
      <c r="BM112" s="277"/>
      <c r="BN112" s="277"/>
      <c r="BO112" s="140"/>
      <c r="BP112" s="277"/>
      <c r="BQ112" s="277"/>
      <c r="BR112" s="277"/>
      <c r="BS112" s="140"/>
      <c r="BT112" s="277"/>
      <c r="BU112" s="277"/>
      <c r="BV112" s="277"/>
      <c r="BW112" s="140"/>
      <c r="BX112" s="154"/>
      <c r="BY112" s="154"/>
      <c r="BZ112" s="220"/>
      <c r="CA112" s="140"/>
      <c r="CB112" s="154"/>
      <c r="CC112" s="154"/>
      <c r="CD112" s="220"/>
      <c r="CE112" s="481">
        <v>5</v>
      </c>
      <c r="CF112" s="154">
        <v>4000</v>
      </c>
      <c r="CG112" s="481" t="s">
        <v>1087</v>
      </c>
      <c r="CH112" s="154" t="s">
        <v>1176</v>
      </c>
      <c r="CI112" s="481">
        <v>5</v>
      </c>
      <c r="CJ112" s="154">
        <v>4000</v>
      </c>
      <c r="CK112" s="481" t="s">
        <v>1087</v>
      </c>
      <c r="CL112" s="154" t="s">
        <v>1176</v>
      </c>
      <c r="CM112" s="140"/>
      <c r="CN112" s="271"/>
      <c r="CO112" s="271"/>
      <c r="CP112" s="271"/>
      <c r="CQ112" s="140"/>
      <c r="CR112" s="154"/>
      <c r="CS112" s="154"/>
      <c r="CT112" s="154"/>
      <c r="CU112" s="140"/>
      <c r="CV112" s="154"/>
      <c r="CW112" s="154"/>
      <c r="CX112" s="220"/>
      <c r="CY112" s="140"/>
      <c r="CZ112" s="154"/>
      <c r="DA112" s="154"/>
      <c r="DB112" s="220"/>
      <c r="DC112" s="140"/>
      <c r="DD112" s="146"/>
      <c r="DE112" s="146"/>
      <c r="DF112" s="146"/>
      <c r="DG112" s="140"/>
      <c r="DH112" s="146"/>
      <c r="DI112" s="146"/>
      <c r="DJ112" s="146"/>
      <c r="DK112" s="146"/>
      <c r="DL112" s="146"/>
      <c r="DM112" s="146"/>
      <c r="DN112" s="146"/>
      <c r="DO112" s="146"/>
      <c r="DP112" s="146"/>
      <c r="DQ112" s="146"/>
      <c r="DR112" s="146"/>
      <c r="DS112" s="140"/>
      <c r="DT112" s="154"/>
      <c r="DU112" s="154"/>
      <c r="DV112" s="154"/>
      <c r="DW112" s="140"/>
      <c r="DX112" s="220"/>
      <c r="DY112" s="220"/>
      <c r="DZ112" s="220"/>
      <c r="EA112" s="140"/>
      <c r="EB112" s="220"/>
      <c r="EC112" s="220"/>
      <c r="ED112" s="220"/>
      <c r="EE112" s="140"/>
      <c r="EF112" s="154"/>
      <c r="EG112" s="154"/>
      <c r="EH112" s="154"/>
      <c r="EI112" s="140"/>
      <c r="EJ112" s="154"/>
      <c r="EK112" s="154"/>
      <c r="EL112" s="154"/>
      <c r="EM112" s="140"/>
      <c r="EN112" s="222"/>
      <c r="EO112" s="222"/>
      <c r="EP112" s="222"/>
      <c r="EQ112" s="140"/>
      <c r="ER112" s="222"/>
      <c r="ES112" s="222"/>
      <c r="ET112" s="222"/>
      <c r="EU112" s="140"/>
      <c r="EV112" s="222"/>
      <c r="EW112" s="222"/>
      <c r="EX112" s="222"/>
      <c r="EY112" s="344"/>
      <c r="EZ112" s="222"/>
      <c r="FA112" s="222"/>
      <c r="FB112" s="222"/>
      <c r="FC112" s="273"/>
      <c r="FD112" s="223"/>
      <c r="FE112" s="223"/>
      <c r="FF112" s="276"/>
      <c r="FG112" s="156"/>
      <c r="FH112" s="156"/>
      <c r="FI112" s="156"/>
      <c r="FJ112" s="140"/>
      <c r="FK112" s="277"/>
      <c r="FL112" s="277"/>
      <c r="FM112" s="277"/>
      <c r="FN112" s="140"/>
      <c r="FO112" s="277"/>
      <c r="FP112" s="277"/>
      <c r="FQ112" s="277"/>
      <c r="FR112" s="280"/>
      <c r="FS112" s="277"/>
      <c r="FT112" s="277"/>
      <c r="FU112" s="277"/>
      <c r="FV112" s="277"/>
      <c r="FW112" s="277"/>
      <c r="FX112" s="277"/>
      <c r="FY112" s="277"/>
      <c r="FZ112" s="277"/>
      <c r="GA112" s="277"/>
      <c r="GB112" s="277"/>
      <c r="GC112" s="277"/>
      <c r="GD112" s="277"/>
      <c r="GE112" s="277"/>
      <c r="GF112" s="277"/>
      <c r="GG112" s="277"/>
      <c r="GH112" s="519"/>
      <c r="GI112" s="277">
        <v>500</v>
      </c>
      <c r="GJ112" s="481" t="s">
        <v>1087</v>
      </c>
      <c r="GK112" s="277" t="s">
        <v>1181</v>
      </c>
      <c r="GL112" s="277"/>
      <c r="GM112" s="277"/>
      <c r="GN112" s="277"/>
      <c r="GO112" s="277"/>
      <c r="GP112" s="277"/>
      <c r="GQ112" s="277"/>
      <c r="GR112" s="277"/>
      <c r="GS112" s="277"/>
      <c r="GT112" s="519"/>
      <c r="GU112" s="277">
        <v>6000</v>
      </c>
      <c r="GV112" s="481" t="s">
        <v>1087</v>
      </c>
      <c r="GW112" s="277" t="s">
        <v>1221</v>
      </c>
      <c r="GX112" s="277"/>
      <c r="GY112" s="277"/>
      <c r="GZ112" s="277"/>
      <c r="HA112" s="277"/>
      <c r="HB112" s="277"/>
      <c r="HC112" s="277"/>
      <c r="HD112" s="277"/>
      <c r="HE112" s="277"/>
      <c r="HF112" s="140"/>
      <c r="HG112" s="277"/>
      <c r="HH112" s="277"/>
      <c r="HI112" s="277"/>
      <c r="HJ112" s="140"/>
      <c r="HK112" s="277"/>
      <c r="HL112" s="277"/>
      <c r="HM112" s="277"/>
      <c r="HN112" s="140"/>
      <c r="HO112" s="277"/>
      <c r="HP112" s="277"/>
      <c r="HQ112" s="277"/>
      <c r="HR112" s="277"/>
      <c r="HS112" s="277"/>
      <c r="HT112" s="277"/>
      <c r="HU112" s="277"/>
      <c r="HV112" s="277"/>
      <c r="HW112" s="277"/>
      <c r="HX112" s="277"/>
      <c r="HY112" s="277"/>
      <c r="HZ112" s="140"/>
      <c r="IA112" s="277"/>
      <c r="IB112" s="277"/>
      <c r="IC112" s="277"/>
      <c r="ID112" s="140"/>
      <c r="IE112" s="277"/>
      <c r="IF112" s="277"/>
      <c r="IG112" s="277"/>
      <c r="IH112" s="140"/>
      <c r="II112" s="277"/>
      <c r="IJ112" s="277"/>
      <c r="IK112" s="277"/>
      <c r="IL112" s="140"/>
      <c r="IM112" s="277"/>
      <c r="IN112" s="277"/>
      <c r="IO112" s="277"/>
      <c r="IP112" s="277"/>
      <c r="IQ112" s="277"/>
      <c r="IR112" s="277"/>
      <c r="IS112" s="277"/>
      <c r="IT112" s="277"/>
      <c r="IU112" s="277"/>
      <c r="IV112" s="277"/>
      <c r="IW112" s="277"/>
      <c r="IX112" s="140"/>
      <c r="IY112" s="277"/>
      <c r="IZ112" s="277"/>
      <c r="JA112" s="277"/>
      <c r="JB112" s="140"/>
      <c r="JC112" s="277"/>
      <c r="JD112" s="277"/>
      <c r="JE112" s="277"/>
      <c r="JF112" s="140"/>
      <c r="JG112" s="277"/>
      <c r="JH112" s="277"/>
      <c r="JI112" s="140"/>
      <c r="JJ112" s="277"/>
      <c r="JK112" s="277"/>
      <c r="JL112" s="140"/>
      <c r="JM112" s="277"/>
      <c r="JN112" s="277"/>
      <c r="JO112" s="140"/>
      <c r="JP112" s="277"/>
      <c r="JQ112" s="277"/>
      <c r="JR112" s="277"/>
      <c r="JS112" s="277"/>
      <c r="JT112" s="277"/>
      <c r="JU112" s="277"/>
      <c r="JV112" s="277"/>
      <c r="JW112" s="277"/>
      <c r="JX112" s="277"/>
      <c r="JY112" s="277"/>
      <c r="JZ112" s="277"/>
      <c r="KA112" s="277"/>
      <c r="KB112" s="277"/>
      <c r="KC112" s="277"/>
      <c r="KD112" s="277"/>
      <c r="KE112" s="277"/>
      <c r="KF112" s="277"/>
      <c r="KG112" s="277"/>
      <c r="KH112" s="277"/>
      <c r="KI112" s="277"/>
      <c r="KJ112" s="277"/>
      <c r="KK112" s="277"/>
      <c r="KL112" s="277"/>
      <c r="KM112" s="277"/>
      <c r="KN112" s="277"/>
      <c r="KO112" s="277"/>
      <c r="KP112" s="274"/>
      <c r="KQ112" s="253"/>
      <c r="KR112" s="253"/>
      <c r="KY112" s="141">
        <f t="shared" si="37"/>
        <v>0</v>
      </c>
      <c r="KZ112" s="141">
        <f t="shared" si="38"/>
        <v>0</v>
      </c>
      <c r="LB112" s="141">
        <f t="shared" si="39"/>
        <v>1</v>
      </c>
      <c r="LC112" s="141">
        <f t="shared" si="40"/>
        <v>0</v>
      </c>
      <c r="LD112" s="141">
        <f t="shared" si="41"/>
        <v>1</v>
      </c>
      <c r="LE112" s="141" t="e">
        <f>((N(AU112)&gt;0)*(AX112&lt;&gt;"")+(N(AY112)&gt;0)*(BB112&lt;&gt;"")+(N(BC112)&gt;0)*(BF112&lt;&gt;"")+(N(BG112)&gt;0)*(BJ112&lt;&gt;"")+(N(BK112)&gt;0)*(BN112&lt;&gt;"")+(N(BO112)&gt;0)*(BR112&lt;&gt;"")+(N(BS112)&gt;0)*(BV112&lt;&gt;"")+(N(BW112)&gt;0)*(BZ112&lt;&gt;"")+(N(CA112)&gt;0)*(CD112&lt;&gt;"")+(N(CE112)&gt;0)*(CH112&lt;&gt;"")+(N(CI112)&gt;0)*(CL112&lt;&gt;"")+(N(CM112)&gt;0)*(CP112&lt;&gt;"")+(N(CQ112)&gt;0)*(CT112&lt;&gt;"")+(N(CU112)&gt;0)*(CX112&lt;&gt;"")+(N(CY112)&gt;0)*(DB112&lt;&gt;"")+(N(DC112)&gt;0)*(DF112&lt;&gt;"")+(N(DG112)&gt;0)*(DJ112&lt;&gt;"")+(N(DS112)&gt;0)*(DV112&lt;&gt;"")+(N(DW112)&gt;0)*(DZ112&lt;&gt;"")+(N(EA112)&gt;0)*(ED112&lt;&gt;"")+(N(EE112)&gt;0)*(EH112&lt;&gt;"")+(N(EI112)&gt;0)*(EL112&lt;&gt;"")+(N(EM112)&gt;0)*(EP112&lt;&gt;"")+(N(EQ112)&gt;0)*(ET112&lt;&gt;"")+(N(EU112)&gt;0)*(EX112&lt;&gt;"")+(N(#REF!)&gt;0)*(#REF!&lt;&gt;"")+(N(#REF!)&gt;0)*(#REF!&lt;&gt;"")+(N(FJ112)&gt;0)*(FM112&lt;&gt;"")+(N(FN112)&gt;0)*(FQ112&lt;&gt;"")+(N(#REF!)&gt;0)*(#REF!&lt;&gt;"")+(N(#REF!)&gt;0)*(#REF!&lt;&gt;"")+(N(HF112)&gt;0)*(HI112&lt;&gt;"")+(N(#REF!)&gt;0)*(#REF!&lt;&gt;"")+(N(HJ112)&gt;0)*(HM112&lt;&gt;"")+(N(HN112)&gt;0)*(HQ112&lt;&gt;"")+(N(HZ112)&gt;0)*(IC112&lt;&gt;"")+(N(ID112)&gt;0)*(IG112&lt;&gt;"")+(N(IH112)&gt;0)*(IK112&lt;&gt;"")+(N(IL112)&gt;0)*(IO112&lt;&gt;"")+(N(IX112)&gt;0)*(JA112&lt;&gt;"")+(N(JB112)&gt;0)*(JE112&lt;&gt;"")+(N(JF112)&gt;0)*(JH112&lt;&gt;"")+(N(JI112)&gt;0)*(JK112&lt;&gt;"")+(N(JL112)&gt;0)*(JN112&lt;&gt;"")+(N(JO112)&gt;0)*(JQ112&lt;&gt;""))</f>
        <v>#REF!</v>
      </c>
      <c r="LF112" s="141">
        <f t="shared" si="48"/>
        <v>0</v>
      </c>
      <c r="LG112" s="141">
        <f t="shared" si="42"/>
        <v>1</v>
      </c>
    </row>
    <row r="113" spans="1:319" ht="38.25" customHeight="1" x14ac:dyDescent="0.55000000000000004">
      <c r="B113" s="506" t="s">
        <v>184</v>
      </c>
      <c r="C113" s="218">
        <v>1</v>
      </c>
      <c r="D113" s="218">
        <v>1</v>
      </c>
      <c r="E113" s="218">
        <v>1</v>
      </c>
      <c r="F113" s="162">
        <f>($AI$113/$AJ$113)*$L$113*C113</f>
        <v>1024.8</v>
      </c>
      <c r="G113" s="162">
        <f>($AI$113/$AJ$113)*$L$113*D113</f>
        <v>1024.8</v>
      </c>
      <c r="H113" s="162">
        <f>($AI$113/$AJ$113)*$L$113*E113</f>
        <v>1024.8</v>
      </c>
      <c r="I113" s="162" cm="1">
        <f t="array" ref="I113">SUMPRODUCT(($AI$2:$KV$2&lt;&gt;"")*($AI113:$KV113&lt;&gt;""))</f>
        <v>4</v>
      </c>
      <c r="J113" s="142">
        <f t="shared" si="43"/>
        <v>4</v>
      </c>
      <c r="K113" s="142">
        <f t="shared" si="44"/>
        <v>56</v>
      </c>
      <c r="L113" s="268">
        <f t="shared" si="49"/>
        <v>7000</v>
      </c>
      <c r="M113" s="164">
        <f t="shared" si="45"/>
        <v>7173.5999999999995</v>
      </c>
      <c r="N113" s="397"/>
      <c r="O113" s="165">
        <f t="shared" si="46"/>
        <v>34300</v>
      </c>
      <c r="P113" s="165"/>
      <c r="Q113" s="165"/>
      <c r="R113" s="165">
        <f>(IFERROR(AM113/AN113,0)+IFERROR(AU113/AV113,0)+IFERROR(AY113/AZ113,0)+IFERROR(BC113/BD113,0)+IFERROR(BG113/BH113,0)+IFERROR(BK113/BL113,0)+IFERROR(BO113/BP113,0)+IFERROR(BS113/BT113,0)+IFERROR(BW113/BX113,0)+IFERROR(CA113/CB113,0)+IFERROR(CE113/CF113,0)+IFERROR(CI113/CJ113,0)+IFERROR(CM113/CN113,0)+IFERROR(CQ113/CR113,0)+IFERROR(CU113/CV113,0)+IFERROR(CY113/CZ113,0)+IFERROR(DC113/DD113,0)+IFERROR(DG113/DH113,0)+IFERROR(DS113/DT113,0)+IFERROR(DW113/DX113,0)+IFERROR(EA113/EB113,0)+IFERROR(EE113/EF113,0)+IFERROR(EI113/EJ113,0)+IFERROR(EM113/EN113,0)+IFERROR(EQ113/ER113,0)+IFERROR(EU113/EV113,0)+IFERROR(#REF!/#REF!,0)+IFERROR(#REF!/#REF!,0)+IFERROR(FJ113/FK113,0)+IFERROR(FN113/FO113,0)+IFERROR(#REF!/#REF!,0)+IFERROR(#REF!/#REF!,0)+IFERROR(HF113/HG113,0)+IFERROR(#REF!/#REF!,0)+IFERROR(HJ113/HK113,0)+IFERROR(HN113/HO113,0)+IFERROR(HZ113/IA113,0)+IFERROR(ID113/IE113,0)+IFERROR(IH113/II113,0)+IFERROR(IL113/IM113,0)+IFERROR(IX113/IY113,0)+IFERROR(JB113/JC113,0)+IFERROR(JF113/JG113,0)+IFERROR(JI113/JJ113,0)+IFERROR(JL113/JM113,0)+IFERROR(JO113/JP113,0))*L113*(C113+D113+E113+I113)</f>
        <v>122.5</v>
      </c>
      <c r="S113" s="165"/>
      <c r="T113" s="165">
        <f t="shared" si="35"/>
        <v>0</v>
      </c>
      <c r="U113" s="165"/>
      <c r="V113" s="165"/>
      <c r="W113" s="165"/>
      <c r="X113" s="165">
        <f>(IFERROR(FF113/FG113,0)+IFERROR(FC113/FD113,0)+IFERROR(#REF!/#REF!,0)+IFERROR(KP113/KQ113,0))*L113*(C113+D113+E113+I113)</f>
        <v>0</v>
      </c>
      <c r="Y113" s="484"/>
      <c r="Z113" s="484"/>
      <c r="AA113" s="484"/>
      <c r="AB113" s="484"/>
      <c r="AC113" s="150">
        <f t="shared" si="47"/>
        <v>173.95</v>
      </c>
      <c r="AD113" s="150"/>
      <c r="AE113" s="150">
        <f t="shared" si="36"/>
        <v>0</v>
      </c>
      <c r="AF113" s="161">
        <v>765</v>
      </c>
      <c r="AG113" s="143">
        <v>14.2</v>
      </c>
      <c r="AH113" s="154">
        <v>4000</v>
      </c>
      <c r="AI113" s="144">
        <v>36.6</v>
      </c>
      <c r="AJ113" s="154">
        <v>250</v>
      </c>
      <c r="AK113" s="489" t="s">
        <v>81</v>
      </c>
      <c r="AL113" s="154" t="s">
        <v>545</v>
      </c>
      <c r="AM113" s="140"/>
      <c r="AN113" s="154"/>
      <c r="AO113" s="154"/>
      <c r="AP113" s="220"/>
      <c r="AQ113" s="145">
        <v>1400</v>
      </c>
      <c r="AR113" s="154">
        <v>2000</v>
      </c>
      <c r="AS113" s="496" t="s">
        <v>1078</v>
      </c>
      <c r="AT113" s="497" t="s">
        <v>763</v>
      </c>
      <c r="AU113" s="140"/>
      <c r="AV113" s="277"/>
      <c r="AW113" s="277"/>
      <c r="AX113" s="277"/>
      <c r="AY113" s="140"/>
      <c r="AZ113" s="277"/>
      <c r="BA113" s="277"/>
      <c r="BB113" s="277"/>
      <c r="BC113" s="140"/>
      <c r="BD113" s="277"/>
      <c r="BE113" s="277"/>
      <c r="BF113" s="277"/>
      <c r="BG113" s="140"/>
      <c r="BH113" s="277"/>
      <c r="BI113" s="277"/>
      <c r="BJ113" s="277"/>
      <c r="BK113" s="140"/>
      <c r="BL113" s="277"/>
      <c r="BM113" s="277"/>
      <c r="BN113" s="277"/>
      <c r="BO113" s="140"/>
      <c r="BP113" s="277"/>
      <c r="BQ113" s="277"/>
      <c r="BR113" s="277"/>
      <c r="BS113" s="140"/>
      <c r="BT113" s="277"/>
      <c r="BU113" s="277"/>
      <c r="BV113" s="277"/>
      <c r="BW113" s="140"/>
      <c r="BX113" s="154"/>
      <c r="BY113" s="154"/>
      <c r="BZ113" s="220"/>
      <c r="CA113" s="140"/>
      <c r="CB113" s="154"/>
      <c r="CC113" s="154"/>
      <c r="CD113" s="220"/>
      <c r="CE113" s="481">
        <v>5</v>
      </c>
      <c r="CF113" s="154">
        <v>4000</v>
      </c>
      <c r="CG113" s="481" t="s">
        <v>1087</v>
      </c>
      <c r="CH113" s="154" t="s">
        <v>1176</v>
      </c>
      <c r="CI113" s="481">
        <v>5</v>
      </c>
      <c r="CJ113" s="154">
        <v>4000</v>
      </c>
      <c r="CK113" s="481" t="s">
        <v>1087</v>
      </c>
      <c r="CL113" s="154" t="s">
        <v>1176</v>
      </c>
      <c r="CM113" s="140"/>
      <c r="CN113" s="271"/>
      <c r="CO113" s="271"/>
      <c r="CP113" s="271"/>
      <c r="CQ113" s="140"/>
      <c r="CR113" s="154"/>
      <c r="CS113" s="154"/>
      <c r="CT113" s="154"/>
      <c r="CU113" s="140"/>
      <c r="CV113" s="154"/>
      <c r="CW113" s="154"/>
      <c r="CX113" s="220"/>
      <c r="CY113" s="140"/>
      <c r="CZ113" s="154"/>
      <c r="DA113" s="154"/>
      <c r="DB113" s="220"/>
      <c r="DC113" s="140"/>
      <c r="DD113" s="146"/>
      <c r="DE113" s="146"/>
      <c r="DF113" s="146"/>
      <c r="DG113" s="140"/>
      <c r="DH113" s="146"/>
      <c r="DI113" s="146"/>
      <c r="DJ113" s="146"/>
      <c r="DK113" s="146"/>
      <c r="DL113" s="146"/>
      <c r="DM113" s="146"/>
      <c r="DN113" s="146"/>
      <c r="DO113" s="146"/>
      <c r="DP113" s="146"/>
      <c r="DQ113" s="146"/>
      <c r="DR113" s="146"/>
      <c r="DS113" s="140"/>
      <c r="DT113" s="154"/>
      <c r="DU113" s="154"/>
      <c r="DV113" s="154"/>
      <c r="DW113" s="140"/>
      <c r="DX113" s="220"/>
      <c r="DY113" s="220"/>
      <c r="DZ113" s="220"/>
      <c r="EA113" s="140"/>
      <c r="EB113" s="220"/>
      <c r="EC113" s="220"/>
      <c r="ED113" s="220"/>
      <c r="EE113" s="140"/>
      <c r="EF113" s="154"/>
      <c r="EG113" s="154"/>
      <c r="EH113" s="154"/>
      <c r="EI113" s="140"/>
      <c r="EJ113" s="154"/>
      <c r="EK113" s="154"/>
      <c r="EL113" s="154"/>
      <c r="EM113" s="140"/>
      <c r="EN113" s="222"/>
      <c r="EO113" s="222"/>
      <c r="EP113" s="222"/>
      <c r="EQ113" s="140"/>
      <c r="ER113" s="222"/>
      <c r="ES113" s="222"/>
      <c r="ET113" s="222"/>
      <c r="EU113" s="140"/>
      <c r="EV113" s="222"/>
      <c r="EW113" s="222"/>
      <c r="EX113" s="222"/>
      <c r="EY113" s="344"/>
      <c r="EZ113" s="222"/>
      <c r="FA113" s="222"/>
      <c r="FB113" s="222"/>
      <c r="FC113" s="273"/>
      <c r="FD113" s="223"/>
      <c r="FE113" s="223"/>
      <c r="FF113" s="276"/>
      <c r="FG113" s="156"/>
      <c r="FH113" s="156"/>
      <c r="FI113" s="156"/>
      <c r="FJ113" s="140"/>
      <c r="FK113" s="277"/>
      <c r="FL113" s="277"/>
      <c r="FM113" s="277"/>
      <c r="FN113" s="140"/>
      <c r="FO113" s="277"/>
      <c r="FP113" s="277"/>
      <c r="FQ113" s="277"/>
      <c r="FR113" s="280"/>
      <c r="FS113" s="277"/>
      <c r="FT113" s="277"/>
      <c r="FU113" s="277"/>
      <c r="FV113" s="277"/>
      <c r="FW113" s="277"/>
      <c r="FX113" s="277"/>
      <c r="FY113" s="277"/>
      <c r="FZ113" s="277"/>
      <c r="GA113" s="277"/>
      <c r="GB113" s="277"/>
      <c r="GC113" s="277"/>
      <c r="GD113" s="277"/>
      <c r="GE113" s="277"/>
      <c r="GF113" s="277"/>
      <c r="GG113" s="277"/>
      <c r="GH113" s="519"/>
      <c r="GI113" s="277">
        <v>500</v>
      </c>
      <c r="GJ113" s="481" t="s">
        <v>1087</v>
      </c>
      <c r="GK113" s="277" t="s">
        <v>1181</v>
      </c>
      <c r="GL113" s="277"/>
      <c r="GM113" s="277"/>
      <c r="GN113" s="277"/>
      <c r="GO113" s="277"/>
      <c r="GP113" s="277"/>
      <c r="GQ113" s="277"/>
      <c r="GR113" s="277"/>
      <c r="GS113" s="277"/>
      <c r="GT113" s="519"/>
      <c r="GU113" s="277">
        <v>6000</v>
      </c>
      <c r="GV113" s="481" t="s">
        <v>1087</v>
      </c>
      <c r="GW113" s="277" t="s">
        <v>1221</v>
      </c>
      <c r="GX113" s="277"/>
      <c r="GY113" s="277"/>
      <c r="GZ113" s="277"/>
      <c r="HA113" s="277"/>
      <c r="HB113" s="277"/>
      <c r="HC113" s="277"/>
      <c r="HD113" s="277"/>
      <c r="HE113" s="277"/>
      <c r="HF113" s="140"/>
      <c r="HG113" s="277"/>
      <c r="HH113" s="277"/>
      <c r="HI113" s="277"/>
      <c r="HJ113" s="140"/>
      <c r="HK113" s="277"/>
      <c r="HL113" s="277"/>
      <c r="HM113" s="277"/>
      <c r="HN113" s="140"/>
      <c r="HO113" s="277"/>
      <c r="HP113" s="277"/>
      <c r="HQ113" s="277"/>
      <c r="HR113" s="277"/>
      <c r="HS113" s="277"/>
      <c r="HT113" s="277"/>
      <c r="HU113" s="277"/>
      <c r="HV113" s="277"/>
      <c r="HW113" s="277"/>
      <c r="HX113" s="277"/>
      <c r="HY113" s="277"/>
      <c r="HZ113" s="140"/>
      <c r="IA113" s="277"/>
      <c r="IB113" s="277"/>
      <c r="IC113" s="277"/>
      <c r="ID113" s="140"/>
      <c r="IE113" s="277"/>
      <c r="IF113" s="277"/>
      <c r="IG113" s="277"/>
      <c r="IH113" s="140"/>
      <c r="II113" s="277"/>
      <c r="IJ113" s="277"/>
      <c r="IK113" s="277"/>
      <c r="IL113" s="140"/>
      <c r="IM113" s="277"/>
      <c r="IN113" s="277"/>
      <c r="IO113" s="277"/>
      <c r="IP113" s="277"/>
      <c r="IQ113" s="277"/>
      <c r="IR113" s="277"/>
      <c r="IS113" s="277"/>
      <c r="IT113" s="277"/>
      <c r="IU113" s="277"/>
      <c r="IV113" s="277"/>
      <c r="IW113" s="277"/>
      <c r="IX113" s="140"/>
      <c r="IY113" s="277"/>
      <c r="IZ113" s="277"/>
      <c r="JA113" s="277"/>
      <c r="JB113" s="140"/>
      <c r="JC113" s="277"/>
      <c r="JD113" s="277"/>
      <c r="JE113" s="277"/>
      <c r="JF113" s="140"/>
      <c r="JG113" s="277"/>
      <c r="JH113" s="277"/>
      <c r="JI113" s="140"/>
      <c r="JJ113" s="277"/>
      <c r="JK113" s="277"/>
      <c r="JL113" s="140"/>
      <c r="JM113" s="277"/>
      <c r="JN113" s="277"/>
      <c r="JO113" s="140"/>
      <c r="JP113" s="277"/>
      <c r="JQ113" s="277"/>
      <c r="JR113" s="277"/>
      <c r="JS113" s="277"/>
      <c r="JT113" s="277"/>
      <c r="JU113" s="277"/>
      <c r="JV113" s="277"/>
      <c r="JW113" s="277"/>
      <c r="JX113" s="277"/>
      <c r="JY113" s="277"/>
      <c r="JZ113" s="277"/>
      <c r="KA113" s="277"/>
      <c r="KB113" s="277"/>
      <c r="KC113" s="277"/>
      <c r="KD113" s="277"/>
      <c r="KE113" s="277"/>
      <c r="KF113" s="277"/>
      <c r="KG113" s="277"/>
      <c r="KH113" s="277"/>
      <c r="KI113" s="277"/>
      <c r="KJ113" s="277"/>
      <c r="KK113" s="277"/>
      <c r="KL113" s="277"/>
      <c r="KM113" s="277"/>
      <c r="KN113" s="277"/>
      <c r="KO113" s="277"/>
      <c r="KP113" s="274"/>
      <c r="KQ113" s="253"/>
      <c r="KR113" s="253"/>
      <c r="KY113" s="141">
        <f t="shared" si="37"/>
        <v>0</v>
      </c>
      <c r="KZ113" s="141">
        <f t="shared" si="38"/>
        <v>0</v>
      </c>
      <c r="LB113" s="141">
        <f t="shared" si="39"/>
        <v>1</v>
      </c>
      <c r="LC113" s="141">
        <f t="shared" si="40"/>
        <v>0</v>
      </c>
      <c r="LD113" s="141">
        <f t="shared" si="41"/>
        <v>1</v>
      </c>
      <c r="LE113" s="141" t="e">
        <f>((N(AU113)&gt;0)*(AX113&lt;&gt;"")+(N(AY113)&gt;0)*(BB113&lt;&gt;"")+(N(BC113)&gt;0)*(BF113&lt;&gt;"")+(N(BG113)&gt;0)*(BJ113&lt;&gt;"")+(N(BK113)&gt;0)*(BN113&lt;&gt;"")+(N(BO113)&gt;0)*(BR113&lt;&gt;"")+(N(BS113)&gt;0)*(BV113&lt;&gt;"")+(N(BW113)&gt;0)*(BZ113&lt;&gt;"")+(N(CA113)&gt;0)*(CD113&lt;&gt;"")+(N(CE113)&gt;0)*(CH113&lt;&gt;"")+(N(CI113)&gt;0)*(CL113&lt;&gt;"")+(N(CM113)&gt;0)*(CP113&lt;&gt;"")+(N(CQ113)&gt;0)*(CT113&lt;&gt;"")+(N(CU113)&gt;0)*(CX113&lt;&gt;"")+(N(CY113)&gt;0)*(DB113&lt;&gt;"")+(N(DC113)&gt;0)*(DF113&lt;&gt;"")+(N(DG113)&gt;0)*(DJ113&lt;&gt;"")+(N(DS113)&gt;0)*(DV113&lt;&gt;"")+(N(DW113)&gt;0)*(DZ113&lt;&gt;"")+(N(EA113)&gt;0)*(ED113&lt;&gt;"")+(N(EE113)&gt;0)*(EH113&lt;&gt;"")+(N(EI113)&gt;0)*(EL113&lt;&gt;"")+(N(EM113)&gt;0)*(EP113&lt;&gt;"")+(N(EQ113)&gt;0)*(ET113&lt;&gt;"")+(N(EU113)&gt;0)*(EX113&lt;&gt;"")+(N(#REF!)&gt;0)*(#REF!&lt;&gt;"")+(N(#REF!)&gt;0)*(#REF!&lt;&gt;"")+(N(FJ113)&gt;0)*(FM113&lt;&gt;"")+(N(FN113)&gt;0)*(FQ113&lt;&gt;"")+(N(#REF!)&gt;0)*(#REF!&lt;&gt;"")+(N(#REF!)&gt;0)*(#REF!&lt;&gt;"")+(N(HF113)&gt;0)*(HI113&lt;&gt;"")+(N(#REF!)&gt;0)*(#REF!&lt;&gt;"")+(N(HJ113)&gt;0)*(HM113&lt;&gt;"")+(N(HN113)&gt;0)*(HQ113&lt;&gt;"")+(N(HZ113)&gt;0)*(IC113&lt;&gt;"")+(N(ID113)&gt;0)*(IG113&lt;&gt;"")+(N(IH113)&gt;0)*(IK113&lt;&gt;"")+(N(IL113)&gt;0)*(IO113&lt;&gt;"")+(N(IX113)&gt;0)*(JA113&lt;&gt;"")+(N(JB113)&gt;0)*(JE113&lt;&gt;"")+(N(JF113)&gt;0)*(JH113&lt;&gt;"")+(N(JI113)&gt;0)*(JK113&lt;&gt;"")+(N(JL113)&gt;0)*(JN113&lt;&gt;"")+(N(JO113)&gt;0)*(JQ113&lt;&gt;""))</f>
        <v>#REF!</v>
      </c>
      <c r="LF113" s="141">
        <f t="shared" si="48"/>
        <v>0</v>
      </c>
      <c r="LG113" s="141">
        <f t="shared" si="42"/>
        <v>1</v>
      </c>
    </row>
    <row r="114" spans="1:319" ht="38.25" customHeight="1" x14ac:dyDescent="0.55000000000000004">
      <c r="B114" s="506" t="s">
        <v>181</v>
      </c>
      <c r="C114" s="218">
        <v>1</v>
      </c>
      <c r="D114" s="218">
        <v>1</v>
      </c>
      <c r="E114" s="218">
        <v>1</v>
      </c>
      <c r="F114" s="162">
        <f>($AI$114/$AJ$114)*$L$114*C114</f>
        <v>896</v>
      </c>
      <c r="G114" s="162">
        <f>($AI$114/$AJ$114)*$L$114*D114</f>
        <v>896</v>
      </c>
      <c r="H114" s="162">
        <f>($AI$114/$AJ$114)*$L$114*E114</f>
        <v>896</v>
      </c>
      <c r="I114" s="162" cm="1">
        <f t="array" ref="I114">SUMPRODUCT(($AI$2:$KV$2&lt;&gt;"")*($AI114:$KV114&lt;&gt;""))</f>
        <v>7</v>
      </c>
      <c r="J114" s="142">
        <f t="shared" si="43"/>
        <v>7</v>
      </c>
      <c r="K114" s="142">
        <f t="shared" si="44"/>
        <v>98</v>
      </c>
      <c r="L114" s="268">
        <f t="shared" si="49"/>
        <v>7000</v>
      </c>
      <c r="M114" s="164">
        <f t="shared" si="45"/>
        <v>8960</v>
      </c>
      <c r="N114" s="397"/>
      <c r="O114" s="165">
        <f t="shared" si="46"/>
        <v>42000</v>
      </c>
      <c r="P114" s="165"/>
      <c r="Q114" s="165"/>
      <c r="R114" s="165">
        <f>(IFERROR(AM114/AN114,0)+IFERROR(AU114/AV114,0)+IFERROR(AY114/AZ114,0)+IFERROR(BC114/BD114,0)+IFERROR(BG114/BH114,0)+IFERROR(BK114/BL114,0)+IFERROR(BO114/BP114,0)+IFERROR(BS114/BT114,0)+IFERROR(BW114/BX114,0)+IFERROR(CA114/CB114,0)+IFERROR(CE114/CF114,0)+IFERROR(CI114/CJ114,0)+IFERROR(CM114/CN114,0)+IFERROR(CQ114/CR114,0)+IFERROR(CU114/CV114,0)+IFERROR(CY114/CZ114,0)+IFERROR(DC114/DD114,0)+IFERROR(DG114/DH114,0)+IFERROR(DS114/DT114,0)+IFERROR(DW114/DX114,0)+IFERROR(EA114/EB114,0)+IFERROR(EE114/EF114,0)+IFERROR(EI114/EJ114,0)+IFERROR(EM114/EN114,0)+IFERROR(EQ114/ER114,0)+IFERROR(EU114/EV114,0)+IFERROR(#REF!/#REF!,0)+IFERROR(#REF!/#REF!,0)+IFERROR(FJ114/FK114,0)+IFERROR(FN114/FO114,0)+IFERROR(#REF!/#REF!,0)+IFERROR(#REF!/#REF!,0)+IFERROR(HF114/HG114,0)+IFERROR(#REF!/#REF!,0)+IFERROR(HJ114/HK114,0)+IFERROR(HN114/HO114,0)+IFERROR(HZ114/IA114,0)+IFERROR(ID114/IE114,0)+IFERROR(IH114/II114,0)+IFERROR(IL114/IM114,0)+IFERROR(IX114/IY114,0)+IFERROR(JB114/JC114,0)+IFERROR(JF114/JG114,0)+IFERROR(JI114/JJ114,0)+IFERROR(JL114/JM114,0)+IFERROR(JO114/JP114,0))*L114*(C114+D114+E114+I114)</f>
        <v>175</v>
      </c>
      <c r="S114" s="165"/>
      <c r="T114" s="165">
        <f t="shared" si="35"/>
        <v>0</v>
      </c>
      <c r="U114" s="165"/>
      <c r="V114" s="165"/>
      <c r="W114" s="165"/>
      <c r="X114" s="165">
        <f>(IFERROR(FF114/FG114,0)+IFERROR(FC114/FD114,0)+IFERROR(#REF!/#REF!,0)+IFERROR(KP114/KQ114,0))*L114*(C114+D114+E114+I114)</f>
        <v>0</v>
      </c>
      <c r="Y114" s="484"/>
      <c r="Z114" s="484"/>
      <c r="AA114" s="484"/>
      <c r="AB114" s="484"/>
      <c r="AC114" s="150">
        <f t="shared" si="47"/>
        <v>612.50000000000011</v>
      </c>
      <c r="AD114" s="150"/>
      <c r="AE114" s="150">
        <f t="shared" si="36"/>
        <v>0</v>
      </c>
      <c r="AF114" s="161">
        <v>636</v>
      </c>
      <c r="AG114" s="143">
        <v>35</v>
      </c>
      <c r="AH114" s="154">
        <v>4000</v>
      </c>
      <c r="AI114" s="144">
        <v>32</v>
      </c>
      <c r="AJ114" s="154">
        <v>250</v>
      </c>
      <c r="AK114" s="489" t="s">
        <v>81</v>
      </c>
      <c r="AL114" s="154" t="s">
        <v>545</v>
      </c>
      <c r="AM114" s="140"/>
      <c r="AN114" s="154"/>
      <c r="AO114" s="154"/>
      <c r="AP114" s="220"/>
      <c r="AQ114" s="145">
        <v>1200</v>
      </c>
      <c r="AR114" s="154">
        <v>2000</v>
      </c>
      <c r="AS114" s="496" t="s">
        <v>1078</v>
      </c>
      <c r="AT114" s="497" t="s">
        <v>763</v>
      </c>
      <c r="AU114" s="140"/>
      <c r="AV114" s="277"/>
      <c r="AW114" s="277"/>
      <c r="AX114" s="277"/>
      <c r="AY114" s="140"/>
      <c r="AZ114" s="277"/>
      <c r="BA114" s="277"/>
      <c r="BB114" s="277"/>
      <c r="BC114" s="140"/>
      <c r="BD114" s="277"/>
      <c r="BE114" s="277"/>
      <c r="BF114" s="277"/>
      <c r="BG114" s="140"/>
      <c r="BH114" s="277"/>
      <c r="BI114" s="277"/>
      <c r="BJ114" s="277"/>
      <c r="BK114" s="140"/>
      <c r="BL114" s="277"/>
      <c r="BM114" s="277"/>
      <c r="BN114" s="277"/>
      <c r="BO114" s="140"/>
      <c r="BP114" s="277"/>
      <c r="BQ114" s="277"/>
      <c r="BR114" s="277"/>
      <c r="BS114" s="140"/>
      <c r="BT114" s="277"/>
      <c r="BU114" s="277"/>
      <c r="BV114" s="277"/>
      <c r="BW114" s="140"/>
      <c r="BX114" s="154"/>
      <c r="BY114" s="154"/>
      <c r="BZ114" s="220"/>
      <c r="CA114" s="140"/>
      <c r="CB114" s="154"/>
      <c r="CC114" s="154"/>
      <c r="CD114" s="220"/>
      <c r="CE114" s="481">
        <v>5</v>
      </c>
      <c r="CF114" s="154">
        <v>4000</v>
      </c>
      <c r="CG114" s="481" t="s">
        <v>1087</v>
      </c>
      <c r="CH114" s="154" t="s">
        <v>1176</v>
      </c>
      <c r="CI114" s="481">
        <v>5</v>
      </c>
      <c r="CJ114" s="154">
        <v>4000</v>
      </c>
      <c r="CK114" s="481" t="s">
        <v>1087</v>
      </c>
      <c r="CL114" s="154" t="s">
        <v>1176</v>
      </c>
      <c r="CM114" s="140"/>
      <c r="CN114" s="271"/>
      <c r="CO114" s="271"/>
      <c r="CP114" s="271"/>
      <c r="CQ114" s="140"/>
      <c r="CR114" s="154"/>
      <c r="CS114" s="154"/>
      <c r="CT114" s="154"/>
      <c r="CU114" s="140"/>
      <c r="CV114" s="154"/>
      <c r="CW114" s="154"/>
      <c r="CX114" s="220"/>
      <c r="CY114" s="140"/>
      <c r="CZ114" s="154"/>
      <c r="DA114" s="154"/>
      <c r="DB114" s="220"/>
      <c r="DC114" s="140"/>
      <c r="DD114" s="146"/>
      <c r="DE114" s="146"/>
      <c r="DF114" s="146"/>
      <c r="DG114" s="140"/>
      <c r="DH114" s="146"/>
      <c r="DI114" s="146"/>
      <c r="DJ114" s="146"/>
      <c r="DK114" s="146"/>
      <c r="DL114" s="146"/>
      <c r="DM114" s="146"/>
      <c r="DN114" s="146"/>
      <c r="DO114" s="146"/>
      <c r="DP114" s="146"/>
      <c r="DQ114" s="146"/>
      <c r="DR114" s="146"/>
      <c r="DS114" s="140"/>
      <c r="DT114" s="154"/>
      <c r="DU114" s="154"/>
      <c r="DV114" s="154"/>
      <c r="DW114" s="140"/>
      <c r="DX114" s="220"/>
      <c r="DY114" s="220"/>
      <c r="DZ114" s="220"/>
      <c r="EA114" s="140"/>
      <c r="EB114" s="220"/>
      <c r="EC114" s="220"/>
      <c r="ED114" s="220"/>
      <c r="EE114" s="140"/>
      <c r="EF114" s="154"/>
      <c r="EG114" s="154"/>
      <c r="EH114" s="154"/>
      <c r="EI114" s="140"/>
      <c r="EJ114" s="154"/>
      <c r="EK114" s="154"/>
      <c r="EL114" s="154"/>
      <c r="EM114" s="140"/>
      <c r="EN114" s="222"/>
      <c r="EO114" s="222"/>
      <c r="EP114" s="222"/>
      <c r="EQ114" s="140"/>
      <c r="ER114" s="222"/>
      <c r="ES114" s="222"/>
      <c r="ET114" s="222"/>
      <c r="EU114" s="140"/>
      <c r="EV114" s="222"/>
      <c r="EW114" s="222"/>
      <c r="EX114" s="222"/>
      <c r="EY114" s="344"/>
      <c r="EZ114" s="222"/>
      <c r="FA114" s="222"/>
      <c r="FB114" s="222"/>
      <c r="FC114" s="273"/>
      <c r="FD114" s="223"/>
      <c r="FE114" s="223"/>
      <c r="FF114" s="276"/>
      <c r="FG114" s="156"/>
      <c r="FH114" s="156"/>
      <c r="FI114" s="156"/>
      <c r="FJ114" s="140"/>
      <c r="FK114" s="277"/>
      <c r="FL114" s="277"/>
      <c r="FM114" s="277"/>
      <c r="FN114" s="140"/>
      <c r="FO114" s="277"/>
      <c r="FP114" s="277"/>
      <c r="FQ114" s="277"/>
      <c r="FR114" s="280"/>
      <c r="FS114" s="277"/>
      <c r="FT114" s="277"/>
      <c r="FU114" s="277"/>
      <c r="FV114" s="520">
        <v>6.25</v>
      </c>
      <c r="FW114" s="277">
        <v>8</v>
      </c>
      <c r="FX114" s="520" t="s">
        <v>1184</v>
      </c>
      <c r="FY114" s="277" t="s">
        <v>1182</v>
      </c>
      <c r="FZ114" s="520">
        <v>2.5</v>
      </c>
      <c r="GA114" s="277">
        <v>24</v>
      </c>
      <c r="GB114" s="520" t="s">
        <v>1184</v>
      </c>
      <c r="GC114" s="277" t="s">
        <v>1182</v>
      </c>
      <c r="GD114" s="520">
        <v>1.25</v>
      </c>
      <c r="GE114" s="277">
        <v>24</v>
      </c>
      <c r="GF114" s="520" t="s">
        <v>1184</v>
      </c>
      <c r="GG114" s="277" t="s">
        <v>1182</v>
      </c>
      <c r="GH114" s="277"/>
      <c r="GI114" s="277"/>
      <c r="GJ114" s="277"/>
      <c r="GK114" s="277"/>
      <c r="GL114" s="277"/>
      <c r="GM114" s="277"/>
      <c r="GN114" s="277"/>
      <c r="GO114" s="277"/>
      <c r="GP114" s="277"/>
      <c r="GQ114" s="277"/>
      <c r="GR114" s="277"/>
      <c r="GS114" s="277"/>
      <c r="GT114" s="277"/>
      <c r="GU114" s="277"/>
      <c r="GV114" s="277"/>
      <c r="GW114" s="277"/>
      <c r="GX114" s="277"/>
      <c r="GY114" s="277"/>
      <c r="GZ114" s="277"/>
      <c r="HA114" s="277"/>
      <c r="HB114" s="277"/>
      <c r="HC114" s="277"/>
      <c r="HD114" s="277"/>
      <c r="HE114" s="277"/>
      <c r="HF114" s="140"/>
      <c r="HG114" s="277"/>
      <c r="HH114" s="277"/>
      <c r="HI114" s="277"/>
      <c r="HJ114" s="140"/>
      <c r="HK114" s="277"/>
      <c r="HL114" s="277"/>
      <c r="HM114" s="277"/>
      <c r="HN114" s="140"/>
      <c r="HO114" s="277"/>
      <c r="HP114" s="277"/>
      <c r="HQ114" s="277"/>
      <c r="HR114" s="277"/>
      <c r="HS114" s="277"/>
      <c r="HT114" s="277"/>
      <c r="HU114" s="277"/>
      <c r="HV114" s="277"/>
      <c r="HW114" s="277"/>
      <c r="HX114" s="277"/>
      <c r="HY114" s="277"/>
      <c r="HZ114" s="140"/>
      <c r="IA114" s="277"/>
      <c r="IB114" s="277"/>
      <c r="IC114" s="277"/>
      <c r="ID114" s="140"/>
      <c r="IE114" s="277"/>
      <c r="IF114" s="277"/>
      <c r="IG114" s="277"/>
      <c r="IH114" s="140"/>
      <c r="II114" s="277"/>
      <c r="IJ114" s="277"/>
      <c r="IK114" s="277"/>
      <c r="IL114" s="140"/>
      <c r="IM114" s="277"/>
      <c r="IN114" s="277"/>
      <c r="IO114" s="277"/>
      <c r="IP114" s="277"/>
      <c r="IQ114" s="277"/>
      <c r="IR114" s="277"/>
      <c r="IS114" s="277"/>
      <c r="IT114" s="277"/>
      <c r="IU114" s="277"/>
      <c r="IV114" s="277"/>
      <c r="IW114" s="277"/>
      <c r="IX114" s="140"/>
      <c r="IY114" s="277"/>
      <c r="IZ114" s="277"/>
      <c r="JA114" s="277"/>
      <c r="JB114" s="140"/>
      <c r="JC114" s="277"/>
      <c r="JD114" s="277"/>
      <c r="JE114" s="277"/>
      <c r="JF114" s="140"/>
      <c r="JG114" s="277"/>
      <c r="JH114" s="277"/>
      <c r="JI114" s="140"/>
      <c r="JJ114" s="277"/>
      <c r="JK114" s="277"/>
      <c r="JL114" s="140"/>
      <c r="JM114" s="277"/>
      <c r="JN114" s="277"/>
      <c r="JO114" s="140"/>
      <c r="JP114" s="277"/>
      <c r="JQ114" s="277"/>
      <c r="JR114" s="277"/>
      <c r="JS114" s="277"/>
      <c r="JT114" s="277"/>
      <c r="JU114" s="277"/>
      <c r="JV114" s="277"/>
      <c r="JW114" s="277"/>
      <c r="JX114" s="277"/>
      <c r="JY114" s="277"/>
      <c r="JZ114" s="277"/>
      <c r="KA114" s="277"/>
      <c r="KB114" s="277"/>
      <c r="KC114" s="277"/>
      <c r="KD114" s="277"/>
      <c r="KE114" s="277"/>
      <c r="KF114" s="277"/>
      <c r="KG114" s="277"/>
      <c r="KH114" s="277"/>
      <c r="KI114" s="277"/>
      <c r="KJ114" s="277"/>
      <c r="KK114" s="277"/>
      <c r="KL114" s="277"/>
      <c r="KM114" s="277"/>
      <c r="KN114" s="277"/>
      <c r="KO114" s="277"/>
      <c r="KP114" s="274"/>
      <c r="KQ114" s="253"/>
      <c r="KR114" s="253"/>
      <c r="KY114" s="141">
        <f t="shared" si="37"/>
        <v>0</v>
      </c>
      <c r="KZ114" s="141">
        <f t="shared" si="38"/>
        <v>0</v>
      </c>
      <c r="LB114" s="141">
        <f t="shared" si="39"/>
        <v>1</v>
      </c>
      <c r="LC114" s="141">
        <f t="shared" si="40"/>
        <v>0</v>
      </c>
      <c r="LD114" s="141">
        <f t="shared" si="41"/>
        <v>1</v>
      </c>
      <c r="LE114" s="141" t="e">
        <f>((N(AU114)&gt;0)*(AX114&lt;&gt;"")+(N(AY114)&gt;0)*(BB114&lt;&gt;"")+(N(BC114)&gt;0)*(BF114&lt;&gt;"")+(N(BG114)&gt;0)*(BJ114&lt;&gt;"")+(N(BK114)&gt;0)*(BN114&lt;&gt;"")+(N(BO114)&gt;0)*(BR114&lt;&gt;"")+(N(BS114)&gt;0)*(BV114&lt;&gt;"")+(N(BW114)&gt;0)*(BZ114&lt;&gt;"")+(N(CA114)&gt;0)*(CD114&lt;&gt;"")+(N(CE114)&gt;0)*(CH114&lt;&gt;"")+(N(CI114)&gt;0)*(CL114&lt;&gt;"")+(N(CM114)&gt;0)*(CP114&lt;&gt;"")+(N(CQ114)&gt;0)*(CT114&lt;&gt;"")+(N(CU114)&gt;0)*(CX114&lt;&gt;"")+(N(CY114)&gt;0)*(DB114&lt;&gt;"")+(N(DC114)&gt;0)*(DF114&lt;&gt;"")+(N(DG114)&gt;0)*(DJ114&lt;&gt;"")+(N(DS114)&gt;0)*(DV114&lt;&gt;"")+(N(DW114)&gt;0)*(DZ114&lt;&gt;"")+(N(EA114)&gt;0)*(ED114&lt;&gt;"")+(N(EE114)&gt;0)*(EH114&lt;&gt;"")+(N(EI114)&gt;0)*(EL114&lt;&gt;"")+(N(EM114)&gt;0)*(EP114&lt;&gt;"")+(N(EQ114)&gt;0)*(ET114&lt;&gt;"")+(N(EU114)&gt;0)*(EX114&lt;&gt;"")+(N(#REF!)&gt;0)*(#REF!&lt;&gt;"")+(N(#REF!)&gt;0)*(#REF!&lt;&gt;"")+(N(FJ114)&gt;0)*(FM114&lt;&gt;"")+(N(FN114)&gt;0)*(FQ114&lt;&gt;"")+(N(#REF!)&gt;0)*(#REF!&lt;&gt;"")+(N(#REF!)&gt;0)*(#REF!&lt;&gt;"")+(N(HF114)&gt;0)*(HI114&lt;&gt;"")+(N(#REF!)&gt;0)*(#REF!&lt;&gt;"")+(N(HJ114)&gt;0)*(HM114&lt;&gt;"")+(N(HN114)&gt;0)*(HQ114&lt;&gt;"")+(N(HZ114)&gt;0)*(IC114&lt;&gt;"")+(N(ID114)&gt;0)*(IG114&lt;&gt;"")+(N(IH114)&gt;0)*(IK114&lt;&gt;"")+(N(IL114)&gt;0)*(IO114&lt;&gt;"")+(N(IX114)&gt;0)*(JA114&lt;&gt;"")+(N(JB114)&gt;0)*(JE114&lt;&gt;"")+(N(JF114)&gt;0)*(JH114&lt;&gt;"")+(N(JI114)&gt;0)*(JK114&lt;&gt;"")+(N(JL114)&gt;0)*(JN114&lt;&gt;"")+(N(JO114)&gt;0)*(JQ114&lt;&gt;""))</f>
        <v>#REF!</v>
      </c>
      <c r="LF114" s="141">
        <f t="shared" si="48"/>
        <v>0</v>
      </c>
      <c r="LG114" s="141">
        <f t="shared" si="42"/>
        <v>1</v>
      </c>
    </row>
    <row r="115" spans="1:319" ht="38.25" customHeight="1" x14ac:dyDescent="0.55000000000000004">
      <c r="B115" s="506" t="s">
        <v>182</v>
      </c>
      <c r="C115" s="218">
        <v>1</v>
      </c>
      <c r="D115" s="218">
        <v>1</v>
      </c>
      <c r="E115" s="218">
        <v>1</v>
      </c>
      <c r="F115" s="162">
        <f>($AI$115/$AJ$115)*$L$115*C115</f>
        <v>896</v>
      </c>
      <c r="G115" s="162">
        <f>($AI$115/$AJ$115)*$L$115*D115</f>
        <v>896</v>
      </c>
      <c r="H115" s="162">
        <f>($AI$115/$AJ$115)*$L$115*E115</f>
        <v>896</v>
      </c>
      <c r="I115" s="162" cm="1">
        <f t="array" ref="I115">SUMPRODUCT(($AI$2:$KV$2&lt;&gt;"")*($AI115:$KV115&lt;&gt;""))</f>
        <v>7</v>
      </c>
      <c r="J115" s="142">
        <f t="shared" si="43"/>
        <v>7</v>
      </c>
      <c r="K115" s="142">
        <f t="shared" si="44"/>
        <v>98</v>
      </c>
      <c r="L115" s="268">
        <f t="shared" si="49"/>
        <v>7000</v>
      </c>
      <c r="M115" s="164">
        <f t="shared" si="45"/>
        <v>8960</v>
      </c>
      <c r="N115" s="397"/>
      <c r="O115" s="165">
        <f t="shared" si="46"/>
        <v>49000</v>
      </c>
      <c r="P115" s="165"/>
      <c r="Q115" s="165"/>
      <c r="R115" s="165">
        <f>(IFERROR(AM115/AN115,0)+IFERROR(AU115/AV115,0)+IFERROR(AY115/AZ115,0)+IFERROR(BC115/BD115,0)+IFERROR(BG115/BH115,0)+IFERROR(BK115/BL115,0)+IFERROR(BO115/BP115,0)+IFERROR(BS115/BT115,0)+IFERROR(BW115/BX115,0)+IFERROR(CA115/CB115,0)+IFERROR(CE115/CF115,0)+IFERROR(CI115/CJ115,0)+IFERROR(CM115/CN115,0)+IFERROR(CQ115/CR115,0)+IFERROR(CU115/CV115,0)+IFERROR(CY115/CZ115,0)+IFERROR(DC115/DD115,0)+IFERROR(DG115/DH115,0)+IFERROR(DS115/DT115,0)+IFERROR(DW115/DX115,0)+IFERROR(EA115/EB115,0)+IFERROR(EE115/EF115,0)+IFERROR(EI115/EJ115,0)+IFERROR(EM115/EN115,0)+IFERROR(EQ115/ER115,0)+IFERROR(EU115/EV115,0)+IFERROR(#REF!/#REF!,0)+IFERROR(#REF!/#REF!,0)+IFERROR(FJ115/FK115,0)+IFERROR(FN115/FO115,0)+IFERROR(#REF!/#REF!,0)+IFERROR(#REF!/#REF!,0)+IFERROR(HF115/HG115,0)+IFERROR(#REF!/#REF!,0)+IFERROR(HJ115/HK115,0)+IFERROR(HN115/HO115,0)+IFERROR(HZ115/IA115,0)+IFERROR(ID115/IE115,0)+IFERROR(IH115/II115,0)+IFERROR(IL115/IM115,0)+IFERROR(IX115/IY115,0)+IFERROR(JB115/JC115,0)+IFERROR(JF115/JG115,0)+IFERROR(JI115/JJ115,0)+IFERROR(JL115/JM115,0)+IFERROR(JO115/JP115,0))*L115*(C115+D115+E115+I115)</f>
        <v>175</v>
      </c>
      <c r="S115" s="165"/>
      <c r="T115" s="165">
        <f t="shared" si="35"/>
        <v>0</v>
      </c>
      <c r="U115" s="165"/>
      <c r="V115" s="165"/>
      <c r="W115" s="165"/>
      <c r="X115" s="165">
        <f>(IFERROR(FF115/FG115,0)+IFERROR(FC115/FD115,0)+IFERROR(#REF!/#REF!,0)+IFERROR(KP115/KQ115,0))*L115*(C115+D115+E115+I115)</f>
        <v>0</v>
      </c>
      <c r="Y115" s="484"/>
      <c r="Z115" s="484"/>
      <c r="AA115" s="484"/>
      <c r="AB115" s="484"/>
      <c r="AC115" s="150">
        <f t="shared" si="47"/>
        <v>612.50000000000011</v>
      </c>
      <c r="AD115" s="150"/>
      <c r="AE115" s="150">
        <f t="shared" si="36"/>
        <v>0</v>
      </c>
      <c r="AF115" s="161">
        <v>765</v>
      </c>
      <c r="AG115" s="143">
        <v>35</v>
      </c>
      <c r="AH115" s="154">
        <v>4000</v>
      </c>
      <c r="AI115" s="144">
        <v>32</v>
      </c>
      <c r="AJ115" s="154">
        <v>250</v>
      </c>
      <c r="AK115" s="489" t="s">
        <v>81</v>
      </c>
      <c r="AL115" s="154" t="s">
        <v>545</v>
      </c>
      <c r="AM115" s="140"/>
      <c r="AN115" s="154"/>
      <c r="AO115" s="154"/>
      <c r="AP115" s="220"/>
      <c r="AQ115" s="145">
        <v>1400</v>
      </c>
      <c r="AR115" s="154">
        <v>2000</v>
      </c>
      <c r="AS115" s="496" t="s">
        <v>1078</v>
      </c>
      <c r="AT115" s="497" t="s">
        <v>763</v>
      </c>
      <c r="AU115" s="140"/>
      <c r="AV115" s="277"/>
      <c r="AW115" s="277"/>
      <c r="AX115" s="277"/>
      <c r="AY115" s="140"/>
      <c r="AZ115" s="277"/>
      <c r="BA115" s="277"/>
      <c r="BB115" s="277"/>
      <c r="BC115" s="140"/>
      <c r="BD115" s="277"/>
      <c r="BE115" s="277"/>
      <c r="BF115" s="277"/>
      <c r="BG115" s="140"/>
      <c r="BH115" s="277"/>
      <c r="BI115" s="277"/>
      <c r="BJ115" s="277"/>
      <c r="BK115" s="140"/>
      <c r="BL115" s="277"/>
      <c r="BM115" s="277"/>
      <c r="BN115" s="277"/>
      <c r="BO115" s="140"/>
      <c r="BP115" s="277"/>
      <c r="BQ115" s="277"/>
      <c r="BR115" s="277"/>
      <c r="BS115" s="140"/>
      <c r="BT115" s="277"/>
      <c r="BU115" s="277"/>
      <c r="BV115" s="277"/>
      <c r="BW115" s="140"/>
      <c r="BX115" s="154"/>
      <c r="BY115" s="154"/>
      <c r="BZ115" s="220"/>
      <c r="CA115" s="140"/>
      <c r="CB115" s="154"/>
      <c r="CC115" s="154"/>
      <c r="CD115" s="220"/>
      <c r="CE115" s="481">
        <v>5</v>
      </c>
      <c r="CF115" s="154">
        <v>4000</v>
      </c>
      <c r="CG115" s="481" t="s">
        <v>1087</v>
      </c>
      <c r="CH115" s="154" t="s">
        <v>1176</v>
      </c>
      <c r="CI115" s="481">
        <v>5</v>
      </c>
      <c r="CJ115" s="154">
        <v>4000</v>
      </c>
      <c r="CK115" s="481" t="s">
        <v>1087</v>
      </c>
      <c r="CL115" s="154" t="s">
        <v>1176</v>
      </c>
      <c r="CM115" s="140"/>
      <c r="CN115" s="271"/>
      <c r="CO115" s="271"/>
      <c r="CP115" s="271"/>
      <c r="CQ115" s="140"/>
      <c r="CR115" s="154"/>
      <c r="CS115" s="154"/>
      <c r="CT115" s="154"/>
      <c r="CU115" s="140"/>
      <c r="CV115" s="154"/>
      <c r="CW115" s="154"/>
      <c r="CX115" s="220"/>
      <c r="CY115" s="140"/>
      <c r="CZ115" s="154"/>
      <c r="DA115" s="154"/>
      <c r="DB115" s="220"/>
      <c r="DC115" s="140"/>
      <c r="DD115" s="146"/>
      <c r="DE115" s="146"/>
      <c r="DF115" s="146"/>
      <c r="DG115" s="140"/>
      <c r="DH115" s="146"/>
      <c r="DI115" s="146"/>
      <c r="DJ115" s="146"/>
      <c r="DK115" s="146"/>
      <c r="DL115" s="146"/>
      <c r="DM115" s="146"/>
      <c r="DN115" s="146"/>
      <c r="DO115" s="146"/>
      <c r="DP115" s="146"/>
      <c r="DQ115" s="146"/>
      <c r="DR115" s="146"/>
      <c r="DS115" s="140"/>
      <c r="DT115" s="154"/>
      <c r="DU115" s="154"/>
      <c r="DV115" s="154"/>
      <c r="DW115" s="140"/>
      <c r="DX115" s="220"/>
      <c r="DY115" s="220"/>
      <c r="DZ115" s="220"/>
      <c r="EA115" s="140"/>
      <c r="EB115" s="220"/>
      <c r="EC115" s="220"/>
      <c r="ED115" s="220"/>
      <c r="EE115" s="140"/>
      <c r="EF115" s="154"/>
      <c r="EG115" s="154"/>
      <c r="EH115" s="154"/>
      <c r="EI115" s="140"/>
      <c r="EJ115" s="154"/>
      <c r="EK115" s="154"/>
      <c r="EL115" s="154"/>
      <c r="EM115" s="140"/>
      <c r="EN115" s="222"/>
      <c r="EO115" s="222"/>
      <c r="EP115" s="222"/>
      <c r="EQ115" s="140"/>
      <c r="ER115" s="222"/>
      <c r="ES115" s="222"/>
      <c r="ET115" s="222"/>
      <c r="EU115" s="140"/>
      <c r="EV115" s="222"/>
      <c r="EW115" s="222"/>
      <c r="EX115" s="222"/>
      <c r="EY115" s="344"/>
      <c r="EZ115" s="222"/>
      <c r="FA115" s="222"/>
      <c r="FB115" s="222"/>
      <c r="FC115" s="273"/>
      <c r="FD115" s="223"/>
      <c r="FE115" s="223"/>
      <c r="FF115" s="276"/>
      <c r="FG115" s="156"/>
      <c r="FH115" s="156"/>
      <c r="FI115" s="156"/>
      <c r="FJ115" s="140"/>
      <c r="FK115" s="277"/>
      <c r="FL115" s="277"/>
      <c r="FM115" s="277"/>
      <c r="FN115" s="140"/>
      <c r="FO115" s="277"/>
      <c r="FP115" s="277"/>
      <c r="FQ115" s="277"/>
      <c r="FR115" s="280"/>
      <c r="FS115" s="277"/>
      <c r="FT115" s="277"/>
      <c r="FU115" s="277"/>
      <c r="FV115" s="520">
        <v>6.25</v>
      </c>
      <c r="FW115" s="277">
        <v>8</v>
      </c>
      <c r="FX115" s="520" t="s">
        <v>1184</v>
      </c>
      <c r="FY115" s="277" t="s">
        <v>1182</v>
      </c>
      <c r="FZ115" s="520">
        <v>2.5</v>
      </c>
      <c r="GA115" s="277">
        <v>24</v>
      </c>
      <c r="GB115" s="520" t="s">
        <v>1184</v>
      </c>
      <c r="GC115" s="277" t="s">
        <v>1182</v>
      </c>
      <c r="GD115" s="520">
        <v>1.25</v>
      </c>
      <c r="GE115" s="277">
        <v>24</v>
      </c>
      <c r="GF115" s="520" t="s">
        <v>1184</v>
      </c>
      <c r="GG115" s="277" t="s">
        <v>1182</v>
      </c>
      <c r="GH115" s="277"/>
      <c r="GI115" s="277"/>
      <c r="GJ115" s="277"/>
      <c r="GK115" s="277"/>
      <c r="GL115" s="277"/>
      <c r="GM115" s="277"/>
      <c r="GN115" s="277"/>
      <c r="GO115" s="277"/>
      <c r="GP115" s="277"/>
      <c r="GQ115" s="277"/>
      <c r="GR115" s="277"/>
      <c r="GS115" s="277"/>
      <c r="GT115" s="277"/>
      <c r="GU115" s="277"/>
      <c r="GV115" s="277"/>
      <c r="GW115" s="277"/>
      <c r="GX115" s="277"/>
      <c r="GY115" s="277"/>
      <c r="GZ115" s="277"/>
      <c r="HA115" s="277"/>
      <c r="HB115" s="277"/>
      <c r="HC115" s="277"/>
      <c r="HD115" s="277"/>
      <c r="HE115" s="277"/>
      <c r="HF115" s="140"/>
      <c r="HG115" s="277"/>
      <c r="HH115" s="277"/>
      <c r="HI115" s="277"/>
      <c r="HJ115" s="140"/>
      <c r="HK115" s="277"/>
      <c r="HL115" s="277"/>
      <c r="HM115" s="277"/>
      <c r="HN115" s="140"/>
      <c r="HO115" s="277"/>
      <c r="HP115" s="277"/>
      <c r="HQ115" s="277"/>
      <c r="HR115" s="277"/>
      <c r="HS115" s="277"/>
      <c r="HT115" s="277"/>
      <c r="HU115" s="277"/>
      <c r="HV115" s="277"/>
      <c r="HW115" s="277"/>
      <c r="HX115" s="277"/>
      <c r="HY115" s="277"/>
      <c r="HZ115" s="140"/>
      <c r="IA115" s="277"/>
      <c r="IB115" s="277"/>
      <c r="IC115" s="277"/>
      <c r="ID115" s="140"/>
      <c r="IE115" s="277"/>
      <c r="IF115" s="277"/>
      <c r="IG115" s="277"/>
      <c r="IH115" s="140"/>
      <c r="II115" s="277"/>
      <c r="IJ115" s="277"/>
      <c r="IK115" s="277"/>
      <c r="IL115" s="140"/>
      <c r="IM115" s="277"/>
      <c r="IN115" s="277"/>
      <c r="IO115" s="277"/>
      <c r="IP115" s="277"/>
      <c r="IQ115" s="277"/>
      <c r="IR115" s="277"/>
      <c r="IS115" s="277"/>
      <c r="IT115" s="277"/>
      <c r="IU115" s="277"/>
      <c r="IV115" s="277"/>
      <c r="IW115" s="277"/>
      <c r="IX115" s="140"/>
      <c r="IY115" s="277"/>
      <c r="IZ115" s="277"/>
      <c r="JA115" s="277"/>
      <c r="JB115" s="140"/>
      <c r="JC115" s="277"/>
      <c r="JD115" s="277"/>
      <c r="JE115" s="277"/>
      <c r="JF115" s="140"/>
      <c r="JG115" s="277"/>
      <c r="JH115" s="277"/>
      <c r="JI115" s="140"/>
      <c r="JJ115" s="277"/>
      <c r="JK115" s="277"/>
      <c r="JL115" s="140"/>
      <c r="JM115" s="277"/>
      <c r="JN115" s="277"/>
      <c r="JO115" s="140"/>
      <c r="JP115" s="277"/>
      <c r="JQ115" s="277"/>
      <c r="JR115" s="277"/>
      <c r="JS115" s="277"/>
      <c r="JT115" s="277"/>
      <c r="JU115" s="277"/>
      <c r="JV115" s="277"/>
      <c r="JW115" s="277"/>
      <c r="JX115" s="277"/>
      <c r="JY115" s="277"/>
      <c r="JZ115" s="277"/>
      <c r="KA115" s="277"/>
      <c r="KB115" s="277"/>
      <c r="KC115" s="277"/>
      <c r="KD115" s="277"/>
      <c r="KE115" s="277"/>
      <c r="KF115" s="277"/>
      <c r="KG115" s="277"/>
      <c r="KH115" s="277"/>
      <c r="KI115" s="277"/>
      <c r="KJ115" s="277"/>
      <c r="KK115" s="277"/>
      <c r="KL115" s="277"/>
      <c r="KM115" s="277"/>
      <c r="KN115" s="277"/>
      <c r="KO115" s="277"/>
      <c r="KP115" s="274"/>
      <c r="KQ115" s="253"/>
      <c r="KR115" s="253"/>
      <c r="KY115" s="141">
        <f t="shared" si="37"/>
        <v>0</v>
      </c>
      <c r="KZ115" s="141">
        <f t="shared" si="38"/>
        <v>0</v>
      </c>
      <c r="LB115" s="141">
        <f t="shared" si="39"/>
        <v>1</v>
      </c>
      <c r="LC115" s="141">
        <f t="shared" si="40"/>
        <v>0</v>
      </c>
      <c r="LD115" s="141">
        <f t="shared" si="41"/>
        <v>1</v>
      </c>
      <c r="LE115" s="141" t="e">
        <f>((N(AU115)&gt;0)*(AX115&lt;&gt;"")+(N(AY115)&gt;0)*(BB115&lt;&gt;"")+(N(BC115)&gt;0)*(BF115&lt;&gt;"")+(N(BG115)&gt;0)*(BJ115&lt;&gt;"")+(N(BK115)&gt;0)*(BN115&lt;&gt;"")+(N(BO115)&gt;0)*(BR115&lt;&gt;"")+(N(BS115)&gt;0)*(BV115&lt;&gt;"")+(N(BW115)&gt;0)*(BZ115&lt;&gt;"")+(N(CA115)&gt;0)*(CD115&lt;&gt;"")+(N(CE115)&gt;0)*(CH115&lt;&gt;"")+(N(CI115)&gt;0)*(CL115&lt;&gt;"")+(N(CM115)&gt;0)*(CP115&lt;&gt;"")+(N(CQ115)&gt;0)*(CT115&lt;&gt;"")+(N(CU115)&gt;0)*(CX115&lt;&gt;"")+(N(CY115)&gt;0)*(DB115&lt;&gt;"")+(N(DC115)&gt;0)*(DF115&lt;&gt;"")+(N(DG115)&gt;0)*(DJ115&lt;&gt;"")+(N(DS115)&gt;0)*(DV115&lt;&gt;"")+(N(DW115)&gt;0)*(DZ115&lt;&gt;"")+(N(EA115)&gt;0)*(ED115&lt;&gt;"")+(N(EE115)&gt;0)*(EH115&lt;&gt;"")+(N(EI115)&gt;0)*(EL115&lt;&gt;"")+(N(EM115)&gt;0)*(EP115&lt;&gt;"")+(N(EQ115)&gt;0)*(ET115&lt;&gt;"")+(N(EU115)&gt;0)*(EX115&lt;&gt;"")+(N(#REF!)&gt;0)*(#REF!&lt;&gt;"")+(N(#REF!)&gt;0)*(#REF!&lt;&gt;"")+(N(FJ115)&gt;0)*(FM115&lt;&gt;"")+(N(FN115)&gt;0)*(FQ115&lt;&gt;"")+(N(#REF!)&gt;0)*(#REF!&lt;&gt;"")+(N(#REF!)&gt;0)*(#REF!&lt;&gt;"")+(N(HF115)&gt;0)*(HI115&lt;&gt;"")+(N(#REF!)&gt;0)*(#REF!&lt;&gt;"")+(N(HJ115)&gt;0)*(HM115&lt;&gt;"")+(N(HN115)&gt;0)*(HQ115&lt;&gt;"")+(N(HZ115)&gt;0)*(IC115&lt;&gt;"")+(N(ID115)&gt;0)*(IG115&lt;&gt;"")+(N(IH115)&gt;0)*(IK115&lt;&gt;"")+(N(IL115)&gt;0)*(IO115&lt;&gt;"")+(N(IX115)&gt;0)*(JA115&lt;&gt;"")+(N(JB115)&gt;0)*(JE115&lt;&gt;"")+(N(JF115)&gt;0)*(JH115&lt;&gt;"")+(N(JI115)&gt;0)*(JK115&lt;&gt;"")+(N(JL115)&gt;0)*(JN115&lt;&gt;"")+(N(JO115)&gt;0)*(JQ115&lt;&gt;""))</f>
        <v>#REF!</v>
      </c>
      <c r="LF115" s="141">
        <f t="shared" si="48"/>
        <v>0</v>
      </c>
      <c r="LG115" s="141">
        <f t="shared" si="42"/>
        <v>1</v>
      </c>
    </row>
    <row r="116" spans="1:319" ht="38.25" customHeight="1" x14ac:dyDescent="0.55000000000000004">
      <c r="B116" s="505" t="s">
        <v>185</v>
      </c>
      <c r="C116" s="218">
        <v>2</v>
      </c>
      <c r="D116" s="396">
        <v>2</v>
      </c>
      <c r="E116" s="396">
        <v>2</v>
      </c>
      <c r="F116" s="218"/>
      <c r="G116" s="218"/>
      <c r="H116" s="218"/>
      <c r="I116" s="162" cm="1">
        <f t="array" ref="I116">SUMPRODUCT(($AI$2:$KV$2&lt;&gt;"")*($AI116:$KV116&lt;&gt;""))</f>
        <v>5</v>
      </c>
      <c r="J116" s="142">
        <f t="shared" si="43"/>
        <v>10</v>
      </c>
      <c r="K116" s="142">
        <f t="shared" si="44"/>
        <v>140</v>
      </c>
      <c r="L116" s="268">
        <f t="shared" si="49"/>
        <v>7000</v>
      </c>
      <c r="M116" s="164">
        <f t="shared" si="45"/>
        <v>3234</v>
      </c>
      <c r="N116" s="397"/>
      <c r="O116" s="165">
        <f t="shared" si="46"/>
        <v>53900</v>
      </c>
      <c r="P116" s="165"/>
      <c r="Q116" s="165"/>
      <c r="R116" s="165">
        <f>(IFERROR(AM116/AN116,0)+IFERROR(AU116/AV116,0)+IFERROR(AY116/AZ116,0)+IFERROR(BC116/BD116,0)+IFERROR(BG116/BH116,0)+IFERROR(BK116/BL116,0)+IFERROR(BO116/BP116,0)+IFERROR(BS116/BT116,0)+IFERROR(BW116/BX116,0)+IFERROR(CA116/CB116,0)+IFERROR(CE116/CF116,0)+IFERROR(CI116/CJ116,0)+IFERROR(CM116/CN116,0)+IFERROR(CQ116/CR116,0)+IFERROR(CU116/CV116,0)+IFERROR(CY116/CZ116,0)+IFERROR(DC116/DD116,0)+IFERROR(DG116/DH116,0)+IFERROR(DS116/DT116,0)+IFERROR(DW116/DX116,0)+IFERROR(EA116/EB116,0)+IFERROR(EE116/EF116,0)+IFERROR(EI116/EJ116,0)+IFERROR(EM116/EN116,0)+IFERROR(EQ116/ER116,0)+IFERROR(EU116/EV116,0)+IFERROR(#REF!/#REF!,0)+IFERROR(#REF!/#REF!,0)+IFERROR(FJ116/FK116,0)+IFERROR(FN116/FO116,0)+IFERROR(#REF!/#REF!,0)+IFERROR(#REF!/#REF!,0)+IFERROR(HF116/HG116,0)+IFERROR(#REF!/#REF!,0)+IFERROR(HJ116/HK116,0)+IFERROR(HN116/HO116,0)+IFERROR(HZ116/IA116,0)+IFERROR(ID116/IE116,0)+IFERROR(IH116/II116,0)+IFERROR(IL116/IM116,0)+IFERROR(IX116/IY116,0)+IFERROR(JB116/JC116,0)+IFERROR(JF116/JG116,0)+IFERROR(JI116/JJ116,0)+IFERROR(JL116/JM116,0)+IFERROR(JO116/JP116,0))*L116*(C116+D116+E116+I116)</f>
        <v>192.5</v>
      </c>
      <c r="S116" s="165"/>
      <c r="T116" s="165">
        <f t="shared" si="35"/>
        <v>0</v>
      </c>
      <c r="U116" s="165"/>
      <c r="V116" s="165"/>
      <c r="W116" s="165"/>
      <c r="X116" s="165">
        <f>(IFERROR(FF116/FG116,0)+IFERROR(FC116/FD116,0)+IFERROR(#REF!/#REF!,0)+IFERROR(KP116/KQ116,0))*L116*(C116+D116+E116+I116)</f>
        <v>0</v>
      </c>
      <c r="Y116" s="484"/>
      <c r="Z116" s="484"/>
      <c r="AA116" s="484"/>
      <c r="AB116" s="484"/>
      <c r="AC116" s="150">
        <f t="shared" si="47"/>
        <v>231</v>
      </c>
      <c r="AD116" s="150"/>
      <c r="AE116" s="150">
        <f t="shared" si="36"/>
        <v>0</v>
      </c>
      <c r="AF116" s="161">
        <v>765</v>
      </c>
      <c r="AG116" s="143">
        <v>12</v>
      </c>
      <c r="AH116" s="154">
        <v>4000</v>
      </c>
      <c r="AI116" s="144">
        <v>10.5</v>
      </c>
      <c r="AJ116" s="154">
        <v>250</v>
      </c>
      <c r="AK116" s="489" t="s">
        <v>81</v>
      </c>
      <c r="AL116" s="154" t="s">
        <v>518</v>
      </c>
      <c r="AM116" s="140"/>
      <c r="AN116" s="154"/>
      <c r="AO116" s="154"/>
      <c r="AP116" s="220"/>
      <c r="AQ116" s="496">
        <v>1400</v>
      </c>
      <c r="AR116" s="154">
        <v>2000</v>
      </c>
      <c r="AS116" s="496" t="s">
        <v>1078</v>
      </c>
      <c r="AT116" s="497" t="s">
        <v>763</v>
      </c>
      <c r="AU116" s="140"/>
      <c r="AV116" s="277"/>
      <c r="AW116" s="277"/>
      <c r="AX116" s="277"/>
      <c r="AY116" s="140"/>
      <c r="AZ116" s="277"/>
      <c r="BA116" s="277"/>
      <c r="BB116" s="277"/>
      <c r="BC116" s="140"/>
      <c r="BD116" s="277"/>
      <c r="BE116" s="277"/>
      <c r="BF116" s="277"/>
      <c r="BG116" s="140"/>
      <c r="BH116" s="277"/>
      <c r="BI116" s="277"/>
      <c r="BJ116" s="277"/>
      <c r="BK116" s="140"/>
      <c r="BL116" s="277"/>
      <c r="BM116" s="277"/>
      <c r="BN116" s="277"/>
      <c r="BO116" s="140"/>
      <c r="BP116" s="277"/>
      <c r="BQ116" s="277"/>
      <c r="BR116" s="277"/>
      <c r="BS116" s="140"/>
      <c r="BT116" s="277"/>
      <c r="BU116" s="277"/>
      <c r="BV116" s="277"/>
      <c r="BW116" s="140"/>
      <c r="BX116" s="154"/>
      <c r="BY116" s="154"/>
      <c r="BZ116" s="220"/>
      <c r="CA116" s="140"/>
      <c r="CB116" s="154"/>
      <c r="CC116" s="154"/>
      <c r="CD116" s="220"/>
      <c r="CE116" s="481">
        <v>5</v>
      </c>
      <c r="CF116" s="154">
        <v>4000</v>
      </c>
      <c r="CG116" s="481" t="s">
        <v>1087</v>
      </c>
      <c r="CH116" s="154" t="s">
        <v>1176</v>
      </c>
      <c r="CI116" s="481">
        <v>5</v>
      </c>
      <c r="CJ116" s="154">
        <v>4000</v>
      </c>
      <c r="CK116" s="481" t="s">
        <v>1087</v>
      </c>
      <c r="CL116" s="154" t="s">
        <v>1176</v>
      </c>
      <c r="CM116" s="140"/>
      <c r="CN116" s="271"/>
      <c r="CO116" s="271"/>
      <c r="CP116" s="271"/>
      <c r="CQ116" s="140"/>
      <c r="CR116" s="154"/>
      <c r="CS116" s="154"/>
      <c r="CT116" s="154"/>
      <c r="CU116" s="140"/>
      <c r="CV116" s="154"/>
      <c r="CW116" s="154"/>
      <c r="CX116" s="220"/>
      <c r="CY116" s="140"/>
      <c r="CZ116" s="154"/>
      <c r="DA116" s="154"/>
      <c r="DB116" s="220"/>
      <c r="DC116" s="140"/>
      <c r="DD116" s="146"/>
      <c r="DE116" s="146"/>
      <c r="DF116" s="146"/>
      <c r="DG116" s="140"/>
      <c r="DH116" s="146"/>
      <c r="DI116" s="146"/>
      <c r="DJ116" s="146"/>
      <c r="DK116" s="504">
        <v>2.5</v>
      </c>
      <c r="DL116" s="271">
        <v>11</v>
      </c>
      <c r="DM116" s="504" t="s">
        <v>1185</v>
      </c>
      <c r="DN116" s="271" t="s">
        <v>1223</v>
      </c>
      <c r="DO116" s="146"/>
      <c r="DP116" s="146"/>
      <c r="DQ116" s="146"/>
      <c r="DR116" s="146"/>
      <c r="DS116" s="140"/>
      <c r="DT116" s="154"/>
      <c r="DU116" s="154"/>
      <c r="DV116" s="154"/>
      <c r="DW116" s="140"/>
      <c r="DX116" s="220"/>
      <c r="DY116" s="220"/>
      <c r="DZ116" s="220"/>
      <c r="EA116" s="140"/>
      <c r="EB116" s="220"/>
      <c r="EC116" s="220"/>
      <c r="ED116" s="220"/>
      <c r="EE116" s="140"/>
      <c r="EF116" s="154"/>
      <c r="EG116" s="154"/>
      <c r="EH116" s="154"/>
      <c r="EI116" s="140"/>
      <c r="EJ116" s="154"/>
      <c r="EK116" s="154"/>
      <c r="EL116" s="154"/>
      <c r="EM116" s="140"/>
      <c r="EN116" s="222"/>
      <c r="EO116" s="222"/>
      <c r="EP116" s="222"/>
      <c r="EQ116" s="140"/>
      <c r="ER116" s="222"/>
      <c r="ES116" s="222"/>
      <c r="ET116" s="222"/>
      <c r="EU116" s="140"/>
      <c r="EV116" s="222"/>
      <c r="EW116" s="222"/>
      <c r="EX116" s="222"/>
      <c r="EY116" s="344"/>
      <c r="EZ116" s="222"/>
      <c r="FA116" s="222"/>
      <c r="FB116" s="222"/>
      <c r="FC116" s="273"/>
      <c r="FD116" s="223"/>
      <c r="FE116" s="223"/>
      <c r="FF116" s="276"/>
      <c r="FG116" s="156"/>
      <c r="FH116" s="156"/>
      <c r="FI116" s="156"/>
      <c r="FJ116" s="140"/>
      <c r="FK116" s="277"/>
      <c r="FL116" s="277"/>
      <c r="FM116" s="277"/>
      <c r="FN116" s="140"/>
      <c r="FO116" s="277"/>
      <c r="FP116" s="277"/>
      <c r="FQ116" s="277"/>
      <c r="FR116" s="280"/>
      <c r="FS116" s="277"/>
      <c r="FT116" s="277"/>
      <c r="FU116" s="277"/>
      <c r="FV116" s="277"/>
      <c r="FW116" s="277"/>
      <c r="FX116" s="277"/>
      <c r="FY116" s="277"/>
      <c r="FZ116" s="277"/>
      <c r="GA116" s="277"/>
      <c r="GB116" s="277"/>
      <c r="GC116" s="277"/>
      <c r="GD116" s="277"/>
      <c r="GE116" s="277"/>
      <c r="GF116" s="277"/>
      <c r="GG116" s="277"/>
      <c r="GH116" s="277"/>
      <c r="GI116" s="277"/>
      <c r="GJ116" s="277"/>
      <c r="GK116" s="277"/>
      <c r="GL116" s="277"/>
      <c r="GM116" s="277"/>
      <c r="GN116" s="277"/>
      <c r="GO116" s="277"/>
      <c r="GP116" s="277"/>
      <c r="GQ116" s="277"/>
      <c r="GR116" s="277"/>
      <c r="GS116" s="277"/>
      <c r="GT116" s="519"/>
      <c r="GU116" s="277">
        <v>2500</v>
      </c>
      <c r="GV116" s="481" t="s">
        <v>1087</v>
      </c>
      <c r="GW116" s="277" t="s">
        <v>1221</v>
      </c>
      <c r="GX116" s="277"/>
      <c r="GY116" s="277"/>
      <c r="GZ116" s="277"/>
      <c r="HA116" s="277"/>
      <c r="HB116" s="277"/>
      <c r="HC116" s="277"/>
      <c r="HD116" s="277"/>
      <c r="HE116" s="277"/>
      <c r="HF116" s="140"/>
      <c r="HG116" s="277"/>
      <c r="HH116" s="277"/>
      <c r="HI116" s="277"/>
      <c r="HJ116" s="140"/>
      <c r="HK116" s="277"/>
      <c r="HL116" s="277"/>
      <c r="HM116" s="277"/>
      <c r="HN116" s="140"/>
      <c r="HO116" s="277"/>
      <c r="HP116" s="277"/>
      <c r="HQ116" s="277"/>
      <c r="HR116" s="277"/>
      <c r="HS116" s="277"/>
      <c r="HT116" s="277"/>
      <c r="HU116" s="277"/>
      <c r="HV116" s="277"/>
      <c r="HW116" s="277"/>
      <c r="HX116" s="277"/>
      <c r="HY116" s="277"/>
      <c r="HZ116" s="140"/>
      <c r="IA116" s="277"/>
      <c r="IB116" s="277"/>
      <c r="IC116" s="277"/>
      <c r="ID116" s="140"/>
      <c r="IE116" s="277"/>
      <c r="IF116" s="277"/>
      <c r="IG116" s="277"/>
      <c r="IH116" s="140"/>
      <c r="II116" s="277"/>
      <c r="IJ116" s="277"/>
      <c r="IK116" s="277"/>
      <c r="IL116" s="140"/>
      <c r="IM116" s="277"/>
      <c r="IN116" s="277"/>
      <c r="IO116" s="277"/>
      <c r="IP116" s="277"/>
      <c r="IQ116" s="277"/>
      <c r="IR116" s="277"/>
      <c r="IS116" s="277"/>
      <c r="IT116" s="277"/>
      <c r="IU116" s="277"/>
      <c r="IV116" s="277"/>
      <c r="IW116" s="277"/>
      <c r="IX116" s="140"/>
      <c r="IY116" s="277"/>
      <c r="IZ116" s="277"/>
      <c r="JA116" s="277"/>
      <c r="JB116" s="140"/>
      <c r="JC116" s="277"/>
      <c r="JD116" s="277"/>
      <c r="JE116" s="277"/>
      <c r="JF116" s="140"/>
      <c r="JG116" s="277"/>
      <c r="JH116" s="277"/>
      <c r="JI116" s="140"/>
      <c r="JJ116" s="277"/>
      <c r="JK116" s="277"/>
      <c r="JL116" s="140"/>
      <c r="JM116" s="277"/>
      <c r="JN116" s="277"/>
      <c r="JO116" s="140"/>
      <c r="JP116" s="277"/>
      <c r="JQ116" s="277"/>
      <c r="JR116" s="277"/>
      <c r="JS116" s="277"/>
      <c r="JT116" s="277"/>
      <c r="JU116" s="277"/>
      <c r="JV116" s="277"/>
      <c r="JW116" s="277"/>
      <c r="JX116" s="277"/>
      <c r="JY116" s="277"/>
      <c r="JZ116" s="277"/>
      <c r="KA116" s="277"/>
      <c r="KB116" s="277"/>
      <c r="KC116" s="277"/>
      <c r="KD116" s="277"/>
      <c r="KE116" s="277"/>
      <c r="KF116" s="277"/>
      <c r="KG116" s="277"/>
      <c r="KH116" s="277"/>
      <c r="KI116" s="277"/>
      <c r="KJ116" s="277"/>
      <c r="KK116" s="277"/>
      <c r="KL116" s="277"/>
      <c r="KM116" s="277"/>
      <c r="KN116" s="277"/>
      <c r="KO116" s="277"/>
      <c r="KP116" s="274"/>
      <c r="KQ116" s="253"/>
      <c r="KR116" s="253"/>
      <c r="KY116" s="141">
        <f t="shared" si="37"/>
        <v>0</v>
      </c>
      <c r="KZ116" s="141">
        <f t="shared" si="38"/>
        <v>0</v>
      </c>
      <c r="LB116" s="141">
        <f t="shared" si="39"/>
        <v>1</v>
      </c>
      <c r="LC116" s="141">
        <f t="shared" si="40"/>
        <v>0</v>
      </c>
      <c r="LD116" s="141">
        <f t="shared" si="41"/>
        <v>1</v>
      </c>
      <c r="LE116" s="141" t="e">
        <f>((N(AU116)&gt;0)*(AX116&lt;&gt;"")+(N(AY116)&gt;0)*(BB116&lt;&gt;"")+(N(BC116)&gt;0)*(BF116&lt;&gt;"")+(N(BG116)&gt;0)*(BJ116&lt;&gt;"")+(N(BK116)&gt;0)*(BN116&lt;&gt;"")+(N(BO116)&gt;0)*(BR116&lt;&gt;"")+(N(BS116)&gt;0)*(BV116&lt;&gt;"")+(N(BW116)&gt;0)*(BZ116&lt;&gt;"")+(N(CA116)&gt;0)*(CD116&lt;&gt;"")+(N(CE116)&gt;0)*(CH116&lt;&gt;"")+(N(CI116)&gt;0)*(CL116&lt;&gt;"")+(N(CM116)&gt;0)*(CP116&lt;&gt;"")+(N(CQ116)&gt;0)*(CT116&lt;&gt;"")+(N(CU116)&gt;0)*(CX116&lt;&gt;"")+(N(CY116)&gt;0)*(DB116&lt;&gt;"")+(N(DC116)&gt;0)*(DF116&lt;&gt;"")+(N(DG116)&gt;0)*(DJ116&lt;&gt;"")+(N(DS116)&gt;0)*(DV116&lt;&gt;"")+(N(DW116)&gt;0)*(DZ116&lt;&gt;"")+(N(EA116)&gt;0)*(ED116&lt;&gt;"")+(N(EE116)&gt;0)*(EH116&lt;&gt;"")+(N(EI116)&gt;0)*(EL116&lt;&gt;"")+(N(EM116)&gt;0)*(EP116&lt;&gt;"")+(N(EQ116)&gt;0)*(ET116&lt;&gt;"")+(N(EU116)&gt;0)*(EX116&lt;&gt;"")+(N(#REF!)&gt;0)*(#REF!&lt;&gt;"")+(N(#REF!)&gt;0)*(#REF!&lt;&gt;"")+(N(FJ116)&gt;0)*(FM116&lt;&gt;"")+(N(FN116)&gt;0)*(FQ116&lt;&gt;"")+(N(#REF!)&gt;0)*(#REF!&lt;&gt;"")+(N(#REF!)&gt;0)*(#REF!&lt;&gt;"")+(N(HF116)&gt;0)*(HI116&lt;&gt;"")+(N(#REF!)&gt;0)*(#REF!&lt;&gt;"")+(N(HJ116)&gt;0)*(HM116&lt;&gt;"")+(N(HN116)&gt;0)*(HQ116&lt;&gt;"")+(N(HZ116)&gt;0)*(IC116&lt;&gt;"")+(N(ID116)&gt;0)*(IG116&lt;&gt;"")+(N(IH116)&gt;0)*(IK116&lt;&gt;"")+(N(IL116)&gt;0)*(IO116&lt;&gt;"")+(N(IX116)&gt;0)*(JA116&lt;&gt;"")+(N(JB116)&gt;0)*(JE116&lt;&gt;"")+(N(JF116)&gt;0)*(JH116&lt;&gt;"")+(N(JI116)&gt;0)*(JK116&lt;&gt;"")+(N(JL116)&gt;0)*(JN116&lt;&gt;"")+(N(JO116)&gt;0)*(JQ116&lt;&gt;""))</f>
        <v>#REF!</v>
      </c>
      <c r="LF116" s="141">
        <f t="shared" si="48"/>
        <v>0</v>
      </c>
      <c r="LG116" s="141">
        <f t="shared" si="42"/>
        <v>1</v>
      </c>
    </row>
    <row r="117" spans="1:319" ht="38.25" customHeight="1" x14ac:dyDescent="0.55000000000000004">
      <c r="B117" s="314" t="s">
        <v>480</v>
      </c>
      <c r="C117" s="218"/>
      <c r="D117" s="218"/>
      <c r="E117" s="218"/>
      <c r="F117" s="218"/>
      <c r="G117" s="218"/>
      <c r="H117" s="218"/>
      <c r="I117" s="162" cm="1">
        <f t="array" ref="I117">SUMPRODUCT(($AI$2:$KV$2&lt;&gt;"")*($AI117:$KV117&lt;&gt;""))</f>
        <v>0</v>
      </c>
      <c r="J117" s="142">
        <f t="shared" si="43"/>
        <v>0</v>
      </c>
      <c r="K117" s="142">
        <f t="shared" si="44"/>
        <v>0</v>
      </c>
      <c r="L117" s="268">
        <f t="shared" si="49"/>
        <v>7000</v>
      </c>
      <c r="M117" s="164">
        <f t="shared" si="45"/>
        <v>0</v>
      </c>
      <c r="N117" s="397"/>
      <c r="O117" s="165">
        <f t="shared" si="46"/>
        <v>0</v>
      </c>
      <c r="P117" s="165"/>
      <c r="Q117" s="165"/>
      <c r="R117" s="165">
        <f>(IFERROR(AM117/AN117,0)+IFERROR(AU117/AV117,0)+IFERROR(AY117/AZ117,0)+IFERROR(BC117/BD117,0)+IFERROR(BG117/BH117,0)+IFERROR(BK117/BL117,0)+IFERROR(BO117/BP117,0)+IFERROR(BS117/BT117,0)+IFERROR(BW117/BX117,0)+IFERROR(CA117/CB117,0)+IFERROR(CE117/CF117,0)+IFERROR(CI117/CJ117,0)+IFERROR(CM117/CN117,0)+IFERROR(CQ117/CR117,0)+IFERROR(CU117/CV117,0)+IFERROR(CY117/CZ117,0)+IFERROR(DC117/DD117,0)+IFERROR(DG117/DH117,0)+IFERROR(DS117/DT117,0)+IFERROR(DW117/DX117,0)+IFERROR(EA117/EB117,0)+IFERROR(EE117/EF117,0)+IFERROR(EI117/EJ117,0)+IFERROR(EM117/EN117,0)+IFERROR(EQ117/ER117,0)+IFERROR(EU117/EV117,0)+IFERROR(#REF!/#REF!,0)+IFERROR(#REF!/#REF!,0)+IFERROR(FJ117/FK117,0)+IFERROR(FN117/FO117,0)+IFERROR(#REF!/#REF!,0)+IFERROR(#REF!/#REF!,0)+IFERROR(HF117/HG117,0)+IFERROR(#REF!/#REF!,0)+IFERROR(HJ117/HK117,0)+IFERROR(HN117/HO117,0)+IFERROR(HZ117/IA117,0)+IFERROR(ID117/IE117,0)+IFERROR(IH117/II117,0)+IFERROR(IL117/IM117,0)+IFERROR(IX117/IY117,0)+IFERROR(JB117/JC117,0)+IFERROR(JF117/JG117,0)+IFERROR(JI117/JJ117,0)+IFERROR(JL117/JM117,0)+IFERROR(JO117/JP117,0))*L117*(C117+D117+E117+I117)</f>
        <v>0</v>
      </c>
      <c r="S117" s="165"/>
      <c r="T117" s="165">
        <f t="shared" si="35"/>
        <v>0</v>
      </c>
      <c r="U117" s="165"/>
      <c r="V117" s="165"/>
      <c r="W117" s="165"/>
      <c r="X117" s="165">
        <f>(IFERROR(FF117/FG117,0)+IFERROR(FC117/FD117,0)+IFERROR(#REF!/#REF!,0)+IFERROR(KP117/KQ117,0))*L117*(C117+D117+E117+I117)</f>
        <v>0</v>
      </c>
      <c r="Y117" s="484"/>
      <c r="Z117" s="484"/>
      <c r="AA117" s="484"/>
      <c r="AB117" s="484"/>
      <c r="AC117" s="150">
        <f t="shared" si="47"/>
        <v>0</v>
      </c>
      <c r="AD117" s="150"/>
      <c r="AE117" s="150">
        <f t="shared" si="36"/>
        <v>0</v>
      </c>
      <c r="AF117" s="161"/>
      <c r="AG117" s="143"/>
      <c r="AH117" s="154"/>
      <c r="AI117" s="144"/>
      <c r="AJ117" s="154"/>
      <c r="AK117" s="154"/>
      <c r="AL117" s="220"/>
      <c r="AM117" s="140"/>
      <c r="AN117" s="154"/>
      <c r="AO117" s="154"/>
      <c r="AP117" s="220"/>
      <c r="AQ117" s="145"/>
      <c r="AR117" s="154"/>
      <c r="AS117" s="154"/>
      <c r="AT117" s="220"/>
      <c r="AU117" s="140"/>
      <c r="AV117" s="277"/>
      <c r="AW117" s="277"/>
      <c r="AX117" s="277"/>
      <c r="AY117" s="140"/>
      <c r="AZ117" s="277"/>
      <c r="BA117" s="277"/>
      <c r="BB117" s="277"/>
      <c r="BC117" s="140"/>
      <c r="BD117" s="277"/>
      <c r="BE117" s="277"/>
      <c r="BF117" s="277"/>
      <c r="BG117" s="140"/>
      <c r="BH117" s="277"/>
      <c r="BI117" s="277"/>
      <c r="BJ117" s="277"/>
      <c r="BK117" s="140"/>
      <c r="BL117" s="277"/>
      <c r="BM117" s="277"/>
      <c r="BN117" s="277"/>
      <c r="BO117" s="140"/>
      <c r="BP117" s="277"/>
      <c r="BQ117" s="277"/>
      <c r="BR117" s="277"/>
      <c r="BS117" s="140"/>
      <c r="BT117" s="277"/>
      <c r="BU117" s="277"/>
      <c r="BV117" s="277"/>
      <c r="BW117" s="140"/>
      <c r="BX117" s="154"/>
      <c r="BY117" s="154"/>
      <c r="BZ117" s="220"/>
      <c r="CA117" s="140"/>
      <c r="CB117" s="154"/>
      <c r="CC117" s="154"/>
      <c r="CD117" s="220"/>
      <c r="CE117" s="140"/>
      <c r="CF117" s="271"/>
      <c r="CG117" s="271"/>
      <c r="CH117" s="271"/>
      <c r="CI117" s="140"/>
      <c r="CJ117" s="154"/>
      <c r="CK117" s="154"/>
      <c r="CL117" s="154"/>
      <c r="CM117" s="140"/>
      <c r="CN117" s="271"/>
      <c r="CO117" s="271"/>
      <c r="CP117" s="271"/>
      <c r="CQ117" s="140"/>
      <c r="CR117" s="154"/>
      <c r="CS117" s="154"/>
      <c r="CT117" s="154"/>
      <c r="CU117" s="140"/>
      <c r="CV117" s="154"/>
      <c r="CW117" s="154"/>
      <c r="CX117" s="220"/>
      <c r="CY117" s="140"/>
      <c r="CZ117" s="154"/>
      <c r="DA117" s="154"/>
      <c r="DB117" s="220"/>
      <c r="DC117" s="140"/>
      <c r="DD117" s="146"/>
      <c r="DE117" s="146"/>
      <c r="DF117" s="146"/>
      <c r="DG117" s="140"/>
      <c r="DH117" s="146"/>
      <c r="DI117" s="146"/>
      <c r="DJ117" s="146"/>
      <c r="DK117" s="146"/>
      <c r="DL117" s="146"/>
      <c r="DM117" s="146"/>
      <c r="DN117" s="146"/>
      <c r="DO117" s="146"/>
      <c r="DP117" s="146"/>
      <c r="DQ117" s="146"/>
      <c r="DR117" s="146"/>
      <c r="DS117" s="140"/>
      <c r="DT117" s="154"/>
      <c r="DU117" s="154"/>
      <c r="DV117" s="154"/>
      <c r="DW117" s="140"/>
      <c r="DX117" s="220"/>
      <c r="DY117" s="220"/>
      <c r="DZ117" s="220"/>
      <c r="EA117" s="140"/>
      <c r="EB117" s="220"/>
      <c r="EC117" s="220"/>
      <c r="ED117" s="220"/>
      <c r="EE117" s="140"/>
      <c r="EF117" s="154"/>
      <c r="EG117" s="154"/>
      <c r="EH117" s="154"/>
      <c r="EI117" s="140"/>
      <c r="EJ117" s="154"/>
      <c r="EK117" s="154"/>
      <c r="EL117" s="154"/>
      <c r="EM117" s="140"/>
      <c r="EN117" s="222"/>
      <c r="EO117" s="222"/>
      <c r="EP117" s="222"/>
      <c r="EQ117" s="140"/>
      <c r="ER117" s="222"/>
      <c r="ES117" s="222"/>
      <c r="ET117" s="222"/>
      <c r="EU117" s="140"/>
      <c r="EV117" s="222"/>
      <c r="EW117" s="222"/>
      <c r="EX117" s="222"/>
      <c r="EY117" s="344"/>
      <c r="EZ117" s="222"/>
      <c r="FA117" s="222"/>
      <c r="FB117" s="222"/>
      <c r="FC117" s="273"/>
      <c r="FD117" s="223"/>
      <c r="FE117" s="223"/>
      <c r="FF117" s="276"/>
      <c r="FG117" s="156"/>
      <c r="FH117" s="156"/>
      <c r="FI117" s="156"/>
      <c r="FJ117" s="140"/>
      <c r="FK117" s="277"/>
      <c r="FL117" s="277"/>
      <c r="FM117" s="277"/>
      <c r="FN117" s="140"/>
      <c r="FO117" s="277"/>
      <c r="FP117" s="277"/>
      <c r="FQ117" s="277"/>
      <c r="FR117" s="280"/>
      <c r="FS117" s="277"/>
      <c r="FT117" s="277"/>
      <c r="FU117" s="277"/>
      <c r="FV117" s="277"/>
      <c r="FW117" s="277"/>
      <c r="FX117" s="277"/>
      <c r="FY117" s="277"/>
      <c r="FZ117" s="277"/>
      <c r="GA117" s="277"/>
      <c r="GB117" s="277"/>
      <c r="GC117" s="277"/>
      <c r="GD117" s="277"/>
      <c r="GE117" s="277"/>
      <c r="GF117" s="277"/>
      <c r="GG117" s="277"/>
      <c r="GH117" s="277"/>
      <c r="GI117" s="277"/>
      <c r="GJ117" s="277"/>
      <c r="GK117" s="277"/>
      <c r="GL117" s="277"/>
      <c r="GM117" s="277"/>
      <c r="GN117" s="277"/>
      <c r="GO117" s="277"/>
      <c r="GP117" s="277"/>
      <c r="GQ117" s="277"/>
      <c r="GR117" s="277"/>
      <c r="GS117" s="277"/>
      <c r="GT117" s="277"/>
      <c r="GU117" s="277"/>
      <c r="GV117" s="277"/>
      <c r="GW117" s="277"/>
      <c r="GX117" s="277"/>
      <c r="GY117" s="277"/>
      <c r="GZ117" s="277"/>
      <c r="HA117" s="277"/>
      <c r="HB117" s="277"/>
      <c r="HC117" s="277"/>
      <c r="HD117" s="277"/>
      <c r="HE117" s="277"/>
      <c r="HF117" s="140"/>
      <c r="HG117" s="277"/>
      <c r="HH117" s="277"/>
      <c r="HI117" s="277"/>
      <c r="HJ117" s="140"/>
      <c r="HK117" s="277"/>
      <c r="HL117" s="277"/>
      <c r="HM117" s="277"/>
      <c r="HN117" s="140"/>
      <c r="HO117" s="277"/>
      <c r="HP117" s="277"/>
      <c r="HQ117" s="277"/>
      <c r="HR117" s="277"/>
      <c r="HS117" s="277"/>
      <c r="HT117" s="277"/>
      <c r="HU117" s="277"/>
      <c r="HV117" s="277"/>
      <c r="HW117" s="277"/>
      <c r="HX117" s="277"/>
      <c r="HY117" s="277"/>
      <c r="HZ117" s="140"/>
      <c r="IA117" s="277"/>
      <c r="IB117" s="277"/>
      <c r="IC117" s="277"/>
      <c r="ID117" s="140"/>
      <c r="IE117" s="277"/>
      <c r="IF117" s="277"/>
      <c r="IG117" s="277"/>
      <c r="IH117" s="140"/>
      <c r="II117" s="277"/>
      <c r="IJ117" s="277"/>
      <c r="IK117" s="277"/>
      <c r="IL117" s="140"/>
      <c r="IM117" s="277"/>
      <c r="IN117" s="277"/>
      <c r="IO117" s="277"/>
      <c r="IP117" s="277"/>
      <c r="IQ117" s="277"/>
      <c r="IR117" s="277"/>
      <c r="IS117" s="277"/>
      <c r="IT117" s="277"/>
      <c r="IU117" s="277"/>
      <c r="IV117" s="277"/>
      <c r="IW117" s="277"/>
      <c r="IX117" s="140"/>
      <c r="IY117" s="277"/>
      <c r="IZ117" s="277"/>
      <c r="JA117" s="277"/>
      <c r="JB117" s="140"/>
      <c r="JC117" s="277"/>
      <c r="JD117" s="277"/>
      <c r="JE117" s="277"/>
      <c r="JF117" s="140"/>
      <c r="JG117" s="277"/>
      <c r="JH117" s="277"/>
      <c r="JI117" s="140"/>
      <c r="JJ117" s="277"/>
      <c r="JK117" s="277"/>
      <c r="JL117" s="140"/>
      <c r="JM117" s="277"/>
      <c r="JN117" s="277"/>
      <c r="JO117" s="140"/>
      <c r="JP117" s="277"/>
      <c r="JQ117" s="277"/>
      <c r="JR117" s="277"/>
      <c r="JS117" s="277"/>
      <c r="JT117" s="277"/>
      <c r="JU117" s="277"/>
      <c r="JV117" s="277"/>
      <c r="JW117" s="277"/>
      <c r="JX117" s="277"/>
      <c r="JY117" s="277"/>
      <c r="JZ117" s="277"/>
      <c r="KA117" s="277"/>
      <c r="KB117" s="277"/>
      <c r="KC117" s="277"/>
      <c r="KD117" s="277"/>
      <c r="KE117" s="277"/>
      <c r="KF117" s="277"/>
      <c r="KG117" s="277"/>
      <c r="KH117" s="277"/>
      <c r="KI117" s="277"/>
      <c r="KJ117" s="277"/>
      <c r="KK117" s="277"/>
      <c r="KL117" s="277"/>
      <c r="KM117" s="277"/>
      <c r="KN117" s="277"/>
      <c r="KO117" s="277"/>
      <c r="KP117" s="274"/>
      <c r="KQ117" s="253"/>
      <c r="KR117" s="253"/>
      <c r="KY117" s="141">
        <f t="shared" si="37"/>
        <v>0</v>
      </c>
      <c r="KZ117" s="141">
        <f t="shared" si="38"/>
        <v>0</v>
      </c>
      <c r="LB117" s="141">
        <f t="shared" si="39"/>
        <v>0</v>
      </c>
      <c r="LC117" s="141">
        <f t="shared" si="40"/>
        <v>0</v>
      </c>
      <c r="LD117" s="141">
        <f t="shared" si="41"/>
        <v>0</v>
      </c>
      <c r="LE117" s="141" t="e">
        <f>((N(AU117)&gt;0)*(AX117&lt;&gt;"")+(N(AY117)&gt;0)*(BB117&lt;&gt;"")+(N(BC117)&gt;0)*(BF117&lt;&gt;"")+(N(BG117)&gt;0)*(BJ117&lt;&gt;"")+(N(BK117)&gt;0)*(BN117&lt;&gt;"")+(N(BO117)&gt;0)*(BR117&lt;&gt;"")+(N(BS117)&gt;0)*(BV117&lt;&gt;"")+(N(BW117)&gt;0)*(BZ117&lt;&gt;"")+(N(CA117)&gt;0)*(CD117&lt;&gt;"")+(N(CE117)&gt;0)*(CH117&lt;&gt;"")+(N(CI117)&gt;0)*(CL117&lt;&gt;"")+(N(CM117)&gt;0)*(CP117&lt;&gt;"")+(N(CQ117)&gt;0)*(CT117&lt;&gt;"")+(N(CU117)&gt;0)*(CX117&lt;&gt;"")+(N(CY117)&gt;0)*(DB117&lt;&gt;"")+(N(DC117)&gt;0)*(DF117&lt;&gt;"")+(N(DG117)&gt;0)*(DJ117&lt;&gt;"")+(N(DS117)&gt;0)*(DV117&lt;&gt;"")+(N(DW117)&gt;0)*(DZ117&lt;&gt;"")+(N(EA117)&gt;0)*(ED117&lt;&gt;"")+(N(EE117)&gt;0)*(EH117&lt;&gt;"")+(N(EI117)&gt;0)*(EL117&lt;&gt;"")+(N(EM117)&gt;0)*(EP117&lt;&gt;"")+(N(EQ117)&gt;0)*(ET117&lt;&gt;"")+(N(EU117)&gt;0)*(EX117&lt;&gt;"")+(N(#REF!)&gt;0)*(#REF!&lt;&gt;"")+(N(#REF!)&gt;0)*(#REF!&lt;&gt;"")+(N(FJ117)&gt;0)*(FM117&lt;&gt;"")+(N(FN117)&gt;0)*(FQ117&lt;&gt;"")+(N(#REF!)&gt;0)*(#REF!&lt;&gt;"")+(N(#REF!)&gt;0)*(#REF!&lt;&gt;"")+(N(HF117)&gt;0)*(HI117&lt;&gt;"")+(N(#REF!)&gt;0)*(#REF!&lt;&gt;"")+(N(HJ117)&gt;0)*(HM117&lt;&gt;"")+(N(HN117)&gt;0)*(HQ117&lt;&gt;"")+(N(HZ117)&gt;0)*(IC117&lt;&gt;"")+(N(ID117)&gt;0)*(IG117&lt;&gt;"")+(N(IH117)&gt;0)*(IK117&lt;&gt;"")+(N(IL117)&gt;0)*(IO117&lt;&gt;"")+(N(IX117)&gt;0)*(JA117&lt;&gt;"")+(N(JB117)&gt;0)*(JE117&lt;&gt;"")+(N(JF117)&gt;0)*(JH117&lt;&gt;"")+(N(JI117)&gt;0)*(JK117&lt;&gt;"")+(N(JL117)&gt;0)*(JN117&lt;&gt;"")+(N(JO117)&gt;0)*(JQ117&lt;&gt;""))</f>
        <v>#REF!</v>
      </c>
      <c r="LF117" s="141">
        <f t="shared" si="48"/>
        <v>0</v>
      </c>
      <c r="LG117" s="141">
        <f t="shared" si="42"/>
        <v>0</v>
      </c>
    </row>
    <row r="118" spans="1:319" ht="38.25" customHeight="1" x14ac:dyDescent="0.55000000000000004">
      <c r="B118" s="314" t="s">
        <v>441</v>
      </c>
      <c r="C118" s="218"/>
      <c r="D118" s="218"/>
      <c r="E118" s="218"/>
      <c r="F118" s="218"/>
      <c r="G118" s="218"/>
      <c r="H118" s="218"/>
      <c r="I118" s="162" cm="1">
        <f t="array" ref="I118">SUMPRODUCT(($AI$2:$KV$2&lt;&gt;"")*($AI118:$KV118&lt;&gt;""))</f>
        <v>1</v>
      </c>
      <c r="J118" s="142">
        <f t="shared" si="43"/>
        <v>0</v>
      </c>
      <c r="K118" s="142">
        <f t="shared" si="44"/>
        <v>0</v>
      </c>
      <c r="L118" s="268">
        <f t="shared" si="49"/>
        <v>7000</v>
      </c>
      <c r="M118" s="164">
        <f t="shared" si="45"/>
        <v>336</v>
      </c>
      <c r="N118" s="397"/>
      <c r="O118" s="165">
        <f t="shared" si="46"/>
        <v>0</v>
      </c>
      <c r="P118" s="165"/>
      <c r="Q118" s="165"/>
      <c r="R118" s="165">
        <f>(IFERROR(AM118/AN118,0)+IFERROR(AU118/AV118,0)+IFERROR(AY118/AZ118,0)+IFERROR(BC118/BD118,0)+IFERROR(BG118/BH118,0)+IFERROR(BK118/BL118,0)+IFERROR(BO118/BP118,0)+IFERROR(BS118/BT118,0)+IFERROR(BW118/BX118,0)+IFERROR(CA118/CB118,0)+IFERROR(CE118/CF118,0)+IFERROR(CI118/CJ118,0)+IFERROR(CM118/CN118,0)+IFERROR(CQ118/CR118,0)+IFERROR(CU118/CV118,0)+IFERROR(CY118/CZ118,0)+IFERROR(DC118/DD118,0)+IFERROR(DG118/DH118,0)+IFERROR(DS118/DT118,0)+IFERROR(DW118/DX118,0)+IFERROR(EA118/EB118,0)+IFERROR(EE118/EF118,0)+IFERROR(EI118/EJ118,0)+IFERROR(EM118/EN118,0)+IFERROR(EQ118/ER118,0)+IFERROR(EU118/EV118,0)+IFERROR(#REF!/#REF!,0)+IFERROR(#REF!/#REF!,0)+IFERROR(FJ118/FK118,0)+IFERROR(FN118/FO118,0)+IFERROR(#REF!/#REF!,0)+IFERROR(#REF!/#REF!,0)+IFERROR(HF118/HG118,0)+IFERROR(#REF!/#REF!,0)+IFERROR(HJ118/HK118,0)+IFERROR(HN118/HO118,0)+IFERROR(HZ118/IA118,0)+IFERROR(ID118/IE118,0)+IFERROR(IH118/II118,0)+IFERROR(IL118/IM118,0)+IFERROR(IX118/IY118,0)+IFERROR(JB118/JC118,0)+IFERROR(JF118/JG118,0)+IFERROR(JI118/JJ118,0)+IFERROR(JL118/JM118,0)+IFERROR(JO118/JP118,0))*L118*(C118+D118+E118+I118)</f>
        <v>0</v>
      </c>
      <c r="S118" s="165"/>
      <c r="T118" s="165">
        <f t="shared" si="35"/>
        <v>0</v>
      </c>
      <c r="U118" s="165"/>
      <c r="V118" s="165"/>
      <c r="W118" s="165"/>
      <c r="X118" s="165">
        <f>(IFERROR(FF118/FG118,0)+IFERROR(FC118/FD118,0)+IFERROR(#REF!/#REF!,0)+IFERROR(KP118/KQ118,0))*L118*(C118+D118+E118+I118)</f>
        <v>0</v>
      </c>
      <c r="Y118" s="484"/>
      <c r="Z118" s="484"/>
      <c r="AA118" s="484"/>
      <c r="AB118" s="484"/>
      <c r="AC118" s="150">
        <f t="shared" si="47"/>
        <v>0</v>
      </c>
      <c r="AD118" s="150"/>
      <c r="AE118" s="150">
        <f t="shared" si="36"/>
        <v>0</v>
      </c>
      <c r="AF118" s="161"/>
      <c r="AG118" s="143"/>
      <c r="AH118" s="154"/>
      <c r="AI118" s="342">
        <v>12</v>
      </c>
      <c r="AJ118" s="342">
        <v>250</v>
      </c>
      <c r="AK118" s="342"/>
      <c r="AL118" s="343" t="s">
        <v>545</v>
      </c>
      <c r="AM118" s="140"/>
      <c r="AN118" s="154"/>
      <c r="AO118" s="154"/>
      <c r="AP118" s="220"/>
      <c r="AQ118" s="145"/>
      <c r="AR118" s="154"/>
      <c r="AS118" s="154"/>
      <c r="AT118" s="220"/>
      <c r="AU118" s="140"/>
      <c r="AV118" s="277"/>
      <c r="AW118" s="277"/>
      <c r="AX118" s="277"/>
      <c r="AY118" s="140"/>
      <c r="AZ118" s="277"/>
      <c r="BA118" s="277"/>
      <c r="BB118" s="277"/>
      <c r="BC118" s="140"/>
      <c r="BD118" s="277"/>
      <c r="BE118" s="277"/>
      <c r="BF118" s="277"/>
      <c r="BG118" s="140"/>
      <c r="BH118" s="277"/>
      <c r="BI118" s="277"/>
      <c r="BJ118" s="277"/>
      <c r="BK118" s="140"/>
      <c r="BL118" s="277"/>
      <c r="BM118" s="277"/>
      <c r="BN118" s="277"/>
      <c r="BO118" s="140"/>
      <c r="BP118" s="277"/>
      <c r="BQ118" s="277"/>
      <c r="BR118" s="277"/>
      <c r="BS118" s="140"/>
      <c r="BT118" s="277"/>
      <c r="BU118" s="277"/>
      <c r="BV118" s="277"/>
      <c r="BW118" s="140"/>
      <c r="BX118" s="154"/>
      <c r="BY118" s="154"/>
      <c r="BZ118" s="220"/>
      <c r="CA118" s="140"/>
      <c r="CB118" s="154"/>
      <c r="CC118" s="154"/>
      <c r="CD118" s="220"/>
      <c r="CE118" s="140"/>
      <c r="CF118" s="271"/>
      <c r="CG118" s="271"/>
      <c r="CH118" s="271"/>
      <c r="CI118" s="140"/>
      <c r="CJ118" s="154"/>
      <c r="CK118" s="154"/>
      <c r="CL118" s="154"/>
      <c r="CM118" s="140"/>
      <c r="CN118" s="271"/>
      <c r="CO118" s="271"/>
      <c r="CP118" s="271"/>
      <c r="CQ118" s="140"/>
      <c r="CR118" s="154"/>
      <c r="CS118" s="154"/>
      <c r="CT118" s="154"/>
      <c r="CU118" s="140"/>
      <c r="CV118" s="154"/>
      <c r="CW118" s="154"/>
      <c r="CX118" s="220"/>
      <c r="CY118" s="140"/>
      <c r="CZ118" s="154"/>
      <c r="DA118" s="154"/>
      <c r="DB118" s="220"/>
      <c r="DC118" s="140"/>
      <c r="DD118" s="146"/>
      <c r="DE118" s="146"/>
      <c r="DF118" s="146"/>
      <c r="DG118" s="140"/>
      <c r="DH118" s="146"/>
      <c r="DI118" s="146"/>
      <c r="DJ118" s="146"/>
      <c r="DK118" s="146"/>
      <c r="DL118" s="146"/>
      <c r="DM118" s="146"/>
      <c r="DN118" s="146"/>
      <c r="DO118" s="146"/>
      <c r="DP118" s="146"/>
      <c r="DQ118" s="146"/>
      <c r="DR118" s="146"/>
      <c r="DS118" s="140"/>
      <c r="DT118" s="154"/>
      <c r="DU118" s="154"/>
      <c r="DV118" s="154"/>
      <c r="DW118" s="140"/>
      <c r="DX118" s="220"/>
      <c r="DY118" s="220"/>
      <c r="DZ118" s="220"/>
      <c r="EA118" s="140"/>
      <c r="EB118" s="220"/>
      <c r="EC118" s="220"/>
      <c r="ED118" s="220"/>
      <c r="EE118" s="140"/>
      <c r="EF118" s="154"/>
      <c r="EG118" s="154"/>
      <c r="EH118" s="154"/>
      <c r="EI118" s="140"/>
      <c r="EJ118" s="154"/>
      <c r="EK118" s="154"/>
      <c r="EL118" s="154"/>
      <c r="EM118" s="140"/>
      <c r="EN118" s="222"/>
      <c r="EO118" s="222"/>
      <c r="EP118" s="222"/>
      <c r="EQ118" s="140"/>
      <c r="ER118" s="222"/>
      <c r="ES118" s="222"/>
      <c r="ET118" s="222"/>
      <c r="EU118" s="140"/>
      <c r="EV118" s="222"/>
      <c r="EW118" s="222"/>
      <c r="EX118" s="222"/>
      <c r="EY118" s="344"/>
      <c r="EZ118" s="222"/>
      <c r="FA118" s="222"/>
      <c r="FB118" s="222"/>
      <c r="FC118" s="273"/>
      <c r="FD118" s="223"/>
      <c r="FE118" s="223"/>
      <c r="FF118" s="276"/>
      <c r="FG118" s="156"/>
      <c r="FH118" s="156"/>
      <c r="FI118" s="156"/>
      <c r="FJ118" s="140"/>
      <c r="FK118" s="277"/>
      <c r="FL118" s="277"/>
      <c r="FM118" s="277"/>
      <c r="FN118" s="140"/>
      <c r="FO118" s="277"/>
      <c r="FP118" s="277"/>
      <c r="FQ118" s="277"/>
      <c r="FR118" s="280"/>
      <c r="FS118" s="277"/>
      <c r="FT118" s="277"/>
      <c r="FU118" s="277"/>
      <c r="FV118" s="277"/>
      <c r="FW118" s="277"/>
      <c r="FX118" s="277"/>
      <c r="FY118" s="277"/>
      <c r="FZ118" s="277"/>
      <c r="GA118" s="277"/>
      <c r="GB118" s="277"/>
      <c r="GC118" s="277"/>
      <c r="GD118" s="277"/>
      <c r="GE118" s="277"/>
      <c r="GF118" s="277"/>
      <c r="GG118" s="277"/>
      <c r="GH118" s="277"/>
      <c r="GI118" s="277"/>
      <c r="GJ118" s="277"/>
      <c r="GK118" s="277"/>
      <c r="GL118" s="277"/>
      <c r="GM118" s="277"/>
      <c r="GN118" s="277"/>
      <c r="GO118" s="277"/>
      <c r="GP118" s="277"/>
      <c r="GQ118" s="277"/>
      <c r="GR118" s="277"/>
      <c r="GS118" s="277"/>
      <c r="GT118" s="277"/>
      <c r="GU118" s="277"/>
      <c r="GV118" s="277"/>
      <c r="GW118" s="277"/>
      <c r="GX118" s="277"/>
      <c r="GY118" s="277"/>
      <c r="GZ118" s="277"/>
      <c r="HA118" s="277"/>
      <c r="HB118" s="277"/>
      <c r="HC118" s="277"/>
      <c r="HD118" s="277"/>
      <c r="HE118" s="277"/>
      <c r="HF118" s="140"/>
      <c r="HG118" s="277"/>
      <c r="HH118" s="277"/>
      <c r="HI118" s="277"/>
      <c r="HJ118" s="140"/>
      <c r="HK118" s="277"/>
      <c r="HL118" s="277"/>
      <c r="HM118" s="277"/>
      <c r="HN118" s="140"/>
      <c r="HO118" s="277"/>
      <c r="HP118" s="277"/>
      <c r="HQ118" s="277"/>
      <c r="HR118" s="277"/>
      <c r="HS118" s="277"/>
      <c r="HT118" s="277"/>
      <c r="HU118" s="277"/>
      <c r="HV118" s="277"/>
      <c r="HW118" s="277"/>
      <c r="HX118" s="277"/>
      <c r="HY118" s="277"/>
      <c r="HZ118" s="140"/>
      <c r="IA118" s="277"/>
      <c r="IB118" s="277"/>
      <c r="IC118" s="277"/>
      <c r="ID118" s="140"/>
      <c r="IE118" s="277"/>
      <c r="IF118" s="277"/>
      <c r="IG118" s="277"/>
      <c r="IH118" s="140"/>
      <c r="II118" s="277"/>
      <c r="IJ118" s="277"/>
      <c r="IK118" s="277"/>
      <c r="IL118" s="140"/>
      <c r="IM118" s="277"/>
      <c r="IN118" s="277"/>
      <c r="IO118" s="277"/>
      <c r="IP118" s="277"/>
      <c r="IQ118" s="277"/>
      <c r="IR118" s="277"/>
      <c r="IS118" s="277"/>
      <c r="IT118" s="277"/>
      <c r="IU118" s="277"/>
      <c r="IV118" s="277"/>
      <c r="IW118" s="277"/>
      <c r="IX118" s="140"/>
      <c r="IY118" s="277"/>
      <c r="IZ118" s="277"/>
      <c r="JA118" s="277"/>
      <c r="JB118" s="140"/>
      <c r="JC118" s="277"/>
      <c r="JD118" s="277"/>
      <c r="JE118" s="277"/>
      <c r="JF118" s="140"/>
      <c r="JG118" s="277"/>
      <c r="JH118" s="277"/>
      <c r="JI118" s="140"/>
      <c r="JJ118" s="277"/>
      <c r="JK118" s="277"/>
      <c r="JL118" s="140"/>
      <c r="JM118" s="277"/>
      <c r="JN118" s="277"/>
      <c r="JO118" s="140"/>
      <c r="JP118" s="277"/>
      <c r="JQ118" s="277"/>
      <c r="JR118" s="277"/>
      <c r="JS118" s="277"/>
      <c r="JT118" s="277"/>
      <c r="JU118" s="277"/>
      <c r="JV118" s="277"/>
      <c r="JW118" s="277"/>
      <c r="JX118" s="277"/>
      <c r="JY118" s="277"/>
      <c r="JZ118" s="277"/>
      <c r="KA118" s="277"/>
      <c r="KB118" s="277"/>
      <c r="KC118" s="277"/>
      <c r="KD118" s="277"/>
      <c r="KE118" s="277"/>
      <c r="KF118" s="277"/>
      <c r="KG118" s="277"/>
      <c r="KH118" s="277"/>
      <c r="KI118" s="277"/>
      <c r="KJ118" s="277"/>
      <c r="KK118" s="277"/>
      <c r="KL118" s="277"/>
      <c r="KM118" s="277"/>
      <c r="KN118" s="277"/>
      <c r="KO118" s="277"/>
      <c r="KP118" s="274"/>
      <c r="KQ118" s="253"/>
      <c r="KR118" s="253"/>
      <c r="KY118" s="141">
        <f t="shared" si="37"/>
        <v>0</v>
      </c>
      <c r="KZ118" s="141">
        <f t="shared" si="38"/>
        <v>0</v>
      </c>
      <c r="LB118" s="141">
        <f t="shared" si="39"/>
        <v>1</v>
      </c>
      <c r="LC118" s="141">
        <f t="shared" si="40"/>
        <v>0</v>
      </c>
      <c r="LD118" s="141">
        <f t="shared" si="41"/>
        <v>0</v>
      </c>
      <c r="LE118" s="141" t="e">
        <f>((N(AU118)&gt;0)*(AX118&lt;&gt;"")+(N(AY118)&gt;0)*(BB118&lt;&gt;"")+(N(BC118)&gt;0)*(BF118&lt;&gt;"")+(N(BG118)&gt;0)*(BJ118&lt;&gt;"")+(N(BK118)&gt;0)*(BN118&lt;&gt;"")+(N(BO118)&gt;0)*(BR118&lt;&gt;"")+(N(BS118)&gt;0)*(BV118&lt;&gt;"")+(N(BW118)&gt;0)*(BZ118&lt;&gt;"")+(N(CA118)&gt;0)*(CD118&lt;&gt;"")+(N(CE118)&gt;0)*(CH118&lt;&gt;"")+(N(CI118)&gt;0)*(CL118&lt;&gt;"")+(N(CM118)&gt;0)*(CP118&lt;&gt;"")+(N(CQ118)&gt;0)*(CT118&lt;&gt;"")+(N(CU118)&gt;0)*(CX118&lt;&gt;"")+(N(CY118)&gt;0)*(DB118&lt;&gt;"")+(N(DC118)&gt;0)*(DF118&lt;&gt;"")+(N(DG118)&gt;0)*(DJ118&lt;&gt;"")+(N(DS118)&gt;0)*(DV118&lt;&gt;"")+(N(DW118)&gt;0)*(DZ118&lt;&gt;"")+(N(EA118)&gt;0)*(ED118&lt;&gt;"")+(N(EE118)&gt;0)*(EH118&lt;&gt;"")+(N(EI118)&gt;0)*(EL118&lt;&gt;"")+(N(EM118)&gt;0)*(EP118&lt;&gt;"")+(N(EQ118)&gt;0)*(ET118&lt;&gt;"")+(N(EU118)&gt;0)*(EX118&lt;&gt;"")+(N(#REF!)&gt;0)*(#REF!&lt;&gt;"")+(N(#REF!)&gt;0)*(#REF!&lt;&gt;"")+(N(FJ118)&gt;0)*(FM118&lt;&gt;"")+(N(FN118)&gt;0)*(FQ118&lt;&gt;"")+(N(#REF!)&gt;0)*(#REF!&lt;&gt;"")+(N(#REF!)&gt;0)*(#REF!&lt;&gt;"")+(N(HF118)&gt;0)*(HI118&lt;&gt;"")+(N(#REF!)&gt;0)*(#REF!&lt;&gt;"")+(N(HJ118)&gt;0)*(HM118&lt;&gt;"")+(N(HN118)&gt;0)*(HQ118&lt;&gt;"")+(N(HZ118)&gt;0)*(IC118&lt;&gt;"")+(N(ID118)&gt;0)*(IG118&lt;&gt;"")+(N(IH118)&gt;0)*(IK118&lt;&gt;"")+(N(IL118)&gt;0)*(IO118&lt;&gt;"")+(N(IX118)&gt;0)*(JA118&lt;&gt;"")+(N(JB118)&gt;0)*(JE118&lt;&gt;"")+(N(JF118)&gt;0)*(JH118&lt;&gt;"")+(N(JI118)&gt;0)*(JK118&lt;&gt;"")+(N(JL118)&gt;0)*(JN118&lt;&gt;"")+(N(JO118)&gt;0)*(JQ118&lt;&gt;""))</f>
        <v>#REF!</v>
      </c>
      <c r="LF118" s="141">
        <f t="shared" si="48"/>
        <v>0</v>
      </c>
      <c r="LG118" s="141">
        <f t="shared" si="42"/>
        <v>0</v>
      </c>
    </row>
    <row r="119" spans="1:319" ht="38.25" customHeight="1" x14ac:dyDescent="0.5">
      <c r="B119" s="507" t="s">
        <v>139</v>
      </c>
      <c r="C119" s="162">
        <v>1</v>
      </c>
      <c r="D119" s="162">
        <v>13</v>
      </c>
      <c r="E119" s="162">
        <v>13</v>
      </c>
      <c r="F119" s="162">
        <f>($AI$119/$AJ$119)*$L$119*C119</f>
        <v>5936</v>
      </c>
      <c r="G119" s="162">
        <f>($AI$119/$AJ$119)*$L$119*D119</f>
        <v>77168</v>
      </c>
      <c r="H119" s="162">
        <f>($AI$119/$AJ$119)*$L$119*E119</f>
        <v>77168</v>
      </c>
      <c r="I119" s="162" cm="1">
        <f t="array" ref="I119">SUMPRODUCT(($AI$2:$KV$2&lt;&gt;"")*($AI119:$KV119&lt;&gt;""))</f>
        <v>13</v>
      </c>
      <c r="J119" s="142">
        <f t="shared" si="43"/>
        <v>13</v>
      </c>
      <c r="K119" s="142">
        <f t="shared" si="44"/>
        <v>182</v>
      </c>
      <c r="L119" s="268">
        <f t="shared" si="49"/>
        <v>7000</v>
      </c>
      <c r="M119" s="164">
        <f t="shared" si="45"/>
        <v>237440</v>
      </c>
      <c r="N119" s="397"/>
      <c r="O119" s="165">
        <f t="shared" si="46"/>
        <v>56000</v>
      </c>
      <c r="P119" s="165"/>
      <c r="Q119" s="165"/>
      <c r="R119" s="165">
        <f>(IFERROR(AM119/AN119,0)+IFERROR(AU119/AV119,0)+IFERROR(AY119/AZ119,0)+IFERROR(BC119/BD119,0)+IFERROR(BG119/BH119,0)+IFERROR(BK119/BL119,0)+IFERROR(BO119/BP119,0)+IFERROR(BS119/BT119,0)+IFERROR(BW119/BX119,0)+IFERROR(CA119/CB119,0)+IFERROR(CE119/CF119,0)+IFERROR(CI119/CJ119,0)+IFERROR(CM119/CN119,0)+IFERROR(CQ119/CR119,0)+IFERROR(CU119/CV119,0)+IFERROR(CY119/CZ119,0)+IFERROR(DC119/DD119,0)+IFERROR(DG119/DH119,0)+IFERROR(DS119/DT119,0)+IFERROR(DW119/DX119,0)+IFERROR(EA119/EB119,0)+IFERROR(EE119/EF119,0)+IFERROR(EI119/EJ119,0)+IFERROR(EM119/EN119,0)+IFERROR(EQ119/ER119,0)+IFERROR(EU119/EV119,0)+IFERROR(#REF!/#REF!,0)+IFERROR(#REF!/#REF!,0)+IFERROR(FJ119/FK119,0)+IFERROR(FN119/FO119,0)+IFERROR(#REF!/#REF!,0)+IFERROR(#REF!/#REF!,0)+IFERROR(HF119/HG119,0)+IFERROR(#REF!/#REF!,0)+IFERROR(HJ119/HK119,0)+IFERROR(HN119/HO119,0)+IFERROR(HZ119/IA119,0)+IFERROR(ID119/IE119,0)+IFERROR(IH119/II119,0)+IFERROR(IL119/IM119,0)+IFERROR(IX119/IY119,0)+IFERROR(JB119/JC119,0)+IFERROR(JF119/JG119,0)+IFERROR(JI119/JJ119,0)+IFERROR(JL119/JM119,0)+IFERROR(JO119/JP119,0))*L119*(C119+D119+E119+I119)</f>
        <v>12730.666666666666</v>
      </c>
      <c r="S119" s="165"/>
      <c r="T119" s="165">
        <f t="shared" si="35"/>
        <v>0</v>
      </c>
      <c r="U119" s="165"/>
      <c r="V119" s="165"/>
      <c r="W119" s="165"/>
      <c r="X119" s="165">
        <f>(IFERROR(FF119/FG119,0)+IFERROR(FC119/FD119,0)+IFERROR(#REF!/#REF!,0)+IFERROR(KP119/KQ119,0))*L119*(C119+D119+E119+I119)</f>
        <v>0</v>
      </c>
      <c r="Y119" s="484"/>
      <c r="Z119" s="484"/>
      <c r="AA119" s="484"/>
      <c r="AB119" s="484"/>
      <c r="AC119" s="150">
        <f t="shared" si="47"/>
        <v>26880</v>
      </c>
      <c r="AD119" s="150"/>
      <c r="AE119" s="150">
        <f t="shared" si="36"/>
        <v>0</v>
      </c>
      <c r="AF119" s="161">
        <v>2200</v>
      </c>
      <c r="AG119" s="143">
        <v>480</v>
      </c>
      <c r="AH119" s="154">
        <v>5000</v>
      </c>
      <c r="AI119" s="144">
        <v>212</v>
      </c>
      <c r="AJ119" s="154">
        <v>250</v>
      </c>
      <c r="AK119" s="489" t="s">
        <v>81</v>
      </c>
      <c r="AL119" s="154" t="s">
        <v>517</v>
      </c>
      <c r="AM119" s="140"/>
      <c r="AN119" s="220"/>
      <c r="AO119" s="220"/>
      <c r="AP119" s="220"/>
      <c r="AQ119" s="490">
        <v>1000</v>
      </c>
      <c r="AR119" s="154">
        <v>5000</v>
      </c>
      <c r="AS119" s="490" t="s">
        <v>82</v>
      </c>
      <c r="AT119" s="220" t="s">
        <v>546</v>
      </c>
      <c r="AU119" s="140"/>
      <c r="AV119" s="277"/>
      <c r="AW119" s="277"/>
      <c r="AX119" s="277"/>
      <c r="AY119" s="140"/>
      <c r="AZ119" s="277"/>
      <c r="BA119" s="277"/>
      <c r="BB119" s="277"/>
      <c r="BC119" s="140"/>
      <c r="BD119" s="277"/>
      <c r="BE119" s="277"/>
      <c r="BF119" s="277"/>
      <c r="BG119" s="140"/>
      <c r="BH119" s="277"/>
      <c r="BI119" s="277"/>
      <c r="BJ119" s="277"/>
      <c r="BK119" s="140"/>
      <c r="BL119" s="277"/>
      <c r="BM119" s="277"/>
      <c r="BN119" s="277"/>
      <c r="BO119" s="522">
        <v>36</v>
      </c>
      <c r="BP119" s="277">
        <v>2500</v>
      </c>
      <c r="BQ119" s="522"/>
      <c r="BR119" s="277" t="s">
        <v>1195</v>
      </c>
      <c r="BS119" s="522">
        <v>36</v>
      </c>
      <c r="BT119" s="277">
        <v>2500</v>
      </c>
      <c r="BU119" s="522"/>
      <c r="BV119" s="277" t="s">
        <v>1195</v>
      </c>
      <c r="BW119" s="140"/>
      <c r="BX119" s="154"/>
      <c r="BY119" s="154"/>
      <c r="BZ119" s="220"/>
      <c r="CA119" s="140"/>
      <c r="CB119" s="154"/>
      <c r="CC119" s="154"/>
      <c r="CD119" s="220"/>
      <c r="CE119" s="522">
        <v>25</v>
      </c>
      <c r="CF119" s="154">
        <v>3000</v>
      </c>
      <c r="CG119" s="336"/>
      <c r="CH119" s="497" t="s">
        <v>1202</v>
      </c>
      <c r="CI119" s="336">
        <v>25</v>
      </c>
      <c r="CJ119" s="154">
        <v>3000</v>
      </c>
      <c r="CK119" s="336"/>
      <c r="CL119" s="497" t="s">
        <v>1202</v>
      </c>
      <c r="CM119" s="140"/>
      <c r="CN119" s="146"/>
      <c r="CO119" s="146"/>
      <c r="CP119" s="146"/>
      <c r="CQ119" s="140"/>
      <c r="CR119" s="154"/>
      <c r="CS119" s="154"/>
      <c r="CT119" s="154"/>
      <c r="CU119" s="140"/>
      <c r="CV119" s="154"/>
      <c r="CW119" s="154"/>
      <c r="CX119" s="220"/>
      <c r="CY119" s="140"/>
      <c r="CZ119" s="154"/>
      <c r="DA119" s="154"/>
      <c r="DB119" s="220"/>
      <c r="DC119" s="140"/>
      <c r="DD119" s="146"/>
      <c r="DE119" s="146"/>
      <c r="DF119" s="146"/>
      <c r="DG119" s="140"/>
      <c r="DH119" s="146"/>
      <c r="DI119" s="146"/>
      <c r="DJ119" s="146"/>
      <c r="DK119" s="525">
        <f>24/1000</f>
        <v>2.4E-2</v>
      </c>
      <c r="DL119" s="271">
        <v>5000</v>
      </c>
      <c r="DM119" s="525"/>
      <c r="DN119" s="271" t="s">
        <v>1198</v>
      </c>
      <c r="DO119" s="525">
        <f>30/1000</f>
        <v>0.03</v>
      </c>
      <c r="DP119" s="271">
        <v>5000</v>
      </c>
      <c r="DQ119" s="525"/>
      <c r="DR119" s="271" t="s">
        <v>1198</v>
      </c>
      <c r="DS119" s="140"/>
      <c r="DT119" s="154"/>
      <c r="DU119" s="154"/>
      <c r="DV119" s="154"/>
      <c r="DW119" s="140"/>
      <c r="DX119" s="154"/>
      <c r="DY119" s="154"/>
      <c r="DZ119" s="154"/>
      <c r="EA119" s="140"/>
      <c r="EB119" s="147"/>
      <c r="EC119" s="147"/>
      <c r="ED119" s="147"/>
      <c r="EE119" s="140"/>
      <c r="EF119" s="220"/>
      <c r="EG119" s="220"/>
      <c r="EH119" s="220"/>
      <c r="EI119" s="140"/>
      <c r="EJ119" s="222"/>
      <c r="EK119" s="222"/>
      <c r="EL119" s="222"/>
      <c r="EM119" s="140"/>
      <c r="EN119" s="148"/>
      <c r="EO119" s="148"/>
      <c r="EP119" s="148"/>
      <c r="EQ119" s="140"/>
      <c r="ER119" s="146"/>
      <c r="ES119" s="146"/>
      <c r="ET119" s="146"/>
      <c r="EU119" s="140"/>
      <c r="EV119" s="148"/>
      <c r="EW119" s="148"/>
      <c r="EX119" s="148"/>
      <c r="EY119" s="349"/>
      <c r="EZ119" s="149"/>
      <c r="FA119" s="149"/>
      <c r="FB119" s="149"/>
      <c r="FC119" s="273"/>
      <c r="FD119" s="149"/>
      <c r="FE119" s="149"/>
      <c r="FF119" s="524">
        <v>30</v>
      </c>
      <c r="FG119" s="523"/>
      <c r="FH119" s="523"/>
      <c r="FI119" s="156" t="s">
        <v>1194</v>
      </c>
      <c r="FJ119" s="140"/>
      <c r="FK119" s="277"/>
      <c r="FL119" s="277"/>
      <c r="FM119" s="277"/>
      <c r="FN119" s="140"/>
      <c r="FO119" s="277"/>
      <c r="FP119" s="277"/>
      <c r="FQ119" s="277"/>
      <c r="FR119" s="280"/>
      <c r="FS119" s="277"/>
      <c r="FT119" s="277"/>
      <c r="FU119" s="277"/>
      <c r="FV119" s="277"/>
      <c r="FW119" s="277"/>
      <c r="FX119" s="277"/>
      <c r="FY119" s="277"/>
      <c r="FZ119" s="277"/>
      <c r="GA119" s="277"/>
      <c r="GB119" s="277"/>
      <c r="GC119" s="277"/>
      <c r="GD119" s="277"/>
      <c r="GE119" s="277"/>
      <c r="GF119" s="277"/>
      <c r="GG119" s="277"/>
      <c r="GH119" s="277"/>
      <c r="GI119" s="277"/>
      <c r="GJ119" s="277"/>
      <c r="GK119" s="277"/>
      <c r="GL119" s="277"/>
      <c r="GM119" s="277"/>
      <c r="GN119" s="277"/>
      <c r="GO119" s="277"/>
      <c r="GP119" s="277"/>
      <c r="GQ119" s="277"/>
      <c r="GR119" s="277"/>
      <c r="GS119" s="277"/>
      <c r="GT119" s="277"/>
      <c r="GU119" s="277"/>
      <c r="GV119" s="277"/>
      <c r="GW119" s="277"/>
      <c r="GX119" s="277"/>
      <c r="GY119" s="277"/>
      <c r="GZ119" s="277"/>
      <c r="HA119" s="277"/>
      <c r="HB119" s="277"/>
      <c r="HC119" s="277"/>
      <c r="HD119" s="277"/>
      <c r="HE119" s="277"/>
      <c r="HF119" s="140"/>
      <c r="HG119" s="277"/>
      <c r="HH119" s="277"/>
      <c r="HI119" s="277"/>
      <c r="HJ119" s="140"/>
      <c r="HK119" s="277"/>
      <c r="HL119" s="277"/>
      <c r="HM119" s="277"/>
      <c r="HN119" s="140"/>
      <c r="HO119" s="277"/>
      <c r="HP119" s="277"/>
      <c r="HQ119" s="277"/>
      <c r="HR119" s="277"/>
      <c r="HS119" s="277"/>
      <c r="HT119" s="277"/>
      <c r="HU119" s="277"/>
      <c r="HV119" s="277"/>
      <c r="HW119" s="277"/>
      <c r="HX119" s="277"/>
      <c r="HY119" s="277"/>
      <c r="HZ119" s="140"/>
      <c r="IA119" s="277"/>
      <c r="IB119" s="277"/>
      <c r="IC119" s="277"/>
      <c r="ID119" s="140"/>
      <c r="IE119" s="277"/>
      <c r="IF119" s="277"/>
      <c r="IG119" s="277"/>
      <c r="IH119" s="140"/>
      <c r="II119" s="277"/>
      <c r="IJ119" s="277"/>
      <c r="IK119" s="277"/>
      <c r="IL119" s="140"/>
      <c r="IM119" s="277"/>
      <c r="IN119" s="277"/>
      <c r="IO119" s="277"/>
      <c r="IP119" s="277"/>
      <c r="IQ119" s="277"/>
      <c r="IR119" s="277"/>
      <c r="IS119" s="277"/>
      <c r="IT119" s="277"/>
      <c r="IU119" s="277"/>
      <c r="IV119" s="277"/>
      <c r="IW119" s="277"/>
      <c r="IX119" s="140"/>
      <c r="IY119" s="277"/>
      <c r="IZ119" s="277"/>
      <c r="JA119" s="277"/>
      <c r="JB119" s="140"/>
      <c r="JC119" s="277"/>
      <c r="JD119" s="277"/>
      <c r="JE119" s="277"/>
      <c r="JF119" s="140"/>
      <c r="JG119" s="277"/>
      <c r="JH119" s="277"/>
      <c r="JI119" s="140"/>
      <c r="JJ119" s="277"/>
      <c r="JK119" s="277"/>
      <c r="JL119" s="140"/>
      <c r="JM119" s="277"/>
      <c r="JN119" s="277"/>
      <c r="JO119" s="140"/>
      <c r="JP119" s="277"/>
      <c r="JQ119" s="277"/>
      <c r="JR119" s="277"/>
      <c r="JS119" s="277"/>
      <c r="JT119" s="277"/>
      <c r="JU119" s="277"/>
      <c r="JV119" s="277"/>
      <c r="JW119" s="277"/>
      <c r="JX119" s="277"/>
      <c r="JY119" s="277"/>
      <c r="JZ119" s="490">
        <v>170</v>
      </c>
      <c r="KA119" s="154"/>
      <c r="KB119" s="490" t="s">
        <v>82</v>
      </c>
      <c r="KC119" s="220" t="s">
        <v>546</v>
      </c>
      <c r="KD119" s="490">
        <v>170</v>
      </c>
      <c r="KE119" s="154"/>
      <c r="KF119" s="490" t="s">
        <v>82</v>
      </c>
      <c r="KG119" s="220" t="s">
        <v>546</v>
      </c>
      <c r="KH119" s="490">
        <v>170</v>
      </c>
      <c r="KI119" s="154"/>
      <c r="KJ119" s="490" t="s">
        <v>82</v>
      </c>
      <c r="KK119" s="220" t="s">
        <v>546</v>
      </c>
      <c r="KL119" s="490">
        <v>170</v>
      </c>
      <c r="KM119" s="154"/>
      <c r="KN119" s="490" t="s">
        <v>82</v>
      </c>
      <c r="KO119" s="220" t="s">
        <v>546</v>
      </c>
      <c r="KP119" s="274"/>
      <c r="KQ119" s="341"/>
      <c r="KR119" s="279"/>
      <c r="KY119" s="141">
        <f t="shared" si="37"/>
        <v>0</v>
      </c>
      <c r="KZ119" s="141">
        <f t="shared" si="38"/>
        <v>0</v>
      </c>
      <c r="LB119" s="141">
        <f t="shared" si="39"/>
        <v>1</v>
      </c>
      <c r="LC119" s="141">
        <f t="shared" si="40"/>
        <v>0</v>
      </c>
      <c r="LD119" s="141">
        <f t="shared" si="41"/>
        <v>1</v>
      </c>
      <c r="LE119" s="141" t="e">
        <f>((N(AU119)&gt;0)*(AX119&lt;&gt;"")+(N(AY119)&gt;0)*(BB119&lt;&gt;"")+(N(BC119)&gt;0)*(BF119&lt;&gt;"")+(N(BG119)&gt;0)*(BJ119&lt;&gt;"")+(N(BK119)&gt;0)*(BN119&lt;&gt;"")+(N(BO119)&gt;0)*(BR119&lt;&gt;"")+(N(BS119)&gt;0)*(BV119&lt;&gt;"")+(N(BW119)&gt;0)*(BZ119&lt;&gt;"")+(N(CA119)&gt;0)*(CD119&lt;&gt;"")+(N(CE119)&gt;0)*(CH119&lt;&gt;"")+(N(CI119)&gt;0)*(CL119&lt;&gt;"")+(N(CM119)&gt;0)*(CP119&lt;&gt;"")+(N(CQ119)&gt;0)*(CT119&lt;&gt;"")+(N(CU119)&gt;0)*(CX119&lt;&gt;"")+(N(CY119)&gt;0)*(DB119&lt;&gt;"")+(N(DC119)&gt;0)*(DF119&lt;&gt;"")+(N(DG119)&gt;0)*(DJ119&lt;&gt;"")+(N(DS119)&gt;0)*(DV119&lt;&gt;"")+(N(DW119)&gt;0)*(DZ119&lt;&gt;"")+(N(EA119)&gt;0)*(ED119&lt;&gt;"")+(N(EE119)&gt;0)*(EH119&lt;&gt;"")+(N(EI119)&gt;0)*(EL119&lt;&gt;"")+(N(EM119)&gt;0)*(EP119&lt;&gt;"")+(N(EQ119)&gt;0)*(ET119&lt;&gt;"")+(N(EU119)&gt;0)*(EX119&lt;&gt;"")+(N(#REF!)&gt;0)*(#REF!&lt;&gt;"")+(N(#REF!)&gt;0)*(#REF!&lt;&gt;"")+(N(FJ119)&gt;0)*(FM119&lt;&gt;"")+(N(FN119)&gt;0)*(FQ119&lt;&gt;"")+(N(#REF!)&gt;0)*(#REF!&lt;&gt;"")+(N(#REF!)&gt;0)*(#REF!&lt;&gt;"")+(N(HF119)&gt;0)*(HI119&lt;&gt;"")+(N(#REF!)&gt;0)*(#REF!&lt;&gt;"")+(N(HJ119)&gt;0)*(HM119&lt;&gt;"")+(N(HN119)&gt;0)*(HQ119&lt;&gt;"")+(N(HZ119)&gt;0)*(IC119&lt;&gt;"")+(N(ID119)&gt;0)*(IG119&lt;&gt;"")+(N(IH119)&gt;0)*(IK119&lt;&gt;"")+(N(IL119)&gt;0)*(IO119&lt;&gt;"")+(N(IX119)&gt;0)*(JA119&lt;&gt;"")+(N(JB119)&gt;0)*(JE119&lt;&gt;"")+(N(JF119)&gt;0)*(JH119&lt;&gt;"")+(N(JI119)&gt;0)*(JK119&lt;&gt;"")+(N(JL119)&gt;0)*(JN119&lt;&gt;"")+(N(JO119)&gt;0)*(JQ119&lt;&gt;""))</f>
        <v>#REF!</v>
      </c>
      <c r="LF119" s="141">
        <f t="shared" si="48"/>
        <v>0</v>
      </c>
      <c r="LG119" s="141">
        <f t="shared" si="42"/>
        <v>1</v>
      </c>
    </row>
    <row r="120" spans="1:319" ht="38.25" customHeight="1" x14ac:dyDescent="0.55000000000000004">
      <c r="B120" s="508" t="s">
        <v>138</v>
      </c>
      <c r="C120" s="162">
        <v>0</v>
      </c>
      <c r="D120" s="162">
        <v>18</v>
      </c>
      <c r="E120" s="162">
        <v>32</v>
      </c>
      <c r="F120" s="162">
        <f>($AI$120/$AJ$120)*$L$120*C120</f>
        <v>0</v>
      </c>
      <c r="G120" s="162">
        <f>($AI$120/$AJ$120)*$L$120*D120</f>
        <v>146159.99999999997</v>
      </c>
      <c r="H120" s="162">
        <f>($AI$120/$AJ$120)*$L$120*E120</f>
        <v>259839.99999999997</v>
      </c>
      <c r="I120" s="162" cm="1">
        <f t="array" ref="I120">SUMPRODUCT(($AI$2:$KV$2&lt;&gt;"")*($AI120:$KV120&lt;&gt;""))</f>
        <v>13</v>
      </c>
      <c r="J120" s="142">
        <f>I120*C120</f>
        <v>0</v>
      </c>
      <c r="K120" s="142">
        <f>($L$1/$K$2)*J120</f>
        <v>0</v>
      </c>
      <c r="L120" s="268">
        <f t="shared" si="49"/>
        <v>7000</v>
      </c>
      <c r="M120" s="164">
        <f t="shared" si="45"/>
        <v>511559.99999999994</v>
      </c>
      <c r="N120" s="397"/>
      <c r="O120" s="165">
        <f t="shared" si="46"/>
        <v>141120</v>
      </c>
      <c r="P120" s="165"/>
      <c r="Q120" s="165"/>
      <c r="R120" s="165">
        <f>(IFERROR(AM120/AN120,0)+IFERROR(AU120/AV120,0)+IFERROR(AY120/AZ120,0)+IFERROR(BC120/BD120,0)+IFERROR(BG120/BH120,0)+IFERROR(BK120/BL120,0)+IFERROR(BO120/BP120,0)+IFERROR(BS120/BT120,0)+IFERROR(BW120/BX120,0)+IFERROR(CA120/CB120,0)+IFERROR(CE120/CF120,0)+IFERROR(CI120/CJ120,0)+IFERROR(CM120/CN120,0)+IFERROR(CQ120/CR120,0)+IFERROR(CU120/CV120,0)+IFERROR(CY120/CZ120,0)+IFERROR(DC120/DD120,0)+IFERROR(DG120/DH120,0)+IFERROR(DS120/DT120,0)+IFERROR(DW120/DX120,0)+IFERROR(EA120/EB120,0)+IFERROR(EE120/EF120,0)+IFERROR(EI120/EJ120,0)+IFERROR(EM120/EN120,0)+IFERROR(EQ120/ER120,0)+IFERROR(EU120/EV120,0)+IFERROR(#REF!/#REF!,0)+IFERROR(#REF!/#REF!,0)+IFERROR(FJ120/FK120,0)+IFERROR(FN120/FO120,0)+IFERROR(#REF!/#REF!,0)+IFERROR(#REF!/#REF!,0)+IFERROR(HF120/HG120,0)+IFERROR(#REF!/#REF!,0)+IFERROR(HJ120/HK120,0)+IFERROR(HN120/HO120,0)+IFERROR(HZ120/IA120,0)+IFERROR(ID120/IE120,0)+IFERROR(IH120/II120,0)+IFERROR(IL120/IM120,0)+IFERROR(IX120/IY120,0)+IFERROR(JB120/JC120,0)+IFERROR(JF120/JG120,0)+IFERROR(JI120/JJ120,0)+IFERROR(JL120/JM120,0)+IFERROR(JO120/JP120,0))*L120*(C120+D120+E120+I120)</f>
        <v>54096.000000000007</v>
      </c>
      <c r="S120" s="165"/>
      <c r="T120" s="165">
        <f t="shared" si="35"/>
        <v>0</v>
      </c>
      <c r="U120" s="165"/>
      <c r="V120" s="165"/>
      <c r="W120" s="165"/>
      <c r="X120" s="165">
        <f>(IFERROR(FF120/FG120,0)+IFERROR(FC120/FD120,0)+IFERROR(#REF!/#REF!,0)+IFERROR(KP120/KQ120,0))*L120*(C120+D120+E120+I120)</f>
        <v>0</v>
      </c>
      <c r="Y120" s="484"/>
      <c r="Z120" s="484"/>
      <c r="AA120" s="484"/>
      <c r="AB120" s="484"/>
      <c r="AC120" s="150">
        <f t="shared" si="47"/>
        <v>75852</v>
      </c>
      <c r="AD120" s="150"/>
      <c r="AE120" s="150">
        <f t="shared" si="36"/>
        <v>0</v>
      </c>
      <c r="AF120" s="161">
        <v>5300</v>
      </c>
      <c r="AG120" s="143">
        <v>860</v>
      </c>
      <c r="AH120" s="154">
        <v>5000</v>
      </c>
      <c r="AI120" s="144">
        <v>290</v>
      </c>
      <c r="AJ120" s="154">
        <v>250</v>
      </c>
      <c r="AK120" s="489" t="s">
        <v>81</v>
      </c>
      <c r="AL120" s="154" t="s">
        <v>1201</v>
      </c>
      <c r="AM120" s="140"/>
      <c r="AN120" s="220"/>
      <c r="AO120" s="220"/>
      <c r="AP120" s="220"/>
      <c r="AQ120" s="490">
        <v>1600</v>
      </c>
      <c r="AR120" s="154">
        <v>5000</v>
      </c>
      <c r="AS120" s="490" t="s">
        <v>82</v>
      </c>
      <c r="AT120" s="220" t="s">
        <v>546</v>
      </c>
      <c r="AU120" s="140"/>
      <c r="AV120" s="277"/>
      <c r="AW120" s="277"/>
      <c r="AX120" s="277"/>
      <c r="AY120" s="140"/>
      <c r="AZ120" s="277"/>
      <c r="BA120" s="277"/>
      <c r="BB120" s="277"/>
      <c r="BC120" s="140"/>
      <c r="BD120" s="277"/>
      <c r="BE120" s="277"/>
      <c r="BF120" s="277"/>
      <c r="BG120" s="140"/>
      <c r="BH120" s="277"/>
      <c r="BI120" s="277"/>
      <c r="BJ120" s="277"/>
      <c r="BK120" s="140"/>
      <c r="BL120" s="277"/>
      <c r="BM120" s="277"/>
      <c r="BN120" s="277"/>
      <c r="BO120" s="522">
        <v>44</v>
      </c>
      <c r="BP120" s="154">
        <v>3000</v>
      </c>
      <c r="BQ120" s="336"/>
      <c r="BR120" s="497" t="s">
        <v>1202</v>
      </c>
      <c r="BS120" s="522">
        <v>44</v>
      </c>
      <c r="BT120" s="154">
        <v>3000</v>
      </c>
      <c r="BU120" s="336"/>
      <c r="BV120" s="497" t="s">
        <v>1202</v>
      </c>
      <c r="BW120" s="140"/>
      <c r="BX120" s="154"/>
      <c r="BY120" s="154"/>
      <c r="BZ120" s="220"/>
      <c r="CA120" s="140"/>
      <c r="CB120" s="154"/>
      <c r="CC120" s="154"/>
      <c r="CD120" s="220"/>
      <c r="CE120" s="336">
        <v>140</v>
      </c>
      <c r="CF120" s="154">
        <v>3000</v>
      </c>
      <c r="CG120" s="336"/>
      <c r="CH120" s="497" t="s">
        <v>1202</v>
      </c>
      <c r="CI120" s="336">
        <v>140</v>
      </c>
      <c r="CJ120" s="154">
        <v>3000</v>
      </c>
      <c r="CK120" s="336"/>
      <c r="CL120" s="497" t="s">
        <v>1202</v>
      </c>
      <c r="CM120" s="140"/>
      <c r="CN120" s="146"/>
      <c r="CO120" s="146"/>
      <c r="CP120" s="146"/>
      <c r="CQ120" s="140"/>
      <c r="CR120" s="154"/>
      <c r="CS120" s="154"/>
      <c r="CT120" s="154"/>
      <c r="CU120" s="140"/>
      <c r="CV120" s="154"/>
      <c r="CW120" s="154"/>
      <c r="CX120" s="220"/>
      <c r="CY120" s="140"/>
      <c r="CZ120" s="154"/>
      <c r="DA120" s="154"/>
      <c r="DB120" s="220"/>
      <c r="DC120" s="140"/>
      <c r="DD120" s="146"/>
      <c r="DE120" s="146"/>
      <c r="DF120" s="146"/>
      <c r="DG120" s="140"/>
      <c r="DH120" s="146"/>
      <c r="DI120" s="146"/>
      <c r="DJ120" s="146"/>
      <c r="DK120" s="525">
        <f>360/1000</f>
        <v>0.36</v>
      </c>
      <c r="DL120" s="271">
        <v>5000</v>
      </c>
      <c r="DM120" s="525"/>
      <c r="DN120" s="271" t="s">
        <v>1198</v>
      </c>
      <c r="DO120" s="525">
        <f>360/1000</f>
        <v>0.36</v>
      </c>
      <c r="DP120" s="271">
        <v>5000</v>
      </c>
      <c r="DQ120" s="525"/>
      <c r="DR120" s="271" t="s">
        <v>1198</v>
      </c>
      <c r="DS120" s="140"/>
      <c r="DT120" s="154"/>
      <c r="DU120" s="154"/>
      <c r="DV120" s="154"/>
      <c r="DW120" s="140"/>
      <c r="DX120" s="154"/>
      <c r="DY120" s="154"/>
      <c r="DZ120" s="154"/>
      <c r="EA120" s="140"/>
      <c r="EB120" s="147"/>
      <c r="EC120" s="147"/>
      <c r="ED120" s="147"/>
      <c r="EE120" s="140"/>
      <c r="EF120" s="220"/>
      <c r="EG120" s="220"/>
      <c r="EH120" s="220"/>
      <c r="EI120" s="140"/>
      <c r="EJ120" s="222"/>
      <c r="EK120" s="222"/>
      <c r="EL120" s="222"/>
      <c r="EM120" s="140"/>
      <c r="EN120" s="148"/>
      <c r="EO120" s="148"/>
      <c r="EP120" s="148"/>
      <c r="EQ120" s="140"/>
      <c r="ER120" s="146"/>
      <c r="ES120" s="146"/>
      <c r="ET120" s="146"/>
      <c r="EU120" s="140"/>
      <c r="EV120" s="148"/>
      <c r="EW120" s="148"/>
      <c r="EX120" s="148"/>
      <c r="EY120" s="349"/>
      <c r="EZ120" s="149"/>
      <c r="FA120" s="149"/>
      <c r="FB120" s="149"/>
      <c r="FC120" s="273"/>
      <c r="FD120" s="149"/>
      <c r="FE120" s="149"/>
      <c r="FF120" s="276">
        <v>40</v>
      </c>
      <c r="FG120" s="340"/>
      <c r="FH120" s="340"/>
      <c r="FI120" s="156" t="s">
        <v>1194</v>
      </c>
      <c r="FJ120" s="140"/>
      <c r="FK120" s="277"/>
      <c r="FL120" s="277"/>
      <c r="FM120" s="277"/>
      <c r="FN120" s="140"/>
      <c r="FO120" s="277"/>
      <c r="FP120" s="277"/>
      <c r="FQ120" s="277"/>
      <c r="FR120" s="280"/>
      <c r="FS120" s="277"/>
      <c r="FT120" s="277"/>
      <c r="FU120" s="277"/>
      <c r="FV120" s="277"/>
      <c r="FW120" s="277"/>
      <c r="FX120" s="277"/>
      <c r="FY120" s="277"/>
      <c r="FZ120" s="277"/>
      <c r="GA120" s="277"/>
      <c r="GB120" s="277"/>
      <c r="GC120" s="277"/>
      <c r="GD120" s="277"/>
      <c r="GE120" s="277"/>
      <c r="GF120" s="277"/>
      <c r="GG120" s="277"/>
      <c r="GH120" s="277"/>
      <c r="GI120" s="277"/>
      <c r="GJ120" s="277"/>
      <c r="GK120" s="277"/>
      <c r="GL120" s="277"/>
      <c r="GM120" s="277"/>
      <c r="GN120" s="277"/>
      <c r="GO120" s="277"/>
      <c r="GP120" s="277"/>
      <c r="GQ120" s="277"/>
      <c r="GR120" s="277"/>
      <c r="GS120" s="277"/>
      <c r="GT120" s="277"/>
      <c r="GU120" s="277"/>
      <c r="GV120" s="277"/>
      <c r="GW120" s="277"/>
      <c r="GX120" s="277"/>
      <c r="GY120" s="277"/>
      <c r="GZ120" s="277"/>
      <c r="HA120" s="277"/>
      <c r="HB120" s="277"/>
      <c r="HC120" s="277"/>
      <c r="HD120" s="277"/>
      <c r="HE120" s="277"/>
      <c r="HF120" s="140"/>
      <c r="HG120" s="277"/>
      <c r="HH120" s="277"/>
      <c r="HI120" s="277"/>
      <c r="HJ120" s="140"/>
      <c r="HK120" s="277"/>
      <c r="HL120" s="277"/>
      <c r="HM120" s="277"/>
      <c r="HN120" s="140"/>
      <c r="HO120" s="277"/>
      <c r="HP120" s="277"/>
      <c r="HQ120" s="277"/>
      <c r="HR120" s="277"/>
      <c r="HS120" s="277"/>
      <c r="HT120" s="277"/>
      <c r="HU120" s="277"/>
      <c r="HV120" s="277"/>
      <c r="HW120" s="277"/>
      <c r="HX120" s="277"/>
      <c r="HY120" s="277"/>
      <c r="HZ120" s="140"/>
      <c r="IA120" s="277"/>
      <c r="IB120" s="277"/>
      <c r="IC120" s="277"/>
      <c r="ID120" s="140"/>
      <c r="IE120" s="277"/>
      <c r="IF120" s="277"/>
      <c r="IG120" s="277"/>
      <c r="IH120" s="140"/>
      <c r="II120" s="277"/>
      <c r="IJ120" s="277"/>
      <c r="IK120" s="277"/>
      <c r="IL120" s="140"/>
      <c r="IM120" s="277"/>
      <c r="IN120" s="277"/>
      <c r="IO120" s="277"/>
      <c r="IP120" s="277"/>
      <c r="IQ120" s="277"/>
      <c r="IR120" s="277"/>
      <c r="IS120" s="277"/>
      <c r="IT120" s="277"/>
      <c r="IU120" s="277"/>
      <c r="IV120" s="277"/>
      <c r="IW120" s="277"/>
      <c r="IX120" s="140"/>
      <c r="IY120" s="277"/>
      <c r="IZ120" s="277"/>
      <c r="JA120" s="277"/>
      <c r="JB120" s="140"/>
      <c r="JC120" s="277"/>
      <c r="JD120" s="277"/>
      <c r="JE120" s="277"/>
      <c r="JF120" s="140"/>
      <c r="JG120" s="277"/>
      <c r="JH120" s="277"/>
      <c r="JI120" s="140"/>
      <c r="JJ120" s="277"/>
      <c r="JK120" s="277"/>
      <c r="JL120" s="140"/>
      <c r="JM120" s="277"/>
      <c r="JN120" s="277"/>
      <c r="JO120" s="140"/>
      <c r="JP120" s="277"/>
      <c r="JQ120" s="277"/>
      <c r="JR120" s="277"/>
      <c r="JS120" s="277"/>
      <c r="JT120" s="277"/>
      <c r="JU120" s="277"/>
      <c r="JV120" s="277"/>
      <c r="JW120" s="277"/>
      <c r="JX120" s="277"/>
      <c r="JY120" s="277"/>
      <c r="JZ120" s="490">
        <v>190</v>
      </c>
      <c r="KA120" s="154"/>
      <c r="KB120" s="490" t="s">
        <v>82</v>
      </c>
      <c r="KC120" s="220" t="s">
        <v>546</v>
      </c>
      <c r="KD120" s="490">
        <v>190</v>
      </c>
      <c r="KE120" s="154"/>
      <c r="KF120" s="490" t="s">
        <v>82</v>
      </c>
      <c r="KG120" s="220" t="s">
        <v>546</v>
      </c>
      <c r="KH120" s="490">
        <v>190</v>
      </c>
      <c r="KI120" s="154"/>
      <c r="KJ120" s="490" t="s">
        <v>82</v>
      </c>
      <c r="KK120" s="220" t="s">
        <v>546</v>
      </c>
      <c r="KL120" s="490">
        <v>190</v>
      </c>
      <c r="KM120" s="154"/>
      <c r="KN120" s="490" t="s">
        <v>82</v>
      </c>
      <c r="KO120" s="220" t="s">
        <v>546</v>
      </c>
      <c r="KP120" s="274"/>
      <c r="KQ120" s="253"/>
      <c r="KR120" s="253"/>
      <c r="KY120" s="141">
        <f t="shared" si="37"/>
        <v>0</v>
      </c>
      <c r="KZ120" s="141">
        <f t="shared" si="38"/>
        <v>0</v>
      </c>
      <c r="LB120" s="141">
        <f t="shared" si="39"/>
        <v>1</v>
      </c>
      <c r="LC120" s="141">
        <f t="shared" si="40"/>
        <v>0</v>
      </c>
      <c r="LD120" s="141">
        <f t="shared" si="41"/>
        <v>1</v>
      </c>
      <c r="LE120" s="141" t="e">
        <f>((N(AU120)&gt;0)*(AX120&lt;&gt;"")+(N(AY120)&gt;0)*(BB120&lt;&gt;"")+(N(BC120)&gt;0)*(BF120&lt;&gt;"")+(N(BG120)&gt;0)*(BJ120&lt;&gt;"")+(N(BK120)&gt;0)*(BN120&lt;&gt;"")+(N(BO120)&gt;0)*(BR120&lt;&gt;"")+(N(BS120)&gt;0)*(BV120&lt;&gt;"")+(N(BW120)&gt;0)*(BZ120&lt;&gt;"")+(N(CA120)&gt;0)*(CD120&lt;&gt;"")+(N(CE120)&gt;0)*(CH120&lt;&gt;"")+(N(CI120)&gt;0)*(CL120&lt;&gt;"")+(N(CM120)&gt;0)*(CP120&lt;&gt;"")+(N(CQ120)&gt;0)*(CT120&lt;&gt;"")+(N(CU120)&gt;0)*(CX120&lt;&gt;"")+(N(CY120)&gt;0)*(DB120&lt;&gt;"")+(N(DC120)&gt;0)*(DF120&lt;&gt;"")+(N(DG120)&gt;0)*(DJ120&lt;&gt;"")+(N(DS120)&gt;0)*(DV120&lt;&gt;"")+(N(DW120)&gt;0)*(DZ120&lt;&gt;"")+(N(EA120)&gt;0)*(ED120&lt;&gt;"")+(N(EE120)&gt;0)*(EH120&lt;&gt;"")+(N(EI120)&gt;0)*(EL120&lt;&gt;"")+(N(EM120)&gt;0)*(EP120&lt;&gt;"")+(N(EQ120)&gt;0)*(ET120&lt;&gt;"")+(N(EU120)&gt;0)*(EX120&lt;&gt;"")+(N(#REF!)&gt;0)*(#REF!&lt;&gt;"")+(N(#REF!)&gt;0)*(#REF!&lt;&gt;"")+(N(FJ120)&gt;0)*(FM120&lt;&gt;"")+(N(FN120)&gt;0)*(FQ120&lt;&gt;"")+(N(#REF!)&gt;0)*(#REF!&lt;&gt;"")+(N(#REF!)&gt;0)*(#REF!&lt;&gt;"")+(N(HF120)&gt;0)*(HI120&lt;&gt;"")+(N(#REF!)&gt;0)*(#REF!&lt;&gt;"")+(N(HJ120)&gt;0)*(HM120&lt;&gt;"")+(N(HN120)&gt;0)*(HQ120&lt;&gt;"")+(N(HZ120)&gt;0)*(IC120&lt;&gt;"")+(N(ID120)&gt;0)*(IG120&lt;&gt;"")+(N(IH120)&gt;0)*(IK120&lt;&gt;"")+(N(IL120)&gt;0)*(IO120&lt;&gt;"")+(N(IX120)&gt;0)*(JA120&lt;&gt;"")+(N(JB120)&gt;0)*(JE120&lt;&gt;"")+(N(JF120)&gt;0)*(JH120&lt;&gt;"")+(N(JI120)&gt;0)*(JK120&lt;&gt;"")+(N(JL120)&gt;0)*(JN120&lt;&gt;"")+(N(JO120)&gt;0)*(JQ120&lt;&gt;""))</f>
        <v>#REF!</v>
      </c>
      <c r="LF120" s="141">
        <f t="shared" si="48"/>
        <v>0</v>
      </c>
      <c r="LG120" s="141">
        <f t="shared" si="42"/>
        <v>1</v>
      </c>
    </row>
    <row r="121" spans="1:319" ht="38.25" customHeight="1" x14ac:dyDescent="0.55000000000000004">
      <c r="A121" s="141" t="s">
        <v>190</v>
      </c>
      <c r="B121" s="510" t="s">
        <v>137</v>
      </c>
      <c r="C121" s="162">
        <v>16</v>
      </c>
      <c r="D121" s="162">
        <v>16</v>
      </c>
      <c r="E121" s="162">
        <v>16</v>
      </c>
      <c r="F121" s="162">
        <f>($AI$121/$AJ$121)*$L$121*C121</f>
        <v>31360.000000000004</v>
      </c>
      <c r="G121" s="162">
        <f>($AI$121/$AJ$121)*$L$121*D121</f>
        <v>31360.000000000004</v>
      </c>
      <c r="H121" s="162">
        <f>($AI$121/$AJ$121)*$L$121*E121</f>
        <v>31360.000000000004</v>
      </c>
      <c r="I121" s="162" cm="1">
        <f t="array" ref="I121">SUMPRODUCT(($AI$2:$KV$2&lt;&gt;"")*($AI121:$KV121&lt;&gt;""))</f>
        <v>14</v>
      </c>
      <c r="J121" s="142">
        <f t="shared" si="43"/>
        <v>224</v>
      </c>
      <c r="K121" s="142">
        <f t="shared" si="44"/>
        <v>3136</v>
      </c>
      <c r="L121" s="268">
        <f t="shared" si="49"/>
        <v>7000</v>
      </c>
      <c r="M121" s="164">
        <f t="shared" si="45"/>
        <v>121520.00000000001</v>
      </c>
      <c r="N121" s="397"/>
      <c r="O121" s="165">
        <f t="shared" si="46"/>
        <v>55986</v>
      </c>
      <c r="P121" s="165"/>
      <c r="Q121" s="165"/>
      <c r="R121" s="165">
        <f>(IFERROR(AM121/AN121,0)+IFERROR(AU121/AV121,0)+IFERROR(AY121/AZ121,0)+IFERROR(BC121/BD121,0)+IFERROR(BG121/BH121,0)+IFERROR(BK121/BL121,0)+IFERROR(BO121/BP121,0)+IFERROR(BS121/BT121,0)+IFERROR(BW121/BX121,0)+IFERROR(CA121/CB121,0)+IFERROR(CE121/CF121,0)+IFERROR(CI121/CJ121,0)+IFERROR(CM121/CN121,0)+IFERROR(CQ121/CR121,0)+IFERROR(CU121/CV121,0)+IFERROR(CY121/CZ121,0)+IFERROR(DC121/DD121,0)+IFERROR(DG121/DH121,0)+IFERROR(DS121/DT121,0)+IFERROR(DW121/DX121,0)+IFERROR(EA121/EB121,0)+IFERROR(EE121/EF121,0)+IFERROR(EI121/EJ121,0)+IFERROR(EM121/EN121,0)+IFERROR(EQ121/ER121,0)+IFERROR(EU121/EV121,0)+IFERROR(#REF!/#REF!,0)+IFERROR(#REF!/#REF!,0)+IFERROR(FJ121/FK121,0)+IFERROR(FN121/FO121,0)+IFERROR(#REF!/#REF!,0)+IFERROR(#REF!/#REF!,0)+IFERROR(HF121/HG121,0)+IFERROR(#REF!/#REF!,0)+IFERROR(HJ121/HK121,0)+IFERROR(HN121/HO121,0)+IFERROR(HZ121/IA121,0)+IFERROR(ID121/IE121,0)+IFERROR(IH121/II121,0)+IFERROR(IL121/IM121,0)+IFERROR(IX121/IY121,0)+IFERROR(JB121/JC121,0)+IFERROR(JF121/JG121,0)+IFERROR(JI121/JJ121,0)+IFERROR(JL121/JM121,0)+IFERROR(JO121/JP121,0))*L121*(C121+D121+E121+I121)</f>
        <v>104594</v>
      </c>
      <c r="S121" s="165"/>
      <c r="T121" s="165">
        <f t="shared" si="35"/>
        <v>0</v>
      </c>
      <c r="U121" s="165"/>
      <c r="V121" s="165"/>
      <c r="W121" s="165"/>
      <c r="X121" s="165">
        <f>(IFERROR(FF121/FG121,0)+IFERROR(FC121/FD121,0)+IFERROR(#REF!/#REF!,0)+IFERROR(KP121/KQ121,0))*L121*(C121+D121+E121+I121)</f>
        <v>0</v>
      </c>
      <c r="Y121" s="484"/>
      <c r="Z121" s="484"/>
      <c r="AA121" s="484"/>
      <c r="AB121" s="484"/>
      <c r="AC121" s="150">
        <f t="shared" si="47"/>
        <v>17360</v>
      </c>
      <c r="AD121" s="150"/>
      <c r="AE121" s="150">
        <f t="shared" si="36"/>
        <v>13.5625</v>
      </c>
      <c r="AF121" s="161">
        <v>606</v>
      </c>
      <c r="AG121" s="143">
        <v>160</v>
      </c>
      <c r="AH121" s="154">
        <v>4000</v>
      </c>
      <c r="AI121" s="144">
        <v>70</v>
      </c>
      <c r="AJ121" s="154">
        <v>250</v>
      </c>
      <c r="AK121" s="489" t="s">
        <v>81</v>
      </c>
      <c r="AL121" s="154" t="s">
        <v>1114</v>
      </c>
      <c r="AM121" s="490">
        <v>130</v>
      </c>
      <c r="AN121" s="154">
        <v>2000</v>
      </c>
      <c r="AO121" s="490" t="s">
        <v>82</v>
      </c>
      <c r="AP121" s="220" t="s">
        <v>546</v>
      </c>
      <c r="AQ121" s="490">
        <v>258</v>
      </c>
      <c r="AR121" s="154">
        <v>2000</v>
      </c>
      <c r="AS121" s="490" t="s">
        <v>82</v>
      </c>
      <c r="AT121" s="220" t="s">
        <v>546</v>
      </c>
      <c r="AU121" s="490">
        <v>72</v>
      </c>
      <c r="AV121" s="154">
        <v>2000</v>
      </c>
      <c r="AW121" s="490" t="s">
        <v>82</v>
      </c>
      <c r="AX121" s="220" t="s">
        <v>546</v>
      </c>
      <c r="AY121" s="493">
        <v>52</v>
      </c>
      <c r="AZ121" s="154">
        <v>1500</v>
      </c>
      <c r="BA121" s="493" t="s">
        <v>345</v>
      </c>
      <c r="BB121" s="154" t="s">
        <v>547</v>
      </c>
      <c r="BC121" s="140"/>
      <c r="BD121" s="277"/>
      <c r="BE121" s="277"/>
      <c r="BF121" s="277"/>
      <c r="BG121" s="140"/>
      <c r="BH121" s="277"/>
      <c r="BI121" s="277"/>
      <c r="BJ121" s="277"/>
      <c r="BK121" s="140"/>
      <c r="BL121" s="277"/>
      <c r="BM121" s="277"/>
      <c r="BN121" s="277"/>
      <c r="BO121" s="140"/>
      <c r="BP121" s="277"/>
      <c r="BQ121" s="277"/>
      <c r="BR121" s="277"/>
      <c r="BS121" s="140"/>
      <c r="BT121" s="277"/>
      <c r="BU121" s="277"/>
      <c r="BV121" s="277"/>
      <c r="BW121" s="140"/>
      <c r="BX121" s="154"/>
      <c r="BY121" s="154"/>
      <c r="BZ121" s="220"/>
      <c r="CA121" s="140"/>
      <c r="CB121" s="154"/>
      <c r="CC121" s="154"/>
      <c r="CD121" s="220"/>
      <c r="CE121" s="493">
        <v>43</v>
      </c>
      <c r="CF121" s="154">
        <v>1500</v>
      </c>
      <c r="CG121" s="493" t="s">
        <v>345</v>
      </c>
      <c r="CH121" s="154" t="s">
        <v>547</v>
      </c>
      <c r="CI121" s="493">
        <v>43</v>
      </c>
      <c r="CJ121" s="154">
        <v>1500</v>
      </c>
      <c r="CK121" s="493" t="s">
        <v>345</v>
      </c>
      <c r="CL121" s="154" t="s">
        <v>547</v>
      </c>
      <c r="CM121" s="140"/>
      <c r="CN121" s="146"/>
      <c r="CO121" s="146"/>
      <c r="CP121" s="146"/>
      <c r="CQ121" s="140"/>
      <c r="CR121" s="154"/>
      <c r="CS121" s="154"/>
      <c r="CT121" s="154"/>
      <c r="CU121" s="140"/>
      <c r="CV121" s="220"/>
      <c r="CW121" s="220"/>
      <c r="CX121" s="220"/>
      <c r="CY121" s="140"/>
      <c r="CZ121" s="220"/>
      <c r="DA121" s="220"/>
      <c r="DB121" s="220"/>
      <c r="DC121" s="140"/>
      <c r="DD121" s="147"/>
      <c r="DE121" s="147"/>
      <c r="DF121" s="147"/>
      <c r="DG121" s="140"/>
      <c r="DH121" s="147"/>
      <c r="DI121" s="147"/>
      <c r="DJ121" s="147"/>
      <c r="DK121" s="147"/>
      <c r="DL121" s="147"/>
      <c r="DM121" s="147"/>
      <c r="DN121" s="147"/>
      <c r="DO121" s="147"/>
      <c r="DP121" s="147"/>
      <c r="DQ121" s="147"/>
      <c r="DR121" s="147"/>
      <c r="DS121" s="493">
        <v>12</v>
      </c>
      <c r="DT121" s="154">
        <v>250</v>
      </c>
      <c r="DU121" s="493" t="s">
        <v>345</v>
      </c>
      <c r="DV121" s="154" t="s">
        <v>547</v>
      </c>
      <c r="DW121" s="140"/>
      <c r="DX121" s="220"/>
      <c r="DY121" s="220"/>
      <c r="DZ121" s="220"/>
      <c r="EA121" s="140"/>
      <c r="EB121" s="147"/>
      <c r="EC121" s="147"/>
      <c r="ED121" s="147"/>
      <c r="EE121" s="140"/>
      <c r="EF121" s="220"/>
      <c r="EG121" s="220"/>
      <c r="EH121" s="220"/>
      <c r="EI121" s="140"/>
      <c r="EJ121" s="222"/>
      <c r="EK121" s="222"/>
      <c r="EL121" s="222"/>
      <c r="EM121" s="140"/>
      <c r="EN121" s="148"/>
      <c r="EO121" s="148"/>
      <c r="EP121" s="148"/>
      <c r="EQ121" s="140"/>
      <c r="ER121" s="146"/>
      <c r="ES121" s="146"/>
      <c r="ET121" s="146"/>
      <c r="EU121" s="140"/>
      <c r="EV121" s="148"/>
      <c r="EW121" s="148"/>
      <c r="EX121" s="148"/>
      <c r="EY121" s="502">
        <v>0.125</v>
      </c>
      <c r="EZ121" s="503">
        <v>4000</v>
      </c>
      <c r="FA121" s="502" t="s">
        <v>1115</v>
      </c>
      <c r="FB121" s="501" t="s">
        <v>1117</v>
      </c>
      <c r="FC121" s="273"/>
      <c r="FD121" s="149"/>
      <c r="FE121" s="149"/>
      <c r="FF121" s="276">
        <v>6</v>
      </c>
      <c r="FG121" s="340"/>
      <c r="FH121" s="340"/>
      <c r="FI121" s="347" t="s">
        <v>764</v>
      </c>
      <c r="FJ121" s="140"/>
      <c r="FK121" s="277"/>
      <c r="FL121" s="277"/>
      <c r="FM121" s="277"/>
      <c r="FN121" s="140"/>
      <c r="FO121" s="277"/>
      <c r="FP121" s="277"/>
      <c r="FQ121" s="277"/>
      <c r="FR121" s="280"/>
      <c r="FS121" s="277"/>
      <c r="FT121" s="277"/>
      <c r="FU121" s="277"/>
      <c r="FV121" s="277"/>
      <c r="FW121" s="277"/>
      <c r="FX121" s="277"/>
      <c r="FY121" s="277"/>
      <c r="FZ121" s="277"/>
      <c r="GA121" s="277"/>
      <c r="GB121" s="277"/>
      <c r="GC121" s="277"/>
      <c r="GD121" s="277"/>
      <c r="GE121" s="277"/>
      <c r="GF121" s="277"/>
      <c r="GG121" s="277"/>
      <c r="GH121" s="277"/>
      <c r="GI121" s="277"/>
      <c r="GJ121" s="277"/>
      <c r="GK121" s="277"/>
      <c r="GL121" s="277"/>
      <c r="GM121" s="277"/>
      <c r="GN121" s="277"/>
      <c r="GO121" s="277"/>
      <c r="GP121" s="277"/>
      <c r="GQ121" s="277"/>
      <c r="GR121" s="277"/>
      <c r="GS121" s="277"/>
      <c r="GT121" s="277"/>
      <c r="GU121" s="277"/>
      <c r="GV121" s="277"/>
      <c r="GW121" s="277"/>
      <c r="GX121" s="277"/>
      <c r="GY121" s="277"/>
      <c r="GZ121" s="277"/>
      <c r="HA121" s="277"/>
      <c r="HB121" s="277"/>
      <c r="HC121" s="277"/>
      <c r="HD121" s="277"/>
      <c r="HE121" s="277"/>
      <c r="HF121" s="140"/>
      <c r="HG121" s="277"/>
      <c r="HH121" s="277"/>
      <c r="HI121" s="277"/>
      <c r="HJ121" s="140"/>
      <c r="HK121" s="277"/>
      <c r="HL121" s="277"/>
      <c r="HM121" s="277"/>
      <c r="HN121" s="140"/>
      <c r="HO121" s="277"/>
      <c r="HP121" s="277"/>
      <c r="HQ121" s="277"/>
      <c r="HR121" s="277"/>
      <c r="HS121" s="277"/>
      <c r="HT121" s="277"/>
      <c r="HU121" s="277"/>
      <c r="HV121" s="277"/>
      <c r="HW121" s="277"/>
      <c r="HX121" s="277"/>
      <c r="HY121" s="277"/>
      <c r="HZ121" s="140"/>
      <c r="IA121" s="277"/>
      <c r="IB121" s="277"/>
      <c r="IC121" s="277"/>
      <c r="ID121" s="140"/>
      <c r="IE121" s="277"/>
      <c r="IF121" s="277"/>
      <c r="IG121" s="277"/>
      <c r="IH121" s="140"/>
      <c r="II121" s="277"/>
      <c r="IJ121" s="277"/>
      <c r="IK121" s="277"/>
      <c r="IL121" s="140"/>
      <c r="IM121" s="277"/>
      <c r="IN121" s="277"/>
      <c r="IO121" s="277"/>
      <c r="IP121" s="277"/>
      <c r="IQ121" s="277"/>
      <c r="IR121" s="277"/>
      <c r="IS121" s="277"/>
      <c r="IT121" s="277"/>
      <c r="IU121" s="277"/>
      <c r="IV121" s="277"/>
      <c r="IW121" s="277"/>
      <c r="IX121" s="140"/>
      <c r="IY121" s="277"/>
      <c r="IZ121" s="277"/>
      <c r="JA121" s="277"/>
      <c r="JB121" s="140"/>
      <c r="JC121" s="277"/>
      <c r="JD121" s="277"/>
      <c r="JE121" s="277"/>
      <c r="JF121" s="140"/>
      <c r="JG121" s="277"/>
      <c r="JH121" s="277"/>
      <c r="JI121" s="140"/>
      <c r="JJ121" s="277"/>
      <c r="JK121" s="277"/>
      <c r="JL121" s="140"/>
      <c r="JM121" s="277"/>
      <c r="JN121" s="277"/>
      <c r="JO121" s="140"/>
      <c r="JP121" s="277"/>
      <c r="JQ121" s="277"/>
      <c r="JR121" s="277"/>
      <c r="JS121" s="277"/>
      <c r="JT121" s="277"/>
      <c r="JU121" s="277"/>
      <c r="JV121" s="277"/>
      <c r="JW121" s="277"/>
      <c r="JX121" s="277"/>
      <c r="JY121" s="277"/>
      <c r="JZ121" s="490">
        <v>14</v>
      </c>
      <c r="KA121" s="277"/>
      <c r="KB121" s="490" t="s">
        <v>82</v>
      </c>
      <c r="KC121" s="277" t="s">
        <v>546</v>
      </c>
      <c r="KD121" s="490">
        <v>14</v>
      </c>
      <c r="KE121" s="277"/>
      <c r="KF121" s="490" t="s">
        <v>82</v>
      </c>
      <c r="KG121" s="277" t="s">
        <v>546</v>
      </c>
      <c r="KH121" s="490">
        <v>17</v>
      </c>
      <c r="KI121" s="277"/>
      <c r="KJ121" s="490" t="s">
        <v>82</v>
      </c>
      <c r="KK121" s="277" t="s">
        <v>546</v>
      </c>
      <c r="KL121" s="490">
        <v>17</v>
      </c>
      <c r="KM121" s="277"/>
      <c r="KN121" s="490" t="s">
        <v>82</v>
      </c>
      <c r="KO121" s="277" t="s">
        <v>546</v>
      </c>
      <c r="KP121" s="274"/>
      <c r="KQ121" s="253"/>
      <c r="KR121" s="253"/>
      <c r="KY121" s="141">
        <f t="shared" si="37"/>
        <v>0</v>
      </c>
      <c r="KZ121" s="141">
        <f t="shared" si="38"/>
        <v>0</v>
      </c>
      <c r="LB121" s="141">
        <f t="shared" si="39"/>
        <v>1</v>
      </c>
      <c r="LC121" s="141">
        <f t="shared" si="40"/>
        <v>1</v>
      </c>
      <c r="LD121" s="141">
        <f t="shared" si="41"/>
        <v>1</v>
      </c>
      <c r="LE121" s="141" t="e">
        <f>((N(AU121)&gt;0)*(AX121&lt;&gt;"")+(N(AY121)&gt;0)*(BB121&lt;&gt;"")+(N(BC121)&gt;0)*(BF121&lt;&gt;"")+(N(BG121)&gt;0)*(BJ121&lt;&gt;"")+(N(BK121)&gt;0)*(BN121&lt;&gt;"")+(N(BO121)&gt;0)*(BR121&lt;&gt;"")+(N(BS121)&gt;0)*(BV121&lt;&gt;"")+(N(BW121)&gt;0)*(BZ121&lt;&gt;"")+(N(CA121)&gt;0)*(CD121&lt;&gt;"")+(N(CE121)&gt;0)*(CH121&lt;&gt;"")+(N(CI121)&gt;0)*(CL121&lt;&gt;"")+(N(CM121)&gt;0)*(CP121&lt;&gt;"")+(N(CQ121)&gt;0)*(CT121&lt;&gt;"")+(N(CU121)&gt;0)*(CX121&lt;&gt;"")+(N(CY121)&gt;0)*(DB121&lt;&gt;"")+(N(DC121)&gt;0)*(DF121&lt;&gt;"")+(N(DG121)&gt;0)*(DJ121&lt;&gt;"")+(N(DS121)&gt;0)*(DV121&lt;&gt;"")+(N(DW121)&gt;0)*(DZ121&lt;&gt;"")+(N(EA121)&gt;0)*(ED121&lt;&gt;"")+(N(EE121)&gt;0)*(EH121&lt;&gt;"")+(N(EI121)&gt;0)*(EL121&lt;&gt;"")+(N(EM121)&gt;0)*(EP121&lt;&gt;"")+(N(EQ121)&gt;0)*(ET121&lt;&gt;"")+(N(EU121)&gt;0)*(EX121&lt;&gt;"")+(N(#REF!)&gt;0)*(#REF!&lt;&gt;"")+(N(#REF!)&gt;0)*(#REF!&lt;&gt;"")+(N(FJ121)&gt;0)*(FM121&lt;&gt;"")+(N(FN121)&gt;0)*(FQ121&lt;&gt;"")+(N(#REF!)&gt;0)*(#REF!&lt;&gt;"")+(N(#REF!)&gt;0)*(#REF!&lt;&gt;"")+(N(HF121)&gt;0)*(HI121&lt;&gt;"")+(N(#REF!)&gt;0)*(#REF!&lt;&gt;"")+(N(HJ121)&gt;0)*(HM121&lt;&gt;"")+(N(HN121)&gt;0)*(HQ121&lt;&gt;"")+(N(HZ121)&gt;0)*(IC121&lt;&gt;"")+(N(ID121)&gt;0)*(IG121&lt;&gt;"")+(N(IH121)&gt;0)*(IK121&lt;&gt;"")+(N(IL121)&gt;0)*(IO121&lt;&gt;"")+(N(IX121)&gt;0)*(JA121&lt;&gt;"")+(N(JB121)&gt;0)*(JE121&lt;&gt;"")+(N(JF121)&gt;0)*(JH121&lt;&gt;"")+(N(JI121)&gt;0)*(JK121&lt;&gt;"")+(N(JL121)&gt;0)*(JN121&lt;&gt;"")+(N(JO121)&gt;0)*(JQ121&lt;&gt;""))</f>
        <v>#REF!</v>
      </c>
      <c r="LF121" s="141">
        <f t="shared" si="48"/>
        <v>1</v>
      </c>
      <c r="LG121" s="141">
        <f t="shared" si="42"/>
        <v>1</v>
      </c>
    </row>
    <row r="122" spans="1:319" ht="38.25" customHeight="1" x14ac:dyDescent="0.55000000000000004">
      <c r="B122" s="526" t="s">
        <v>187</v>
      </c>
      <c r="C122" s="218">
        <v>2</v>
      </c>
      <c r="D122" s="218">
        <v>2</v>
      </c>
      <c r="E122" s="218">
        <v>2</v>
      </c>
      <c r="F122" s="162">
        <f>($AI$122/$AJ$122)*$L$122*C122</f>
        <v>1344</v>
      </c>
      <c r="G122" s="162">
        <f>($AI$122/$AJ$122)*$L$122*D122</f>
        <v>1344</v>
      </c>
      <c r="H122" s="162">
        <f>($AI$122/$AJ$122)*$L$122*E122</f>
        <v>1344</v>
      </c>
      <c r="I122" s="162" cm="1">
        <f t="array" ref="I122">SUMPRODUCT(($AI$2:$KV$2&lt;&gt;"")*($AI122:$KV122&lt;&gt;""))</f>
        <v>8</v>
      </c>
      <c r="J122" s="142">
        <f t="shared" si="43"/>
        <v>16</v>
      </c>
      <c r="K122" s="142">
        <f t="shared" si="44"/>
        <v>224</v>
      </c>
      <c r="L122" s="268">
        <f t="shared" si="49"/>
        <v>7000</v>
      </c>
      <c r="M122" s="164">
        <f t="shared" si="45"/>
        <v>9408</v>
      </c>
      <c r="N122" s="397"/>
      <c r="O122" s="165">
        <f t="shared" si="46"/>
        <v>15680</v>
      </c>
      <c r="P122" s="165"/>
      <c r="Q122" s="165"/>
      <c r="R122" s="165">
        <f>(IFERROR(AM122/AN122,0)+IFERROR(AU122/AV122,0)+IFERROR(AY122/AZ122,0)+IFERROR(BC122/BD122,0)+IFERROR(BG122/BH122,0)+IFERROR(BK122/BL122,0)+IFERROR(BO122/BP122,0)+IFERROR(BS122/BT122,0)+IFERROR(BW122/BX122,0)+IFERROR(CA122/CB122,0)+IFERROR(CE122/CF122,0)+IFERROR(CI122/CJ122,0)+IFERROR(CM122/CN122,0)+IFERROR(CQ122/CR122,0)+IFERROR(CU122/CV122,0)+IFERROR(CY122/CZ122,0)+IFERROR(DC122/DD122,0)+IFERROR(DG122/DH122,0)+IFERROR(DS122/DT122,0)+IFERROR(DW122/DX122,0)+IFERROR(EA122/EB122,0)+IFERROR(EE122/EF122,0)+IFERROR(EI122/EJ122,0)+IFERROR(EM122/EN122,0)+IFERROR(EQ122/ER122,0)+IFERROR(EU122/EV122,0)+IFERROR(#REF!/#REF!,0)+IFERROR(#REF!/#REF!,0)+IFERROR(FJ122/FK122,0)+IFERROR(FN122/FO122,0)+IFERROR(#REF!/#REF!,0)+IFERROR(#REF!/#REF!,0)+IFERROR(HF122/HG122,0)+IFERROR(#REF!/#REF!,0)+IFERROR(HJ122/HK122,0)+IFERROR(HN122/HO122,0)+IFERROR(HZ122/IA122,0)+IFERROR(ID122/IE122,0)+IFERROR(IH122/II122,0)+IFERROR(IL122/IM122,0)+IFERROR(IX122/IY122,0)+IFERROR(JB122/JC122,0)+IFERROR(JF122/JG122,0)+IFERROR(JI122/JJ122,0)+IFERROR(JL122/JM122,0)+IFERROR(JO122/JP122,0))*L122*(C122+D122+E122+I122)</f>
        <v>1078</v>
      </c>
      <c r="S122" s="165"/>
      <c r="T122" s="165">
        <f t="shared" si="35"/>
        <v>0</v>
      </c>
      <c r="U122" s="165"/>
      <c r="V122" s="165"/>
      <c r="W122" s="165"/>
      <c r="X122" s="165">
        <f>(IFERROR(FF122/FG122,0)+IFERROR(FC122/FD122,0)+IFERROR(#REF!/#REF!,0)+IFERROR(KP122/KQ122,0))*L122*(C122+D122+E122+I122)</f>
        <v>0</v>
      </c>
      <c r="Y122" s="484"/>
      <c r="Z122" s="484"/>
      <c r="AA122" s="484"/>
      <c r="AB122" s="484"/>
      <c r="AC122" s="150">
        <f t="shared" si="47"/>
        <v>2499</v>
      </c>
      <c r="AD122" s="150"/>
      <c r="AE122" s="150">
        <f t="shared" si="36"/>
        <v>0</v>
      </c>
      <c r="AF122" s="161">
        <v>650</v>
      </c>
      <c r="AG122" s="143">
        <v>51</v>
      </c>
      <c r="AH122" s="154">
        <v>2000</v>
      </c>
      <c r="AI122" s="144">
        <v>24</v>
      </c>
      <c r="AJ122" s="154">
        <v>250</v>
      </c>
      <c r="AK122" s="489" t="s">
        <v>81</v>
      </c>
      <c r="AL122" s="154" t="s">
        <v>517</v>
      </c>
      <c r="AM122" s="140"/>
      <c r="AN122" s="154"/>
      <c r="AO122" s="154"/>
      <c r="AP122" s="220"/>
      <c r="AQ122" s="145">
        <v>320</v>
      </c>
      <c r="AR122" s="154">
        <v>2000</v>
      </c>
      <c r="AS122" s="496" t="s">
        <v>1078</v>
      </c>
      <c r="AT122" s="497" t="s">
        <v>763</v>
      </c>
      <c r="AU122" s="140"/>
      <c r="AV122" s="277"/>
      <c r="AW122" s="277"/>
      <c r="AX122" s="277"/>
      <c r="AY122" s="140"/>
      <c r="AZ122" s="277"/>
      <c r="BA122" s="277"/>
      <c r="BB122" s="277"/>
      <c r="BC122" s="140"/>
      <c r="BD122" s="277"/>
      <c r="BE122" s="277"/>
      <c r="BF122" s="277"/>
      <c r="BG122" s="140"/>
      <c r="BH122" s="277"/>
      <c r="BI122" s="277"/>
      <c r="BJ122" s="277"/>
      <c r="BK122" s="140"/>
      <c r="BL122" s="277"/>
      <c r="BM122" s="277"/>
      <c r="BN122" s="277"/>
      <c r="BO122" s="140"/>
      <c r="BP122" s="277"/>
      <c r="BQ122" s="277"/>
      <c r="BR122" s="277"/>
      <c r="BS122" s="140"/>
      <c r="BT122" s="277"/>
      <c r="BU122" s="277"/>
      <c r="BV122" s="277"/>
      <c r="BW122" s="140"/>
      <c r="BX122" s="154"/>
      <c r="BY122" s="154"/>
      <c r="BZ122" s="220"/>
      <c r="CA122" s="140"/>
      <c r="CB122" s="154"/>
      <c r="CC122" s="154"/>
      <c r="CD122" s="220"/>
      <c r="CE122" s="493">
        <v>11</v>
      </c>
      <c r="CF122" s="154">
        <v>2000</v>
      </c>
      <c r="CG122" s="493" t="s">
        <v>345</v>
      </c>
      <c r="CH122" s="154" t="s">
        <v>345</v>
      </c>
      <c r="CI122" s="493">
        <v>11</v>
      </c>
      <c r="CJ122" s="154">
        <v>2000</v>
      </c>
      <c r="CK122" s="493" t="s">
        <v>345</v>
      </c>
      <c r="CL122" s="154" t="s">
        <v>345</v>
      </c>
      <c r="CM122" s="140"/>
      <c r="CN122" s="271"/>
      <c r="CO122" s="271"/>
      <c r="CP122" s="271"/>
      <c r="CQ122" s="140"/>
      <c r="CR122" s="154"/>
      <c r="CS122" s="154"/>
      <c r="CT122" s="154"/>
      <c r="CU122" s="140"/>
      <c r="CV122" s="154"/>
      <c r="CW122" s="154"/>
      <c r="CX122" s="220"/>
      <c r="CY122" s="140"/>
      <c r="CZ122" s="154"/>
      <c r="DA122" s="154"/>
      <c r="DB122" s="220"/>
      <c r="DC122" s="140"/>
      <c r="DD122" s="146"/>
      <c r="DE122" s="146"/>
      <c r="DF122" s="146"/>
      <c r="DG122" s="140"/>
      <c r="DH122" s="146"/>
      <c r="DI122" s="146"/>
      <c r="DJ122" s="146"/>
      <c r="DK122" s="146"/>
      <c r="DL122" s="146"/>
      <c r="DM122" s="146"/>
      <c r="DN122" s="146"/>
      <c r="DO122" s="146"/>
      <c r="DP122" s="146"/>
      <c r="DQ122" s="146"/>
      <c r="DR122" s="146"/>
      <c r="DS122" s="140"/>
      <c r="DT122" s="154"/>
      <c r="DU122" s="154"/>
      <c r="DV122" s="154"/>
      <c r="DW122" s="140"/>
      <c r="DX122" s="220"/>
      <c r="DY122" s="220"/>
      <c r="DZ122" s="220"/>
      <c r="EA122" s="140"/>
      <c r="EB122" s="220"/>
      <c r="EC122" s="220"/>
      <c r="ED122" s="220"/>
      <c r="EE122" s="140"/>
      <c r="EF122" s="154"/>
      <c r="EG122" s="154"/>
      <c r="EH122" s="154"/>
      <c r="EI122" s="140"/>
      <c r="EJ122" s="154"/>
      <c r="EK122" s="154"/>
      <c r="EL122" s="154"/>
      <c r="EM122" s="140"/>
      <c r="EN122" s="222"/>
      <c r="EO122" s="222"/>
      <c r="EP122" s="222"/>
      <c r="EQ122" s="140"/>
      <c r="ER122" s="222"/>
      <c r="ES122" s="222"/>
      <c r="ET122" s="222"/>
      <c r="EU122" s="140"/>
      <c r="EV122" s="222"/>
      <c r="EW122" s="222"/>
      <c r="EX122" s="222"/>
      <c r="EY122" s="344"/>
      <c r="EZ122" s="222"/>
      <c r="FA122" s="222"/>
      <c r="FB122" s="222"/>
      <c r="FC122" s="273"/>
      <c r="FD122" s="223"/>
      <c r="FE122" s="223"/>
      <c r="FF122" s="276"/>
      <c r="FG122" s="156"/>
      <c r="FH122" s="156"/>
      <c r="FI122" s="156"/>
      <c r="FJ122" s="140"/>
      <c r="FK122" s="277"/>
      <c r="FL122" s="277"/>
      <c r="FM122" s="277"/>
      <c r="FN122" s="140"/>
      <c r="FO122" s="277"/>
      <c r="FP122" s="277"/>
      <c r="FQ122" s="277"/>
      <c r="FR122" s="280"/>
      <c r="FS122" s="277"/>
      <c r="FT122" s="277"/>
      <c r="FU122" s="277"/>
      <c r="FV122" s="504">
        <v>0.3</v>
      </c>
      <c r="FW122" s="277">
        <v>80</v>
      </c>
      <c r="FX122" s="504" t="s">
        <v>1185</v>
      </c>
      <c r="FY122" s="277" t="s">
        <v>1203</v>
      </c>
      <c r="FZ122" s="277"/>
      <c r="GA122" s="277"/>
      <c r="GB122" s="277"/>
      <c r="GC122" s="277"/>
      <c r="GD122" s="277"/>
      <c r="GE122" s="277"/>
      <c r="GF122" s="277"/>
      <c r="GG122" s="277"/>
      <c r="GH122" s="277"/>
      <c r="GI122" s="277"/>
      <c r="GJ122" s="277"/>
      <c r="GK122" s="277"/>
      <c r="GL122" s="496">
        <v>19</v>
      </c>
      <c r="GM122" s="277">
        <v>6000</v>
      </c>
      <c r="GN122" s="496" t="s">
        <v>1078</v>
      </c>
      <c r="GO122" s="277" t="s">
        <v>1209</v>
      </c>
      <c r="GP122" s="496">
        <v>19</v>
      </c>
      <c r="GQ122" s="277">
        <v>6000</v>
      </c>
      <c r="GR122" s="496" t="s">
        <v>1078</v>
      </c>
      <c r="GS122" s="277" t="s">
        <v>1209</v>
      </c>
      <c r="GT122" s="527">
        <f>60/1000</f>
        <v>0.06</v>
      </c>
      <c r="GU122" s="277">
        <v>500</v>
      </c>
      <c r="GV122" s="527" t="s">
        <v>1185</v>
      </c>
      <c r="GW122" s="277" t="s">
        <v>1210</v>
      </c>
      <c r="GX122" s="481"/>
      <c r="GY122" s="277">
        <v>2000</v>
      </c>
      <c r="GZ122" s="481" t="s">
        <v>1087</v>
      </c>
      <c r="HA122" s="277" t="s">
        <v>1214</v>
      </c>
      <c r="HB122" s="277"/>
      <c r="HC122" s="277"/>
      <c r="HD122" s="277"/>
      <c r="HE122" s="277"/>
      <c r="HF122" s="140"/>
      <c r="HG122" s="277"/>
      <c r="HH122" s="277"/>
      <c r="HI122" s="277"/>
      <c r="HJ122" s="140"/>
      <c r="HK122" s="277"/>
      <c r="HL122" s="277"/>
      <c r="HM122" s="277"/>
      <c r="HN122" s="140"/>
      <c r="HO122" s="277"/>
      <c r="HP122" s="277"/>
      <c r="HQ122" s="277"/>
      <c r="HR122" s="277"/>
      <c r="HS122" s="277"/>
      <c r="HT122" s="277"/>
      <c r="HU122" s="277"/>
      <c r="HV122" s="277"/>
      <c r="HW122" s="277"/>
      <c r="HX122" s="277"/>
      <c r="HY122" s="277"/>
      <c r="HZ122" s="140"/>
      <c r="IA122" s="277"/>
      <c r="IB122" s="277"/>
      <c r="IC122" s="277"/>
      <c r="ID122" s="140"/>
      <c r="IE122" s="277"/>
      <c r="IF122" s="277"/>
      <c r="IG122" s="277"/>
      <c r="IH122" s="140"/>
      <c r="II122" s="277"/>
      <c r="IJ122" s="277"/>
      <c r="IK122" s="277"/>
      <c r="IL122" s="140"/>
      <c r="IM122" s="277"/>
      <c r="IN122" s="277"/>
      <c r="IO122" s="277"/>
      <c r="IP122" s="277"/>
      <c r="IQ122" s="277"/>
      <c r="IR122" s="277"/>
      <c r="IS122" s="277"/>
      <c r="IT122" s="277"/>
      <c r="IU122" s="277"/>
      <c r="IV122" s="277"/>
      <c r="IW122" s="277"/>
      <c r="IX122" s="140"/>
      <c r="IY122" s="277"/>
      <c r="IZ122" s="277"/>
      <c r="JA122" s="277"/>
      <c r="JB122" s="140"/>
      <c r="JC122" s="277"/>
      <c r="JD122" s="277"/>
      <c r="JE122" s="277"/>
      <c r="JF122" s="140"/>
      <c r="JG122" s="277"/>
      <c r="JH122" s="277"/>
      <c r="JI122" s="140"/>
      <c r="JJ122" s="277"/>
      <c r="JK122" s="277"/>
      <c r="JL122" s="140"/>
      <c r="JM122" s="277"/>
      <c r="JN122" s="277"/>
      <c r="JO122" s="140"/>
      <c r="JP122" s="277"/>
      <c r="JQ122" s="277"/>
      <c r="JR122" s="277"/>
      <c r="JS122" s="277"/>
      <c r="JT122" s="277"/>
      <c r="JU122" s="277"/>
      <c r="JV122" s="277"/>
      <c r="JW122" s="277"/>
      <c r="JX122" s="277"/>
      <c r="JY122" s="277"/>
      <c r="JZ122" s="277"/>
      <c r="KA122" s="277"/>
      <c r="KB122" s="277"/>
      <c r="KC122" s="277"/>
      <c r="KD122" s="277"/>
      <c r="KE122" s="277"/>
      <c r="KF122" s="277"/>
      <c r="KG122" s="277"/>
      <c r="KH122" s="277"/>
      <c r="KI122" s="277"/>
      <c r="KJ122" s="277"/>
      <c r="KK122" s="277"/>
      <c r="KL122" s="277"/>
      <c r="KM122" s="277"/>
      <c r="KN122" s="277"/>
      <c r="KO122" s="277"/>
      <c r="KP122" s="274"/>
      <c r="KQ122" s="253"/>
      <c r="KR122" s="253"/>
      <c r="KY122" s="141">
        <f t="shared" si="37"/>
        <v>0</v>
      </c>
      <c r="KZ122" s="141">
        <f t="shared" si="38"/>
        <v>0</v>
      </c>
      <c r="LB122" s="141">
        <f t="shared" si="39"/>
        <v>1</v>
      </c>
      <c r="LC122" s="141">
        <f t="shared" si="40"/>
        <v>0</v>
      </c>
      <c r="LD122" s="141">
        <f t="shared" si="41"/>
        <v>1</v>
      </c>
      <c r="LE122" s="141" t="e">
        <f>((N(AU122)&gt;0)*(AX122&lt;&gt;"")+(N(AY122)&gt;0)*(BB122&lt;&gt;"")+(N(BC122)&gt;0)*(BF122&lt;&gt;"")+(N(BG122)&gt;0)*(BJ122&lt;&gt;"")+(N(BK122)&gt;0)*(BN122&lt;&gt;"")+(N(BO122)&gt;0)*(BR122&lt;&gt;"")+(N(BS122)&gt;0)*(BV122&lt;&gt;"")+(N(BW122)&gt;0)*(BZ122&lt;&gt;"")+(N(CA122)&gt;0)*(CD122&lt;&gt;"")+(N(CE122)&gt;0)*(CH122&lt;&gt;"")+(N(CI122)&gt;0)*(CL122&lt;&gt;"")+(N(CM122)&gt;0)*(CP122&lt;&gt;"")+(N(CQ122)&gt;0)*(CT122&lt;&gt;"")+(N(CU122)&gt;0)*(CX122&lt;&gt;"")+(N(CY122)&gt;0)*(DB122&lt;&gt;"")+(N(DC122)&gt;0)*(DF122&lt;&gt;"")+(N(DG122)&gt;0)*(DJ122&lt;&gt;"")+(N(DS122)&gt;0)*(DV122&lt;&gt;"")+(N(DW122)&gt;0)*(DZ122&lt;&gt;"")+(N(EA122)&gt;0)*(ED122&lt;&gt;"")+(N(EE122)&gt;0)*(EH122&lt;&gt;"")+(N(EI122)&gt;0)*(EL122&lt;&gt;"")+(N(EM122)&gt;0)*(EP122&lt;&gt;"")+(N(EQ122)&gt;0)*(ET122&lt;&gt;"")+(N(EU122)&gt;0)*(EX122&lt;&gt;"")+(N(#REF!)&gt;0)*(#REF!&lt;&gt;"")+(N(#REF!)&gt;0)*(#REF!&lt;&gt;"")+(N(FJ122)&gt;0)*(FM122&lt;&gt;"")+(N(FN122)&gt;0)*(FQ122&lt;&gt;"")+(N(#REF!)&gt;0)*(#REF!&lt;&gt;"")+(N(#REF!)&gt;0)*(#REF!&lt;&gt;"")+(N(HF122)&gt;0)*(HI122&lt;&gt;"")+(N(#REF!)&gt;0)*(#REF!&lt;&gt;"")+(N(HJ122)&gt;0)*(HM122&lt;&gt;"")+(N(HN122)&gt;0)*(HQ122&lt;&gt;"")+(N(HZ122)&gt;0)*(IC122&lt;&gt;"")+(N(ID122)&gt;0)*(IG122&lt;&gt;"")+(N(IH122)&gt;0)*(IK122&lt;&gt;"")+(N(IL122)&gt;0)*(IO122&lt;&gt;"")+(N(IX122)&gt;0)*(JA122&lt;&gt;"")+(N(JB122)&gt;0)*(JE122&lt;&gt;"")+(N(JF122)&gt;0)*(JH122&lt;&gt;"")+(N(JI122)&gt;0)*(JK122&lt;&gt;"")+(N(JL122)&gt;0)*(JN122&lt;&gt;"")+(N(JO122)&gt;0)*(JQ122&lt;&gt;""))</f>
        <v>#REF!</v>
      </c>
      <c r="LF122" s="141">
        <f t="shared" si="48"/>
        <v>0</v>
      </c>
      <c r="LG122" s="141">
        <f t="shared" si="42"/>
        <v>1</v>
      </c>
    </row>
    <row r="123" spans="1:319" ht="38.25" customHeight="1" x14ac:dyDescent="0.55000000000000004">
      <c r="B123" s="526" t="s">
        <v>188</v>
      </c>
      <c r="C123" s="218">
        <v>2</v>
      </c>
      <c r="D123" s="218">
        <v>2</v>
      </c>
      <c r="E123" s="218">
        <v>2</v>
      </c>
      <c r="F123" s="162">
        <f>($AI$123/$AJ$123)*$L$123*C123</f>
        <v>896</v>
      </c>
      <c r="G123" s="162">
        <f>($AI$123/$AJ$123)*$L$123*D123</f>
        <v>896</v>
      </c>
      <c r="H123" s="162">
        <f>($AI$123/$AJ$123)*$L$123*E123</f>
        <v>896</v>
      </c>
      <c r="I123" s="162" cm="1">
        <f t="array" ref="I123">SUMPRODUCT(($AI$2:$KV$2&lt;&gt;"")*($AI123:$KV123&lt;&gt;""))</f>
        <v>7</v>
      </c>
      <c r="J123" s="142">
        <f t="shared" si="43"/>
        <v>14</v>
      </c>
      <c r="K123" s="142">
        <f t="shared" si="44"/>
        <v>196</v>
      </c>
      <c r="L123" s="268">
        <f t="shared" si="49"/>
        <v>7000</v>
      </c>
      <c r="M123" s="164">
        <f t="shared" si="45"/>
        <v>5824</v>
      </c>
      <c r="N123" s="397"/>
      <c r="O123" s="165">
        <f t="shared" si="46"/>
        <v>16835</v>
      </c>
      <c r="P123" s="165"/>
      <c r="Q123" s="165"/>
      <c r="R123" s="165">
        <f>(IFERROR(AM123/AN123,0)+IFERROR(AU123/AV123,0)+IFERROR(AY123/AZ123,0)+IFERROR(BC123/BD123,0)+IFERROR(BG123/BH123,0)+IFERROR(BK123/BL123,0)+IFERROR(BO123/BP123,0)+IFERROR(BS123/BT123,0)+IFERROR(BW123/BX123,0)+IFERROR(CA123/CB123,0)+IFERROR(CE123/CF123,0)+IFERROR(CI123/CJ123,0)+IFERROR(CM123/CN123,0)+IFERROR(CQ123/CR123,0)+IFERROR(CU123/CV123,0)+IFERROR(CY123/CZ123,0)+IFERROR(DC123/DD123,0)+IFERROR(DG123/DH123,0)+IFERROR(DS123/DT123,0)+IFERROR(DW123/DX123,0)+IFERROR(EA123/EB123,0)+IFERROR(EE123/EF123,0)+IFERROR(EI123/EJ123,0)+IFERROR(EM123/EN123,0)+IFERROR(EQ123/ER123,0)+IFERROR(EU123/EV123,0)+IFERROR(#REF!/#REF!,0)+IFERROR(#REF!/#REF!,0)+IFERROR(FJ123/FK123,0)+IFERROR(FN123/FO123,0)+IFERROR(#REF!/#REF!,0)+IFERROR(#REF!/#REF!,0)+IFERROR(HF123/HG123,0)+IFERROR(#REF!/#REF!,0)+IFERROR(HJ123/HK123,0)+IFERROR(HN123/HO123,0)+IFERROR(HZ123/IA123,0)+IFERROR(ID123/IE123,0)+IFERROR(IH123/II123,0)+IFERROR(IL123/IM123,0)+IFERROR(IX123/IY123,0)+IFERROR(JB123/JC123,0)+IFERROR(JF123/JG123,0)+IFERROR(JI123/JJ123,0)+IFERROR(JL123/JM123,0)+IFERROR(JO123/JP123,0))*L123*(C123+D123+E123+I123)</f>
        <v>1001</v>
      </c>
      <c r="S123" s="165"/>
      <c r="T123" s="165">
        <f t="shared" si="35"/>
        <v>0</v>
      </c>
      <c r="U123" s="165"/>
      <c r="V123" s="165"/>
      <c r="W123" s="165"/>
      <c r="X123" s="165">
        <f>(IFERROR(FF123/FG123,0)+IFERROR(FC123/FD123,0)+IFERROR(#REF!/#REF!,0)+IFERROR(KP123/KQ123,0))*L123*(C123+D123+E123+I123)</f>
        <v>0</v>
      </c>
      <c r="Y123" s="484"/>
      <c r="Z123" s="484"/>
      <c r="AA123" s="484"/>
      <c r="AB123" s="484"/>
      <c r="AC123" s="150">
        <f t="shared" si="47"/>
        <v>1228.5</v>
      </c>
      <c r="AD123" s="150"/>
      <c r="AE123" s="150">
        <f t="shared" si="36"/>
        <v>0</v>
      </c>
      <c r="AF123" s="161">
        <v>650</v>
      </c>
      <c r="AG123" s="143">
        <v>27</v>
      </c>
      <c r="AH123" s="154">
        <v>2000</v>
      </c>
      <c r="AI123" s="144">
        <v>16</v>
      </c>
      <c r="AJ123" s="154">
        <v>250</v>
      </c>
      <c r="AK123" s="489" t="s">
        <v>81</v>
      </c>
      <c r="AL123" s="154" t="s">
        <v>517</v>
      </c>
      <c r="AM123" s="140"/>
      <c r="AN123" s="154"/>
      <c r="AO123" s="154"/>
      <c r="AP123" s="220"/>
      <c r="AQ123" s="145">
        <v>370</v>
      </c>
      <c r="AR123" s="154">
        <v>2000</v>
      </c>
      <c r="AS123" s="496" t="s">
        <v>1078</v>
      </c>
      <c r="AT123" s="497" t="s">
        <v>763</v>
      </c>
      <c r="AU123" s="140"/>
      <c r="AV123" s="277"/>
      <c r="AW123" s="277"/>
      <c r="AX123" s="277"/>
      <c r="AY123" s="140"/>
      <c r="AZ123" s="277"/>
      <c r="BA123" s="277"/>
      <c r="BB123" s="277"/>
      <c r="BC123" s="140"/>
      <c r="BD123" s="277"/>
      <c r="BE123" s="277"/>
      <c r="BF123" s="277"/>
      <c r="BG123" s="140"/>
      <c r="BH123" s="277"/>
      <c r="BI123" s="277"/>
      <c r="BJ123" s="277"/>
      <c r="BK123" s="140"/>
      <c r="BL123" s="277"/>
      <c r="BM123" s="277"/>
      <c r="BN123" s="277"/>
      <c r="BO123" s="140"/>
      <c r="BP123" s="277"/>
      <c r="BQ123" s="277"/>
      <c r="BR123" s="277"/>
      <c r="BS123" s="140"/>
      <c r="BT123" s="277"/>
      <c r="BU123" s="277"/>
      <c r="BV123" s="277"/>
      <c r="BW123" s="140"/>
      <c r="BX123" s="154"/>
      <c r="BY123" s="154"/>
      <c r="BZ123" s="220"/>
      <c r="CA123" s="140"/>
      <c r="CB123" s="154"/>
      <c r="CC123" s="154"/>
      <c r="CD123" s="220"/>
      <c r="CE123" s="493">
        <v>11</v>
      </c>
      <c r="CF123" s="154">
        <v>2000</v>
      </c>
      <c r="CG123" s="493" t="s">
        <v>345</v>
      </c>
      <c r="CH123" s="154" t="s">
        <v>345</v>
      </c>
      <c r="CI123" s="493">
        <v>11</v>
      </c>
      <c r="CJ123" s="154">
        <v>2000</v>
      </c>
      <c r="CK123" s="493" t="s">
        <v>345</v>
      </c>
      <c r="CL123" s="154" t="s">
        <v>345</v>
      </c>
      <c r="CM123" s="140"/>
      <c r="CN123" s="271"/>
      <c r="CO123" s="271"/>
      <c r="CP123" s="271"/>
      <c r="CQ123" s="140"/>
      <c r="CR123" s="154"/>
      <c r="CS123" s="154"/>
      <c r="CT123" s="154"/>
      <c r="CU123" s="140"/>
      <c r="CV123" s="154"/>
      <c r="CW123" s="154"/>
      <c r="CX123" s="220"/>
      <c r="CY123" s="140"/>
      <c r="CZ123" s="154"/>
      <c r="DA123" s="154"/>
      <c r="DB123" s="220"/>
      <c r="DC123" s="140"/>
      <c r="DD123" s="146"/>
      <c r="DE123" s="146"/>
      <c r="DF123" s="146"/>
      <c r="DG123" s="140"/>
      <c r="DH123" s="146"/>
      <c r="DI123" s="146"/>
      <c r="DJ123" s="146"/>
      <c r="DK123" s="146"/>
      <c r="DL123" s="146"/>
      <c r="DM123" s="146"/>
      <c r="DN123" s="146"/>
      <c r="DO123" s="146"/>
      <c r="DP123" s="146"/>
      <c r="DQ123" s="146"/>
      <c r="DR123" s="146"/>
      <c r="DS123" s="140"/>
      <c r="DT123" s="154"/>
      <c r="DU123" s="154"/>
      <c r="DV123" s="154"/>
      <c r="DW123" s="140"/>
      <c r="DX123" s="220"/>
      <c r="DY123" s="220"/>
      <c r="DZ123" s="220"/>
      <c r="EA123" s="140"/>
      <c r="EB123" s="220"/>
      <c r="EC123" s="220"/>
      <c r="ED123" s="220"/>
      <c r="EE123" s="140"/>
      <c r="EF123" s="154"/>
      <c r="EG123" s="154"/>
      <c r="EH123" s="154"/>
      <c r="EI123" s="140"/>
      <c r="EJ123" s="154"/>
      <c r="EK123" s="154"/>
      <c r="EL123" s="154"/>
      <c r="EM123" s="140"/>
      <c r="EN123" s="222"/>
      <c r="EO123" s="222"/>
      <c r="EP123" s="222"/>
      <c r="EQ123" s="140"/>
      <c r="ER123" s="222"/>
      <c r="ES123" s="222"/>
      <c r="ET123" s="222"/>
      <c r="EU123" s="140"/>
      <c r="EV123" s="222"/>
      <c r="EW123" s="222"/>
      <c r="EX123" s="222"/>
      <c r="EY123" s="344"/>
      <c r="EZ123" s="222"/>
      <c r="FA123" s="222"/>
      <c r="FB123" s="222"/>
      <c r="FC123" s="273"/>
      <c r="FD123" s="223"/>
      <c r="FE123" s="223"/>
      <c r="FF123" s="276"/>
      <c r="FG123" s="156"/>
      <c r="FH123" s="156"/>
      <c r="FI123" s="156"/>
      <c r="FJ123" s="140"/>
      <c r="FK123" s="277"/>
      <c r="FL123" s="277"/>
      <c r="FM123" s="277"/>
      <c r="FN123" s="140"/>
      <c r="FO123" s="277"/>
      <c r="FP123" s="277"/>
      <c r="FQ123" s="277"/>
      <c r="FR123" s="280"/>
      <c r="FS123" s="277"/>
      <c r="FT123" s="277"/>
      <c r="FU123" s="277"/>
      <c r="FV123" s="277"/>
      <c r="FW123" s="277"/>
      <c r="FX123" s="277"/>
      <c r="FY123" s="277"/>
      <c r="FZ123" s="277"/>
      <c r="GA123" s="277"/>
      <c r="GB123" s="277"/>
      <c r="GC123" s="277"/>
      <c r="GD123" s="277"/>
      <c r="GE123" s="277"/>
      <c r="GF123" s="277"/>
      <c r="GG123" s="277"/>
      <c r="GH123" s="277"/>
      <c r="GI123" s="277"/>
      <c r="GJ123" s="277"/>
      <c r="GK123" s="277"/>
      <c r="GL123" s="496">
        <v>19</v>
      </c>
      <c r="GM123" s="277">
        <v>6000</v>
      </c>
      <c r="GN123" s="496" t="s">
        <v>1078</v>
      </c>
      <c r="GO123" s="277" t="s">
        <v>1209</v>
      </c>
      <c r="GP123" s="496">
        <v>19</v>
      </c>
      <c r="GQ123" s="277">
        <v>6000</v>
      </c>
      <c r="GR123" s="496" t="s">
        <v>1078</v>
      </c>
      <c r="GS123" s="277" t="s">
        <v>1209</v>
      </c>
      <c r="GT123" s="527">
        <f>210/1000</f>
        <v>0.21</v>
      </c>
      <c r="GU123" s="277">
        <v>2000</v>
      </c>
      <c r="GV123" s="527" t="s">
        <v>1185</v>
      </c>
      <c r="GW123" s="277" t="s">
        <v>1215</v>
      </c>
      <c r="GX123" s="277"/>
      <c r="GY123" s="277"/>
      <c r="GZ123" s="277"/>
      <c r="HA123" s="277"/>
      <c r="HB123" s="277"/>
      <c r="HC123" s="277"/>
      <c r="HD123" s="277"/>
      <c r="HE123" s="277"/>
      <c r="HF123" s="140"/>
      <c r="HG123" s="277"/>
      <c r="HH123" s="277"/>
      <c r="HI123" s="277"/>
      <c r="HJ123" s="140"/>
      <c r="HK123" s="277"/>
      <c r="HL123" s="277"/>
      <c r="HM123" s="277"/>
      <c r="HN123" s="140"/>
      <c r="HO123" s="277"/>
      <c r="HP123" s="277"/>
      <c r="HQ123" s="277"/>
      <c r="HR123" s="277"/>
      <c r="HS123" s="277"/>
      <c r="HT123" s="277"/>
      <c r="HU123" s="277"/>
      <c r="HV123" s="277"/>
      <c r="HW123" s="277"/>
      <c r="HX123" s="277"/>
      <c r="HY123" s="277"/>
      <c r="HZ123" s="140"/>
      <c r="IA123" s="277"/>
      <c r="IB123" s="277"/>
      <c r="IC123" s="277"/>
      <c r="ID123" s="140"/>
      <c r="IE123" s="277"/>
      <c r="IF123" s="277"/>
      <c r="IG123" s="277"/>
      <c r="IH123" s="140"/>
      <c r="II123" s="277"/>
      <c r="IJ123" s="277"/>
      <c r="IK123" s="277"/>
      <c r="IL123" s="140"/>
      <c r="IM123" s="277"/>
      <c r="IN123" s="277"/>
      <c r="IO123" s="277"/>
      <c r="IP123" s="277"/>
      <c r="IQ123" s="277"/>
      <c r="IR123" s="277"/>
      <c r="IS123" s="277"/>
      <c r="IT123" s="277"/>
      <c r="IU123" s="277"/>
      <c r="IV123" s="277"/>
      <c r="IW123" s="277"/>
      <c r="IX123" s="140"/>
      <c r="IY123" s="277"/>
      <c r="IZ123" s="277"/>
      <c r="JA123" s="277"/>
      <c r="JB123" s="140"/>
      <c r="JC123" s="277"/>
      <c r="JD123" s="277"/>
      <c r="JE123" s="277"/>
      <c r="JF123" s="140"/>
      <c r="JG123" s="277"/>
      <c r="JH123" s="277"/>
      <c r="JI123" s="140"/>
      <c r="JJ123" s="277"/>
      <c r="JK123" s="277"/>
      <c r="JL123" s="140"/>
      <c r="JM123" s="277"/>
      <c r="JN123" s="277"/>
      <c r="JO123" s="140"/>
      <c r="JP123" s="277"/>
      <c r="JQ123" s="277"/>
      <c r="JR123" s="277"/>
      <c r="JS123" s="277"/>
      <c r="JT123" s="277"/>
      <c r="JU123" s="277"/>
      <c r="JV123" s="277"/>
      <c r="JW123" s="277"/>
      <c r="JX123" s="277"/>
      <c r="JY123" s="277"/>
      <c r="JZ123" s="277"/>
      <c r="KA123" s="277"/>
      <c r="KB123" s="277"/>
      <c r="KC123" s="277"/>
      <c r="KD123" s="277"/>
      <c r="KE123" s="277"/>
      <c r="KF123" s="277"/>
      <c r="KG123" s="277"/>
      <c r="KH123" s="277"/>
      <c r="KI123" s="277"/>
      <c r="KJ123" s="277"/>
      <c r="KK123" s="277"/>
      <c r="KL123" s="277"/>
      <c r="KM123" s="277"/>
      <c r="KN123" s="277"/>
      <c r="KO123" s="277"/>
      <c r="KP123" s="274"/>
      <c r="KQ123" s="253"/>
      <c r="KR123" s="253"/>
      <c r="KY123" s="141">
        <f t="shared" si="37"/>
        <v>0</v>
      </c>
      <c r="KZ123" s="141">
        <f t="shared" si="38"/>
        <v>0</v>
      </c>
      <c r="LB123" s="141">
        <f t="shared" si="39"/>
        <v>1</v>
      </c>
      <c r="LC123" s="141">
        <f t="shared" si="40"/>
        <v>0</v>
      </c>
      <c r="LD123" s="141">
        <f t="shared" si="41"/>
        <v>1</v>
      </c>
      <c r="LE123" s="141" t="e">
        <f>((N(AU123)&gt;0)*(AX123&lt;&gt;"")+(N(AY123)&gt;0)*(BB123&lt;&gt;"")+(N(BC123)&gt;0)*(BF123&lt;&gt;"")+(N(BG123)&gt;0)*(BJ123&lt;&gt;"")+(N(BK123)&gt;0)*(BN123&lt;&gt;"")+(N(BO123)&gt;0)*(BR123&lt;&gt;"")+(N(BS123)&gt;0)*(BV123&lt;&gt;"")+(N(BW123)&gt;0)*(BZ123&lt;&gt;"")+(N(CA123)&gt;0)*(CD123&lt;&gt;"")+(N(CE123)&gt;0)*(CH123&lt;&gt;"")+(N(CI123)&gt;0)*(CL123&lt;&gt;"")+(N(CM123)&gt;0)*(CP123&lt;&gt;"")+(N(CQ123)&gt;0)*(CT123&lt;&gt;"")+(N(CU123)&gt;0)*(CX123&lt;&gt;"")+(N(CY123)&gt;0)*(DB123&lt;&gt;"")+(N(DC123)&gt;0)*(DF123&lt;&gt;"")+(N(DG123)&gt;0)*(DJ123&lt;&gt;"")+(N(DS123)&gt;0)*(DV123&lt;&gt;"")+(N(DW123)&gt;0)*(DZ123&lt;&gt;"")+(N(EA123)&gt;0)*(ED123&lt;&gt;"")+(N(EE123)&gt;0)*(EH123&lt;&gt;"")+(N(EI123)&gt;0)*(EL123&lt;&gt;"")+(N(EM123)&gt;0)*(EP123&lt;&gt;"")+(N(EQ123)&gt;0)*(ET123&lt;&gt;"")+(N(EU123)&gt;0)*(EX123&lt;&gt;"")+(N(#REF!)&gt;0)*(#REF!&lt;&gt;"")+(N(#REF!)&gt;0)*(#REF!&lt;&gt;"")+(N(FJ123)&gt;0)*(FM123&lt;&gt;"")+(N(FN123)&gt;0)*(FQ123&lt;&gt;"")+(N(#REF!)&gt;0)*(#REF!&lt;&gt;"")+(N(#REF!)&gt;0)*(#REF!&lt;&gt;"")+(N(HF123)&gt;0)*(HI123&lt;&gt;"")+(N(#REF!)&gt;0)*(#REF!&lt;&gt;"")+(N(HJ123)&gt;0)*(HM123&lt;&gt;"")+(N(HN123)&gt;0)*(HQ123&lt;&gt;"")+(N(HZ123)&gt;0)*(IC123&lt;&gt;"")+(N(ID123)&gt;0)*(IG123&lt;&gt;"")+(N(IH123)&gt;0)*(IK123&lt;&gt;"")+(N(IL123)&gt;0)*(IO123&lt;&gt;"")+(N(IX123)&gt;0)*(JA123&lt;&gt;"")+(N(JB123)&gt;0)*(JE123&lt;&gt;"")+(N(JF123)&gt;0)*(JH123&lt;&gt;"")+(N(JI123)&gt;0)*(JK123&lt;&gt;"")+(N(JL123)&gt;0)*(JN123&lt;&gt;"")+(N(JO123)&gt;0)*(JQ123&lt;&gt;""))</f>
        <v>#REF!</v>
      </c>
      <c r="LF123" s="141">
        <f t="shared" si="48"/>
        <v>0</v>
      </c>
      <c r="LG123" s="141">
        <f t="shared" si="42"/>
        <v>1</v>
      </c>
    </row>
    <row r="124" spans="1:319" ht="38.25" customHeight="1" x14ac:dyDescent="0.55000000000000004">
      <c r="B124" s="526" t="s">
        <v>186</v>
      </c>
      <c r="C124" s="218">
        <v>2</v>
      </c>
      <c r="D124" s="218">
        <v>2</v>
      </c>
      <c r="E124" s="218">
        <v>2</v>
      </c>
      <c r="F124" s="162">
        <f t="shared" ref="F124" si="52">(AI124/AJ124)*L124*C124</f>
        <v>3416</v>
      </c>
      <c r="G124" s="162" t="e">
        <f t="shared" ref="G124" si="53">(AJ124/AL124)*M124*D124</f>
        <v>#VALUE!</v>
      </c>
      <c r="H124" s="162" t="e">
        <f t="shared" ref="H124" si="54">(AL124/AM124)*O124*E124</f>
        <v>#VALUE!</v>
      </c>
      <c r="I124" s="162" cm="1">
        <f t="array" ref="I124">SUMPRODUCT(($AI$2:$KV$2&lt;&gt;"")*($AI124:$KV124&lt;&gt;""))</f>
        <v>9</v>
      </c>
      <c r="J124" s="142">
        <f t="shared" si="43"/>
        <v>18</v>
      </c>
      <c r="K124" s="142">
        <f t="shared" si="44"/>
        <v>252</v>
      </c>
      <c r="L124" s="268">
        <f t="shared" si="49"/>
        <v>7000</v>
      </c>
      <c r="M124" s="164">
        <f t="shared" si="45"/>
        <v>25620</v>
      </c>
      <c r="N124" s="397"/>
      <c r="O124" s="165">
        <f t="shared" si="46"/>
        <v>21000</v>
      </c>
      <c r="P124" s="165"/>
      <c r="Q124" s="165"/>
      <c r="R124" s="165">
        <f>(IFERROR(AM124/AN124,0)+IFERROR(AU124/AV124,0)+IFERROR(AY124/AZ124,0)+IFERROR(BC124/BD124,0)+IFERROR(BG124/BH124,0)+IFERROR(BK124/BL124,0)+IFERROR(BO124/BP124,0)+IFERROR(BS124/BT124,0)+IFERROR(BW124/BX124,0)+IFERROR(CA124/CB124,0)+IFERROR(CE124/CF124,0)+IFERROR(CI124/CJ124,0)+IFERROR(CM124/CN124,0)+IFERROR(CQ124/CR124,0)+IFERROR(CU124/CV124,0)+IFERROR(CY124/CZ124,0)+IFERROR(DC124/DD124,0)+IFERROR(DG124/DH124,0)+IFERROR(DS124/DT124,0)+IFERROR(DW124/DX124,0)+IFERROR(EA124/EB124,0)+IFERROR(EE124/EF124,0)+IFERROR(EI124/EJ124,0)+IFERROR(EM124/EN124,0)+IFERROR(EQ124/ER124,0)+IFERROR(EU124/EV124,0)+IFERROR(#REF!/#REF!,0)+IFERROR(#REF!/#REF!,0)+IFERROR(FJ124/FK124,0)+IFERROR(FN124/FO124,0)+IFERROR(#REF!/#REF!,0)+IFERROR(#REF!/#REF!,0)+IFERROR(HF124/HG124,0)+IFERROR(#REF!/#REF!,0)+IFERROR(HJ124/HK124,0)+IFERROR(HN124/HO124,0)+IFERROR(HZ124/IA124,0)+IFERROR(ID124/IE124,0)+IFERROR(IH124/II124,0)+IFERROR(IL124/IM124,0)+IFERROR(IX124/IY124,0)+IFERROR(JB124/JC124,0)+IFERROR(JF124/JG124,0)+IFERROR(JI124/JJ124,0)+IFERROR(JL124/JM124,0)+IFERROR(JO124/JP124,0))*L124*(C124+D124+E124+I124)</f>
        <v>1155</v>
      </c>
      <c r="S124" s="165"/>
      <c r="T124" s="165">
        <f t="shared" si="35"/>
        <v>0</v>
      </c>
      <c r="U124" s="165"/>
      <c r="V124" s="165"/>
      <c r="W124" s="165"/>
      <c r="X124" s="165">
        <f>(IFERROR(FF124/FG124,0)+IFERROR(FC124/FD124,0)+IFERROR(#REF!/#REF!,0)+IFERROR(KP124/KQ124,0))*L124*(C124+D124+E124+I124)</f>
        <v>0</v>
      </c>
      <c r="Y124" s="484"/>
      <c r="Z124" s="484"/>
      <c r="AA124" s="484"/>
      <c r="AB124" s="484"/>
      <c r="AC124" s="150">
        <f t="shared" si="47"/>
        <v>2310</v>
      </c>
      <c r="AD124" s="150"/>
      <c r="AE124" s="150">
        <f t="shared" si="36"/>
        <v>0</v>
      </c>
      <c r="AF124" s="161">
        <v>1300</v>
      </c>
      <c r="AG124" s="143">
        <v>44</v>
      </c>
      <c r="AH124" s="154">
        <v>2000</v>
      </c>
      <c r="AI124" s="144">
        <v>61</v>
      </c>
      <c r="AJ124" s="154">
        <v>250</v>
      </c>
      <c r="AK124" s="489" t="s">
        <v>81</v>
      </c>
      <c r="AL124" s="154" t="s">
        <v>517</v>
      </c>
      <c r="AM124" s="140"/>
      <c r="AN124" s="154"/>
      <c r="AO124" s="154"/>
      <c r="AP124" s="220"/>
      <c r="AQ124" s="145">
        <v>400</v>
      </c>
      <c r="AR124" s="154">
        <v>2000</v>
      </c>
      <c r="AS124" s="496" t="s">
        <v>1078</v>
      </c>
      <c r="AT124" s="497" t="s">
        <v>763</v>
      </c>
      <c r="AU124" s="140"/>
      <c r="AV124" s="277"/>
      <c r="AW124" s="277"/>
      <c r="AX124" s="277"/>
      <c r="AY124" s="140"/>
      <c r="AZ124" s="277"/>
      <c r="BA124" s="277"/>
      <c r="BB124" s="277"/>
      <c r="BC124" s="140"/>
      <c r="BD124" s="277"/>
      <c r="BE124" s="277"/>
      <c r="BF124" s="277"/>
      <c r="BG124" s="140"/>
      <c r="BH124" s="277"/>
      <c r="BI124" s="277"/>
      <c r="BJ124" s="277"/>
      <c r="BK124" s="140"/>
      <c r="BL124" s="277"/>
      <c r="BM124" s="277"/>
      <c r="BN124" s="277"/>
      <c r="BO124" s="140"/>
      <c r="BP124" s="277"/>
      <c r="BQ124" s="277"/>
      <c r="BR124" s="277"/>
      <c r="BS124" s="140"/>
      <c r="BT124" s="277"/>
      <c r="BU124" s="277"/>
      <c r="BV124" s="277"/>
      <c r="BW124" s="140"/>
      <c r="BX124" s="154"/>
      <c r="BY124" s="154"/>
      <c r="BZ124" s="220"/>
      <c r="CA124" s="140"/>
      <c r="CB124" s="154"/>
      <c r="CC124" s="154"/>
      <c r="CD124" s="220"/>
      <c r="CE124" s="493">
        <v>11</v>
      </c>
      <c r="CF124" s="154">
        <v>2000</v>
      </c>
      <c r="CG124" s="493" t="s">
        <v>345</v>
      </c>
      <c r="CH124" s="154" t="s">
        <v>345</v>
      </c>
      <c r="CI124" s="493">
        <v>11</v>
      </c>
      <c r="CJ124" s="154">
        <v>2000</v>
      </c>
      <c r="CK124" s="493" t="s">
        <v>345</v>
      </c>
      <c r="CL124" s="154" t="s">
        <v>345</v>
      </c>
      <c r="CM124" s="140"/>
      <c r="CN124" s="271"/>
      <c r="CO124" s="271"/>
      <c r="CP124" s="271"/>
      <c r="CQ124" s="140"/>
      <c r="CR124" s="154"/>
      <c r="CS124" s="154"/>
      <c r="CT124" s="154"/>
      <c r="CU124" s="140"/>
      <c r="CV124" s="154"/>
      <c r="CW124" s="154"/>
      <c r="CX124" s="220"/>
      <c r="CY124" s="140"/>
      <c r="CZ124" s="154"/>
      <c r="DA124" s="154"/>
      <c r="DB124" s="220"/>
      <c r="DC124" s="140"/>
      <c r="DD124" s="146"/>
      <c r="DE124" s="146"/>
      <c r="DF124" s="146"/>
      <c r="DG124" s="140"/>
      <c r="DH124" s="146"/>
      <c r="DI124" s="146"/>
      <c r="DJ124" s="146"/>
      <c r="DK124" s="146"/>
      <c r="DL124" s="146"/>
      <c r="DM124" s="146"/>
      <c r="DN124" s="146"/>
      <c r="DO124" s="146"/>
      <c r="DP124" s="146"/>
      <c r="DQ124" s="146"/>
      <c r="DR124" s="146"/>
      <c r="DS124" s="140"/>
      <c r="DT124" s="154"/>
      <c r="DU124" s="154"/>
      <c r="DV124" s="154"/>
      <c r="DW124" s="140"/>
      <c r="DX124" s="220"/>
      <c r="DY124" s="220"/>
      <c r="DZ124" s="220"/>
      <c r="EA124" s="140"/>
      <c r="EB124" s="220"/>
      <c r="EC124" s="220"/>
      <c r="ED124" s="220"/>
      <c r="EE124" s="140"/>
      <c r="EF124" s="154"/>
      <c r="EG124" s="154"/>
      <c r="EH124" s="154"/>
      <c r="EI124" s="140"/>
      <c r="EJ124" s="154"/>
      <c r="EK124" s="154"/>
      <c r="EL124" s="154"/>
      <c r="EM124" s="140"/>
      <c r="EN124" s="222"/>
      <c r="EO124" s="222"/>
      <c r="EP124" s="222"/>
      <c r="EQ124" s="140"/>
      <c r="ER124" s="222"/>
      <c r="ES124" s="222"/>
      <c r="ET124" s="222"/>
      <c r="EU124" s="140"/>
      <c r="EV124" s="222"/>
      <c r="EW124" s="222"/>
      <c r="EX124" s="222"/>
      <c r="EY124" s="344"/>
      <c r="EZ124" s="222"/>
      <c r="FA124" s="222"/>
      <c r="FB124" s="222"/>
      <c r="FC124" s="273"/>
      <c r="FD124" s="223"/>
      <c r="FE124" s="223"/>
      <c r="FF124" s="276"/>
      <c r="FG124" s="156"/>
      <c r="FH124" s="156"/>
      <c r="FI124" s="156"/>
      <c r="FJ124" s="140"/>
      <c r="FK124" s="277"/>
      <c r="FL124" s="277"/>
      <c r="FM124" s="277"/>
      <c r="FN124" s="140"/>
      <c r="FO124" s="277"/>
      <c r="FP124" s="277"/>
      <c r="FQ124" s="277"/>
      <c r="FR124" s="280"/>
      <c r="FS124" s="277"/>
      <c r="FT124" s="277"/>
      <c r="FU124" s="277"/>
      <c r="FV124" s="277"/>
      <c r="FW124" s="277"/>
      <c r="FX124" s="277"/>
      <c r="FY124" s="277"/>
      <c r="FZ124" s="277"/>
      <c r="GA124" s="277"/>
      <c r="GB124" s="277"/>
      <c r="GC124" s="277"/>
      <c r="GD124" s="277"/>
      <c r="GE124" s="277"/>
      <c r="GF124" s="277"/>
      <c r="GG124" s="277"/>
      <c r="GH124" s="481">
        <v>300</v>
      </c>
      <c r="GI124" s="277">
        <v>1000</v>
      </c>
      <c r="GJ124" s="481" t="s">
        <v>1087</v>
      </c>
      <c r="GK124" s="277" t="s">
        <v>1216</v>
      </c>
      <c r="GL124" s="496">
        <v>30</v>
      </c>
      <c r="GM124" s="277">
        <v>6000</v>
      </c>
      <c r="GN124" s="496" t="s">
        <v>1078</v>
      </c>
      <c r="GO124" s="277" t="s">
        <v>1209</v>
      </c>
      <c r="GP124" s="496">
        <v>11</v>
      </c>
      <c r="GQ124" s="277">
        <v>6000</v>
      </c>
      <c r="GR124" s="496" t="s">
        <v>1078</v>
      </c>
      <c r="GS124" s="277" t="s">
        <v>1209</v>
      </c>
      <c r="GT124" s="496">
        <v>30</v>
      </c>
      <c r="GU124" s="277">
        <v>6000</v>
      </c>
      <c r="GV124" s="496" t="s">
        <v>1078</v>
      </c>
      <c r="GW124" s="277" t="s">
        <v>1209</v>
      </c>
      <c r="GX124" s="277"/>
      <c r="GY124" s="277"/>
      <c r="GZ124" s="277"/>
      <c r="HA124" s="277"/>
      <c r="HB124" s="496">
        <v>100</v>
      </c>
      <c r="HC124" s="277">
        <v>2000</v>
      </c>
      <c r="HD124" s="496" t="s">
        <v>1078</v>
      </c>
      <c r="HE124" s="277" t="s">
        <v>1220</v>
      </c>
      <c r="HF124" s="140"/>
      <c r="HG124" s="277"/>
      <c r="HH124" s="277"/>
      <c r="HI124" s="277"/>
      <c r="HJ124" s="140"/>
      <c r="HK124" s="277"/>
      <c r="HL124" s="277"/>
      <c r="HM124" s="277"/>
      <c r="HN124" s="140"/>
      <c r="HO124" s="277"/>
      <c r="HP124" s="277"/>
      <c r="HQ124" s="277"/>
      <c r="HR124" s="277"/>
      <c r="HS124" s="277"/>
      <c r="HT124" s="277"/>
      <c r="HU124" s="277"/>
      <c r="HV124" s="277"/>
      <c r="HW124" s="277"/>
      <c r="HX124" s="277"/>
      <c r="HY124" s="277"/>
      <c r="HZ124" s="140"/>
      <c r="IA124" s="277"/>
      <c r="IB124" s="277"/>
      <c r="IC124" s="277"/>
      <c r="ID124" s="140"/>
      <c r="IE124" s="277"/>
      <c r="IF124" s="277"/>
      <c r="IG124" s="277"/>
      <c r="IH124" s="140"/>
      <c r="II124" s="277"/>
      <c r="IJ124" s="277"/>
      <c r="IK124" s="277"/>
      <c r="IL124" s="140"/>
      <c r="IM124" s="277"/>
      <c r="IN124" s="277"/>
      <c r="IO124" s="277"/>
      <c r="IP124" s="277"/>
      <c r="IQ124" s="277"/>
      <c r="IR124" s="277"/>
      <c r="IS124" s="277"/>
      <c r="IT124" s="277"/>
      <c r="IU124" s="277"/>
      <c r="IV124" s="277"/>
      <c r="IW124" s="277"/>
      <c r="IX124" s="140"/>
      <c r="IY124" s="277"/>
      <c r="IZ124" s="277"/>
      <c r="JA124" s="277"/>
      <c r="JB124" s="140"/>
      <c r="JC124" s="277"/>
      <c r="JD124" s="277"/>
      <c r="JE124" s="277"/>
      <c r="JF124" s="140"/>
      <c r="JG124" s="277"/>
      <c r="JH124" s="277"/>
      <c r="JI124" s="140"/>
      <c r="JJ124" s="277"/>
      <c r="JK124" s="277"/>
      <c r="JL124" s="140"/>
      <c r="JM124" s="277"/>
      <c r="JN124" s="277"/>
      <c r="JO124" s="140"/>
      <c r="JP124" s="277"/>
      <c r="JQ124" s="277"/>
      <c r="JR124" s="277"/>
      <c r="JS124" s="277"/>
      <c r="JT124" s="277"/>
      <c r="JU124" s="277"/>
      <c r="JV124" s="277"/>
      <c r="JW124" s="277"/>
      <c r="JX124" s="277"/>
      <c r="JY124" s="277"/>
      <c r="JZ124" s="277"/>
      <c r="KA124" s="277"/>
      <c r="KB124" s="277"/>
      <c r="KC124" s="277"/>
      <c r="KD124" s="277"/>
      <c r="KE124" s="277"/>
      <c r="KF124" s="277"/>
      <c r="KG124" s="277"/>
      <c r="KH124" s="277"/>
      <c r="KI124" s="277"/>
      <c r="KJ124" s="277"/>
      <c r="KK124" s="277"/>
      <c r="KL124" s="277"/>
      <c r="KM124" s="277"/>
      <c r="KN124" s="277"/>
      <c r="KO124" s="277"/>
      <c r="KP124" s="274"/>
      <c r="KQ124" s="253"/>
      <c r="KR124" s="253"/>
      <c r="KY124" s="141">
        <f t="shared" si="37"/>
        <v>0</v>
      </c>
      <c r="KZ124" s="141">
        <f t="shared" si="38"/>
        <v>0</v>
      </c>
      <c r="LB124" s="141">
        <f t="shared" si="39"/>
        <v>1</v>
      </c>
      <c r="LC124" s="141">
        <f t="shared" si="40"/>
        <v>0</v>
      </c>
      <c r="LD124" s="141">
        <f t="shared" si="41"/>
        <v>1</v>
      </c>
      <c r="LE124" s="141" t="e">
        <f>((N(AU124)&gt;0)*(AX124&lt;&gt;"")+(N(AY124)&gt;0)*(BB124&lt;&gt;"")+(N(BC124)&gt;0)*(BF124&lt;&gt;"")+(N(BG124)&gt;0)*(BJ124&lt;&gt;"")+(N(BK124)&gt;0)*(BN124&lt;&gt;"")+(N(BO124)&gt;0)*(BR124&lt;&gt;"")+(N(BS124)&gt;0)*(BV124&lt;&gt;"")+(N(BW124)&gt;0)*(BZ124&lt;&gt;"")+(N(CA124)&gt;0)*(CD124&lt;&gt;"")+(N(CE124)&gt;0)*(CH124&lt;&gt;"")+(N(CI124)&gt;0)*(CL124&lt;&gt;"")+(N(CM124)&gt;0)*(CP124&lt;&gt;"")+(N(CQ124)&gt;0)*(CT124&lt;&gt;"")+(N(CU124)&gt;0)*(CX124&lt;&gt;"")+(N(CY124)&gt;0)*(DB124&lt;&gt;"")+(N(DC124)&gt;0)*(DF124&lt;&gt;"")+(N(DG124)&gt;0)*(DJ124&lt;&gt;"")+(N(DS124)&gt;0)*(DV124&lt;&gt;"")+(N(DW124)&gt;0)*(DZ124&lt;&gt;"")+(N(EA124)&gt;0)*(ED124&lt;&gt;"")+(N(EE124)&gt;0)*(EH124&lt;&gt;"")+(N(EI124)&gt;0)*(EL124&lt;&gt;"")+(N(EM124)&gt;0)*(EP124&lt;&gt;"")+(N(EQ124)&gt;0)*(ET124&lt;&gt;"")+(N(EU124)&gt;0)*(EX124&lt;&gt;"")+(N(#REF!)&gt;0)*(#REF!&lt;&gt;"")+(N(#REF!)&gt;0)*(#REF!&lt;&gt;"")+(N(FJ124)&gt;0)*(FM124&lt;&gt;"")+(N(FN124)&gt;0)*(FQ124&lt;&gt;"")+(N(#REF!)&gt;0)*(#REF!&lt;&gt;"")+(N(#REF!)&gt;0)*(#REF!&lt;&gt;"")+(N(HF124)&gt;0)*(HI124&lt;&gt;"")+(N(#REF!)&gt;0)*(#REF!&lt;&gt;"")+(N(HJ124)&gt;0)*(HM124&lt;&gt;"")+(N(HN124)&gt;0)*(HQ124&lt;&gt;"")+(N(HZ124)&gt;0)*(IC124&lt;&gt;"")+(N(ID124)&gt;0)*(IG124&lt;&gt;"")+(N(IH124)&gt;0)*(IK124&lt;&gt;"")+(N(IL124)&gt;0)*(IO124&lt;&gt;"")+(N(IX124)&gt;0)*(JA124&lt;&gt;"")+(N(JB124)&gt;0)*(JE124&lt;&gt;"")+(N(JF124)&gt;0)*(JH124&lt;&gt;"")+(N(JI124)&gt;0)*(JK124&lt;&gt;"")+(N(JL124)&gt;0)*(JN124&lt;&gt;"")+(N(JO124)&gt;0)*(JQ124&lt;&gt;""))</f>
        <v>#REF!</v>
      </c>
      <c r="LF124" s="141">
        <f t="shared" si="48"/>
        <v>0</v>
      </c>
      <c r="LG124" s="141">
        <f t="shared" si="42"/>
        <v>1</v>
      </c>
    </row>
    <row r="125" spans="1:319" ht="38.25" customHeight="1" x14ac:dyDescent="0.55000000000000004">
      <c r="B125" s="314" t="s">
        <v>442</v>
      </c>
      <c r="C125" s="218"/>
      <c r="D125" s="218"/>
      <c r="E125" s="218"/>
      <c r="F125" s="218"/>
      <c r="G125" s="218"/>
      <c r="H125" s="218"/>
      <c r="I125" s="162" cm="1">
        <f t="array" ref="I125">SUMPRODUCT(($AI$2:$KV$2&lt;&gt;"")*($AI125:$KV125&lt;&gt;""))</f>
        <v>0</v>
      </c>
      <c r="J125" s="142">
        <f t="shared" si="43"/>
        <v>0</v>
      </c>
      <c r="K125" s="142">
        <f t="shared" si="44"/>
        <v>0</v>
      </c>
      <c r="L125" s="268">
        <f t="shared" si="49"/>
        <v>7000</v>
      </c>
      <c r="M125" s="164">
        <f t="shared" si="45"/>
        <v>0</v>
      </c>
      <c r="N125" s="397"/>
      <c r="O125" s="165">
        <f t="shared" si="46"/>
        <v>0</v>
      </c>
      <c r="P125" s="165"/>
      <c r="Q125" s="165"/>
      <c r="R125" s="165">
        <f>(IFERROR(AM125/AN125,0)+IFERROR(AU125/AV125,0)+IFERROR(AY125/AZ125,0)+IFERROR(BC125/BD125,0)+IFERROR(BG125/BH125,0)+IFERROR(BK125/BL125,0)+IFERROR(BO125/BP125,0)+IFERROR(BS125/BT125,0)+IFERROR(BW125/BX125,0)+IFERROR(CA125/CB125,0)+IFERROR(CE125/CF125,0)+IFERROR(CI125/CJ125,0)+IFERROR(CM125/CN125,0)+IFERROR(CQ125/CR125,0)+IFERROR(CU125/CV125,0)+IFERROR(CY125/CZ125,0)+IFERROR(DC125/DD125,0)+IFERROR(DG125/DH125,0)+IFERROR(DS125/DT125,0)+IFERROR(DW125/DX125,0)+IFERROR(EA125/EB125,0)+IFERROR(EE125/EF125,0)+IFERROR(EI125/EJ125,0)+IFERROR(EM125/EN125,0)+IFERROR(EQ125/ER125,0)+IFERROR(EU125/EV125,0)+IFERROR(#REF!/#REF!,0)+IFERROR(#REF!/#REF!,0)+IFERROR(FJ125/FK125,0)+IFERROR(FN125/FO125,0)+IFERROR(#REF!/#REF!,0)+IFERROR(#REF!/#REF!,0)+IFERROR(HF125/HG125,0)+IFERROR(#REF!/#REF!,0)+IFERROR(HJ125/HK125,0)+IFERROR(HN125/HO125,0)+IFERROR(HZ125/IA125,0)+IFERROR(ID125/IE125,0)+IFERROR(IH125/II125,0)+IFERROR(IL125/IM125,0)+IFERROR(IX125/IY125,0)+IFERROR(JB125/JC125,0)+IFERROR(JF125/JG125,0)+IFERROR(JI125/JJ125,0)+IFERROR(JL125/JM125,0)+IFERROR(JO125/JP125,0))*L125*(C125+D125+E125+I125)</f>
        <v>0</v>
      </c>
      <c r="S125" s="165"/>
      <c r="T125" s="165">
        <f t="shared" si="35"/>
        <v>0</v>
      </c>
      <c r="U125" s="165"/>
      <c r="V125" s="165"/>
      <c r="W125" s="165"/>
      <c r="X125" s="165">
        <f>(IFERROR(FF125/FG125,0)+IFERROR(FC125/FD125,0)+IFERROR(#REF!/#REF!,0)+IFERROR(KP125/KQ125,0))*L125*(C125+D125+E125+I125)</f>
        <v>0</v>
      </c>
      <c r="Y125" s="484"/>
      <c r="Z125" s="484"/>
      <c r="AA125" s="484"/>
      <c r="AB125" s="484"/>
      <c r="AC125" s="150">
        <f t="shared" si="47"/>
        <v>0</v>
      </c>
      <c r="AD125" s="150"/>
      <c r="AE125" s="150">
        <f t="shared" si="36"/>
        <v>0</v>
      </c>
      <c r="AF125" s="161"/>
      <c r="AG125" s="143"/>
      <c r="AH125" s="154"/>
      <c r="AI125" s="144"/>
      <c r="AJ125" s="154"/>
      <c r="AK125" s="154"/>
      <c r="AL125" s="220"/>
      <c r="AM125" s="140"/>
      <c r="AN125" s="154"/>
      <c r="AO125" s="154"/>
      <c r="AP125" s="220"/>
      <c r="AQ125" s="145"/>
      <c r="AR125" s="154"/>
      <c r="AS125" s="154"/>
      <c r="AT125" s="220"/>
      <c r="AU125" s="140"/>
      <c r="AV125" s="277"/>
      <c r="AW125" s="277"/>
      <c r="AX125" s="277"/>
      <c r="AY125" s="140"/>
      <c r="AZ125" s="277"/>
      <c r="BA125" s="277"/>
      <c r="BB125" s="277"/>
      <c r="BC125" s="140"/>
      <c r="BD125" s="277"/>
      <c r="BE125" s="277"/>
      <c r="BF125" s="277"/>
      <c r="BG125" s="140"/>
      <c r="BH125" s="277"/>
      <c r="BI125" s="277"/>
      <c r="BJ125" s="277"/>
      <c r="BK125" s="140"/>
      <c r="BL125" s="277"/>
      <c r="BM125" s="277"/>
      <c r="BN125" s="277"/>
      <c r="BO125" s="140"/>
      <c r="BP125" s="277"/>
      <c r="BQ125" s="277"/>
      <c r="BR125" s="277"/>
      <c r="BS125" s="140"/>
      <c r="BT125" s="277"/>
      <c r="BU125" s="277"/>
      <c r="BV125" s="277"/>
      <c r="BW125" s="140"/>
      <c r="BX125" s="154"/>
      <c r="BY125" s="154"/>
      <c r="BZ125" s="220"/>
      <c r="CA125" s="140"/>
      <c r="CB125" s="154"/>
      <c r="CC125" s="154"/>
      <c r="CD125" s="220"/>
      <c r="CE125" s="140"/>
      <c r="CF125" s="271"/>
      <c r="CG125" s="271"/>
      <c r="CH125" s="271"/>
      <c r="CI125" s="140"/>
      <c r="CJ125" s="154"/>
      <c r="CK125" s="154"/>
      <c r="CL125" s="154"/>
      <c r="CM125" s="140"/>
      <c r="CN125" s="271"/>
      <c r="CO125" s="271"/>
      <c r="CP125" s="271"/>
      <c r="CQ125" s="140"/>
      <c r="CR125" s="154"/>
      <c r="CS125" s="154"/>
      <c r="CT125" s="154"/>
      <c r="CU125" s="140"/>
      <c r="CV125" s="154"/>
      <c r="CW125" s="154"/>
      <c r="CX125" s="220"/>
      <c r="CY125" s="140"/>
      <c r="CZ125" s="154"/>
      <c r="DA125" s="154"/>
      <c r="DB125" s="220"/>
      <c r="DC125" s="140"/>
      <c r="DD125" s="146"/>
      <c r="DE125" s="146"/>
      <c r="DF125" s="146"/>
      <c r="DG125" s="140"/>
      <c r="DH125" s="146"/>
      <c r="DI125" s="146"/>
      <c r="DJ125" s="146"/>
      <c r="DK125" s="146"/>
      <c r="DL125" s="146"/>
      <c r="DM125" s="146"/>
      <c r="DN125" s="146"/>
      <c r="DO125" s="146"/>
      <c r="DP125" s="146"/>
      <c r="DQ125" s="146"/>
      <c r="DR125" s="146"/>
      <c r="DS125" s="140"/>
      <c r="DT125" s="154"/>
      <c r="DU125" s="154"/>
      <c r="DV125" s="154"/>
      <c r="DW125" s="140"/>
      <c r="DX125" s="220"/>
      <c r="DY125" s="220"/>
      <c r="DZ125" s="220"/>
      <c r="EA125" s="140"/>
      <c r="EB125" s="220"/>
      <c r="EC125" s="220"/>
      <c r="ED125" s="220"/>
      <c r="EE125" s="140"/>
      <c r="EF125" s="154"/>
      <c r="EG125" s="154"/>
      <c r="EH125" s="154"/>
      <c r="EI125" s="140"/>
      <c r="EJ125" s="154"/>
      <c r="EK125" s="154"/>
      <c r="EL125" s="154"/>
      <c r="EM125" s="140"/>
      <c r="EN125" s="222"/>
      <c r="EO125" s="222"/>
      <c r="EP125" s="222"/>
      <c r="EQ125" s="140"/>
      <c r="ER125" s="222"/>
      <c r="ES125" s="222"/>
      <c r="ET125" s="222"/>
      <c r="EU125" s="140"/>
      <c r="EV125" s="222"/>
      <c r="EW125" s="222"/>
      <c r="EX125" s="222"/>
      <c r="EY125" s="344"/>
      <c r="EZ125" s="222"/>
      <c r="FA125" s="222"/>
      <c r="FB125" s="222"/>
      <c r="FC125" s="273"/>
      <c r="FD125" s="223"/>
      <c r="FE125" s="223"/>
      <c r="FF125" s="276"/>
      <c r="FG125" s="156"/>
      <c r="FH125" s="156"/>
      <c r="FI125" s="156"/>
      <c r="FJ125" s="140"/>
      <c r="FK125" s="277"/>
      <c r="FL125" s="277"/>
      <c r="FM125" s="277"/>
      <c r="FN125" s="140"/>
      <c r="FO125" s="277"/>
      <c r="FP125" s="277"/>
      <c r="FQ125" s="277"/>
      <c r="FR125" s="280"/>
      <c r="FS125" s="277"/>
      <c r="FT125" s="277"/>
      <c r="FU125" s="277"/>
      <c r="FV125" s="277"/>
      <c r="FW125" s="277"/>
      <c r="FX125" s="277"/>
      <c r="FY125" s="277"/>
      <c r="FZ125" s="277"/>
      <c r="GA125" s="277"/>
      <c r="GB125" s="277"/>
      <c r="GC125" s="277"/>
      <c r="GD125" s="277"/>
      <c r="GE125" s="277"/>
      <c r="GF125" s="277"/>
      <c r="GG125" s="277"/>
      <c r="GH125" s="277"/>
      <c r="GI125" s="277"/>
      <c r="GJ125" s="277"/>
      <c r="GK125" s="277"/>
      <c r="GL125" s="277"/>
      <c r="GM125" s="277"/>
      <c r="GN125" s="277"/>
      <c r="GO125" s="277"/>
      <c r="GP125" s="277"/>
      <c r="GQ125" s="277"/>
      <c r="GR125" s="277"/>
      <c r="GS125" s="277"/>
      <c r="GT125" s="277"/>
      <c r="GU125" s="277"/>
      <c r="GV125" s="277"/>
      <c r="GW125" s="277"/>
      <c r="GX125" s="277"/>
      <c r="GY125" s="277"/>
      <c r="GZ125" s="277"/>
      <c r="HA125" s="277"/>
      <c r="HB125" s="277"/>
      <c r="HC125" s="277"/>
      <c r="HD125" s="277"/>
      <c r="HE125" s="277"/>
      <c r="HF125" s="140"/>
      <c r="HG125" s="277"/>
      <c r="HH125" s="277"/>
      <c r="HI125" s="277"/>
      <c r="HJ125" s="140"/>
      <c r="HK125" s="277"/>
      <c r="HL125" s="277"/>
      <c r="HM125" s="277"/>
      <c r="HN125" s="140"/>
      <c r="HO125" s="277"/>
      <c r="HP125" s="277"/>
      <c r="HQ125" s="277"/>
      <c r="HR125" s="277"/>
      <c r="HS125" s="277"/>
      <c r="HT125" s="277"/>
      <c r="HU125" s="277"/>
      <c r="HV125" s="277"/>
      <c r="HW125" s="277"/>
      <c r="HX125" s="277"/>
      <c r="HY125" s="277"/>
      <c r="HZ125" s="140"/>
      <c r="IA125" s="277"/>
      <c r="IB125" s="277"/>
      <c r="IC125" s="277"/>
      <c r="ID125" s="140"/>
      <c r="IE125" s="277"/>
      <c r="IF125" s="277"/>
      <c r="IG125" s="277"/>
      <c r="IH125" s="140"/>
      <c r="II125" s="277"/>
      <c r="IJ125" s="277"/>
      <c r="IK125" s="277"/>
      <c r="IL125" s="140"/>
      <c r="IM125" s="277"/>
      <c r="IN125" s="277"/>
      <c r="IO125" s="277"/>
      <c r="IP125" s="277"/>
      <c r="IQ125" s="277"/>
      <c r="IR125" s="277"/>
      <c r="IS125" s="277"/>
      <c r="IT125" s="277"/>
      <c r="IU125" s="277"/>
      <c r="IV125" s="277"/>
      <c r="IW125" s="277"/>
      <c r="IX125" s="140"/>
      <c r="IY125" s="277"/>
      <c r="IZ125" s="277"/>
      <c r="JA125" s="277"/>
      <c r="JB125" s="140"/>
      <c r="JC125" s="277"/>
      <c r="JD125" s="277"/>
      <c r="JE125" s="277"/>
      <c r="JF125" s="140"/>
      <c r="JG125" s="277"/>
      <c r="JH125" s="277"/>
      <c r="JI125" s="140"/>
      <c r="JJ125" s="277"/>
      <c r="JK125" s="277"/>
      <c r="JL125" s="140"/>
      <c r="JM125" s="277"/>
      <c r="JN125" s="277"/>
      <c r="JO125" s="140"/>
      <c r="JP125" s="277"/>
      <c r="JQ125" s="277"/>
      <c r="JR125" s="277"/>
      <c r="JS125" s="277"/>
      <c r="JT125" s="277"/>
      <c r="JU125" s="277"/>
      <c r="JV125" s="277"/>
      <c r="JW125" s="277"/>
      <c r="JX125" s="277"/>
      <c r="JY125" s="277"/>
      <c r="JZ125" s="277"/>
      <c r="KA125" s="277"/>
      <c r="KB125" s="277"/>
      <c r="KC125" s="277"/>
      <c r="KD125" s="277"/>
      <c r="KE125" s="277"/>
      <c r="KF125" s="277"/>
      <c r="KG125" s="277"/>
      <c r="KH125" s="277"/>
      <c r="KI125" s="277"/>
      <c r="KJ125" s="277"/>
      <c r="KK125" s="277"/>
      <c r="KL125" s="277"/>
      <c r="KM125" s="277"/>
      <c r="KN125" s="277"/>
      <c r="KO125" s="277"/>
      <c r="KP125" s="274"/>
      <c r="KQ125" s="253"/>
      <c r="KR125" s="253"/>
      <c r="KY125" s="141">
        <f t="shared" si="37"/>
        <v>0</v>
      </c>
      <c r="KZ125" s="141">
        <f t="shared" si="38"/>
        <v>0</v>
      </c>
      <c r="LB125" s="141">
        <f t="shared" si="39"/>
        <v>0</v>
      </c>
      <c r="LC125" s="141">
        <f t="shared" si="40"/>
        <v>0</v>
      </c>
      <c r="LD125" s="141">
        <f t="shared" si="41"/>
        <v>0</v>
      </c>
      <c r="LE125" s="141" t="e">
        <f>((N(AU125)&gt;0)*(AX125&lt;&gt;"")+(N(AY125)&gt;0)*(BB125&lt;&gt;"")+(N(BC125)&gt;0)*(BF125&lt;&gt;"")+(N(BG125)&gt;0)*(BJ125&lt;&gt;"")+(N(BK125)&gt;0)*(BN125&lt;&gt;"")+(N(BO125)&gt;0)*(BR125&lt;&gt;"")+(N(BS125)&gt;0)*(BV125&lt;&gt;"")+(N(BW125)&gt;0)*(BZ125&lt;&gt;"")+(N(CA125)&gt;0)*(CD125&lt;&gt;"")+(N(CE125)&gt;0)*(CH125&lt;&gt;"")+(N(CI125)&gt;0)*(CL125&lt;&gt;"")+(N(CM125)&gt;0)*(CP125&lt;&gt;"")+(N(CQ125)&gt;0)*(CT125&lt;&gt;"")+(N(CU125)&gt;0)*(CX125&lt;&gt;"")+(N(CY125)&gt;0)*(DB125&lt;&gt;"")+(N(DC125)&gt;0)*(DF125&lt;&gt;"")+(N(DG125)&gt;0)*(DJ125&lt;&gt;"")+(N(DS125)&gt;0)*(DV125&lt;&gt;"")+(N(DW125)&gt;0)*(DZ125&lt;&gt;"")+(N(EA125)&gt;0)*(ED125&lt;&gt;"")+(N(EE125)&gt;0)*(EH125&lt;&gt;"")+(N(EI125)&gt;0)*(EL125&lt;&gt;"")+(N(EM125)&gt;0)*(EP125&lt;&gt;"")+(N(EQ125)&gt;0)*(ET125&lt;&gt;"")+(N(EU125)&gt;0)*(EX125&lt;&gt;"")+(N(#REF!)&gt;0)*(#REF!&lt;&gt;"")+(N(#REF!)&gt;0)*(#REF!&lt;&gt;"")+(N(FJ125)&gt;0)*(FM125&lt;&gt;"")+(N(FN125)&gt;0)*(FQ125&lt;&gt;"")+(N(#REF!)&gt;0)*(#REF!&lt;&gt;"")+(N(#REF!)&gt;0)*(#REF!&lt;&gt;"")+(N(HF125)&gt;0)*(HI125&lt;&gt;"")+(N(#REF!)&gt;0)*(#REF!&lt;&gt;"")+(N(HJ125)&gt;0)*(HM125&lt;&gt;"")+(N(HN125)&gt;0)*(HQ125&lt;&gt;"")+(N(HZ125)&gt;0)*(IC125&lt;&gt;"")+(N(ID125)&gt;0)*(IG125&lt;&gt;"")+(N(IH125)&gt;0)*(IK125&lt;&gt;"")+(N(IL125)&gt;0)*(IO125&lt;&gt;"")+(N(IX125)&gt;0)*(JA125&lt;&gt;"")+(N(JB125)&gt;0)*(JE125&lt;&gt;"")+(N(JF125)&gt;0)*(JH125&lt;&gt;"")+(N(JI125)&gt;0)*(JK125&lt;&gt;"")+(N(JL125)&gt;0)*(JN125&lt;&gt;"")+(N(JO125)&gt;0)*(JQ125&lt;&gt;""))</f>
        <v>#REF!</v>
      </c>
      <c r="LF125" s="141">
        <f t="shared" si="48"/>
        <v>0</v>
      </c>
      <c r="LG125" s="141">
        <f t="shared" si="42"/>
        <v>0</v>
      </c>
    </row>
    <row r="126" spans="1:319" ht="38.25" customHeight="1" x14ac:dyDescent="0.55000000000000004">
      <c r="B126" s="314" t="s">
        <v>443</v>
      </c>
      <c r="C126" s="218"/>
      <c r="D126" s="218"/>
      <c r="E126" s="218"/>
      <c r="F126" s="218"/>
      <c r="G126" s="218"/>
      <c r="H126" s="218"/>
      <c r="I126" s="162" cm="1">
        <f t="array" ref="I126">SUMPRODUCT(($AI$2:$KV$2&lt;&gt;"")*($AI126:$KV126&lt;&gt;""))</f>
        <v>6</v>
      </c>
      <c r="J126" s="142">
        <f t="shared" si="43"/>
        <v>0</v>
      </c>
      <c r="K126" s="142">
        <f t="shared" si="44"/>
        <v>0</v>
      </c>
      <c r="L126" s="268">
        <f t="shared" si="49"/>
        <v>7000</v>
      </c>
      <c r="M126" s="164">
        <f t="shared" si="45"/>
        <v>0</v>
      </c>
      <c r="N126" s="397"/>
      <c r="O126" s="165">
        <f t="shared" si="46"/>
        <v>0</v>
      </c>
      <c r="P126" s="165"/>
      <c r="Q126" s="165"/>
      <c r="R126" s="165">
        <f>(IFERROR(AM126/AN126,0)+IFERROR(AU126/AV126,0)+IFERROR(AY126/AZ126,0)+IFERROR(BC126/BD126,0)+IFERROR(BG126/BH126,0)+IFERROR(BK126/BL126,0)+IFERROR(BO126/BP126,0)+IFERROR(BS126/BT126,0)+IFERROR(BW126/BX126,0)+IFERROR(CA126/CB126,0)+IFERROR(CE126/CF126,0)+IFERROR(CI126/CJ126,0)+IFERROR(CM126/CN126,0)+IFERROR(CQ126/CR126,0)+IFERROR(CU126/CV126,0)+IFERROR(CY126/CZ126,0)+IFERROR(DC126/DD126,0)+IFERROR(DG126/DH126,0)+IFERROR(DS126/DT126,0)+IFERROR(DW126/DX126,0)+IFERROR(EA126/EB126,0)+IFERROR(EE126/EF126,0)+IFERROR(EI126/EJ126,0)+IFERROR(EM126/EN126,0)+IFERROR(EQ126/ER126,0)+IFERROR(EU126/EV126,0)+IFERROR(#REF!/#REF!,0)+IFERROR(#REF!/#REF!,0)+IFERROR(FJ126/FK126,0)+IFERROR(FN126/FO126,0)+IFERROR(#REF!/#REF!,0)+IFERROR(#REF!/#REF!,0)+IFERROR(HF126/HG126,0)+IFERROR(#REF!/#REF!,0)+IFERROR(HJ126/HK126,0)+IFERROR(HN126/HO126,0)+IFERROR(HZ126/IA126,0)+IFERROR(ID126/IE126,0)+IFERROR(IH126/II126,0)+IFERROR(IL126/IM126,0)+IFERROR(IX126/IY126,0)+IFERROR(JB126/JC126,0)+IFERROR(JF126/JG126,0)+IFERROR(JI126/JJ126,0)+IFERROR(JL126/JM126,0)+IFERROR(JO126/JP126,0))*L126*(C126+D126+E126+I126)</f>
        <v>0</v>
      </c>
      <c r="S126" s="165"/>
      <c r="T126" s="165">
        <f t="shared" si="35"/>
        <v>0</v>
      </c>
      <c r="U126" s="165"/>
      <c r="V126" s="165"/>
      <c r="W126" s="165"/>
      <c r="X126" s="165">
        <f>(IFERROR(FF126/FG126,0)+IFERROR(FC126/FD126,0)+IFERROR(#REF!/#REF!,0)+IFERROR(KP126/KQ126,0))*L126*(C126+D126+E126+I126)</f>
        <v>0</v>
      </c>
      <c r="Y126" s="484"/>
      <c r="Z126" s="484"/>
      <c r="AA126" s="484"/>
      <c r="AB126" s="484"/>
      <c r="AC126" s="150">
        <f t="shared" si="47"/>
        <v>0</v>
      </c>
      <c r="AD126" s="150"/>
      <c r="AE126" s="150">
        <f t="shared" si="36"/>
        <v>0</v>
      </c>
      <c r="AF126" s="161">
        <v>300</v>
      </c>
      <c r="AG126" s="143">
        <v>51</v>
      </c>
      <c r="AH126" s="154"/>
      <c r="AI126" s="144">
        <v>15</v>
      </c>
      <c r="AJ126" s="338"/>
      <c r="AK126" s="338"/>
      <c r="AL126" s="343" t="s">
        <v>545</v>
      </c>
      <c r="AM126" s="140">
        <v>40</v>
      </c>
      <c r="AN126" s="338"/>
      <c r="AO126" s="338"/>
      <c r="AP126" s="343" t="s">
        <v>762</v>
      </c>
      <c r="AQ126" s="145">
        <v>1120</v>
      </c>
      <c r="AR126" s="338"/>
      <c r="AS126" s="338"/>
      <c r="AT126" s="343" t="s">
        <v>763</v>
      </c>
      <c r="AU126" s="140"/>
      <c r="AV126" s="277"/>
      <c r="AW126" s="277"/>
      <c r="AX126" s="277"/>
      <c r="AY126" s="140">
        <v>18.899999999999999</v>
      </c>
      <c r="AZ126" s="339"/>
      <c r="BA126" s="339"/>
      <c r="BB126" s="345" t="s">
        <v>762</v>
      </c>
      <c r="BC126" s="140"/>
      <c r="BD126" s="277"/>
      <c r="BE126" s="277"/>
      <c r="BF126" s="277"/>
      <c r="BG126" s="140"/>
      <c r="BH126" s="277"/>
      <c r="BI126" s="277"/>
      <c r="BJ126" s="277"/>
      <c r="BK126" s="140"/>
      <c r="BL126" s="277"/>
      <c r="BM126" s="277"/>
      <c r="BN126" s="277"/>
      <c r="BO126" s="140"/>
      <c r="BP126" s="277"/>
      <c r="BQ126" s="277"/>
      <c r="BR126" s="277"/>
      <c r="BS126" s="140"/>
      <c r="BT126" s="277"/>
      <c r="BU126" s="277"/>
      <c r="BV126" s="277"/>
      <c r="BW126" s="140"/>
      <c r="BX126" s="154"/>
      <c r="BY126" s="154"/>
      <c r="BZ126" s="220"/>
      <c r="CA126" s="140"/>
      <c r="CB126" s="154"/>
      <c r="CC126" s="154"/>
      <c r="CD126" s="220"/>
      <c r="CE126" s="140"/>
      <c r="CF126" s="271"/>
      <c r="CG126" s="271"/>
      <c r="CH126" s="271"/>
      <c r="CI126" s="140"/>
      <c r="CJ126" s="154"/>
      <c r="CK126" s="154"/>
      <c r="CL126" s="154"/>
      <c r="CM126" s="140"/>
      <c r="CN126" s="271"/>
      <c r="CO126" s="271"/>
      <c r="CP126" s="271"/>
      <c r="CQ126" s="140"/>
      <c r="CR126" s="154"/>
      <c r="CS126" s="154"/>
      <c r="CT126" s="154"/>
      <c r="CU126" s="140"/>
      <c r="CV126" s="154"/>
      <c r="CW126" s="154"/>
      <c r="CX126" s="220"/>
      <c r="CY126" s="140"/>
      <c r="CZ126" s="154"/>
      <c r="DA126" s="154"/>
      <c r="DB126" s="220"/>
      <c r="DC126" s="140"/>
      <c r="DD126" s="146"/>
      <c r="DE126" s="146"/>
      <c r="DF126" s="146"/>
      <c r="DG126" s="140"/>
      <c r="DH126" s="146"/>
      <c r="DI126" s="146"/>
      <c r="DJ126" s="146"/>
      <c r="DK126" s="146"/>
      <c r="DL126" s="146"/>
      <c r="DM126" s="146"/>
      <c r="DN126" s="146"/>
      <c r="DO126" s="146"/>
      <c r="DP126" s="146"/>
      <c r="DQ126" s="146"/>
      <c r="DR126" s="146"/>
      <c r="DS126" s="140"/>
      <c r="DT126" s="154"/>
      <c r="DU126" s="154"/>
      <c r="DV126" s="154"/>
      <c r="DW126" s="140"/>
      <c r="DX126" s="220"/>
      <c r="DY126" s="220"/>
      <c r="DZ126" s="220"/>
      <c r="EA126" s="140"/>
      <c r="EB126" s="220"/>
      <c r="EC126" s="220"/>
      <c r="ED126" s="220"/>
      <c r="EE126" s="140"/>
      <c r="EF126" s="154"/>
      <c r="EG126" s="154"/>
      <c r="EH126" s="154"/>
      <c r="EI126" s="140"/>
      <c r="EJ126" s="154"/>
      <c r="EK126" s="154"/>
      <c r="EL126" s="154"/>
      <c r="EM126" s="140"/>
      <c r="EN126" s="222"/>
      <c r="EO126" s="222"/>
      <c r="EP126" s="222"/>
      <c r="EQ126" s="140"/>
      <c r="ER126" s="222"/>
      <c r="ES126" s="222"/>
      <c r="ET126" s="222"/>
      <c r="EU126" s="140"/>
      <c r="EV126" s="222"/>
      <c r="EW126" s="222"/>
      <c r="EX126" s="222"/>
      <c r="EY126" s="344"/>
      <c r="EZ126" s="222"/>
      <c r="FA126" s="222"/>
      <c r="FB126" s="222"/>
      <c r="FC126" s="273"/>
      <c r="FD126" s="223"/>
      <c r="FE126" s="223"/>
      <c r="FF126" s="276"/>
      <c r="FG126" s="156"/>
      <c r="FH126" s="156"/>
      <c r="FI126" s="156"/>
      <c r="FJ126" s="140"/>
      <c r="FK126" s="277"/>
      <c r="FL126" s="277"/>
      <c r="FM126" s="277"/>
      <c r="FN126" s="140"/>
      <c r="FO126" s="277"/>
      <c r="FP126" s="277"/>
      <c r="FQ126" s="277"/>
      <c r="FR126" s="280"/>
      <c r="FS126" s="277"/>
      <c r="FT126" s="277"/>
      <c r="FU126" s="277"/>
      <c r="FV126" s="277"/>
      <c r="FW126" s="277"/>
      <c r="FX126" s="277"/>
      <c r="FY126" s="277"/>
      <c r="FZ126" s="277"/>
      <c r="GA126" s="277"/>
      <c r="GB126" s="277"/>
      <c r="GC126" s="277"/>
      <c r="GD126" s="277"/>
      <c r="GE126" s="277"/>
      <c r="GF126" s="277"/>
      <c r="GG126" s="277"/>
      <c r="GH126" s="277"/>
      <c r="GI126" s="277"/>
      <c r="GJ126" s="277"/>
      <c r="GK126" s="277"/>
      <c r="GL126" s="277"/>
      <c r="GM126" s="277"/>
      <c r="GN126" s="277"/>
      <c r="GO126" s="277"/>
      <c r="GP126" s="277"/>
      <c r="GQ126" s="277"/>
      <c r="GR126" s="277"/>
      <c r="GS126" s="277"/>
      <c r="GT126" s="277"/>
      <c r="GU126" s="277"/>
      <c r="GV126" s="277"/>
      <c r="GW126" s="277"/>
      <c r="GX126" s="277"/>
      <c r="GY126" s="277"/>
      <c r="GZ126" s="277"/>
      <c r="HA126" s="277"/>
      <c r="HB126" s="277"/>
      <c r="HC126" s="277"/>
      <c r="HD126" s="277"/>
      <c r="HE126" s="277"/>
      <c r="HF126" s="140">
        <v>51</v>
      </c>
      <c r="HG126" s="339"/>
      <c r="HH126" s="339"/>
      <c r="HI126" s="345" t="s">
        <v>762</v>
      </c>
      <c r="HJ126" s="140"/>
      <c r="HK126" s="277"/>
      <c r="HL126" s="277"/>
      <c r="HM126" s="277"/>
      <c r="HN126" s="140"/>
      <c r="HO126" s="277"/>
      <c r="HP126" s="277"/>
      <c r="HQ126" s="277"/>
      <c r="HR126" s="277"/>
      <c r="HS126" s="277"/>
      <c r="HT126" s="277"/>
      <c r="HU126" s="277"/>
      <c r="HV126" s="277"/>
      <c r="HW126" s="277"/>
      <c r="HX126" s="277"/>
      <c r="HY126" s="277"/>
      <c r="HZ126" s="140"/>
      <c r="IA126" s="277"/>
      <c r="IB126" s="277"/>
      <c r="IC126" s="277"/>
      <c r="ID126" s="140"/>
      <c r="IE126" s="277"/>
      <c r="IF126" s="277"/>
      <c r="IG126" s="277"/>
      <c r="IH126" s="140"/>
      <c r="II126" s="277"/>
      <c r="IJ126" s="277"/>
      <c r="IK126" s="277"/>
      <c r="IL126" s="140"/>
      <c r="IM126" s="277"/>
      <c r="IN126" s="277"/>
      <c r="IO126" s="277"/>
      <c r="IP126" s="277"/>
      <c r="IQ126" s="277"/>
      <c r="IR126" s="277"/>
      <c r="IS126" s="277"/>
      <c r="IT126" s="277"/>
      <c r="IU126" s="277"/>
      <c r="IV126" s="277"/>
      <c r="IW126" s="277"/>
      <c r="IX126" s="140"/>
      <c r="IY126" s="277"/>
      <c r="IZ126" s="277"/>
      <c r="JA126" s="277"/>
      <c r="JB126" s="140"/>
      <c r="JC126" s="277"/>
      <c r="JD126" s="277"/>
      <c r="JE126" s="277"/>
      <c r="JF126" s="140"/>
      <c r="JG126" s="277"/>
      <c r="JH126" s="277"/>
      <c r="JI126" s="140"/>
      <c r="JJ126" s="277"/>
      <c r="JK126" s="277"/>
      <c r="JL126" s="140"/>
      <c r="JM126" s="277"/>
      <c r="JN126" s="277"/>
      <c r="JO126" s="140"/>
      <c r="JP126" s="277"/>
      <c r="JQ126" s="277"/>
      <c r="JR126" s="277"/>
      <c r="JS126" s="277"/>
      <c r="JT126" s="277"/>
      <c r="JU126" s="277"/>
      <c r="JV126" s="277"/>
      <c r="JW126" s="277"/>
      <c r="JX126" s="277"/>
      <c r="JY126" s="277"/>
      <c r="JZ126" s="277"/>
      <c r="KA126" s="277"/>
      <c r="KB126" s="277"/>
      <c r="KC126" s="277"/>
      <c r="KD126" s="277"/>
      <c r="KE126" s="277"/>
      <c r="KF126" s="277"/>
      <c r="KG126" s="277"/>
      <c r="KH126" s="277"/>
      <c r="KI126" s="277"/>
      <c r="KJ126" s="277"/>
      <c r="KK126" s="277"/>
      <c r="KL126" s="277"/>
      <c r="KM126" s="277"/>
      <c r="KN126" s="277"/>
      <c r="KO126" s="277"/>
      <c r="KP126" s="274"/>
      <c r="KQ126" s="253"/>
      <c r="KR126" s="253"/>
      <c r="KS126" s="346">
        <v>40</v>
      </c>
      <c r="KT126" s="346">
        <v>1000</v>
      </c>
      <c r="KU126" s="346" t="s">
        <v>759</v>
      </c>
      <c r="KY126" s="141">
        <f t="shared" si="37"/>
        <v>1680</v>
      </c>
      <c r="KZ126" s="141">
        <f t="shared" si="38"/>
        <v>0</v>
      </c>
      <c r="LB126" s="141">
        <f t="shared" si="39"/>
        <v>1</v>
      </c>
      <c r="LC126" s="141">
        <f t="shared" si="40"/>
        <v>1</v>
      </c>
      <c r="LD126" s="141">
        <f t="shared" si="41"/>
        <v>1</v>
      </c>
      <c r="LE126" s="141" t="e">
        <f>((N(AU126)&gt;0)*(AX126&lt;&gt;"")+(N(AY126)&gt;0)*(BB126&lt;&gt;"")+(N(BC126)&gt;0)*(BF126&lt;&gt;"")+(N(BG126)&gt;0)*(BJ126&lt;&gt;"")+(N(BK126)&gt;0)*(BN126&lt;&gt;"")+(N(BO126)&gt;0)*(BR126&lt;&gt;"")+(N(BS126)&gt;0)*(BV126&lt;&gt;"")+(N(BW126)&gt;0)*(BZ126&lt;&gt;"")+(N(CA126)&gt;0)*(CD126&lt;&gt;"")+(N(CE126)&gt;0)*(CH126&lt;&gt;"")+(N(CI126)&gt;0)*(CL126&lt;&gt;"")+(N(CM126)&gt;0)*(CP126&lt;&gt;"")+(N(CQ126)&gt;0)*(CT126&lt;&gt;"")+(N(CU126)&gt;0)*(CX126&lt;&gt;"")+(N(CY126)&gt;0)*(DB126&lt;&gt;"")+(N(DC126)&gt;0)*(DF126&lt;&gt;"")+(N(DG126)&gt;0)*(DJ126&lt;&gt;"")+(N(DS126)&gt;0)*(DV126&lt;&gt;"")+(N(DW126)&gt;0)*(DZ126&lt;&gt;"")+(N(EA126)&gt;0)*(ED126&lt;&gt;"")+(N(EE126)&gt;0)*(EH126&lt;&gt;"")+(N(EI126)&gt;0)*(EL126&lt;&gt;"")+(N(EM126)&gt;0)*(EP126&lt;&gt;"")+(N(EQ126)&gt;0)*(ET126&lt;&gt;"")+(N(EU126)&gt;0)*(EX126&lt;&gt;"")+(N(#REF!)&gt;0)*(#REF!&lt;&gt;"")+(N(#REF!)&gt;0)*(#REF!&lt;&gt;"")+(N(FJ126)&gt;0)*(FM126&lt;&gt;"")+(N(FN126)&gt;0)*(FQ126&lt;&gt;"")+(N(#REF!)&gt;0)*(#REF!&lt;&gt;"")+(N(#REF!)&gt;0)*(#REF!&lt;&gt;"")+(N(HF126)&gt;0)*(HI126&lt;&gt;"")+(N(#REF!)&gt;0)*(#REF!&lt;&gt;"")+(N(HJ126)&gt;0)*(HM126&lt;&gt;"")+(N(HN126)&gt;0)*(HQ126&lt;&gt;"")+(N(HZ126)&gt;0)*(IC126&lt;&gt;"")+(N(ID126)&gt;0)*(IG126&lt;&gt;"")+(N(IH126)&gt;0)*(IK126&lt;&gt;"")+(N(IL126)&gt;0)*(IO126&lt;&gt;"")+(N(IX126)&gt;0)*(JA126&lt;&gt;"")+(N(JB126)&gt;0)*(JE126&lt;&gt;"")+(N(JF126)&gt;0)*(JH126&lt;&gt;"")+(N(JI126)&gt;0)*(JK126&lt;&gt;"")+(N(JL126)&gt;0)*(JN126&lt;&gt;"")+(N(JO126)&gt;0)*(JQ126&lt;&gt;""))</f>
        <v>#REF!</v>
      </c>
      <c r="LF126" s="141">
        <f t="shared" si="48"/>
        <v>0</v>
      </c>
      <c r="LG126" s="141">
        <f t="shared" si="42"/>
        <v>0</v>
      </c>
    </row>
    <row r="127" spans="1:319" ht="38.25" customHeight="1" x14ac:dyDescent="0.55000000000000004">
      <c r="B127" s="314" t="s">
        <v>444</v>
      </c>
      <c r="C127" s="218"/>
      <c r="D127" s="218"/>
      <c r="E127" s="218"/>
      <c r="F127" s="218"/>
      <c r="G127" s="218"/>
      <c r="H127" s="218"/>
      <c r="I127" s="162" cm="1">
        <f t="array" ref="I127">SUMPRODUCT(($AI$2:$KV$2&lt;&gt;"")*($AI127:$KV127&lt;&gt;""))</f>
        <v>6</v>
      </c>
      <c r="J127" s="142">
        <f t="shared" si="43"/>
        <v>0</v>
      </c>
      <c r="K127" s="142">
        <f t="shared" si="44"/>
        <v>0</v>
      </c>
      <c r="L127" s="268">
        <f t="shared" si="49"/>
        <v>7000</v>
      </c>
      <c r="M127" s="164">
        <f>IFERROR(IF(N(AJ127)=0,0,(AI127/AJ127)*L127*(C127+D127+E127+I127)),0)</f>
        <v>0</v>
      </c>
      <c r="N127" s="397"/>
      <c r="O127" s="165">
        <f t="shared" si="46"/>
        <v>0</v>
      </c>
      <c r="P127" s="165"/>
      <c r="Q127" s="165"/>
      <c r="R127" s="165">
        <f>(IFERROR(AM127/AN127,0)+IFERROR(AU127/AV127,0)+IFERROR(AY127/AZ127,0)+IFERROR(BC127/BD127,0)+IFERROR(BG127/BH127,0)+IFERROR(BK127/BL127,0)+IFERROR(BO127/BP127,0)+IFERROR(BS127/BT127,0)+IFERROR(BW127/BX127,0)+IFERROR(CA127/CB127,0)+IFERROR(CE127/CF127,0)+IFERROR(CI127/CJ127,0)+IFERROR(CM127/CN127,0)+IFERROR(CQ127/CR127,0)+IFERROR(CU127/CV127,0)+IFERROR(CY127/CZ127,0)+IFERROR(DC127/DD127,0)+IFERROR(DG127/DH127,0)+IFERROR(DS127/DT127,0)+IFERROR(DW127/DX127,0)+IFERROR(EA127/EB127,0)+IFERROR(EE127/EF127,0)+IFERROR(EI127/EJ127,0)+IFERROR(EM127/EN127,0)+IFERROR(EQ127/ER127,0)+IFERROR(EU127/EV127,0)+IFERROR(#REF!/#REF!,0)+IFERROR(#REF!/#REF!,0)+IFERROR(FJ127/FK127,0)+IFERROR(FN127/FO127,0)+IFERROR(#REF!/#REF!,0)+IFERROR(#REF!/#REF!,0)+IFERROR(HF127/HG127,0)+IFERROR(#REF!/#REF!,0)+IFERROR(HJ127/HK127,0)+IFERROR(HN127/HO127,0)+IFERROR(HZ127/IA127,0)+IFERROR(ID127/IE127,0)+IFERROR(IH127/II127,0)+IFERROR(IL127/IM127,0)+IFERROR(IX127/IY127,0)+IFERROR(JB127/JC127,0)+IFERROR(JF127/JG127,0)+IFERROR(JI127/JJ127,0)+IFERROR(JL127/JM127,0)+IFERROR(JO127/JP127,0))*L127*(C127+D127+E127+I127)</f>
        <v>0</v>
      </c>
      <c r="S127" s="165"/>
      <c r="T127" s="165">
        <f t="shared" ref="T127:T158" si="55">IFERROR(IF(N(FS127)=0,0,(FR127/FS127)*L127*(C127+D127+E127+I127)),0)</f>
        <v>0</v>
      </c>
      <c r="U127" s="165"/>
      <c r="V127" s="165"/>
      <c r="W127" s="165"/>
      <c r="X127" s="165">
        <f>(IFERROR(FF127/FG127,0)+IFERROR(FC127/FD127,0)+IFERROR(#REF!/#REF!,0)+IFERROR(KP127/KQ127,0))*L127*(C127+D127+E127+I127)</f>
        <v>0</v>
      </c>
      <c r="Y127" s="484"/>
      <c r="Z127" s="484"/>
      <c r="AA127" s="484"/>
      <c r="AB127" s="484"/>
      <c r="AC127" s="150">
        <f t="shared" si="47"/>
        <v>0</v>
      </c>
      <c r="AD127" s="150"/>
      <c r="AE127" s="150">
        <f t="shared" ref="AE127:AE158" si="56">IFERROR(IF(N(EZ127)=0,0,(EY127/EZ127)*L127*(C127+D127+E127+I127)),0)</f>
        <v>0</v>
      </c>
      <c r="AF127" s="161">
        <v>350</v>
      </c>
      <c r="AG127" s="143">
        <v>50</v>
      </c>
      <c r="AH127" s="154"/>
      <c r="AI127" s="144">
        <v>18</v>
      </c>
      <c r="AJ127" s="338"/>
      <c r="AK127" s="338"/>
      <c r="AL127" s="343" t="s">
        <v>545</v>
      </c>
      <c r="AM127" s="140">
        <v>58</v>
      </c>
      <c r="AN127" s="338"/>
      <c r="AO127" s="338"/>
      <c r="AP127" s="220" t="s">
        <v>565</v>
      </c>
      <c r="AQ127" s="145">
        <v>1250</v>
      </c>
      <c r="AR127" s="338"/>
      <c r="AS127" s="338"/>
      <c r="AT127" s="220" t="s">
        <v>563</v>
      </c>
      <c r="AU127" s="140"/>
      <c r="AV127" s="277"/>
      <c r="AW127" s="277"/>
      <c r="AX127" s="277"/>
      <c r="AY127" s="140"/>
      <c r="AZ127" s="277"/>
      <c r="BA127" s="277"/>
      <c r="BB127" s="277"/>
      <c r="BC127" s="140"/>
      <c r="BD127" s="277"/>
      <c r="BE127" s="277"/>
      <c r="BF127" s="277"/>
      <c r="BG127" s="140"/>
      <c r="BH127" s="277"/>
      <c r="BI127" s="277"/>
      <c r="BJ127" s="277"/>
      <c r="BK127" s="140"/>
      <c r="BL127" s="277"/>
      <c r="BM127" s="277"/>
      <c r="BN127" s="277"/>
      <c r="BO127" s="140"/>
      <c r="BP127" s="277"/>
      <c r="BQ127" s="277"/>
      <c r="BR127" s="277"/>
      <c r="BS127" s="140"/>
      <c r="BT127" s="277"/>
      <c r="BU127" s="277"/>
      <c r="BV127" s="277"/>
      <c r="BW127" s="140">
        <v>18</v>
      </c>
      <c r="BX127" s="338"/>
      <c r="BY127" s="338"/>
      <c r="BZ127" s="220" t="s">
        <v>564</v>
      </c>
      <c r="CA127" s="140">
        <v>18</v>
      </c>
      <c r="CB127" s="338"/>
      <c r="CC127" s="338"/>
      <c r="CD127" s="220" t="s">
        <v>564</v>
      </c>
      <c r="CE127" s="140"/>
      <c r="CF127" s="271"/>
      <c r="CG127" s="271"/>
      <c r="CH127" s="271"/>
      <c r="CI127" s="140"/>
      <c r="CJ127" s="154"/>
      <c r="CK127" s="154"/>
      <c r="CL127" s="154"/>
      <c r="CM127" s="140"/>
      <c r="CN127" s="271"/>
      <c r="CO127" s="271"/>
      <c r="CP127" s="271"/>
      <c r="CQ127" s="140"/>
      <c r="CR127" s="154"/>
      <c r="CS127" s="154"/>
      <c r="CT127" s="154"/>
      <c r="CU127" s="140"/>
      <c r="CV127" s="154"/>
      <c r="CW127" s="154"/>
      <c r="CX127" s="220"/>
      <c r="CY127" s="140"/>
      <c r="CZ127" s="154"/>
      <c r="DA127" s="154"/>
      <c r="DB127" s="220"/>
      <c r="DC127" s="140"/>
      <c r="DD127" s="146"/>
      <c r="DE127" s="146"/>
      <c r="DF127" s="146"/>
      <c r="DG127" s="140"/>
      <c r="DH127" s="146"/>
      <c r="DI127" s="146"/>
      <c r="DJ127" s="146"/>
      <c r="DK127" s="146"/>
      <c r="DL127" s="146"/>
      <c r="DM127" s="146"/>
      <c r="DN127" s="146"/>
      <c r="DO127" s="146"/>
      <c r="DP127" s="146"/>
      <c r="DQ127" s="146"/>
      <c r="DR127" s="146"/>
      <c r="DS127" s="140"/>
      <c r="DT127" s="154"/>
      <c r="DU127" s="154"/>
      <c r="DV127" s="154"/>
      <c r="DW127" s="140"/>
      <c r="DX127" s="220"/>
      <c r="DY127" s="220"/>
      <c r="DZ127" s="220"/>
      <c r="EA127" s="140"/>
      <c r="EB127" s="220"/>
      <c r="EC127" s="220"/>
      <c r="ED127" s="220"/>
      <c r="EE127" s="140"/>
      <c r="EF127" s="154"/>
      <c r="EG127" s="154"/>
      <c r="EH127" s="154"/>
      <c r="EI127" s="140"/>
      <c r="EJ127" s="154"/>
      <c r="EK127" s="154"/>
      <c r="EL127" s="154"/>
      <c r="EM127" s="140"/>
      <c r="EN127" s="222"/>
      <c r="EO127" s="222"/>
      <c r="EP127" s="222"/>
      <c r="EQ127" s="140"/>
      <c r="ER127" s="222"/>
      <c r="ES127" s="222"/>
      <c r="ET127" s="222"/>
      <c r="EU127" s="140"/>
      <c r="EV127" s="222"/>
      <c r="EW127" s="222"/>
      <c r="EX127" s="222"/>
      <c r="EY127" s="344"/>
      <c r="EZ127" s="222"/>
      <c r="FA127" s="222"/>
      <c r="FB127" s="222"/>
      <c r="FC127" s="273"/>
      <c r="FD127" s="223"/>
      <c r="FE127" s="223"/>
      <c r="FF127" s="276"/>
      <c r="FG127" s="156"/>
      <c r="FH127" s="156"/>
      <c r="FI127" s="156"/>
      <c r="FJ127" s="140"/>
      <c r="FK127" s="277"/>
      <c r="FL127" s="277"/>
      <c r="FM127" s="277"/>
      <c r="FN127" s="140"/>
      <c r="FO127" s="277"/>
      <c r="FP127" s="277"/>
      <c r="FQ127" s="277"/>
      <c r="FR127" s="280"/>
      <c r="FS127" s="277"/>
      <c r="FT127" s="277"/>
      <c r="FU127" s="277"/>
      <c r="FV127" s="277"/>
      <c r="FW127" s="277"/>
      <c r="FX127" s="277"/>
      <c r="FY127" s="277"/>
      <c r="FZ127" s="277"/>
      <c r="GA127" s="277"/>
      <c r="GB127" s="277"/>
      <c r="GC127" s="277"/>
      <c r="GD127" s="277"/>
      <c r="GE127" s="277"/>
      <c r="GF127" s="277"/>
      <c r="GG127" s="277"/>
      <c r="GH127" s="277"/>
      <c r="GI127" s="277"/>
      <c r="GJ127" s="277"/>
      <c r="GK127" s="277"/>
      <c r="GL127" s="277"/>
      <c r="GM127" s="277"/>
      <c r="GN127" s="277"/>
      <c r="GO127" s="277"/>
      <c r="GP127" s="277"/>
      <c r="GQ127" s="277"/>
      <c r="GR127" s="277"/>
      <c r="GS127" s="277"/>
      <c r="GT127" s="277"/>
      <c r="GU127" s="277"/>
      <c r="GV127" s="277"/>
      <c r="GW127" s="277"/>
      <c r="GX127" s="277"/>
      <c r="GY127" s="277"/>
      <c r="GZ127" s="277"/>
      <c r="HA127" s="277"/>
      <c r="HB127" s="277"/>
      <c r="HC127" s="277"/>
      <c r="HD127" s="277"/>
      <c r="HE127" s="277"/>
      <c r="HF127" s="140"/>
      <c r="HG127" s="277"/>
      <c r="HH127" s="277"/>
      <c r="HI127" s="277"/>
      <c r="HJ127" s="140"/>
      <c r="HK127" s="277"/>
      <c r="HL127" s="277"/>
      <c r="HM127" s="277"/>
      <c r="HN127" s="140"/>
      <c r="HO127" s="277"/>
      <c r="HP127" s="277"/>
      <c r="HQ127" s="277"/>
      <c r="HR127" s="277"/>
      <c r="HS127" s="277"/>
      <c r="HT127" s="277"/>
      <c r="HU127" s="277"/>
      <c r="HV127" s="277"/>
      <c r="HW127" s="277"/>
      <c r="HX127" s="277"/>
      <c r="HY127" s="277"/>
      <c r="HZ127" s="140"/>
      <c r="IA127" s="277"/>
      <c r="IB127" s="277"/>
      <c r="IC127" s="277"/>
      <c r="ID127" s="140"/>
      <c r="IE127" s="277"/>
      <c r="IF127" s="277"/>
      <c r="IG127" s="277"/>
      <c r="IH127" s="140"/>
      <c r="II127" s="277"/>
      <c r="IJ127" s="277"/>
      <c r="IK127" s="277"/>
      <c r="IL127" s="140"/>
      <c r="IM127" s="277"/>
      <c r="IN127" s="277"/>
      <c r="IO127" s="277"/>
      <c r="IP127" s="277"/>
      <c r="IQ127" s="277"/>
      <c r="IR127" s="277"/>
      <c r="IS127" s="277"/>
      <c r="IT127" s="277"/>
      <c r="IU127" s="277"/>
      <c r="IV127" s="277"/>
      <c r="IW127" s="277"/>
      <c r="IX127" s="140"/>
      <c r="IY127" s="277"/>
      <c r="IZ127" s="277"/>
      <c r="JA127" s="277"/>
      <c r="JB127" s="140"/>
      <c r="JC127" s="277"/>
      <c r="JD127" s="277"/>
      <c r="JE127" s="277"/>
      <c r="JF127" s="140"/>
      <c r="JG127" s="277"/>
      <c r="JH127" s="277"/>
      <c r="JI127" s="140"/>
      <c r="JJ127" s="277"/>
      <c r="JK127" s="277"/>
      <c r="JL127" s="140"/>
      <c r="JM127" s="277"/>
      <c r="JN127" s="277"/>
      <c r="JO127" s="140"/>
      <c r="JP127" s="277"/>
      <c r="JQ127" s="277"/>
      <c r="JR127" s="277"/>
      <c r="JS127" s="277"/>
      <c r="JT127" s="277"/>
      <c r="JU127" s="277"/>
      <c r="JV127" s="277"/>
      <c r="JW127" s="277"/>
      <c r="JX127" s="277"/>
      <c r="JY127" s="277"/>
      <c r="JZ127" s="277"/>
      <c r="KA127" s="277"/>
      <c r="KB127" s="277"/>
      <c r="KC127" s="277"/>
      <c r="KD127" s="277"/>
      <c r="KE127" s="277"/>
      <c r="KF127" s="277"/>
      <c r="KG127" s="277"/>
      <c r="KH127" s="277"/>
      <c r="KI127" s="277"/>
      <c r="KJ127" s="277"/>
      <c r="KK127" s="277"/>
      <c r="KL127" s="277"/>
      <c r="KM127" s="277"/>
      <c r="KN127" s="277"/>
      <c r="KO127" s="277"/>
      <c r="KP127" s="274"/>
      <c r="KQ127" s="253"/>
      <c r="KR127" s="253"/>
      <c r="KS127" s="346">
        <v>40</v>
      </c>
      <c r="KT127" s="346">
        <v>1000</v>
      </c>
      <c r="KU127" s="346" t="s">
        <v>759</v>
      </c>
      <c r="KY127" s="141">
        <f t="shared" ref="KY127:KY158" si="57">IFERROR(IF(N(KT127)=0,0,(KS127/KT127)*L127*(C127+D127+E127+I127)),0)</f>
        <v>1680</v>
      </c>
      <c r="KZ127" s="141">
        <f t="shared" ref="KZ127:KZ158" si="58">IFERROR(IF(N(KW127)=0,0,(KV127/KW127)*L127*(C127+D127+E127+I127)),0)</f>
        <v>0</v>
      </c>
      <c r="LB127" s="141">
        <f t="shared" ref="LB127:LB158" si="59">(N(AI127)&gt;0)*(AL127&lt;&gt;"")</f>
        <v>1</v>
      </c>
      <c r="LC127" s="141">
        <f t="shared" ref="LC127:LC158" si="60">(N(AM127)&gt;0)*(AP127&lt;&gt;"")</f>
        <v>1</v>
      </c>
      <c r="LD127" s="141">
        <f t="shared" ref="LD127:LD158" si="61">(N(AQ127)&gt;0)*(AT127&lt;&gt;"")</f>
        <v>1</v>
      </c>
      <c r="LE127" s="141" t="e">
        <f>((N(AU127)&gt;0)*(AX127&lt;&gt;"")+(N(AY127)&gt;0)*(BB127&lt;&gt;"")+(N(BC127)&gt;0)*(BF127&lt;&gt;"")+(N(BG127)&gt;0)*(BJ127&lt;&gt;"")+(N(BK127)&gt;0)*(BN127&lt;&gt;"")+(N(BO127)&gt;0)*(BR127&lt;&gt;"")+(N(BS127)&gt;0)*(BV127&lt;&gt;"")+(N(BW127)&gt;0)*(BZ127&lt;&gt;"")+(N(CA127)&gt;0)*(CD127&lt;&gt;"")+(N(CE127)&gt;0)*(CH127&lt;&gt;"")+(N(CI127)&gt;0)*(CL127&lt;&gt;"")+(N(CM127)&gt;0)*(CP127&lt;&gt;"")+(N(CQ127)&gt;0)*(CT127&lt;&gt;"")+(N(CU127)&gt;0)*(CX127&lt;&gt;"")+(N(CY127)&gt;0)*(DB127&lt;&gt;"")+(N(DC127)&gt;0)*(DF127&lt;&gt;"")+(N(DG127)&gt;0)*(DJ127&lt;&gt;"")+(N(DS127)&gt;0)*(DV127&lt;&gt;"")+(N(DW127)&gt;0)*(DZ127&lt;&gt;"")+(N(EA127)&gt;0)*(ED127&lt;&gt;"")+(N(EE127)&gt;0)*(EH127&lt;&gt;"")+(N(EI127)&gt;0)*(EL127&lt;&gt;"")+(N(EM127)&gt;0)*(EP127&lt;&gt;"")+(N(EQ127)&gt;0)*(ET127&lt;&gt;"")+(N(EU127)&gt;0)*(EX127&lt;&gt;"")+(N(#REF!)&gt;0)*(#REF!&lt;&gt;"")+(N(#REF!)&gt;0)*(#REF!&lt;&gt;"")+(N(FJ127)&gt;0)*(FM127&lt;&gt;"")+(N(FN127)&gt;0)*(FQ127&lt;&gt;"")+(N(#REF!)&gt;0)*(#REF!&lt;&gt;"")+(N(#REF!)&gt;0)*(#REF!&lt;&gt;"")+(N(HF127)&gt;0)*(HI127&lt;&gt;"")+(N(#REF!)&gt;0)*(#REF!&lt;&gt;"")+(N(HJ127)&gt;0)*(HM127&lt;&gt;"")+(N(HN127)&gt;0)*(HQ127&lt;&gt;"")+(N(HZ127)&gt;0)*(IC127&lt;&gt;"")+(N(ID127)&gt;0)*(IG127&lt;&gt;"")+(N(IH127)&gt;0)*(IK127&lt;&gt;"")+(N(IL127)&gt;0)*(IO127&lt;&gt;"")+(N(IX127)&gt;0)*(JA127&lt;&gt;"")+(N(JB127)&gt;0)*(JE127&lt;&gt;"")+(N(JF127)&gt;0)*(JH127&lt;&gt;"")+(N(JI127)&gt;0)*(JK127&lt;&gt;"")+(N(JL127)&gt;0)*(JN127&lt;&gt;"")+(N(JO127)&gt;0)*(JQ127&lt;&gt;""))</f>
        <v>#REF!</v>
      </c>
      <c r="LF127" s="141">
        <f t="shared" si="48"/>
        <v>0</v>
      </c>
      <c r="LG127" s="141">
        <f t="shared" ref="LG127:LG158" si="62">(N(AG127)&gt;0)*(N(AH127)&gt;0)</f>
        <v>0</v>
      </c>
    </row>
    <row r="128" spans="1:319" ht="38.25" customHeight="1" x14ac:dyDescent="0.55000000000000004">
      <c r="B128" s="506" t="s">
        <v>176</v>
      </c>
      <c r="C128" s="218">
        <v>5</v>
      </c>
      <c r="D128" s="218">
        <v>5</v>
      </c>
      <c r="E128" s="218">
        <v>5</v>
      </c>
      <c r="F128" s="162">
        <f>($AI$128/$AJ$128)*$L$128*C128</f>
        <v>6300</v>
      </c>
      <c r="G128" s="162">
        <f>($AI$128/$AJ$128)*$L$128*D128</f>
        <v>6300</v>
      </c>
      <c r="H128" s="162">
        <f>($AI$128/$AJ$128)*$L$128*E128</f>
        <v>6300</v>
      </c>
      <c r="I128" s="162" cm="1">
        <f t="array" ref="I128">SUMPRODUCT(($AI$2:$KV$2&lt;&gt;"")*($AI128:$KV128&lt;&gt;""))</f>
        <v>8</v>
      </c>
      <c r="J128" s="142">
        <f t="shared" si="43"/>
        <v>40</v>
      </c>
      <c r="K128" s="142">
        <f t="shared" si="44"/>
        <v>560</v>
      </c>
      <c r="L128" s="268">
        <f t="shared" si="49"/>
        <v>7000</v>
      </c>
      <c r="M128" s="164">
        <f>IFERROR(IF(N(AJ128)=0,0,(AI128/AJ128)*L128*(C128+D128+E128+I128)),0)</f>
        <v>28980</v>
      </c>
      <c r="N128" s="397"/>
      <c r="O128" s="165">
        <f t="shared" si="46"/>
        <v>17710</v>
      </c>
      <c r="P128" s="165"/>
      <c r="Q128" s="165"/>
      <c r="R128" s="165">
        <f>(IFERROR(AM128/AN128,0)+IFERROR(AU128/AV128,0)+IFERROR(AY128/AZ128,0)+IFERROR(BC128/BD128,0)+IFERROR(BG128/BH128,0)+IFERROR(BK128/BL128,0)+IFERROR(BO128/BP128,0)+IFERROR(BS128/BT128,0)+IFERROR(BW128/BX128,0)+IFERROR(CA128/CB128,0)+IFERROR(CE128/CF128,0)+IFERROR(CI128/CJ128,0)+IFERROR(CM128/CN128,0)+IFERROR(CQ128/CR128,0)+IFERROR(CU128/CV128,0)+IFERROR(CY128/CZ128,0)+IFERROR(DC128/DD128,0)+IFERROR(DG128/DH128,0)+IFERROR(DS128/DT128,0)+IFERROR(DW128/DX128,0)+IFERROR(EA128/EB128,0)+IFERROR(EE128/EF128,0)+IFERROR(EI128/EJ128,0)+IFERROR(EM128/EN128,0)+IFERROR(EQ128/ER128,0)+IFERROR(EU128/EV128,0)+IFERROR(#REF!/#REF!,0)+IFERROR(#REF!/#REF!,0)+IFERROR(FJ128/FK128,0)+IFERROR(FN128/FO128,0)+IFERROR(#REF!/#REF!,0)+IFERROR(#REF!/#REF!,0)+IFERROR(HF128/HG128,0)+IFERROR(#REF!/#REF!,0)+IFERROR(HJ128/HK128,0)+IFERROR(HN128/HO128,0)+IFERROR(HZ128/IA128,0)+IFERROR(ID128/IE128,0)+IFERROR(IH128/II128,0)+IFERROR(IL128/IM128,0)+IFERROR(IX128/IY128,0)+IFERROR(JB128/JC128,0)+IFERROR(JF128/JG128,0)+IFERROR(JI128/JJ128,0)+IFERROR(JL128/JM128,0)+IFERROR(JO128/JP128,0))*L128*(C128+D128+E128+I128)</f>
        <v>46046.000000000007</v>
      </c>
      <c r="S128" s="165"/>
      <c r="T128" s="165">
        <f t="shared" si="55"/>
        <v>0</v>
      </c>
      <c r="U128" s="165"/>
      <c r="V128" s="165"/>
      <c r="W128" s="165"/>
      <c r="X128" s="165">
        <f>(IFERROR(FF128/FG128,0)+IFERROR(FC128/FD128,0)+IFERROR(#REF!/#REF!,0)+IFERROR(KP128/KQ128,0))*L128*(C128+D128+E128+I128)</f>
        <v>0</v>
      </c>
      <c r="Y128" s="484"/>
      <c r="Z128" s="484"/>
      <c r="AA128" s="484"/>
      <c r="AB128" s="484"/>
      <c r="AC128" s="150">
        <f t="shared" si="47"/>
        <v>3179.75</v>
      </c>
      <c r="AD128" s="150"/>
      <c r="AE128" s="150">
        <f t="shared" si="56"/>
        <v>0</v>
      </c>
      <c r="AF128" s="161">
        <v>450</v>
      </c>
      <c r="AG128" s="143">
        <v>79</v>
      </c>
      <c r="AH128" s="154">
        <v>4000</v>
      </c>
      <c r="AI128" s="144">
        <v>45</v>
      </c>
      <c r="AJ128" s="154">
        <v>250</v>
      </c>
      <c r="AK128" s="489" t="s">
        <v>81</v>
      </c>
      <c r="AL128" s="154" t="s">
        <v>548</v>
      </c>
      <c r="AM128" s="490">
        <v>122</v>
      </c>
      <c r="AN128" s="154">
        <v>1000</v>
      </c>
      <c r="AO128" s="490" t="s">
        <v>82</v>
      </c>
      <c r="AP128" s="154" t="s">
        <v>548</v>
      </c>
      <c r="AQ128" s="490">
        <v>110</v>
      </c>
      <c r="AR128" s="154">
        <v>1000</v>
      </c>
      <c r="AS128" s="490" t="s">
        <v>82</v>
      </c>
      <c r="AT128" s="154" t="s">
        <v>548</v>
      </c>
      <c r="AU128" s="140"/>
      <c r="AV128" s="277"/>
      <c r="AW128" s="277"/>
      <c r="AX128" s="277"/>
      <c r="AY128" s="140"/>
      <c r="AZ128" s="277"/>
      <c r="BA128" s="277"/>
      <c r="BB128" s="277"/>
      <c r="BC128" s="140"/>
      <c r="BD128" s="277"/>
      <c r="BE128" s="277"/>
      <c r="BF128" s="277"/>
      <c r="BG128" s="140"/>
      <c r="BH128" s="277"/>
      <c r="BI128" s="277"/>
      <c r="BJ128" s="277"/>
      <c r="BK128" s="140"/>
      <c r="BL128" s="277"/>
      <c r="BM128" s="277"/>
      <c r="BN128" s="277"/>
      <c r="BO128" s="140"/>
      <c r="BP128" s="277"/>
      <c r="BQ128" s="277"/>
      <c r="BR128" s="277"/>
      <c r="BS128" s="140"/>
      <c r="BT128" s="277"/>
      <c r="BU128" s="277"/>
      <c r="BV128" s="277"/>
      <c r="BW128" s="140"/>
      <c r="BX128" s="154"/>
      <c r="BY128" s="154"/>
      <c r="BZ128" s="220"/>
      <c r="CA128" s="140"/>
      <c r="CB128" s="154"/>
      <c r="CC128" s="154"/>
      <c r="CD128" s="220"/>
      <c r="CE128" s="490">
        <v>82</v>
      </c>
      <c r="CF128" s="154">
        <v>1000</v>
      </c>
      <c r="CG128" s="490" t="s">
        <v>82</v>
      </c>
      <c r="CH128" s="154" t="s">
        <v>1126</v>
      </c>
      <c r="CI128" s="490">
        <v>82</v>
      </c>
      <c r="CJ128" s="154">
        <v>1000</v>
      </c>
      <c r="CK128" s="490" t="s">
        <v>82</v>
      </c>
      <c r="CL128" s="154" t="s">
        <v>1126</v>
      </c>
      <c r="CM128" s="140"/>
      <c r="CN128" s="271"/>
      <c r="CO128" s="271"/>
      <c r="CP128" s="271"/>
      <c r="CQ128" s="140"/>
      <c r="CR128" s="154"/>
      <c r="CS128" s="154"/>
      <c r="CT128" s="154"/>
      <c r="CU128" s="140"/>
      <c r="CV128" s="154"/>
      <c r="CW128" s="154"/>
      <c r="CX128" s="220"/>
      <c r="CY128" s="140"/>
      <c r="CZ128" s="154"/>
      <c r="DA128" s="154"/>
      <c r="DB128" s="220"/>
      <c r="DC128" s="140"/>
      <c r="DD128" s="146"/>
      <c r="DE128" s="146"/>
      <c r="DF128" s="146"/>
      <c r="DG128" s="140"/>
      <c r="DH128" s="146"/>
      <c r="DI128" s="146"/>
      <c r="DJ128" s="146"/>
      <c r="DK128" s="146"/>
      <c r="DL128" s="146"/>
      <c r="DM128" s="146"/>
      <c r="DN128" s="146"/>
      <c r="DO128" s="146"/>
      <c r="DP128" s="146"/>
      <c r="DQ128" s="146"/>
      <c r="DR128" s="146"/>
      <c r="DS128" s="140"/>
      <c r="DT128" s="154"/>
      <c r="DU128" s="154"/>
      <c r="DV128" s="154"/>
      <c r="DW128" s="140"/>
      <c r="DX128" s="220"/>
      <c r="DY128" s="220"/>
      <c r="DZ128" s="220"/>
      <c r="EA128" s="140"/>
      <c r="EB128" s="220"/>
      <c r="EC128" s="220"/>
      <c r="ED128" s="220"/>
      <c r="EE128" s="140"/>
      <c r="EF128" s="154"/>
      <c r="EG128" s="154"/>
      <c r="EH128" s="154"/>
      <c r="EI128" s="140"/>
      <c r="EJ128" s="154"/>
      <c r="EK128" s="154"/>
      <c r="EL128" s="154"/>
      <c r="EM128" s="140"/>
      <c r="EN128" s="222"/>
      <c r="EO128" s="222"/>
      <c r="EP128" s="222"/>
      <c r="EQ128" s="140"/>
      <c r="ER128" s="222"/>
      <c r="ES128" s="222"/>
      <c r="ET128" s="222"/>
      <c r="EU128" s="140"/>
      <c r="EV128" s="222"/>
      <c r="EW128" s="222"/>
      <c r="EX128" s="222"/>
      <c r="EY128" s="344"/>
      <c r="EZ128" s="222"/>
      <c r="FA128" s="222"/>
      <c r="FB128" s="222"/>
      <c r="FC128" s="273"/>
      <c r="FD128" s="223"/>
      <c r="FE128" s="223"/>
      <c r="FF128" s="276"/>
      <c r="FG128" s="156"/>
      <c r="FH128" s="156"/>
      <c r="FI128" s="156"/>
      <c r="FJ128" s="140"/>
      <c r="FK128" s="277"/>
      <c r="FL128" s="277"/>
      <c r="FM128" s="277"/>
      <c r="FN128" s="140"/>
      <c r="FO128" s="277"/>
      <c r="FP128" s="277"/>
      <c r="FQ128" s="277"/>
      <c r="FR128" s="280"/>
      <c r="FS128" s="277"/>
      <c r="FT128" s="277"/>
      <c r="FU128" s="277"/>
      <c r="FV128" s="277"/>
      <c r="FW128" s="277"/>
      <c r="FX128" s="277"/>
      <c r="FY128" s="277"/>
      <c r="FZ128" s="277"/>
      <c r="GA128" s="277"/>
      <c r="GB128" s="277"/>
      <c r="GC128" s="277"/>
      <c r="GD128" s="277"/>
      <c r="GE128" s="277"/>
      <c r="GF128" s="277"/>
      <c r="GG128" s="277"/>
      <c r="GH128" s="277"/>
      <c r="GI128" s="277"/>
      <c r="GJ128" s="277"/>
      <c r="GK128" s="277"/>
      <c r="GL128" s="277"/>
      <c r="GM128" s="277"/>
      <c r="GN128" s="277"/>
      <c r="GO128" s="277"/>
      <c r="GP128" s="277"/>
      <c r="GQ128" s="277"/>
      <c r="GR128" s="277"/>
      <c r="GS128" s="277"/>
      <c r="GT128" s="277"/>
      <c r="GU128" s="277"/>
      <c r="GV128" s="277"/>
      <c r="GW128" s="277"/>
      <c r="GX128" s="277"/>
      <c r="GY128" s="277"/>
      <c r="GZ128" s="277"/>
      <c r="HA128" s="277"/>
      <c r="HB128" s="277"/>
      <c r="HC128" s="277"/>
      <c r="HD128" s="277"/>
      <c r="HE128" s="277"/>
      <c r="HF128" s="140"/>
      <c r="HG128" s="277"/>
      <c r="HH128" s="277"/>
      <c r="HI128" s="277"/>
      <c r="HJ128" s="140"/>
      <c r="HK128" s="277"/>
      <c r="HL128" s="277"/>
      <c r="HM128" s="277"/>
      <c r="HN128" s="140"/>
      <c r="HO128" s="277"/>
      <c r="HP128" s="277"/>
      <c r="HQ128" s="277"/>
      <c r="HR128" s="277"/>
      <c r="HS128" s="277"/>
      <c r="HT128" s="277"/>
      <c r="HU128" s="277"/>
      <c r="HV128" s="277"/>
      <c r="HW128" s="277"/>
      <c r="HX128" s="277"/>
      <c r="HY128" s="277"/>
      <c r="HZ128" s="493">
        <v>0.53</v>
      </c>
      <c r="IA128" s="277"/>
      <c r="IB128" s="493" t="s">
        <v>345</v>
      </c>
      <c r="IC128" s="277" t="s">
        <v>1133</v>
      </c>
      <c r="ID128" s="493">
        <v>0.32</v>
      </c>
      <c r="IE128" s="277"/>
      <c r="IF128" s="493" t="s">
        <v>345</v>
      </c>
      <c r="IG128" s="277" t="s">
        <v>1133</v>
      </c>
      <c r="IH128" s="493">
        <v>0.53</v>
      </c>
      <c r="II128" s="277"/>
      <c r="IJ128" s="493" t="s">
        <v>345</v>
      </c>
      <c r="IK128" s="277" t="s">
        <v>1133</v>
      </c>
      <c r="IL128" s="140"/>
      <c r="IM128" s="277"/>
      <c r="IN128" s="277"/>
      <c r="IO128" s="277"/>
      <c r="IP128" s="277"/>
      <c r="IQ128" s="277"/>
      <c r="IR128" s="277"/>
      <c r="IS128" s="277"/>
      <c r="IT128" s="277"/>
      <c r="IU128" s="277"/>
      <c r="IV128" s="277"/>
      <c r="IW128" s="277"/>
      <c r="IX128" s="140"/>
      <c r="IY128" s="277"/>
      <c r="IZ128" s="277"/>
      <c r="JA128" s="277"/>
      <c r="JB128" s="140"/>
      <c r="JC128" s="277"/>
      <c r="JD128" s="277"/>
      <c r="JE128" s="277"/>
      <c r="JF128" s="140"/>
      <c r="JG128" s="277"/>
      <c r="JH128" s="277"/>
      <c r="JI128" s="140"/>
      <c r="JJ128" s="277"/>
      <c r="JK128" s="277"/>
      <c r="JL128" s="140"/>
      <c r="JM128" s="277"/>
      <c r="JN128" s="277"/>
      <c r="JO128" s="140"/>
      <c r="JP128" s="277"/>
      <c r="JQ128" s="277"/>
      <c r="JR128" s="277"/>
      <c r="JS128" s="277"/>
      <c r="JT128" s="277"/>
      <c r="JU128" s="277"/>
      <c r="JV128" s="277"/>
      <c r="JW128" s="277"/>
      <c r="JX128" s="277"/>
      <c r="JY128" s="277"/>
      <c r="JZ128" s="277"/>
      <c r="KA128" s="277"/>
      <c r="KB128" s="277"/>
      <c r="KC128" s="277"/>
      <c r="KD128" s="277"/>
      <c r="KE128" s="277"/>
      <c r="KF128" s="277"/>
      <c r="KG128" s="277"/>
      <c r="KH128" s="277"/>
      <c r="KI128" s="277"/>
      <c r="KJ128" s="277"/>
      <c r="KK128" s="277"/>
      <c r="KL128" s="277"/>
      <c r="KM128" s="277"/>
      <c r="KN128" s="277"/>
      <c r="KO128" s="277"/>
      <c r="KP128" s="274"/>
      <c r="KQ128" s="253"/>
      <c r="KR128" s="253"/>
      <c r="KY128" s="141">
        <f t="shared" si="57"/>
        <v>0</v>
      </c>
      <c r="KZ128" s="141">
        <f t="shared" si="58"/>
        <v>0</v>
      </c>
      <c r="LB128" s="141">
        <f t="shared" si="59"/>
        <v>1</v>
      </c>
      <c r="LC128" s="141">
        <f t="shared" si="60"/>
        <v>1</v>
      </c>
      <c r="LD128" s="141">
        <f t="shared" si="61"/>
        <v>1</v>
      </c>
      <c r="LE128" s="141" t="e">
        <f>((N(AU128)&gt;0)*(AX128&lt;&gt;"")+(N(AY128)&gt;0)*(BB128&lt;&gt;"")+(N(BC128)&gt;0)*(BF128&lt;&gt;"")+(N(BG128)&gt;0)*(BJ128&lt;&gt;"")+(N(BK128)&gt;0)*(BN128&lt;&gt;"")+(N(BO128)&gt;0)*(BR128&lt;&gt;"")+(N(BS128)&gt;0)*(BV128&lt;&gt;"")+(N(BW128)&gt;0)*(BZ128&lt;&gt;"")+(N(CA128)&gt;0)*(CD128&lt;&gt;"")+(N(CE128)&gt;0)*(CH128&lt;&gt;"")+(N(CI128)&gt;0)*(CL128&lt;&gt;"")+(N(CM128)&gt;0)*(CP128&lt;&gt;"")+(N(CQ128)&gt;0)*(CT128&lt;&gt;"")+(N(CU128)&gt;0)*(CX128&lt;&gt;"")+(N(CY128)&gt;0)*(DB128&lt;&gt;"")+(N(DC128)&gt;0)*(DF128&lt;&gt;"")+(N(DG128)&gt;0)*(DJ128&lt;&gt;"")+(N(DS128)&gt;0)*(DV128&lt;&gt;"")+(N(DW128)&gt;0)*(DZ128&lt;&gt;"")+(N(EA128)&gt;0)*(ED128&lt;&gt;"")+(N(EE128)&gt;0)*(EH128&lt;&gt;"")+(N(EI128)&gt;0)*(EL128&lt;&gt;"")+(N(EM128)&gt;0)*(EP128&lt;&gt;"")+(N(EQ128)&gt;0)*(ET128&lt;&gt;"")+(N(EU128)&gt;0)*(EX128&lt;&gt;"")+(N(#REF!)&gt;0)*(#REF!&lt;&gt;"")+(N(#REF!)&gt;0)*(#REF!&lt;&gt;"")+(N(FJ128)&gt;0)*(FM128&lt;&gt;"")+(N(FN128)&gt;0)*(FQ128&lt;&gt;"")+(N(#REF!)&gt;0)*(#REF!&lt;&gt;"")+(N(#REF!)&gt;0)*(#REF!&lt;&gt;"")+(N(HF128)&gt;0)*(HI128&lt;&gt;"")+(N(#REF!)&gt;0)*(#REF!&lt;&gt;"")+(N(HJ128)&gt;0)*(HM128&lt;&gt;"")+(N(HN128)&gt;0)*(HQ128&lt;&gt;"")+(N(HZ128)&gt;0)*(IC128&lt;&gt;"")+(N(ID128)&gt;0)*(IG128&lt;&gt;"")+(N(IH128)&gt;0)*(IK128&lt;&gt;"")+(N(IL128)&gt;0)*(IO128&lt;&gt;"")+(N(IX128)&gt;0)*(JA128&lt;&gt;"")+(N(JB128)&gt;0)*(JE128&lt;&gt;"")+(N(JF128)&gt;0)*(JH128&lt;&gt;"")+(N(JI128)&gt;0)*(JK128&lt;&gt;"")+(N(JL128)&gt;0)*(JN128&lt;&gt;"")+(N(JO128)&gt;0)*(JQ128&lt;&gt;""))</f>
        <v>#REF!</v>
      </c>
      <c r="LF128" s="141">
        <f t="shared" si="48"/>
        <v>0</v>
      </c>
      <c r="LG128" s="141">
        <f t="shared" si="62"/>
        <v>1</v>
      </c>
    </row>
    <row r="129" spans="1:319" ht="38.25" customHeight="1" x14ac:dyDescent="0.55000000000000004">
      <c r="A129" s="141" t="s">
        <v>135</v>
      </c>
      <c r="B129" s="506" t="s">
        <v>175</v>
      </c>
      <c r="C129" s="218">
        <v>2</v>
      </c>
      <c r="D129" s="218">
        <v>1</v>
      </c>
      <c r="E129" s="218">
        <v>1</v>
      </c>
      <c r="F129" s="162">
        <f>($AI$129/$AJ$129)*$L$129*C129</f>
        <v>2632</v>
      </c>
      <c r="G129" s="162">
        <f>($AI$129/$AJ$129)*$L$129*D129</f>
        <v>1316</v>
      </c>
      <c r="H129" s="162">
        <f>($AI$129/$AJ$129)*$L$129*E129</f>
        <v>1316</v>
      </c>
      <c r="I129" s="162" cm="1">
        <f t="array" ref="I129">SUMPRODUCT(($AI$2:$KV$2&lt;&gt;"")*($AI129:$KV129&lt;&gt;""))</f>
        <v>5</v>
      </c>
      <c r="J129" s="142">
        <f t="shared" si="43"/>
        <v>10</v>
      </c>
      <c r="K129" s="142">
        <f t="shared" si="44"/>
        <v>140</v>
      </c>
      <c r="L129" s="268">
        <f t="shared" si="49"/>
        <v>7000</v>
      </c>
      <c r="M129" s="164">
        <f t="shared" si="45"/>
        <v>11844</v>
      </c>
      <c r="N129" s="397"/>
      <c r="O129" s="165">
        <f t="shared" si="46"/>
        <v>4032</v>
      </c>
      <c r="P129" s="165"/>
      <c r="Q129" s="165"/>
      <c r="R129" s="165">
        <f>(IFERROR(AM129/AN129,0)+IFERROR(AU129/AV129,0)+IFERROR(AY129/AZ129,0)+IFERROR(BC129/BD129,0)+IFERROR(BG129/BH129,0)+IFERROR(BK129/BL129,0)+IFERROR(BO129/BP129,0)+IFERROR(BS129/BT129,0)+IFERROR(BW129/BX129,0)+IFERROR(CA129/CB129,0)+IFERROR(CE129/CF129,0)+IFERROR(CI129/CJ129,0)+IFERROR(CM129/CN129,0)+IFERROR(CQ129/CR129,0)+IFERROR(CU129/CV129,0)+IFERROR(CY129/CZ129,0)+IFERROR(DC129/DD129,0)+IFERROR(DG129/DH129,0)+IFERROR(DS129/DT129,0)+IFERROR(DW129/DX129,0)+IFERROR(EA129/EB129,0)+IFERROR(EE129/EF129,0)+IFERROR(EI129/EJ129,0)+IFERROR(EM129/EN129,0)+IFERROR(EQ129/ER129,0)+IFERROR(EU129/EV129,0)+IFERROR(#REF!/#REF!,0)+IFERROR(#REF!/#REF!,0)+IFERROR(FJ129/FK129,0)+IFERROR(FN129/FO129,0)+IFERROR(#REF!/#REF!,0)+IFERROR(#REF!/#REF!,0)+IFERROR(HF129/HG129,0)+IFERROR(#REF!/#REF!,0)+IFERROR(HJ129/HK129,0)+IFERROR(HN129/HO129,0)+IFERROR(HZ129/IA129,0)+IFERROR(ID129/IE129,0)+IFERROR(IH129/II129,0)+IFERROR(IL129/IM129,0)+IFERROR(IX129/IY129,0)+IFERROR(JB129/JC129,0)+IFERROR(JF129/JG129,0)+IFERROR(JI129/JJ129,0)+IFERROR(JL129/JM129,0)+IFERROR(JO129/JP129,0))*L129*(C129+D129+E129+I129)</f>
        <v>18585</v>
      </c>
      <c r="S129" s="165"/>
      <c r="T129" s="165">
        <f t="shared" si="55"/>
        <v>0</v>
      </c>
      <c r="U129" s="165"/>
      <c r="V129" s="165"/>
      <c r="W129" s="165"/>
      <c r="X129" s="165">
        <f>(IFERROR(FF129/FG129,0)+IFERROR(FC129/FD129,0)+IFERROR(#REF!/#REF!,0)+IFERROR(KP129/KQ129,0))*L129*(C129+D129+E129+I129)</f>
        <v>0</v>
      </c>
      <c r="Y129" s="484"/>
      <c r="Z129" s="484"/>
      <c r="AA129" s="484"/>
      <c r="AB129" s="484"/>
      <c r="AC129" s="150">
        <f t="shared" si="47"/>
        <v>1338.75</v>
      </c>
      <c r="AD129" s="150"/>
      <c r="AE129" s="150">
        <f t="shared" si="56"/>
        <v>0</v>
      </c>
      <c r="AF129" s="161">
        <v>620</v>
      </c>
      <c r="AG129" s="143">
        <v>85</v>
      </c>
      <c r="AH129" s="154">
        <v>4000</v>
      </c>
      <c r="AI129" s="144">
        <v>47</v>
      </c>
      <c r="AJ129" s="154">
        <v>250</v>
      </c>
      <c r="AK129" s="489" t="s">
        <v>81</v>
      </c>
      <c r="AL129" s="220" t="s">
        <v>1134</v>
      </c>
      <c r="AM129" s="490">
        <v>185</v>
      </c>
      <c r="AN129" s="154">
        <v>1000</v>
      </c>
      <c r="AO129" s="490" t="s">
        <v>82</v>
      </c>
      <c r="AP129" s="154" t="s">
        <v>550</v>
      </c>
      <c r="AQ129" s="145">
        <v>128</v>
      </c>
      <c r="AR129" s="154">
        <v>2000</v>
      </c>
      <c r="AS129" s="496" t="s">
        <v>1078</v>
      </c>
      <c r="AT129" s="154" t="s">
        <v>549</v>
      </c>
      <c r="AU129" s="140"/>
      <c r="AV129" s="277"/>
      <c r="AW129" s="277"/>
      <c r="AX129" s="277"/>
      <c r="AY129" s="140"/>
      <c r="AZ129" s="277"/>
      <c r="BA129" s="277"/>
      <c r="BB129" s="277"/>
      <c r="BC129" s="140"/>
      <c r="BD129" s="277"/>
      <c r="BE129" s="277"/>
      <c r="BF129" s="277"/>
      <c r="BG129" s="140"/>
      <c r="BH129" s="277"/>
      <c r="BI129" s="277"/>
      <c r="BJ129" s="277"/>
      <c r="BK129" s="140"/>
      <c r="BL129" s="277"/>
      <c r="BM129" s="277"/>
      <c r="BN129" s="277"/>
      <c r="BO129" s="140"/>
      <c r="BP129" s="277"/>
      <c r="BQ129" s="277"/>
      <c r="BR129" s="277"/>
      <c r="BS129" s="140"/>
      <c r="BT129" s="277"/>
      <c r="BU129" s="277"/>
      <c r="BV129" s="277"/>
      <c r="BW129" s="140"/>
      <c r="BX129" s="154"/>
      <c r="BY129" s="154"/>
      <c r="BZ129" s="220"/>
      <c r="CA129" s="140"/>
      <c r="CB129" s="154"/>
      <c r="CC129" s="154"/>
      <c r="CD129" s="220"/>
      <c r="CE129" s="490">
        <v>55</v>
      </c>
      <c r="CF129" s="154">
        <v>1000</v>
      </c>
      <c r="CG129" s="490" t="s">
        <v>82</v>
      </c>
      <c r="CH129" s="154" t="s">
        <v>1135</v>
      </c>
      <c r="CI129" s="490">
        <v>55</v>
      </c>
      <c r="CJ129" s="154">
        <v>1000</v>
      </c>
      <c r="CK129" s="490" t="s">
        <v>82</v>
      </c>
      <c r="CL129" s="154" t="s">
        <v>1135</v>
      </c>
      <c r="CM129" s="140"/>
      <c r="CN129" s="271"/>
      <c r="CO129" s="271"/>
      <c r="CP129" s="271"/>
      <c r="CQ129" s="140"/>
      <c r="CR129" s="154"/>
      <c r="CS129" s="154"/>
      <c r="CT129" s="154"/>
      <c r="CU129" s="140"/>
      <c r="CV129" s="154"/>
      <c r="CW129" s="154"/>
      <c r="CX129" s="220"/>
      <c r="CY129" s="140"/>
      <c r="CZ129" s="154"/>
      <c r="DA129" s="154"/>
      <c r="DB129" s="220"/>
      <c r="DC129" s="140"/>
      <c r="DD129" s="146"/>
      <c r="DE129" s="146"/>
      <c r="DF129" s="146"/>
      <c r="DG129" s="140"/>
      <c r="DH129" s="146"/>
      <c r="DI129" s="146"/>
      <c r="DJ129" s="146"/>
      <c r="DK129" s="146"/>
      <c r="DL129" s="146"/>
      <c r="DM129" s="146"/>
      <c r="DN129" s="146"/>
      <c r="DO129" s="146"/>
      <c r="DP129" s="146"/>
      <c r="DQ129" s="146"/>
      <c r="DR129" s="146"/>
      <c r="DS129" s="140"/>
      <c r="DT129" s="154"/>
      <c r="DU129" s="154"/>
      <c r="DV129" s="154"/>
      <c r="DW129" s="140"/>
      <c r="DX129" s="220"/>
      <c r="DY129" s="220"/>
      <c r="DZ129" s="220"/>
      <c r="EA129" s="140"/>
      <c r="EB129" s="220"/>
      <c r="EC129" s="220"/>
      <c r="ED129" s="220"/>
      <c r="EE129" s="140"/>
      <c r="EF129" s="154"/>
      <c r="EG129" s="154"/>
      <c r="EH129" s="154"/>
      <c r="EI129" s="140"/>
      <c r="EJ129" s="154"/>
      <c r="EK129" s="154"/>
      <c r="EL129" s="154"/>
      <c r="EM129" s="140"/>
      <c r="EN129" s="222"/>
      <c r="EO129" s="222"/>
      <c r="EP129" s="222"/>
      <c r="EQ129" s="140"/>
      <c r="ER129" s="222"/>
      <c r="ES129" s="222"/>
      <c r="ET129" s="222"/>
      <c r="EU129" s="140"/>
      <c r="EV129" s="222"/>
      <c r="EW129" s="222"/>
      <c r="EX129" s="222"/>
      <c r="EY129" s="344"/>
      <c r="EZ129" s="222"/>
      <c r="FA129" s="222"/>
      <c r="FB129" s="222"/>
      <c r="FC129" s="273"/>
      <c r="FD129" s="223"/>
      <c r="FE129" s="223"/>
      <c r="FF129" s="276"/>
      <c r="FG129" s="156"/>
      <c r="FH129" s="156"/>
      <c r="FI129" s="156"/>
      <c r="FJ129" s="140"/>
      <c r="FK129" s="277"/>
      <c r="FL129" s="277"/>
      <c r="FM129" s="277"/>
      <c r="FN129" s="140"/>
      <c r="FO129" s="277"/>
      <c r="FP129" s="277"/>
      <c r="FQ129" s="277"/>
      <c r="FR129" s="280"/>
      <c r="FS129" s="277"/>
      <c r="FT129" s="277"/>
      <c r="FU129" s="277"/>
      <c r="FV129" s="277"/>
      <c r="FW129" s="277"/>
      <c r="FX129" s="277"/>
      <c r="FY129" s="277"/>
      <c r="FZ129" s="277"/>
      <c r="GA129" s="277"/>
      <c r="GB129" s="277"/>
      <c r="GC129" s="277"/>
      <c r="GD129" s="277"/>
      <c r="GE129" s="277"/>
      <c r="GF129" s="277"/>
      <c r="GG129" s="277"/>
      <c r="GH129" s="277"/>
      <c r="GI129" s="277"/>
      <c r="GJ129" s="277"/>
      <c r="GK129" s="277"/>
      <c r="GL129" s="277"/>
      <c r="GM129" s="277"/>
      <c r="GN129" s="277"/>
      <c r="GO129" s="277"/>
      <c r="GP129" s="277"/>
      <c r="GQ129" s="277"/>
      <c r="GR129" s="277"/>
      <c r="GS129" s="277"/>
      <c r="GT129" s="277"/>
      <c r="GU129" s="277"/>
      <c r="GV129" s="277"/>
      <c r="GW129" s="277"/>
      <c r="GX129" s="277"/>
      <c r="GY129" s="277"/>
      <c r="GZ129" s="277"/>
      <c r="HA129" s="277"/>
      <c r="HB129" s="277"/>
      <c r="HC129" s="277"/>
      <c r="HD129" s="277"/>
      <c r="HE129" s="277"/>
      <c r="HF129" s="140"/>
      <c r="HG129" s="277"/>
      <c r="HH129" s="277"/>
      <c r="HI129" s="277"/>
      <c r="HJ129" s="140"/>
      <c r="HK129" s="277"/>
      <c r="HL129" s="277"/>
      <c r="HM129" s="277"/>
      <c r="HN129" s="140"/>
      <c r="HO129" s="277"/>
      <c r="HP129" s="277"/>
      <c r="HQ129" s="277"/>
      <c r="HR129" s="277"/>
      <c r="HS129" s="277"/>
      <c r="HT129" s="277"/>
      <c r="HU129" s="277"/>
      <c r="HV129" s="277"/>
      <c r="HW129" s="277"/>
      <c r="HX129" s="277"/>
      <c r="HY129" s="277"/>
      <c r="HZ129" s="140"/>
      <c r="IA129" s="277"/>
      <c r="IB129" s="277"/>
      <c r="IC129" s="277"/>
      <c r="ID129" s="140"/>
      <c r="IE129" s="277"/>
      <c r="IF129" s="277"/>
      <c r="IG129" s="277"/>
      <c r="IH129" s="140"/>
      <c r="II129" s="277"/>
      <c r="IJ129" s="277"/>
      <c r="IK129" s="277"/>
      <c r="IL129" s="140"/>
      <c r="IM129" s="277"/>
      <c r="IN129" s="277"/>
      <c r="IO129" s="277"/>
      <c r="IP129" s="277"/>
      <c r="IQ129" s="277"/>
      <c r="IR129" s="277"/>
      <c r="IS129" s="277"/>
      <c r="IT129" s="277"/>
      <c r="IU129" s="277"/>
      <c r="IV129" s="277"/>
      <c r="IW129" s="277"/>
      <c r="IX129" s="140"/>
      <c r="IY129" s="277"/>
      <c r="IZ129" s="277"/>
      <c r="JA129" s="277"/>
      <c r="JB129" s="140"/>
      <c r="JC129" s="277"/>
      <c r="JD129" s="277"/>
      <c r="JE129" s="277"/>
      <c r="JF129" s="140"/>
      <c r="JG129" s="277"/>
      <c r="JH129" s="277"/>
      <c r="JI129" s="140"/>
      <c r="JJ129" s="277"/>
      <c r="JK129" s="277"/>
      <c r="JL129" s="140"/>
      <c r="JM129" s="277"/>
      <c r="JN129" s="277"/>
      <c r="JO129" s="140"/>
      <c r="JP129" s="277"/>
      <c r="JQ129" s="277"/>
      <c r="JR129" s="277"/>
      <c r="JS129" s="277"/>
      <c r="JT129" s="277"/>
      <c r="JU129" s="277"/>
      <c r="JV129" s="277"/>
      <c r="JW129" s="277"/>
      <c r="JX129" s="277"/>
      <c r="JY129" s="277"/>
      <c r="JZ129" s="277"/>
      <c r="KA129" s="277"/>
      <c r="KB129" s="277"/>
      <c r="KC129" s="277"/>
      <c r="KD129" s="277"/>
      <c r="KE129" s="277"/>
      <c r="KF129" s="277"/>
      <c r="KG129" s="277"/>
      <c r="KH129" s="277"/>
      <c r="KI129" s="277"/>
      <c r="KJ129" s="277"/>
      <c r="KK129" s="277"/>
      <c r="KL129" s="277"/>
      <c r="KM129" s="277"/>
      <c r="KN129" s="277"/>
      <c r="KO129" s="277"/>
      <c r="KP129" s="274"/>
      <c r="KQ129" s="253"/>
      <c r="KR129" s="253"/>
      <c r="KY129" s="141">
        <f t="shared" si="57"/>
        <v>0</v>
      </c>
      <c r="KZ129" s="141">
        <f t="shared" si="58"/>
        <v>0</v>
      </c>
      <c r="LB129" s="141">
        <f t="shared" si="59"/>
        <v>1</v>
      </c>
      <c r="LC129" s="141">
        <f t="shared" si="60"/>
        <v>1</v>
      </c>
      <c r="LD129" s="141">
        <f t="shared" si="61"/>
        <v>1</v>
      </c>
      <c r="LE129" s="141" t="e">
        <f>((N(AU129)&gt;0)*(AX129&lt;&gt;"")+(N(AY129)&gt;0)*(BB129&lt;&gt;"")+(N(BC129)&gt;0)*(BF129&lt;&gt;"")+(N(BG129)&gt;0)*(BJ129&lt;&gt;"")+(N(BK129)&gt;0)*(BN129&lt;&gt;"")+(N(BO129)&gt;0)*(BR129&lt;&gt;"")+(N(BS129)&gt;0)*(BV129&lt;&gt;"")+(N(BW129)&gt;0)*(BZ129&lt;&gt;"")+(N(CA129)&gt;0)*(CD129&lt;&gt;"")+(N(CE129)&gt;0)*(CH129&lt;&gt;"")+(N(CI129)&gt;0)*(CL129&lt;&gt;"")+(N(CM129)&gt;0)*(CP129&lt;&gt;"")+(N(CQ129)&gt;0)*(CT129&lt;&gt;"")+(N(CU129)&gt;0)*(CX129&lt;&gt;"")+(N(CY129)&gt;0)*(DB129&lt;&gt;"")+(N(DC129)&gt;0)*(DF129&lt;&gt;"")+(N(DG129)&gt;0)*(DJ129&lt;&gt;"")+(N(DS129)&gt;0)*(DV129&lt;&gt;"")+(N(DW129)&gt;0)*(DZ129&lt;&gt;"")+(N(EA129)&gt;0)*(ED129&lt;&gt;"")+(N(EE129)&gt;0)*(EH129&lt;&gt;"")+(N(EI129)&gt;0)*(EL129&lt;&gt;"")+(N(EM129)&gt;0)*(EP129&lt;&gt;"")+(N(EQ129)&gt;0)*(ET129&lt;&gt;"")+(N(EU129)&gt;0)*(EX129&lt;&gt;"")+(N(#REF!)&gt;0)*(#REF!&lt;&gt;"")+(N(#REF!)&gt;0)*(#REF!&lt;&gt;"")+(N(FJ129)&gt;0)*(FM129&lt;&gt;"")+(N(FN129)&gt;0)*(FQ129&lt;&gt;"")+(N(#REF!)&gt;0)*(#REF!&lt;&gt;"")+(N(#REF!)&gt;0)*(#REF!&lt;&gt;"")+(N(HF129)&gt;0)*(HI129&lt;&gt;"")+(N(#REF!)&gt;0)*(#REF!&lt;&gt;"")+(N(HJ129)&gt;0)*(HM129&lt;&gt;"")+(N(HN129)&gt;0)*(HQ129&lt;&gt;"")+(N(HZ129)&gt;0)*(IC129&lt;&gt;"")+(N(ID129)&gt;0)*(IG129&lt;&gt;"")+(N(IH129)&gt;0)*(IK129&lt;&gt;"")+(N(IL129)&gt;0)*(IO129&lt;&gt;"")+(N(IX129)&gt;0)*(JA129&lt;&gt;"")+(N(JB129)&gt;0)*(JE129&lt;&gt;"")+(N(JF129)&gt;0)*(JH129&lt;&gt;"")+(N(JI129)&gt;0)*(JK129&lt;&gt;"")+(N(JL129)&gt;0)*(JN129&lt;&gt;"")+(N(JO129)&gt;0)*(JQ129&lt;&gt;""))</f>
        <v>#REF!</v>
      </c>
      <c r="LF129" s="141">
        <f t="shared" si="48"/>
        <v>0</v>
      </c>
      <c r="LG129" s="141">
        <f t="shared" si="62"/>
        <v>1</v>
      </c>
    </row>
    <row r="130" spans="1:319" ht="38.25" customHeight="1" x14ac:dyDescent="0.55000000000000004">
      <c r="B130" s="506" t="s">
        <v>174</v>
      </c>
      <c r="C130" s="218">
        <v>5</v>
      </c>
      <c r="D130" s="218">
        <v>6</v>
      </c>
      <c r="E130" s="218">
        <v>7</v>
      </c>
      <c r="F130" s="162">
        <f>($AI$130/$AJ$130)*$L$130*C130</f>
        <v>9800.0000000000018</v>
      </c>
      <c r="G130" s="162">
        <f>($AI$130/$AJ$130)*$L$130*D130</f>
        <v>11760.000000000002</v>
      </c>
      <c r="H130" s="162">
        <f>($AI$130/$AJ$130)*$L$130*E130</f>
        <v>13720.000000000002</v>
      </c>
      <c r="I130" s="162" cm="1">
        <f t="array" ref="I130">SUMPRODUCT(($AI$2:$KV$2&lt;&gt;"")*($AI130:$KV130&lt;&gt;""))</f>
        <v>10</v>
      </c>
      <c r="J130" s="142">
        <f t="shared" si="43"/>
        <v>50</v>
      </c>
      <c r="K130" s="142">
        <f t="shared" si="44"/>
        <v>700</v>
      </c>
      <c r="L130" s="268">
        <f t="shared" si="49"/>
        <v>7000</v>
      </c>
      <c r="M130" s="164">
        <f t="shared" si="45"/>
        <v>54880.000000000007</v>
      </c>
      <c r="N130" s="397"/>
      <c r="O130" s="165">
        <f t="shared" si="46"/>
        <v>27440.000000000004</v>
      </c>
      <c r="P130" s="165"/>
      <c r="Q130" s="165"/>
      <c r="R130" s="165">
        <f>(IFERROR(AM130/AN130,0)+IFERROR(AU130/AV130,0)+IFERROR(AY130/AZ130,0)+IFERROR(BC130/BD130,0)+IFERROR(BG130/BH130,0)+IFERROR(BK130/BL130,0)+IFERROR(BO130/BP130,0)+IFERROR(BS130/BT130,0)+IFERROR(BW130/BX130,0)+IFERROR(CA130/CB130,0)+IFERROR(CE130/CF130,0)+IFERROR(CI130/CJ130,0)+IFERROR(CM130/CN130,0)+IFERROR(CQ130/CR130,0)+IFERROR(CU130/CV130,0)+IFERROR(CY130/CZ130,0)+IFERROR(DC130/DD130,0)+IFERROR(DG130/DH130,0)+IFERROR(DS130/DT130,0)+IFERROR(DW130/DX130,0)+IFERROR(EA130/EB130,0)+IFERROR(EE130/EF130,0)+IFERROR(EI130/EJ130,0)+IFERROR(EM130/EN130,0)+IFERROR(EQ130/ER130,0)+IFERROR(EU130/EV130,0)+IFERROR(#REF!/#REF!,0)+IFERROR(#REF!/#REF!,0)+IFERROR(FJ130/FK130,0)+IFERROR(FN130/FO130,0)+IFERROR(#REF!/#REF!,0)+IFERROR(#REF!/#REF!,0)+IFERROR(HF130/HG130,0)+IFERROR(#REF!/#REF!,0)+IFERROR(HJ130/HK130,0)+IFERROR(HN130/HO130,0)+IFERROR(HZ130/IA130,0)+IFERROR(ID130/IE130,0)+IFERROR(IH130/II130,0)+IFERROR(IL130/IM130,0)+IFERROR(IX130/IY130,0)+IFERROR(JB130/JC130,0)+IFERROR(JF130/JG130,0)+IFERROR(JI130/JJ130,0)+IFERROR(JL130/JM130,0)+IFERROR(JO130/JP130,0))*L130*(C130+D130+E130+I130)</f>
        <v>66061.8</v>
      </c>
      <c r="S130" s="165"/>
      <c r="T130" s="165">
        <f t="shared" si="55"/>
        <v>0</v>
      </c>
      <c r="U130" s="165"/>
      <c r="V130" s="165"/>
      <c r="W130" s="165"/>
      <c r="X130" s="165">
        <f>(IFERROR(FF130/FG130,0)+IFERROR(FC130/FD130,0)+IFERROR(#REF!/#REF!,0)+IFERROR(KP130/KQ130,0))*L130*(C130+D130+E130+I130)</f>
        <v>0</v>
      </c>
      <c r="Y130" s="484"/>
      <c r="Z130" s="484"/>
      <c r="AA130" s="484"/>
      <c r="AB130" s="484"/>
      <c r="AC130" s="150">
        <f t="shared" si="47"/>
        <v>11956</v>
      </c>
      <c r="AD130" s="150"/>
      <c r="AE130" s="150">
        <f t="shared" si="56"/>
        <v>0</v>
      </c>
      <c r="AF130" s="161">
        <v>1150</v>
      </c>
      <c r="AG130" s="143">
        <v>122</v>
      </c>
      <c r="AH130" s="154">
        <v>2000</v>
      </c>
      <c r="AI130" s="144">
        <v>70</v>
      </c>
      <c r="AJ130" s="154">
        <v>250</v>
      </c>
      <c r="AK130" s="489" t="s">
        <v>81</v>
      </c>
      <c r="AL130" s="220" t="s">
        <v>551</v>
      </c>
      <c r="AM130" s="490">
        <v>275</v>
      </c>
      <c r="AN130" s="154">
        <v>1000</v>
      </c>
      <c r="AO130" s="490" t="s">
        <v>82</v>
      </c>
      <c r="AP130" s="154" t="s">
        <v>519</v>
      </c>
      <c r="AQ130" s="490">
        <v>280</v>
      </c>
      <c r="AR130" s="154">
        <v>2000</v>
      </c>
      <c r="AS130" s="490" t="s">
        <v>82</v>
      </c>
      <c r="AT130" s="220" t="s">
        <v>551</v>
      </c>
      <c r="AU130" s="140"/>
      <c r="AV130" s="277"/>
      <c r="AW130" s="277"/>
      <c r="AX130" s="277"/>
      <c r="AY130" s="140"/>
      <c r="AZ130" s="277"/>
      <c r="BA130" s="277"/>
      <c r="BB130" s="277"/>
      <c r="BC130" s="140"/>
      <c r="BD130" s="277"/>
      <c r="BE130" s="277"/>
      <c r="BF130" s="277"/>
      <c r="BG130" s="140"/>
      <c r="BH130" s="277"/>
      <c r="BI130" s="277"/>
      <c r="BJ130" s="277"/>
      <c r="BK130" s="140"/>
      <c r="BL130" s="277"/>
      <c r="BM130" s="277"/>
      <c r="BN130" s="277"/>
      <c r="BO130" s="140"/>
      <c r="BP130" s="277"/>
      <c r="BQ130" s="277"/>
      <c r="BR130" s="277"/>
      <c r="BS130" s="140"/>
      <c r="BT130" s="277"/>
      <c r="BU130" s="277"/>
      <c r="BV130" s="277"/>
      <c r="BW130" s="140"/>
      <c r="BX130" s="154"/>
      <c r="BY130" s="154"/>
      <c r="BZ130" s="220"/>
      <c r="CA130" s="140"/>
      <c r="CB130" s="154"/>
      <c r="CC130" s="154"/>
      <c r="CD130" s="220"/>
      <c r="CE130" s="490">
        <v>61</v>
      </c>
      <c r="CF130" s="154">
        <v>2000</v>
      </c>
      <c r="CG130" s="490" t="s">
        <v>82</v>
      </c>
      <c r="CH130" s="154" t="s">
        <v>552</v>
      </c>
      <c r="CI130" s="490">
        <v>61</v>
      </c>
      <c r="CJ130" s="154">
        <v>2000</v>
      </c>
      <c r="CK130" s="490" t="s">
        <v>82</v>
      </c>
      <c r="CL130" s="154" t="s">
        <v>552</v>
      </c>
      <c r="CM130" s="140"/>
      <c r="CN130" s="271"/>
      <c r="CO130" s="271"/>
      <c r="CP130" s="271"/>
      <c r="CQ130" s="140"/>
      <c r="CR130" s="154"/>
      <c r="CS130" s="154"/>
      <c r="CT130" s="154"/>
      <c r="CU130" s="140"/>
      <c r="CV130" s="154"/>
      <c r="CW130" s="154"/>
      <c r="CX130" s="220"/>
      <c r="CY130" s="140"/>
      <c r="CZ130" s="154"/>
      <c r="DA130" s="154"/>
      <c r="DB130" s="220"/>
      <c r="DC130" s="140"/>
      <c r="DD130" s="146"/>
      <c r="DE130" s="146"/>
      <c r="DF130" s="146"/>
      <c r="DG130" s="140"/>
      <c r="DH130" s="146"/>
      <c r="DI130" s="146"/>
      <c r="DJ130" s="146"/>
      <c r="DK130" s="146"/>
      <c r="DL130" s="146"/>
      <c r="DM130" s="146"/>
      <c r="DN130" s="146"/>
      <c r="DO130" s="146"/>
      <c r="DP130" s="146"/>
      <c r="DQ130" s="146"/>
      <c r="DR130" s="146"/>
      <c r="DS130" s="140"/>
      <c r="DT130" s="154"/>
      <c r="DU130" s="154"/>
      <c r="DV130" s="154"/>
      <c r="DW130" s="140"/>
      <c r="DX130" s="220"/>
      <c r="DY130" s="220"/>
      <c r="DZ130" s="220"/>
      <c r="EA130" s="140"/>
      <c r="EB130" s="220"/>
      <c r="EC130" s="220"/>
      <c r="ED130" s="220"/>
      <c r="EE130" s="140"/>
      <c r="EF130" s="154"/>
      <c r="EG130" s="154"/>
      <c r="EH130" s="154"/>
      <c r="EI130" s="140"/>
      <c r="EJ130" s="154"/>
      <c r="EK130" s="154"/>
      <c r="EL130" s="154"/>
      <c r="EM130" s="140"/>
      <c r="EN130" s="222"/>
      <c r="EO130" s="222"/>
      <c r="EP130" s="222"/>
      <c r="EQ130" s="140"/>
      <c r="ER130" s="222"/>
      <c r="ES130" s="222"/>
      <c r="ET130" s="222"/>
      <c r="EU130" s="140"/>
      <c r="EV130" s="222"/>
      <c r="EW130" s="222"/>
      <c r="EX130" s="222"/>
      <c r="EY130" s="344"/>
      <c r="EZ130" s="222"/>
      <c r="FA130" s="222"/>
      <c r="FB130" s="222"/>
      <c r="FC130" s="273"/>
      <c r="FD130" s="223"/>
      <c r="FE130" s="223"/>
      <c r="FF130" s="276"/>
      <c r="FG130" s="156"/>
      <c r="FH130" s="156"/>
      <c r="FI130" s="156"/>
      <c r="FJ130" s="140"/>
      <c r="FK130" s="277"/>
      <c r="FL130" s="277"/>
      <c r="FM130" s="277"/>
      <c r="FN130" s="140"/>
      <c r="FO130" s="277"/>
      <c r="FP130" s="277"/>
      <c r="FQ130" s="277"/>
      <c r="FR130" s="280"/>
      <c r="FS130" s="277"/>
      <c r="FT130" s="277"/>
      <c r="FU130" s="277"/>
      <c r="FV130" s="277"/>
      <c r="FW130" s="277"/>
      <c r="FX130" s="277"/>
      <c r="FY130" s="277"/>
      <c r="FZ130" s="277"/>
      <c r="GA130" s="277"/>
      <c r="GB130" s="277"/>
      <c r="GC130" s="277"/>
      <c r="GD130" s="277"/>
      <c r="GE130" s="277"/>
      <c r="GF130" s="277"/>
      <c r="GG130" s="277"/>
      <c r="GH130" s="277"/>
      <c r="GI130" s="277"/>
      <c r="GJ130" s="277"/>
      <c r="GK130" s="277"/>
      <c r="GL130" s="277"/>
      <c r="GM130" s="277"/>
      <c r="GN130" s="277"/>
      <c r="GO130" s="277"/>
      <c r="GP130" s="277"/>
      <c r="GQ130" s="277"/>
      <c r="GR130" s="277"/>
      <c r="GS130" s="277"/>
      <c r="GT130" s="277"/>
      <c r="GU130" s="277"/>
      <c r="GV130" s="277"/>
      <c r="GW130" s="277"/>
      <c r="GX130" s="277"/>
      <c r="GY130" s="277"/>
      <c r="GZ130" s="277"/>
      <c r="HA130" s="277"/>
      <c r="HB130" s="277"/>
      <c r="HC130" s="277"/>
      <c r="HD130" s="277"/>
      <c r="HE130" s="277"/>
      <c r="HF130" s="140"/>
      <c r="HG130" s="277"/>
      <c r="HH130" s="277"/>
      <c r="HI130" s="277"/>
      <c r="HJ130" s="490">
        <v>2.1</v>
      </c>
      <c r="HK130" s="277">
        <v>2000</v>
      </c>
      <c r="HL130" s="490" t="s">
        <v>82</v>
      </c>
      <c r="HM130" s="277" t="s">
        <v>552</v>
      </c>
      <c r="HN130" s="140"/>
      <c r="HO130" s="277"/>
      <c r="HP130" s="277"/>
      <c r="HQ130" s="277"/>
      <c r="HR130" s="277"/>
      <c r="HS130" s="277"/>
      <c r="HT130" s="277"/>
      <c r="HU130" s="277"/>
      <c r="HV130" s="277"/>
      <c r="HW130" s="277"/>
      <c r="HX130" s="277"/>
      <c r="HY130" s="277"/>
      <c r="HZ130" s="493">
        <v>0.8</v>
      </c>
      <c r="IA130" s="499"/>
      <c r="IB130" s="493" t="s">
        <v>345</v>
      </c>
      <c r="IC130" s="495" t="s">
        <v>1137</v>
      </c>
      <c r="ID130" s="493">
        <v>1.4</v>
      </c>
      <c r="IE130" s="499"/>
      <c r="IF130" s="493" t="s">
        <v>345</v>
      </c>
      <c r="IG130" s="495" t="s">
        <v>1137</v>
      </c>
      <c r="IH130" s="493">
        <v>1</v>
      </c>
      <c r="II130" s="499"/>
      <c r="IJ130" s="493" t="s">
        <v>345</v>
      </c>
      <c r="IK130" s="495" t="s">
        <v>1137</v>
      </c>
      <c r="IL130" s="490">
        <v>18</v>
      </c>
      <c r="IM130" s="499"/>
      <c r="IN130" s="490" t="s">
        <v>82</v>
      </c>
      <c r="IO130" s="495" t="s">
        <v>552</v>
      </c>
      <c r="IP130" s="495"/>
      <c r="IQ130" s="495"/>
      <c r="IR130" s="495"/>
      <c r="IS130" s="495"/>
      <c r="IT130" s="495"/>
      <c r="IU130" s="495"/>
      <c r="IV130" s="495"/>
      <c r="IW130" s="495"/>
      <c r="IX130" s="140"/>
      <c r="IY130" s="277"/>
      <c r="IZ130" s="277"/>
      <c r="JA130" s="277"/>
      <c r="JB130" s="140"/>
      <c r="JC130" s="277"/>
      <c r="JD130" s="277"/>
      <c r="JE130" s="277"/>
      <c r="JF130" s="140"/>
      <c r="JG130" s="277"/>
      <c r="JH130" s="277"/>
      <c r="JI130" s="140"/>
      <c r="JJ130" s="277"/>
      <c r="JK130" s="277"/>
      <c r="JL130" s="140"/>
      <c r="JM130" s="277"/>
      <c r="JN130" s="277"/>
      <c r="JO130" s="140"/>
      <c r="JP130" s="277"/>
      <c r="JQ130" s="277"/>
      <c r="JR130" s="277"/>
      <c r="JS130" s="277"/>
      <c r="JT130" s="277"/>
      <c r="JU130" s="277"/>
      <c r="JV130" s="277"/>
      <c r="JW130" s="277"/>
      <c r="JX130" s="277"/>
      <c r="JY130" s="277"/>
      <c r="JZ130" s="277"/>
      <c r="KA130" s="277"/>
      <c r="KB130" s="277"/>
      <c r="KC130" s="277"/>
      <c r="KD130" s="277"/>
      <c r="KE130" s="277"/>
      <c r="KF130" s="277"/>
      <c r="KG130" s="277"/>
      <c r="KH130" s="277"/>
      <c r="KI130" s="277"/>
      <c r="KJ130" s="277"/>
      <c r="KK130" s="277"/>
      <c r="KL130" s="277"/>
      <c r="KM130" s="277"/>
      <c r="KN130" s="277"/>
      <c r="KO130" s="277"/>
      <c r="KP130" s="274"/>
      <c r="KQ130" s="253"/>
      <c r="KR130" s="253"/>
      <c r="KY130" s="141">
        <f t="shared" si="57"/>
        <v>0</v>
      </c>
      <c r="KZ130" s="141">
        <f t="shared" si="58"/>
        <v>0</v>
      </c>
      <c r="LB130" s="141">
        <f t="shared" si="59"/>
        <v>1</v>
      </c>
      <c r="LC130" s="141">
        <f t="shared" si="60"/>
        <v>1</v>
      </c>
      <c r="LD130" s="141">
        <f t="shared" si="61"/>
        <v>1</v>
      </c>
      <c r="LE130" s="141" t="e">
        <f>((N(AU130)&gt;0)*(AX130&lt;&gt;"")+(N(AY130)&gt;0)*(BB130&lt;&gt;"")+(N(BC130)&gt;0)*(BF130&lt;&gt;"")+(N(BG130)&gt;0)*(BJ130&lt;&gt;"")+(N(BK130)&gt;0)*(BN130&lt;&gt;"")+(N(BO130)&gt;0)*(BR130&lt;&gt;"")+(N(BS130)&gt;0)*(BV130&lt;&gt;"")+(N(BW130)&gt;0)*(BZ130&lt;&gt;"")+(N(CA130)&gt;0)*(CD130&lt;&gt;"")+(N(CE130)&gt;0)*(CH130&lt;&gt;"")+(N(CI130)&gt;0)*(CL130&lt;&gt;"")+(N(CM130)&gt;0)*(CP130&lt;&gt;"")+(N(CQ130)&gt;0)*(CT130&lt;&gt;"")+(N(CU130)&gt;0)*(CX130&lt;&gt;"")+(N(CY130)&gt;0)*(DB130&lt;&gt;"")+(N(DC130)&gt;0)*(DF130&lt;&gt;"")+(N(DG130)&gt;0)*(DJ130&lt;&gt;"")+(N(DS130)&gt;0)*(DV130&lt;&gt;"")+(N(DW130)&gt;0)*(DZ130&lt;&gt;"")+(N(EA130)&gt;0)*(ED130&lt;&gt;"")+(N(EE130)&gt;0)*(EH130&lt;&gt;"")+(N(EI130)&gt;0)*(EL130&lt;&gt;"")+(N(EM130)&gt;0)*(EP130&lt;&gt;"")+(N(EQ130)&gt;0)*(ET130&lt;&gt;"")+(N(EU130)&gt;0)*(EX130&lt;&gt;"")+(N(#REF!)&gt;0)*(#REF!&lt;&gt;"")+(N(#REF!)&gt;0)*(#REF!&lt;&gt;"")+(N(FJ130)&gt;0)*(FM130&lt;&gt;"")+(N(FN130)&gt;0)*(FQ130&lt;&gt;"")+(N(#REF!)&gt;0)*(#REF!&lt;&gt;"")+(N(#REF!)&gt;0)*(#REF!&lt;&gt;"")+(N(HF130)&gt;0)*(HI130&lt;&gt;"")+(N(#REF!)&gt;0)*(#REF!&lt;&gt;"")+(N(HJ130)&gt;0)*(HM130&lt;&gt;"")+(N(HN130)&gt;0)*(HQ130&lt;&gt;"")+(N(HZ130)&gt;0)*(IC130&lt;&gt;"")+(N(ID130)&gt;0)*(IG130&lt;&gt;"")+(N(IH130)&gt;0)*(IK130&lt;&gt;"")+(N(IL130)&gt;0)*(IO130&lt;&gt;"")+(N(IX130)&gt;0)*(JA130&lt;&gt;"")+(N(JB130)&gt;0)*(JE130&lt;&gt;"")+(N(JF130)&gt;0)*(JH130&lt;&gt;"")+(N(JI130)&gt;0)*(JK130&lt;&gt;"")+(N(JL130)&gt;0)*(JN130&lt;&gt;"")+(N(JO130)&gt;0)*(JQ130&lt;&gt;""))</f>
        <v>#REF!</v>
      </c>
      <c r="LF130" s="141">
        <f t="shared" si="48"/>
        <v>0</v>
      </c>
      <c r="LG130" s="141">
        <f t="shared" si="62"/>
        <v>1</v>
      </c>
    </row>
    <row r="131" spans="1:319" ht="38.25" customHeight="1" x14ac:dyDescent="0.55000000000000004">
      <c r="A131" s="141" t="s">
        <v>135</v>
      </c>
      <c r="B131" s="506" t="s">
        <v>173</v>
      </c>
      <c r="C131" s="218">
        <v>4</v>
      </c>
      <c r="D131" s="218">
        <v>3</v>
      </c>
      <c r="E131" s="218">
        <v>4</v>
      </c>
      <c r="F131" s="162">
        <f>($AI$131/$AJ$131)*$L$131*C131</f>
        <v>16127.999999999998</v>
      </c>
      <c r="G131" s="162">
        <f>($AI$131/$AJ$131)*$L$131*D131</f>
        <v>12095.999999999998</v>
      </c>
      <c r="H131" s="162">
        <f>($AI$131/$AJ$131)*$L$131*E131</f>
        <v>16127.999999999998</v>
      </c>
      <c r="I131" s="162" cm="1">
        <f t="array" ref="I131">SUMPRODUCT(($AI$2:$KV$2&lt;&gt;"")*($AI131:$KV131&lt;&gt;""))</f>
        <v>11</v>
      </c>
      <c r="J131" s="142">
        <f t="shared" si="43"/>
        <v>44</v>
      </c>
      <c r="K131" s="142">
        <f t="shared" si="44"/>
        <v>616</v>
      </c>
      <c r="L131" s="268">
        <f t="shared" si="49"/>
        <v>7000</v>
      </c>
      <c r="M131" s="164">
        <f t="shared" si="45"/>
        <v>88703.999999999985</v>
      </c>
      <c r="N131" s="397"/>
      <c r="O131" s="165">
        <f t="shared" si="46"/>
        <v>32340</v>
      </c>
      <c r="P131" s="165"/>
      <c r="Q131" s="165"/>
      <c r="R131" s="165">
        <f>(IFERROR(AM131/AN131,0)+IFERROR(AU131/AV131,0)+IFERROR(AY131/AZ131,0)+IFERROR(BC131/BD131,0)+IFERROR(BG131/BH131,0)+IFERROR(BK131/BL131,0)+IFERROR(BO131/BP131,0)+IFERROR(BS131/BT131,0)+IFERROR(BW131/BX131,0)+IFERROR(CA131/CB131,0)+IFERROR(CE131/CF131,0)+IFERROR(CI131/CJ131,0)+IFERROR(CM131/CN131,0)+IFERROR(CQ131/CR131,0)+IFERROR(CU131/CV131,0)+IFERROR(CY131/CZ131,0)+IFERROR(DC131/DD131,0)+IFERROR(DG131/DH131,0)+IFERROR(DS131/DT131,0)+IFERROR(DW131/DX131,0)+IFERROR(EA131/EB131,0)+IFERROR(EE131/EF131,0)+IFERROR(EI131/EJ131,0)+IFERROR(EM131/EN131,0)+IFERROR(EQ131/ER131,0)+IFERROR(EU131/EV131,0)+IFERROR(#REF!/#REF!,0)+IFERROR(#REF!/#REF!,0)+IFERROR(FJ131/FK131,0)+IFERROR(FN131/FO131,0)+IFERROR(#REF!/#REF!,0)+IFERROR(#REF!/#REF!,0)+IFERROR(HF131/HG131,0)+IFERROR(#REF!/#REF!,0)+IFERROR(HJ131/HK131,0)+IFERROR(HN131/HO131,0)+IFERROR(HZ131/IA131,0)+IFERROR(ID131/IE131,0)+IFERROR(IH131/II131,0)+IFERROR(IL131/IM131,0)+IFERROR(IX131/IY131,0)+IFERROR(JB131/JC131,0)+IFERROR(JF131/JG131,0)+IFERROR(JI131/JJ131,0)+IFERROR(JL131/JM131,0)+IFERROR(JO131/JP131,0))*L131*(C131+D131+E131+I131)</f>
        <v>74859.39999999998</v>
      </c>
      <c r="S131" s="165"/>
      <c r="T131" s="165">
        <f t="shared" si="55"/>
        <v>0</v>
      </c>
      <c r="U131" s="165"/>
      <c r="V131" s="165"/>
      <c r="W131" s="165"/>
      <c r="X131" s="165">
        <f>(IFERROR(FF131/FG131,0)+IFERROR(FC131/FD131,0)+IFERROR(#REF!/#REF!,0)+IFERROR(KP131/KQ131,0))*L131*(C131+D131+E131+I131)</f>
        <v>0</v>
      </c>
      <c r="Y131" s="484"/>
      <c r="Z131" s="484"/>
      <c r="AA131" s="484"/>
      <c r="AB131" s="484"/>
      <c r="AC131" s="150">
        <f t="shared" si="47"/>
        <v>17325</v>
      </c>
      <c r="AD131" s="150"/>
      <c r="AE131" s="150">
        <f t="shared" si="56"/>
        <v>0</v>
      </c>
      <c r="AF131" s="161">
        <v>1750</v>
      </c>
      <c r="AG131" s="143">
        <v>225</v>
      </c>
      <c r="AH131" s="154">
        <v>2000</v>
      </c>
      <c r="AI131" s="144">
        <v>144</v>
      </c>
      <c r="AJ131" s="154">
        <v>250</v>
      </c>
      <c r="AK131" s="489" t="s">
        <v>81</v>
      </c>
      <c r="AL131" s="154" t="s">
        <v>548</v>
      </c>
      <c r="AM131" s="490">
        <v>410</v>
      </c>
      <c r="AN131" s="154">
        <v>1000</v>
      </c>
      <c r="AO131" s="490" t="s">
        <v>82</v>
      </c>
      <c r="AP131" s="154" t="s">
        <v>548</v>
      </c>
      <c r="AQ131" s="490">
        <v>420</v>
      </c>
      <c r="AR131" s="154">
        <v>2000</v>
      </c>
      <c r="AS131" s="490" t="s">
        <v>82</v>
      </c>
      <c r="AT131" s="154" t="s">
        <v>548</v>
      </c>
      <c r="AU131" s="140"/>
      <c r="AV131" s="277"/>
      <c r="AW131" s="277"/>
      <c r="AX131" s="277"/>
      <c r="AY131" s="140"/>
      <c r="AZ131" s="277"/>
      <c r="BA131" s="277"/>
      <c r="BB131" s="277"/>
      <c r="BC131" s="140"/>
      <c r="BD131" s="277"/>
      <c r="BE131" s="277"/>
      <c r="BF131" s="277"/>
      <c r="BG131" s="140"/>
      <c r="BH131" s="277"/>
      <c r="BI131" s="277"/>
      <c r="BJ131" s="277"/>
      <c r="BK131" s="140"/>
      <c r="BL131" s="277"/>
      <c r="BM131" s="277"/>
      <c r="BN131" s="277"/>
      <c r="BO131" s="140"/>
      <c r="BP131" s="277"/>
      <c r="BQ131" s="277"/>
      <c r="BR131" s="277"/>
      <c r="BS131" s="140"/>
      <c r="BT131" s="277"/>
      <c r="BU131" s="277"/>
      <c r="BV131" s="277"/>
      <c r="BW131" s="140"/>
      <c r="BX131" s="154"/>
      <c r="BY131" s="154"/>
      <c r="BZ131" s="220"/>
      <c r="CA131" s="140"/>
      <c r="CB131" s="154"/>
      <c r="CC131" s="154"/>
      <c r="CD131" s="220"/>
      <c r="CE131" s="493">
        <v>75</v>
      </c>
      <c r="CF131" s="154">
        <v>2000</v>
      </c>
      <c r="CG131" s="493" t="s">
        <v>345</v>
      </c>
      <c r="CH131" s="154" t="s">
        <v>553</v>
      </c>
      <c r="CI131" s="493">
        <v>75</v>
      </c>
      <c r="CJ131" s="154">
        <v>2000</v>
      </c>
      <c r="CK131" s="493" t="s">
        <v>345</v>
      </c>
      <c r="CL131" s="154" t="s">
        <v>553</v>
      </c>
      <c r="CM131" s="140"/>
      <c r="CN131" s="271"/>
      <c r="CO131" s="271"/>
      <c r="CP131" s="271"/>
      <c r="CQ131" s="140"/>
      <c r="CR131" s="154"/>
      <c r="CS131" s="154"/>
      <c r="CT131" s="154"/>
      <c r="CU131" s="140"/>
      <c r="CV131" s="154"/>
      <c r="CW131" s="154"/>
      <c r="CX131" s="220"/>
      <c r="CY131" s="140"/>
      <c r="CZ131" s="154"/>
      <c r="DA131" s="154"/>
      <c r="DB131" s="220"/>
      <c r="DC131" s="140"/>
      <c r="DD131" s="146"/>
      <c r="DE131" s="146"/>
      <c r="DF131" s="146"/>
      <c r="DG131" s="140"/>
      <c r="DH131" s="146"/>
      <c r="DI131" s="146"/>
      <c r="DJ131" s="146"/>
      <c r="DK131" s="146"/>
      <c r="DL131" s="146"/>
      <c r="DM131" s="146"/>
      <c r="DN131" s="146"/>
      <c r="DO131" s="146"/>
      <c r="DP131" s="146"/>
      <c r="DQ131" s="146"/>
      <c r="DR131" s="146"/>
      <c r="DS131" s="140"/>
      <c r="DT131" s="154"/>
      <c r="DU131" s="154"/>
      <c r="DV131" s="154"/>
      <c r="DW131" s="140"/>
      <c r="DX131" s="220"/>
      <c r="DY131" s="220"/>
      <c r="DZ131" s="220"/>
      <c r="EA131" s="140"/>
      <c r="EB131" s="220"/>
      <c r="EC131" s="220"/>
      <c r="ED131" s="220"/>
      <c r="EE131" s="140"/>
      <c r="EF131" s="154"/>
      <c r="EG131" s="154"/>
      <c r="EH131" s="154"/>
      <c r="EI131" s="140"/>
      <c r="EJ131" s="154"/>
      <c r="EK131" s="154"/>
      <c r="EL131" s="154"/>
      <c r="EM131" s="140"/>
      <c r="EN131" s="222"/>
      <c r="EO131" s="222"/>
      <c r="EP131" s="222"/>
      <c r="EQ131" s="140"/>
      <c r="ER131" s="222"/>
      <c r="ES131" s="222"/>
      <c r="ET131" s="222"/>
      <c r="EU131" s="140"/>
      <c r="EV131" s="222"/>
      <c r="EW131" s="222"/>
      <c r="EX131" s="222"/>
      <c r="EY131" s="344"/>
      <c r="EZ131" s="222"/>
      <c r="FA131" s="222"/>
      <c r="FB131" s="222"/>
      <c r="FC131" s="273"/>
      <c r="FD131" s="223"/>
      <c r="FE131" s="223"/>
      <c r="FF131" s="276"/>
      <c r="FG131" s="156"/>
      <c r="FH131" s="156"/>
      <c r="FI131" s="156"/>
      <c r="FJ131" s="140"/>
      <c r="FK131" s="277"/>
      <c r="FL131" s="277"/>
      <c r="FM131" s="277"/>
      <c r="FN131" s="140"/>
      <c r="FO131" s="277"/>
      <c r="FP131" s="277"/>
      <c r="FQ131" s="277"/>
      <c r="FR131" s="280"/>
      <c r="FS131" s="277"/>
      <c r="FT131" s="277"/>
      <c r="FU131" s="277"/>
      <c r="FV131" s="277"/>
      <c r="FW131" s="277"/>
      <c r="FX131" s="277"/>
      <c r="FY131" s="277"/>
      <c r="FZ131" s="277"/>
      <c r="GA131" s="277"/>
      <c r="GB131" s="277"/>
      <c r="GC131" s="277"/>
      <c r="GD131" s="277"/>
      <c r="GE131" s="277"/>
      <c r="GF131" s="277"/>
      <c r="GG131" s="277"/>
      <c r="GH131" s="277"/>
      <c r="GI131" s="277"/>
      <c r="GJ131" s="277"/>
      <c r="GK131" s="277"/>
      <c r="GL131" s="277"/>
      <c r="GM131" s="277"/>
      <c r="GN131" s="277"/>
      <c r="GO131" s="277"/>
      <c r="GP131" s="277"/>
      <c r="GQ131" s="277"/>
      <c r="GR131" s="277"/>
      <c r="GS131" s="277"/>
      <c r="GT131" s="277"/>
      <c r="GU131" s="277"/>
      <c r="GV131" s="277"/>
      <c r="GW131" s="277"/>
      <c r="GX131" s="277"/>
      <c r="GY131" s="277"/>
      <c r="GZ131" s="277"/>
      <c r="HA131" s="277"/>
      <c r="HB131" s="277"/>
      <c r="HC131" s="277"/>
      <c r="HD131" s="277"/>
      <c r="HE131" s="277"/>
      <c r="HF131" s="140"/>
      <c r="HG131" s="277"/>
      <c r="HH131" s="277"/>
      <c r="HI131" s="277"/>
      <c r="HJ131" s="490">
        <v>2.2000000000000002</v>
      </c>
      <c r="HK131" s="277">
        <v>2000</v>
      </c>
      <c r="HL131" s="490" t="s">
        <v>82</v>
      </c>
      <c r="HM131" s="277" t="s">
        <v>554</v>
      </c>
      <c r="HN131" s="490">
        <v>150</v>
      </c>
      <c r="HO131" s="499"/>
      <c r="HP131" s="490" t="s">
        <v>82</v>
      </c>
      <c r="HQ131" s="277" t="s">
        <v>554</v>
      </c>
      <c r="HR131" s="277"/>
      <c r="HS131" s="277"/>
      <c r="HT131" s="277"/>
      <c r="HU131" s="277"/>
      <c r="HV131" s="277"/>
      <c r="HW131" s="277"/>
      <c r="HX131" s="277"/>
      <c r="HY131" s="277"/>
      <c r="HZ131" s="493">
        <v>1.35</v>
      </c>
      <c r="IA131" s="499"/>
      <c r="IB131" s="493" t="s">
        <v>345</v>
      </c>
      <c r="IC131" s="495" t="s">
        <v>1138</v>
      </c>
      <c r="ID131" s="493">
        <v>1.5</v>
      </c>
      <c r="IE131" s="499"/>
      <c r="IF131" s="493" t="s">
        <v>345</v>
      </c>
      <c r="IG131" s="495" t="s">
        <v>1138</v>
      </c>
      <c r="IH131" s="493">
        <v>1.5</v>
      </c>
      <c r="II131" s="499"/>
      <c r="IJ131" s="493" t="s">
        <v>345</v>
      </c>
      <c r="IK131" s="495" t="s">
        <v>1138</v>
      </c>
      <c r="IL131" s="504">
        <v>26</v>
      </c>
      <c r="IM131" s="277"/>
      <c r="IN131" s="504" t="s">
        <v>1140</v>
      </c>
      <c r="IO131" s="277" t="s">
        <v>1139</v>
      </c>
      <c r="IP131" s="277"/>
      <c r="IQ131" s="277"/>
      <c r="IR131" s="277"/>
      <c r="IS131" s="277"/>
      <c r="IT131" s="277"/>
      <c r="IU131" s="277"/>
      <c r="IV131" s="277"/>
      <c r="IW131" s="277"/>
      <c r="IX131" s="140"/>
      <c r="IY131" s="277"/>
      <c r="IZ131" s="277"/>
      <c r="JA131" s="277"/>
      <c r="JB131" s="140"/>
      <c r="JC131" s="277"/>
      <c r="JD131" s="277"/>
      <c r="JE131" s="277"/>
      <c r="JF131" s="140"/>
      <c r="JG131" s="277"/>
      <c r="JH131" s="277"/>
      <c r="JI131" s="140"/>
      <c r="JJ131" s="277"/>
      <c r="JK131" s="277"/>
      <c r="JL131" s="140"/>
      <c r="JM131" s="277"/>
      <c r="JN131" s="277"/>
      <c r="JO131" s="140"/>
      <c r="JP131" s="277"/>
      <c r="JQ131" s="277"/>
      <c r="JR131" s="277"/>
      <c r="JS131" s="277"/>
      <c r="JT131" s="277"/>
      <c r="JU131" s="277"/>
      <c r="JV131" s="277"/>
      <c r="JW131" s="277"/>
      <c r="JX131" s="277"/>
      <c r="JY131" s="277"/>
      <c r="JZ131" s="277"/>
      <c r="KA131" s="277"/>
      <c r="KB131" s="277"/>
      <c r="KC131" s="277"/>
      <c r="KD131" s="277"/>
      <c r="KE131" s="277"/>
      <c r="KF131" s="277"/>
      <c r="KG131" s="277"/>
      <c r="KH131" s="277"/>
      <c r="KI131" s="277"/>
      <c r="KJ131" s="277"/>
      <c r="KK131" s="277"/>
      <c r="KL131" s="277"/>
      <c r="KM131" s="277"/>
      <c r="KN131" s="277"/>
      <c r="KO131" s="277"/>
      <c r="KP131" s="274"/>
      <c r="KQ131" s="253"/>
      <c r="KR131" s="253"/>
      <c r="KY131" s="141">
        <f t="shared" si="57"/>
        <v>0</v>
      </c>
      <c r="KZ131" s="141">
        <f t="shared" si="58"/>
        <v>0</v>
      </c>
      <c r="LB131" s="141">
        <f t="shared" si="59"/>
        <v>1</v>
      </c>
      <c r="LC131" s="141">
        <f t="shared" si="60"/>
        <v>1</v>
      </c>
      <c r="LD131" s="141">
        <f t="shared" si="61"/>
        <v>1</v>
      </c>
      <c r="LE131" s="141" t="e">
        <f>((N(AU131)&gt;0)*(AX131&lt;&gt;"")+(N(AY131)&gt;0)*(BB131&lt;&gt;"")+(N(BC131)&gt;0)*(BF131&lt;&gt;"")+(N(BG131)&gt;0)*(BJ131&lt;&gt;"")+(N(BK131)&gt;0)*(BN131&lt;&gt;"")+(N(BO131)&gt;0)*(BR131&lt;&gt;"")+(N(BS131)&gt;0)*(BV131&lt;&gt;"")+(N(BW131)&gt;0)*(BZ131&lt;&gt;"")+(N(CA131)&gt;0)*(CD131&lt;&gt;"")+(N(CE131)&gt;0)*(CH131&lt;&gt;"")+(N(CI131)&gt;0)*(CL131&lt;&gt;"")+(N(CM131)&gt;0)*(CP131&lt;&gt;"")+(N(CQ131)&gt;0)*(CT131&lt;&gt;"")+(N(CU131)&gt;0)*(CX131&lt;&gt;"")+(N(CY131)&gt;0)*(DB131&lt;&gt;"")+(N(DC131)&gt;0)*(DF131&lt;&gt;"")+(N(DG131)&gt;0)*(DJ131&lt;&gt;"")+(N(DS131)&gt;0)*(DV131&lt;&gt;"")+(N(DW131)&gt;0)*(DZ131&lt;&gt;"")+(N(EA131)&gt;0)*(ED131&lt;&gt;"")+(N(EE131)&gt;0)*(EH131&lt;&gt;"")+(N(EI131)&gt;0)*(EL131&lt;&gt;"")+(N(EM131)&gt;0)*(EP131&lt;&gt;"")+(N(EQ131)&gt;0)*(ET131&lt;&gt;"")+(N(EU131)&gt;0)*(EX131&lt;&gt;"")+(N(#REF!)&gt;0)*(#REF!&lt;&gt;"")+(N(#REF!)&gt;0)*(#REF!&lt;&gt;"")+(N(FJ131)&gt;0)*(FM131&lt;&gt;"")+(N(FN131)&gt;0)*(FQ131&lt;&gt;"")+(N(#REF!)&gt;0)*(#REF!&lt;&gt;"")+(N(#REF!)&gt;0)*(#REF!&lt;&gt;"")+(N(HF131)&gt;0)*(HI131&lt;&gt;"")+(N(#REF!)&gt;0)*(#REF!&lt;&gt;"")+(N(HJ131)&gt;0)*(HM131&lt;&gt;"")+(N(HN131)&gt;0)*(HQ131&lt;&gt;"")+(N(HZ131)&gt;0)*(IC131&lt;&gt;"")+(N(ID131)&gt;0)*(IG131&lt;&gt;"")+(N(IH131)&gt;0)*(IK131&lt;&gt;"")+(N(IL131)&gt;0)*(IO131&lt;&gt;"")+(N(IX131)&gt;0)*(JA131&lt;&gt;"")+(N(JB131)&gt;0)*(JE131&lt;&gt;"")+(N(JF131)&gt;0)*(JH131&lt;&gt;"")+(N(JI131)&gt;0)*(JK131&lt;&gt;"")+(N(JL131)&gt;0)*(JN131&lt;&gt;"")+(N(JO131)&gt;0)*(JQ131&lt;&gt;""))</f>
        <v>#REF!</v>
      </c>
      <c r="LF131" s="141">
        <f t="shared" si="48"/>
        <v>0</v>
      </c>
      <c r="LG131" s="141">
        <f t="shared" si="62"/>
        <v>1</v>
      </c>
    </row>
    <row r="132" spans="1:319" ht="38.25" customHeight="1" x14ac:dyDescent="0.55000000000000004">
      <c r="A132" s="141" t="s">
        <v>196</v>
      </c>
      <c r="B132" s="506" t="s">
        <v>169</v>
      </c>
      <c r="C132" s="218">
        <v>2</v>
      </c>
      <c r="D132" s="218">
        <v>2</v>
      </c>
      <c r="E132" s="218">
        <v>2</v>
      </c>
      <c r="F132" s="162">
        <f>($AI$132/$AJ$132)*$L$132*C132</f>
        <v>1344</v>
      </c>
      <c r="G132" s="162">
        <f>($AI$132/$AJ$132)*$L$132*D132</f>
        <v>1344</v>
      </c>
      <c r="H132" s="162">
        <f>($AI$132/$AJ$132)*$L$132*E132</f>
        <v>1344</v>
      </c>
      <c r="I132" s="162" cm="1">
        <f t="array" ref="I132">SUMPRODUCT(($AI$2:$KV$2&lt;&gt;"")*($AI132:$KV132&lt;&gt;""))</f>
        <v>6</v>
      </c>
      <c r="J132" s="142">
        <f t="shared" si="43"/>
        <v>12</v>
      </c>
      <c r="K132" s="142">
        <f t="shared" si="44"/>
        <v>168</v>
      </c>
      <c r="L132" s="268">
        <f t="shared" si="49"/>
        <v>7000</v>
      </c>
      <c r="M132" s="164">
        <f t="shared" si="45"/>
        <v>8064</v>
      </c>
      <c r="N132" s="397"/>
      <c r="O132" s="165">
        <f t="shared" si="46"/>
        <v>11760.000000000002</v>
      </c>
      <c r="P132" s="165"/>
      <c r="Q132" s="165"/>
      <c r="R132" s="165">
        <f>(IFERROR(AM132/AN132,0)+IFERROR(AU132/AV132,0)+IFERROR(AY132/AZ132,0)+IFERROR(BC132/BD132,0)+IFERROR(BG132/BH132,0)+IFERROR(BK132/BL132,0)+IFERROR(BO132/BP132,0)+IFERROR(BS132/BT132,0)+IFERROR(BW132/BX132,0)+IFERROR(CA132/CB132,0)+IFERROR(CE132/CF132,0)+IFERROR(CI132/CJ132,0)+IFERROR(CM132/CN132,0)+IFERROR(CQ132/CR132,0)+IFERROR(CU132/CV132,0)+IFERROR(CY132/CZ132,0)+IFERROR(DC132/DD132,0)+IFERROR(DG132/DH132,0)+IFERROR(DS132/DT132,0)+IFERROR(DW132/DX132,0)+IFERROR(EA132/EB132,0)+IFERROR(EE132/EF132,0)+IFERROR(EI132/EJ132,0)+IFERROR(EM132/EN132,0)+IFERROR(EQ132/ER132,0)+IFERROR(EU132/EV132,0)+IFERROR(#REF!/#REF!,0)+IFERROR(#REF!/#REF!,0)+IFERROR(FJ132/FK132,0)+IFERROR(FN132/FO132,0)+IFERROR(#REF!/#REF!,0)+IFERROR(#REF!/#REF!,0)+IFERROR(HF132/HG132,0)+IFERROR(#REF!/#REF!,0)+IFERROR(HJ132/HK132,0)+IFERROR(HN132/HO132,0)+IFERROR(HZ132/IA132,0)+IFERROR(ID132/IE132,0)+IFERROR(IH132/II132,0)+IFERROR(IL132/IM132,0)+IFERROR(IX132/IY132,0)+IFERROR(JB132/JC132,0)+IFERROR(JF132/JG132,0)+IFERROR(JI132/JJ132,0)+IFERROR(JL132/JM132,0)+IFERROR(JO132/JP132,0))*L132*(C132+D132+E132+I132)</f>
        <v>6426.0000000000018</v>
      </c>
      <c r="S132" s="165"/>
      <c r="T132" s="165">
        <f t="shared" si="55"/>
        <v>0</v>
      </c>
      <c r="U132" s="165"/>
      <c r="V132" s="165"/>
      <c r="W132" s="165"/>
      <c r="X132" s="165">
        <f>(IFERROR(FF132/FG132,0)+IFERROR(FC132/FD132,0)+IFERROR(#REF!/#REF!,0)+IFERROR(KP132/KQ132,0))*L132*(C132+D132+E132+I132)</f>
        <v>0</v>
      </c>
      <c r="Y132" s="484"/>
      <c r="Z132" s="484"/>
      <c r="AA132" s="484"/>
      <c r="AB132" s="484"/>
      <c r="AC132" s="150">
        <f t="shared" si="47"/>
        <v>2352</v>
      </c>
      <c r="AD132" s="150"/>
      <c r="AE132" s="150">
        <f t="shared" si="56"/>
        <v>0</v>
      </c>
      <c r="AF132" s="161">
        <v>230</v>
      </c>
      <c r="AG132" s="143">
        <v>28</v>
      </c>
      <c r="AH132" s="154">
        <v>1000</v>
      </c>
      <c r="AI132" s="489">
        <v>24</v>
      </c>
      <c r="AJ132" s="497">
        <v>250</v>
      </c>
      <c r="AK132" s="489" t="s">
        <v>81</v>
      </c>
      <c r="AL132" s="154" t="s">
        <v>1191</v>
      </c>
      <c r="AM132" s="489">
        <v>28</v>
      </c>
      <c r="AN132" s="154">
        <v>1000</v>
      </c>
      <c r="AO132" s="489" t="s">
        <v>81</v>
      </c>
      <c r="AP132" s="154" t="s">
        <v>504</v>
      </c>
      <c r="AQ132" s="489">
        <v>140</v>
      </c>
      <c r="AR132" s="154">
        <v>1000</v>
      </c>
      <c r="AS132" s="489" t="s">
        <v>81</v>
      </c>
      <c r="AT132" s="154" t="s">
        <v>554</v>
      </c>
      <c r="AU132" s="140"/>
      <c r="AV132" s="277"/>
      <c r="AW132" s="277"/>
      <c r="AX132" s="277"/>
      <c r="AY132" s="140"/>
      <c r="AZ132" s="277"/>
      <c r="BA132" s="277"/>
      <c r="BB132" s="277"/>
      <c r="BC132" s="140"/>
      <c r="BD132" s="277"/>
      <c r="BE132" s="277"/>
      <c r="BF132" s="277"/>
      <c r="BG132" s="140"/>
      <c r="BH132" s="277"/>
      <c r="BI132" s="277"/>
      <c r="BJ132" s="277"/>
      <c r="BK132" s="140"/>
      <c r="BL132" s="277"/>
      <c r="BM132" s="277"/>
      <c r="BN132" s="277"/>
      <c r="BO132" s="140"/>
      <c r="BP132" s="277"/>
      <c r="BQ132" s="277"/>
      <c r="BR132" s="277"/>
      <c r="BS132" s="140"/>
      <c r="BT132" s="277"/>
      <c r="BU132" s="277"/>
      <c r="BV132" s="277"/>
      <c r="BW132" s="140"/>
      <c r="BX132" s="154"/>
      <c r="BY132" s="154"/>
      <c r="BZ132" s="154"/>
      <c r="CA132" s="140"/>
      <c r="CB132" s="154"/>
      <c r="CC132" s="154"/>
      <c r="CD132" s="154"/>
      <c r="CE132" s="140"/>
      <c r="CF132" s="154"/>
      <c r="CG132" s="154"/>
      <c r="CH132" s="154"/>
      <c r="CI132" s="140"/>
      <c r="CJ132" s="154"/>
      <c r="CK132" s="154"/>
      <c r="CL132" s="154"/>
      <c r="CM132" s="140"/>
      <c r="CN132" s="271"/>
      <c r="CO132" s="271"/>
      <c r="CP132" s="271"/>
      <c r="CQ132" s="140"/>
      <c r="CR132" s="154"/>
      <c r="CS132" s="154"/>
      <c r="CT132" s="154"/>
      <c r="CU132" s="140"/>
      <c r="CV132" s="154"/>
      <c r="CW132" s="154"/>
      <c r="CX132" s="220"/>
      <c r="CY132" s="140"/>
      <c r="CZ132" s="154"/>
      <c r="DA132" s="154"/>
      <c r="DB132" s="220"/>
      <c r="DC132" s="493">
        <v>23</v>
      </c>
      <c r="DD132" s="154">
        <v>1000</v>
      </c>
      <c r="DE132" s="493" t="s">
        <v>345</v>
      </c>
      <c r="DF132" s="154" t="s">
        <v>1190</v>
      </c>
      <c r="DG132" s="493">
        <v>23</v>
      </c>
      <c r="DH132" s="154">
        <v>1000</v>
      </c>
      <c r="DI132" s="493" t="s">
        <v>345</v>
      </c>
      <c r="DJ132" s="154" t="s">
        <v>1190</v>
      </c>
      <c r="DK132" s="154"/>
      <c r="DL132" s="154"/>
      <c r="DM132" s="154"/>
      <c r="DN132" s="154"/>
      <c r="DO132" s="154"/>
      <c r="DP132" s="154"/>
      <c r="DQ132" s="154"/>
      <c r="DR132" s="154"/>
      <c r="DS132" s="140"/>
      <c r="DT132" s="154"/>
      <c r="DU132" s="154"/>
      <c r="DV132" s="154"/>
      <c r="DW132" s="140"/>
      <c r="DX132" s="220"/>
      <c r="DY132" s="220"/>
      <c r="DZ132" s="220"/>
      <c r="EA132" s="140"/>
      <c r="EB132" s="220"/>
      <c r="EC132" s="220"/>
      <c r="ED132" s="220"/>
      <c r="EE132" s="140"/>
      <c r="EF132" s="154"/>
      <c r="EG132" s="154"/>
      <c r="EH132" s="154"/>
      <c r="EI132" s="140"/>
      <c r="EJ132" s="154"/>
      <c r="EK132" s="154"/>
      <c r="EL132" s="154"/>
      <c r="EM132" s="140"/>
      <c r="EN132" s="222"/>
      <c r="EO132" s="222"/>
      <c r="EP132" s="222"/>
      <c r="EQ132" s="140"/>
      <c r="ER132" s="222"/>
      <c r="ES132" s="222"/>
      <c r="ET132" s="222"/>
      <c r="EU132" s="140"/>
      <c r="EV132" s="222"/>
      <c r="EW132" s="222"/>
      <c r="EX132" s="222"/>
      <c r="EY132" s="344"/>
      <c r="EZ132" s="222"/>
      <c r="FA132" s="222"/>
      <c r="FB132" s="222"/>
      <c r="FC132" s="273"/>
      <c r="FD132" s="223"/>
      <c r="FE132" s="223"/>
      <c r="FF132" s="276"/>
      <c r="FG132" s="156"/>
      <c r="FH132" s="156"/>
      <c r="FI132" s="156"/>
      <c r="FJ132" s="140"/>
      <c r="FK132" s="277"/>
      <c r="FL132" s="277"/>
      <c r="FM132" s="277"/>
      <c r="FN132" s="140"/>
      <c r="FO132" s="277"/>
      <c r="FP132" s="277"/>
      <c r="FQ132" s="277"/>
      <c r="FR132" s="280"/>
      <c r="FS132" s="277"/>
      <c r="FT132" s="277"/>
      <c r="FU132" s="277"/>
      <c r="FV132" s="277"/>
      <c r="FW132" s="277"/>
      <c r="FX132" s="277"/>
      <c r="FY132" s="277"/>
      <c r="FZ132" s="277"/>
      <c r="GA132" s="277"/>
      <c r="GB132" s="277"/>
      <c r="GC132" s="277"/>
      <c r="GD132" s="277"/>
      <c r="GE132" s="277"/>
      <c r="GF132" s="277"/>
      <c r="GG132" s="277"/>
      <c r="GH132" s="277"/>
      <c r="GI132" s="277"/>
      <c r="GJ132" s="277"/>
      <c r="GK132" s="277"/>
      <c r="GL132" s="277"/>
      <c r="GM132" s="277"/>
      <c r="GN132" s="277"/>
      <c r="GO132" s="277"/>
      <c r="GP132" s="277"/>
      <c r="GQ132" s="277"/>
      <c r="GR132" s="277"/>
      <c r="GS132" s="277"/>
      <c r="GT132" s="277"/>
      <c r="GU132" s="277"/>
      <c r="GV132" s="277"/>
      <c r="GW132" s="277"/>
      <c r="GX132" s="277"/>
      <c r="GY132" s="277"/>
      <c r="GZ132" s="277"/>
      <c r="HA132" s="277"/>
      <c r="HB132" s="277"/>
      <c r="HC132" s="277"/>
      <c r="HD132" s="277"/>
      <c r="HE132" s="277"/>
      <c r="HF132" s="493">
        <v>2.5</v>
      </c>
      <c r="HG132" s="277">
        <v>1000</v>
      </c>
      <c r="HH132" s="493" t="s">
        <v>345</v>
      </c>
      <c r="HI132" s="277" t="s">
        <v>555</v>
      </c>
      <c r="HJ132" s="140"/>
      <c r="HK132" s="277"/>
      <c r="HL132" s="277"/>
      <c r="HM132" s="277"/>
      <c r="HN132" s="140"/>
      <c r="HO132" s="277"/>
      <c r="HP132" s="277"/>
      <c r="HQ132" s="277"/>
      <c r="HR132" s="277"/>
      <c r="HS132" s="277"/>
      <c r="HT132" s="277"/>
      <c r="HU132" s="277"/>
      <c r="HV132" s="277"/>
      <c r="HW132" s="277"/>
      <c r="HX132" s="277"/>
      <c r="HY132" s="277"/>
      <c r="HZ132" s="140"/>
      <c r="IA132" s="277"/>
      <c r="IB132" s="277"/>
      <c r="IC132" s="277"/>
      <c r="ID132" s="140"/>
      <c r="IE132" s="277"/>
      <c r="IF132" s="277"/>
      <c r="IG132" s="277"/>
      <c r="IH132" s="140"/>
      <c r="II132" s="277"/>
      <c r="IJ132" s="277"/>
      <c r="IK132" s="277"/>
      <c r="IL132" s="140"/>
      <c r="IM132" s="277"/>
      <c r="IN132" s="277"/>
      <c r="IO132" s="277"/>
      <c r="IP132" s="277"/>
      <c r="IQ132" s="277"/>
      <c r="IR132" s="277"/>
      <c r="IS132" s="277"/>
      <c r="IT132" s="277"/>
      <c r="IU132" s="277"/>
      <c r="IV132" s="277"/>
      <c r="IW132" s="277"/>
      <c r="IX132" s="140"/>
      <c r="IY132" s="277"/>
      <c r="IZ132" s="277"/>
      <c r="JA132" s="277"/>
      <c r="JB132" s="140"/>
      <c r="JC132" s="277"/>
      <c r="JD132" s="277"/>
      <c r="JE132" s="277"/>
      <c r="JF132" s="140"/>
      <c r="JG132" s="277"/>
      <c r="JH132" s="277"/>
      <c r="JI132" s="140"/>
      <c r="JJ132" s="277"/>
      <c r="JK132" s="277"/>
      <c r="JL132" s="140"/>
      <c r="JM132" s="277"/>
      <c r="JN132" s="277"/>
      <c r="JO132" s="140"/>
      <c r="JP132" s="277"/>
      <c r="JQ132" s="277"/>
      <c r="JR132" s="277"/>
      <c r="JS132" s="277"/>
      <c r="JT132" s="277"/>
      <c r="JU132" s="277"/>
      <c r="JV132" s="277"/>
      <c r="JW132" s="277"/>
      <c r="JX132" s="277"/>
      <c r="JY132" s="277"/>
      <c r="JZ132" s="277"/>
      <c r="KA132" s="277"/>
      <c r="KB132" s="277"/>
      <c r="KC132" s="277"/>
      <c r="KD132" s="277"/>
      <c r="KE132" s="277"/>
      <c r="KF132" s="277"/>
      <c r="KG132" s="277"/>
      <c r="KH132" s="277"/>
      <c r="KI132" s="277"/>
      <c r="KJ132" s="277"/>
      <c r="KK132" s="277"/>
      <c r="KL132" s="277"/>
      <c r="KM132" s="277"/>
      <c r="KN132" s="277"/>
      <c r="KO132" s="277"/>
      <c r="KP132" s="274"/>
      <c r="KQ132" s="253"/>
      <c r="KR132" s="253"/>
      <c r="KY132" s="141">
        <f t="shared" si="57"/>
        <v>0</v>
      </c>
      <c r="KZ132" s="141">
        <f t="shared" si="58"/>
        <v>0</v>
      </c>
      <c r="LB132" s="141">
        <f t="shared" si="59"/>
        <v>1</v>
      </c>
      <c r="LC132" s="141">
        <f t="shared" si="60"/>
        <v>1</v>
      </c>
      <c r="LD132" s="141">
        <f t="shared" si="61"/>
        <v>1</v>
      </c>
      <c r="LE132" s="141" t="e">
        <f>((N(AU132)&gt;0)*(AX132&lt;&gt;"")+(N(AY132)&gt;0)*(BB132&lt;&gt;"")+(N(BC132)&gt;0)*(BF132&lt;&gt;"")+(N(BG132)&gt;0)*(BJ132&lt;&gt;"")+(N(BK132)&gt;0)*(BN132&lt;&gt;"")+(N(BO132)&gt;0)*(BR132&lt;&gt;"")+(N(BS132)&gt;0)*(BV132&lt;&gt;"")+(N(BW132)&gt;0)*(BZ132&lt;&gt;"")+(N(CA132)&gt;0)*(CD132&lt;&gt;"")+(N(CE132)&gt;0)*(CH132&lt;&gt;"")+(N(CI132)&gt;0)*(CL132&lt;&gt;"")+(N(CM132)&gt;0)*(CP132&lt;&gt;"")+(N(CQ132)&gt;0)*(CT132&lt;&gt;"")+(N(CU132)&gt;0)*(CX132&lt;&gt;"")+(N(CY132)&gt;0)*(DB132&lt;&gt;"")+(N(DC132)&gt;0)*(DF132&lt;&gt;"")+(N(DG132)&gt;0)*(DJ132&lt;&gt;"")+(N(DS132)&gt;0)*(DV132&lt;&gt;"")+(N(DW132)&gt;0)*(DZ132&lt;&gt;"")+(N(EA132)&gt;0)*(ED132&lt;&gt;"")+(N(EE132)&gt;0)*(EH132&lt;&gt;"")+(N(EI132)&gt;0)*(EL132&lt;&gt;"")+(N(EM132)&gt;0)*(EP132&lt;&gt;"")+(N(EQ132)&gt;0)*(ET132&lt;&gt;"")+(N(EU132)&gt;0)*(EX132&lt;&gt;"")+(N(#REF!)&gt;0)*(#REF!&lt;&gt;"")+(N(#REF!)&gt;0)*(#REF!&lt;&gt;"")+(N(FJ132)&gt;0)*(FM132&lt;&gt;"")+(N(FN132)&gt;0)*(FQ132&lt;&gt;"")+(N(#REF!)&gt;0)*(#REF!&lt;&gt;"")+(N(#REF!)&gt;0)*(#REF!&lt;&gt;"")+(N(HF132)&gt;0)*(HI132&lt;&gt;"")+(N(#REF!)&gt;0)*(#REF!&lt;&gt;"")+(N(HJ132)&gt;0)*(HM132&lt;&gt;"")+(N(HN132)&gt;0)*(HQ132&lt;&gt;"")+(N(HZ132)&gt;0)*(IC132&lt;&gt;"")+(N(ID132)&gt;0)*(IG132&lt;&gt;"")+(N(IH132)&gt;0)*(IK132&lt;&gt;"")+(N(IL132)&gt;0)*(IO132&lt;&gt;"")+(N(IX132)&gt;0)*(JA132&lt;&gt;"")+(N(JB132)&gt;0)*(JE132&lt;&gt;"")+(N(JF132)&gt;0)*(JH132&lt;&gt;"")+(N(JI132)&gt;0)*(JK132&lt;&gt;"")+(N(JL132)&gt;0)*(JN132&lt;&gt;"")+(N(JO132)&gt;0)*(JQ132&lt;&gt;""))</f>
        <v>#REF!</v>
      </c>
      <c r="LF132" s="141">
        <f t="shared" si="48"/>
        <v>0</v>
      </c>
      <c r="LG132" s="141">
        <f t="shared" si="62"/>
        <v>1</v>
      </c>
    </row>
    <row r="133" spans="1:319" s="283" customFormat="1" ht="38.25" customHeight="1" x14ac:dyDescent="0.6">
      <c r="B133" s="506" t="s">
        <v>569</v>
      </c>
      <c r="C133" s="218">
        <v>4</v>
      </c>
      <c r="D133" s="218">
        <v>4</v>
      </c>
      <c r="E133" s="218">
        <v>4</v>
      </c>
      <c r="F133" s="162">
        <f>($AI$133/$AJ$133)*$L$133*C133</f>
        <v>2688</v>
      </c>
      <c r="G133" s="162">
        <f>($AI$133/$AJ$133)*$L$133*D133</f>
        <v>2688</v>
      </c>
      <c r="H133" s="162">
        <f>($AI$133/$AJ$133)*$L$133*E133</f>
        <v>2688</v>
      </c>
      <c r="I133" s="162" cm="1">
        <f t="array" ref="I133">SUMPRODUCT(($AI$2:$KV$2&lt;&gt;"")*($AI133:$KV133&lt;&gt;""))</f>
        <v>7</v>
      </c>
      <c r="J133" s="142">
        <f t="shared" si="43"/>
        <v>28</v>
      </c>
      <c r="K133" s="142">
        <f t="shared" si="44"/>
        <v>392</v>
      </c>
      <c r="L133" s="268">
        <f t="shared" si="49"/>
        <v>7000</v>
      </c>
      <c r="M133" s="284">
        <f t="shared" si="45"/>
        <v>12768</v>
      </c>
      <c r="N133" s="398"/>
      <c r="O133" s="285">
        <f t="shared" si="46"/>
        <v>14630</v>
      </c>
      <c r="P133" s="285"/>
      <c r="Q133" s="285"/>
      <c r="R133" s="285">
        <f>(IFERROR(AM133/AN133,0)+IFERROR(AU133/AV133,0)+IFERROR(AY133/AZ133,0)+IFERROR(BC133/BD133,0)+IFERROR(BG133/BH133,0)+IFERROR(BK133/BL133,0)+IFERROR(BO133/BP133,0)+IFERROR(BS133/BT133,0)+IFERROR(BW133/BX133,0)+IFERROR(CA133/CB133,0)+IFERROR(CE133/CF133,0)+IFERROR(CI133/CJ133,0)+IFERROR(CM133/CN133,0)+IFERROR(CQ133/CR133,0)+IFERROR(CU133/CV133,0)+IFERROR(CY133/CZ133,0)+IFERROR(DC133/DD133,0)+IFERROR(DG133/DH133,0)+IFERROR(DS133/DT133,0)+IFERROR(DW133/DX133,0)+IFERROR(EA133/EB133,0)+IFERROR(EE133/EF133,0)+IFERROR(EI133/EJ133,0)+IFERROR(EM133/EN133,0)+IFERROR(EQ133/ER133,0)+IFERROR(EU133/EV133,0)+IFERROR(#REF!/#REF!,0)+IFERROR(#REF!/#REF!,0)+IFERROR(FJ133/FK133,0)+IFERROR(FN133/FO133,0)+IFERROR(#REF!/#REF!,0)+IFERROR(#REF!/#REF!,0)+IFERROR(HF133/HG133,0)+IFERROR(#REF!/#REF!,0)+IFERROR(HJ133/HK133,0)+IFERROR(HN133/HO133,0)+IFERROR(HZ133/IA133,0)+IFERROR(ID133/IE133,0)+IFERROR(IH133/II133,0)+IFERROR(IL133/IM133,0)+IFERROR(IX133/IY133,0)+IFERROR(JB133/JC133,0)+IFERROR(JF133/JG133,0)+IFERROR(JI133/JJ133,0)+IFERROR(JL133/JM133,0)+IFERROR(JO133/JP133,0))*L133*(C133+D133+E133+I133)</f>
        <v>13366.5</v>
      </c>
      <c r="S133" s="285"/>
      <c r="T133" s="285">
        <f t="shared" si="55"/>
        <v>0</v>
      </c>
      <c r="U133" s="285"/>
      <c r="V133" s="285"/>
      <c r="W133" s="285"/>
      <c r="X133" s="285">
        <f>(IFERROR(FF133/FG133,0)+IFERROR(FC133/FD133,0)+IFERROR(#REF!/#REF!,0)+IFERROR(KP133/KQ133,0))*L133*(C133+D133+E133+I133)</f>
        <v>0</v>
      </c>
      <c r="Y133" s="485"/>
      <c r="Z133" s="485"/>
      <c r="AA133" s="485"/>
      <c r="AB133" s="485"/>
      <c r="AC133" s="286">
        <f t="shared" si="47"/>
        <v>3724</v>
      </c>
      <c r="AD133" s="286"/>
      <c r="AE133" s="286">
        <f t="shared" si="56"/>
        <v>0</v>
      </c>
      <c r="AF133" s="287">
        <v>230</v>
      </c>
      <c r="AG133" s="143">
        <v>28</v>
      </c>
      <c r="AH133" s="154">
        <v>1000</v>
      </c>
      <c r="AI133" s="489">
        <v>24</v>
      </c>
      <c r="AJ133" s="497">
        <v>250</v>
      </c>
      <c r="AK133" s="489" t="s">
        <v>81</v>
      </c>
      <c r="AL133" s="154" t="s">
        <v>1191</v>
      </c>
      <c r="AM133" s="489">
        <v>28</v>
      </c>
      <c r="AN133" s="154">
        <v>1000</v>
      </c>
      <c r="AO133" s="489" t="s">
        <v>81</v>
      </c>
      <c r="AP133" s="154" t="s">
        <v>504</v>
      </c>
      <c r="AQ133" s="489">
        <v>110</v>
      </c>
      <c r="AR133" s="154">
        <v>1000</v>
      </c>
      <c r="AS133" s="489" t="s">
        <v>81</v>
      </c>
      <c r="AT133" s="154" t="s">
        <v>554</v>
      </c>
      <c r="AU133" s="289"/>
      <c r="AV133" s="290"/>
      <c r="AW133" s="290"/>
      <c r="AX133" s="290"/>
      <c r="AY133" s="289"/>
      <c r="AZ133" s="290"/>
      <c r="BA133" s="290"/>
      <c r="BB133" s="290"/>
      <c r="BC133" s="289"/>
      <c r="BD133" s="290"/>
      <c r="BE133" s="290"/>
      <c r="BF133" s="290"/>
      <c r="BG133" s="493">
        <v>24</v>
      </c>
      <c r="BH133" s="290">
        <v>1000</v>
      </c>
      <c r="BI133" s="493" t="s">
        <v>345</v>
      </c>
      <c r="BJ133" s="290" t="s">
        <v>1190</v>
      </c>
      <c r="BK133" s="289"/>
      <c r="BL133" s="290"/>
      <c r="BM133" s="290"/>
      <c r="BN133" s="290"/>
      <c r="BO133" s="289"/>
      <c r="BP133" s="290"/>
      <c r="BQ133" s="290"/>
      <c r="BR133" s="290"/>
      <c r="BS133" s="289"/>
      <c r="BT133" s="290"/>
      <c r="BU133" s="290"/>
      <c r="BV133" s="290"/>
      <c r="BW133" s="289"/>
      <c r="BX133" s="288"/>
      <c r="BY133" s="288"/>
      <c r="BZ133" s="288"/>
      <c r="CA133" s="289"/>
      <c r="CB133" s="288"/>
      <c r="CC133" s="288"/>
      <c r="CD133" s="288"/>
      <c r="CE133" s="289"/>
      <c r="CF133" s="291"/>
      <c r="CG133" s="291"/>
      <c r="CH133" s="291"/>
      <c r="CI133" s="289"/>
      <c r="CJ133" s="288"/>
      <c r="CK133" s="288"/>
      <c r="CL133" s="288"/>
      <c r="CM133" s="289"/>
      <c r="CN133" s="291"/>
      <c r="CO133" s="291"/>
      <c r="CP133" s="291"/>
      <c r="CQ133" s="289"/>
      <c r="CR133" s="288"/>
      <c r="CS133" s="288"/>
      <c r="CT133" s="288"/>
      <c r="CU133" s="289"/>
      <c r="CV133" s="288"/>
      <c r="CW133" s="288"/>
      <c r="CX133" s="142"/>
      <c r="CY133" s="289"/>
      <c r="CZ133" s="288"/>
      <c r="DA133" s="288"/>
      <c r="DB133" s="142"/>
      <c r="DC133" s="493">
        <v>23</v>
      </c>
      <c r="DD133" s="154">
        <v>1000</v>
      </c>
      <c r="DE133" s="493" t="s">
        <v>345</v>
      </c>
      <c r="DF133" s="154" t="s">
        <v>1190</v>
      </c>
      <c r="DG133" s="493">
        <v>23</v>
      </c>
      <c r="DH133" s="154">
        <v>1000</v>
      </c>
      <c r="DI133" s="493" t="s">
        <v>345</v>
      </c>
      <c r="DJ133" s="154" t="s">
        <v>1190</v>
      </c>
      <c r="DK133" s="154"/>
      <c r="DL133" s="154"/>
      <c r="DM133" s="154"/>
      <c r="DN133" s="154"/>
      <c r="DO133" s="154"/>
      <c r="DP133" s="154"/>
      <c r="DQ133" s="154"/>
      <c r="DR133" s="154"/>
      <c r="DS133" s="289"/>
      <c r="DT133" s="288"/>
      <c r="DU133" s="288"/>
      <c r="DV133" s="288"/>
      <c r="DW133" s="289"/>
      <c r="DX133" s="142"/>
      <c r="DY133" s="142"/>
      <c r="DZ133" s="142"/>
      <c r="EA133" s="289"/>
      <c r="EB133" s="142"/>
      <c r="EC133" s="142"/>
      <c r="ED133" s="142"/>
      <c r="EE133" s="289"/>
      <c r="EF133" s="288"/>
      <c r="EG133" s="288"/>
      <c r="EH133" s="288"/>
      <c r="EI133" s="289"/>
      <c r="EJ133" s="288"/>
      <c r="EK133" s="288"/>
      <c r="EL133" s="288"/>
      <c r="EM133" s="289"/>
      <c r="EN133" s="292"/>
      <c r="EO133" s="292"/>
      <c r="EP133" s="292"/>
      <c r="EQ133" s="289"/>
      <c r="ER133" s="292"/>
      <c r="ES133" s="292"/>
      <c r="ET133" s="292"/>
      <c r="EU133" s="289"/>
      <c r="EV133" s="292"/>
      <c r="EW133" s="292"/>
      <c r="EX133" s="292"/>
      <c r="EY133" s="350"/>
      <c r="EZ133" s="292"/>
      <c r="FA133" s="292"/>
      <c r="FB133" s="292"/>
      <c r="FC133" s="293"/>
      <c r="FD133" s="294"/>
      <c r="FE133" s="294"/>
      <c r="FF133" s="295"/>
      <c r="FG133" s="296"/>
      <c r="FH133" s="296"/>
      <c r="FI133" s="296"/>
      <c r="FJ133" s="289"/>
      <c r="FK133" s="290"/>
      <c r="FL133" s="290"/>
      <c r="FM133" s="290"/>
      <c r="FN133" s="289"/>
      <c r="FO133" s="290"/>
      <c r="FP133" s="290"/>
      <c r="FQ133" s="290"/>
      <c r="FR133" s="298"/>
      <c r="FS133" s="290"/>
      <c r="FT133" s="290"/>
      <c r="FU133" s="290"/>
      <c r="FV133" s="290"/>
      <c r="FW133" s="290"/>
      <c r="FX133" s="290"/>
      <c r="FY133" s="290"/>
      <c r="FZ133" s="290"/>
      <c r="GA133" s="290"/>
      <c r="GB133" s="290"/>
      <c r="GC133" s="290"/>
      <c r="GD133" s="290"/>
      <c r="GE133" s="290"/>
      <c r="GF133" s="290"/>
      <c r="GG133" s="290"/>
      <c r="GH133" s="290"/>
      <c r="GI133" s="290"/>
      <c r="GJ133" s="290"/>
      <c r="GK133" s="290"/>
      <c r="GL133" s="290"/>
      <c r="GM133" s="290"/>
      <c r="GN133" s="290"/>
      <c r="GO133" s="290"/>
      <c r="GP133" s="290"/>
      <c r="GQ133" s="290"/>
      <c r="GR133" s="290"/>
      <c r="GS133" s="290"/>
      <c r="GT133" s="290"/>
      <c r="GU133" s="290"/>
      <c r="GV133" s="290"/>
      <c r="GW133" s="290"/>
      <c r="GX133" s="290"/>
      <c r="GY133" s="290"/>
      <c r="GZ133" s="290"/>
      <c r="HA133" s="290"/>
      <c r="HB133" s="290"/>
      <c r="HC133" s="290"/>
      <c r="HD133" s="290"/>
      <c r="HE133" s="290"/>
      <c r="HF133" s="493">
        <v>2.5</v>
      </c>
      <c r="HG133" s="277">
        <v>1000</v>
      </c>
      <c r="HH133" s="493" t="s">
        <v>345</v>
      </c>
      <c r="HI133" s="277" t="s">
        <v>555</v>
      </c>
      <c r="HJ133" s="289"/>
      <c r="HK133" s="290"/>
      <c r="HL133" s="290"/>
      <c r="HM133" s="290"/>
      <c r="HN133" s="289"/>
      <c r="HO133" s="290"/>
      <c r="HP133" s="290"/>
      <c r="HQ133" s="290"/>
      <c r="HR133" s="290"/>
      <c r="HS133" s="290"/>
      <c r="HT133" s="290"/>
      <c r="HU133" s="290"/>
      <c r="HV133" s="290"/>
      <c r="HW133" s="290"/>
      <c r="HX133" s="290"/>
      <c r="HY133" s="290"/>
      <c r="HZ133" s="289"/>
      <c r="IA133" s="290"/>
      <c r="IB133" s="290"/>
      <c r="IC133" s="290"/>
      <c r="ID133" s="289"/>
      <c r="IE133" s="290"/>
      <c r="IF133" s="290"/>
      <c r="IG133" s="290"/>
      <c r="IH133" s="289"/>
      <c r="II133" s="290"/>
      <c r="IJ133" s="290"/>
      <c r="IK133" s="290"/>
      <c r="IL133" s="289"/>
      <c r="IM133" s="290"/>
      <c r="IN133" s="290"/>
      <c r="IO133" s="290"/>
      <c r="IP133" s="290"/>
      <c r="IQ133" s="290"/>
      <c r="IR133" s="290"/>
      <c r="IS133" s="290"/>
      <c r="IT133" s="290"/>
      <c r="IU133" s="290"/>
      <c r="IV133" s="290"/>
      <c r="IW133" s="290"/>
      <c r="IX133" s="289"/>
      <c r="IY133" s="290"/>
      <c r="IZ133" s="290"/>
      <c r="JA133" s="290"/>
      <c r="JB133" s="289"/>
      <c r="JC133" s="290"/>
      <c r="JD133" s="290"/>
      <c r="JE133" s="290"/>
      <c r="JF133" s="289"/>
      <c r="JG133" s="290"/>
      <c r="JH133" s="290"/>
      <c r="JI133" s="289"/>
      <c r="JJ133" s="290"/>
      <c r="JK133" s="290"/>
      <c r="JL133" s="289"/>
      <c r="JM133" s="290"/>
      <c r="JN133" s="290"/>
      <c r="JO133" s="289"/>
      <c r="JP133" s="290"/>
      <c r="JQ133" s="290"/>
      <c r="JR133" s="290"/>
      <c r="JS133" s="290"/>
      <c r="JT133" s="290"/>
      <c r="JU133" s="290"/>
      <c r="JV133" s="290"/>
      <c r="JW133" s="290"/>
      <c r="JX133" s="290"/>
      <c r="JY133" s="290"/>
      <c r="JZ133" s="290"/>
      <c r="KA133" s="290"/>
      <c r="KB133" s="290"/>
      <c r="KC133" s="290"/>
      <c r="KD133" s="290"/>
      <c r="KE133" s="290"/>
      <c r="KF133" s="290"/>
      <c r="KG133" s="290"/>
      <c r="KH133" s="290"/>
      <c r="KI133" s="290"/>
      <c r="KJ133" s="290"/>
      <c r="KK133" s="290"/>
      <c r="KL133" s="290"/>
      <c r="KM133" s="290"/>
      <c r="KN133" s="290"/>
      <c r="KO133" s="290"/>
      <c r="KP133" s="299"/>
      <c r="KQ133" s="297"/>
      <c r="KR133" s="297"/>
      <c r="KY133" s="283">
        <f t="shared" si="57"/>
        <v>0</v>
      </c>
      <c r="KZ133" s="283">
        <f t="shared" si="58"/>
        <v>0</v>
      </c>
      <c r="LB133" s="283">
        <f t="shared" si="59"/>
        <v>1</v>
      </c>
      <c r="LC133" s="283">
        <f t="shared" si="60"/>
        <v>1</v>
      </c>
      <c r="LD133" s="283">
        <f t="shared" si="61"/>
        <v>1</v>
      </c>
      <c r="LE133" s="283" t="e">
        <f>((N(AU133)&gt;0)*(AX133&lt;&gt;"")+(N(AY133)&gt;0)*(BB133&lt;&gt;"")+(N(BC133)&gt;0)*(BF133&lt;&gt;"")+(N(BG133)&gt;0)*(BJ133&lt;&gt;"")+(N(BK133)&gt;0)*(BN133&lt;&gt;"")+(N(BO133)&gt;0)*(BR133&lt;&gt;"")+(N(BS133)&gt;0)*(BV133&lt;&gt;"")+(N(BW133)&gt;0)*(BZ133&lt;&gt;"")+(N(CA133)&gt;0)*(CD133&lt;&gt;"")+(N(CE133)&gt;0)*(CH133&lt;&gt;"")+(N(CI133)&gt;0)*(CL133&lt;&gt;"")+(N(CM133)&gt;0)*(CP133&lt;&gt;"")+(N(CQ133)&gt;0)*(CT133&lt;&gt;"")+(N(CU133)&gt;0)*(CX133&lt;&gt;"")+(N(CY133)&gt;0)*(DB133&lt;&gt;"")+(N(DC133)&gt;0)*(DF133&lt;&gt;"")+(N(DG133)&gt;0)*(DJ133&lt;&gt;"")+(N(DS133)&gt;0)*(DV133&lt;&gt;"")+(N(DW133)&gt;0)*(DZ133&lt;&gt;"")+(N(EA133)&gt;0)*(ED133&lt;&gt;"")+(N(EE133)&gt;0)*(EH133&lt;&gt;"")+(N(EI133)&gt;0)*(EL133&lt;&gt;"")+(N(EM133)&gt;0)*(EP133&lt;&gt;"")+(N(EQ133)&gt;0)*(ET133&lt;&gt;"")+(N(EU133)&gt;0)*(EX133&lt;&gt;"")+(N(#REF!)&gt;0)*(#REF!&lt;&gt;"")+(N(#REF!)&gt;0)*(#REF!&lt;&gt;"")+(N(FJ133)&gt;0)*(FM133&lt;&gt;"")+(N(FN133)&gt;0)*(FQ133&lt;&gt;"")+(N(#REF!)&gt;0)*(#REF!&lt;&gt;"")+(N(#REF!)&gt;0)*(#REF!&lt;&gt;"")+(N(HF133)&gt;0)*(HI133&lt;&gt;"")+(N(#REF!)&gt;0)*(#REF!&lt;&gt;"")+(N(HJ133)&gt;0)*(HM133&lt;&gt;"")+(N(HN133)&gt;0)*(HQ133&lt;&gt;"")+(N(HZ133)&gt;0)*(IC133&lt;&gt;"")+(N(ID133)&gt;0)*(IG133&lt;&gt;"")+(N(IH133)&gt;0)*(IK133&lt;&gt;"")+(N(IL133)&gt;0)*(IO133&lt;&gt;"")+(N(IX133)&gt;0)*(JA133&lt;&gt;"")+(N(JB133)&gt;0)*(JE133&lt;&gt;"")+(N(JF133)&gt;0)*(JH133&lt;&gt;"")+(N(JI133)&gt;0)*(JK133&lt;&gt;"")+(N(JL133)&gt;0)*(JN133&lt;&gt;"")+(N(JO133)&gt;0)*(JQ133&lt;&gt;""))</f>
        <v>#REF!</v>
      </c>
      <c r="LF133" s="283">
        <f t="shared" si="48"/>
        <v>0</v>
      </c>
      <c r="LG133" s="283">
        <f t="shared" si="62"/>
        <v>1</v>
      </c>
    </row>
    <row r="134" spans="1:319" ht="38.25" customHeight="1" x14ac:dyDescent="0.55000000000000004">
      <c r="A134" s="141" t="s">
        <v>196</v>
      </c>
      <c r="B134" s="314" t="s">
        <v>170</v>
      </c>
      <c r="C134" s="218">
        <v>2</v>
      </c>
      <c r="D134" s="396">
        <v>2</v>
      </c>
      <c r="E134" s="396">
        <v>2</v>
      </c>
      <c r="F134" s="218"/>
      <c r="G134" s="218"/>
      <c r="H134" s="218"/>
      <c r="I134" s="162" cm="1">
        <f t="array" ref="I134">SUMPRODUCT(($AI$2:$KV$2&lt;&gt;"")*($AI134:$KV134&lt;&gt;""))</f>
        <v>6</v>
      </c>
      <c r="J134" s="142">
        <f t="shared" si="43"/>
        <v>12</v>
      </c>
      <c r="K134" s="142">
        <f t="shared" si="44"/>
        <v>168</v>
      </c>
      <c r="L134" s="268">
        <f t="shared" si="49"/>
        <v>7000</v>
      </c>
      <c r="M134" s="164">
        <f t="shared" si="45"/>
        <v>10080</v>
      </c>
      <c r="N134" s="397"/>
      <c r="O134" s="165">
        <f t="shared" si="46"/>
        <v>9240</v>
      </c>
      <c r="P134" s="165"/>
      <c r="Q134" s="165"/>
      <c r="R134" s="165">
        <f>(IFERROR(AM134/AN134,0)+IFERROR(AU134/AV134,0)+IFERROR(AY134/AZ134,0)+IFERROR(BC134/BD134,0)+IFERROR(BG134/BH134,0)+IFERROR(BK134/BL134,0)+IFERROR(BO134/BP134,0)+IFERROR(BS134/BT134,0)+IFERROR(BW134/BX134,0)+IFERROR(CA134/CB134,0)+IFERROR(CE134/CF134,0)+IFERROR(CI134/CJ134,0)+IFERROR(CM134/CN134,0)+IFERROR(CQ134/CR134,0)+IFERROR(CU134/CV134,0)+IFERROR(CY134/CZ134,0)+IFERROR(DC134/DD134,0)+IFERROR(DG134/DH134,0)+IFERROR(DS134/DT134,0)+IFERROR(DW134/DX134,0)+IFERROR(EA134/EB134,0)+IFERROR(EE134/EF134,0)+IFERROR(EI134/EJ134,0)+IFERROR(EM134/EN134,0)+IFERROR(EQ134/ER134,0)+IFERROR(EU134/EV134,0)+IFERROR(#REF!/#REF!,0)+IFERROR(#REF!/#REF!,0)+IFERROR(FJ134/FK134,0)+IFERROR(FN134/FO134,0)+IFERROR(#REF!/#REF!,0)+IFERROR(#REF!/#REF!,0)+IFERROR(HF134/HG134,0)+IFERROR(#REF!/#REF!,0)+IFERROR(HJ134/HK134,0)+IFERROR(HN134/HO134,0)+IFERROR(HZ134/IA134,0)+IFERROR(ID134/IE134,0)+IFERROR(IH134/II134,0)+IFERROR(IL134/IM134,0)+IFERROR(IX134/IY134,0)+IFERROR(JB134/JC134,0)+IFERROR(JF134/JG134,0)+IFERROR(JI134/JJ134,0)+IFERROR(JL134/JM134,0)+IFERROR(JO134/JP134,0))*L134*(C134+D134+E134+I134)</f>
        <v>6594.0000000000018</v>
      </c>
      <c r="S134" s="165"/>
      <c r="T134" s="165">
        <f t="shared" si="55"/>
        <v>0</v>
      </c>
      <c r="U134" s="165"/>
      <c r="V134" s="165"/>
      <c r="W134" s="165"/>
      <c r="X134" s="165">
        <f>(IFERROR(FF134/FG134,0)+IFERROR(FC134/FD134,0)+IFERROR(#REF!/#REF!,0)+IFERROR(KP134/KQ134,0))*L134*(C134+D134+E134+I134)</f>
        <v>0</v>
      </c>
      <c r="Y134" s="484"/>
      <c r="Z134" s="484"/>
      <c r="AA134" s="484"/>
      <c r="AB134" s="484"/>
      <c r="AC134" s="150">
        <f t="shared" si="47"/>
        <v>0</v>
      </c>
      <c r="AD134" s="150"/>
      <c r="AE134" s="150">
        <f t="shared" si="56"/>
        <v>0</v>
      </c>
      <c r="AF134" s="161">
        <v>230</v>
      </c>
      <c r="AG134" s="143"/>
      <c r="AH134" s="154">
        <v>4000</v>
      </c>
      <c r="AI134" s="342">
        <v>30</v>
      </c>
      <c r="AJ134" s="342">
        <v>250</v>
      </c>
      <c r="AK134" s="342"/>
      <c r="AL134" s="220" t="s">
        <v>548</v>
      </c>
      <c r="AM134" s="140">
        <v>28</v>
      </c>
      <c r="AN134" s="154">
        <v>1000</v>
      </c>
      <c r="AO134" s="154"/>
      <c r="AP134" s="220" t="s">
        <v>556</v>
      </c>
      <c r="AQ134" s="145">
        <v>110</v>
      </c>
      <c r="AR134" s="154">
        <v>1000</v>
      </c>
      <c r="AS134" s="154"/>
      <c r="AT134" s="220" t="s">
        <v>548</v>
      </c>
      <c r="AU134" s="140"/>
      <c r="AV134" s="277"/>
      <c r="AW134" s="277"/>
      <c r="AX134" s="277"/>
      <c r="AY134" s="140"/>
      <c r="AZ134" s="277"/>
      <c r="BA134" s="277"/>
      <c r="BB134" s="277"/>
      <c r="BC134" s="140"/>
      <c r="BD134" s="277"/>
      <c r="BE134" s="277"/>
      <c r="BF134" s="277"/>
      <c r="BG134" s="140"/>
      <c r="BH134" s="277"/>
      <c r="BI134" s="277"/>
      <c r="BJ134" s="277"/>
      <c r="BK134" s="140"/>
      <c r="BL134" s="277"/>
      <c r="BM134" s="277"/>
      <c r="BN134" s="277"/>
      <c r="BO134" s="140"/>
      <c r="BP134" s="277"/>
      <c r="BQ134" s="277"/>
      <c r="BR134" s="277"/>
      <c r="BS134" s="140"/>
      <c r="BT134" s="277"/>
      <c r="BU134" s="277"/>
      <c r="BV134" s="277"/>
      <c r="BW134" s="140">
        <v>24</v>
      </c>
      <c r="BX134" s="154">
        <v>1000</v>
      </c>
      <c r="BY134" s="154"/>
      <c r="BZ134" s="154" t="s">
        <v>555</v>
      </c>
      <c r="CA134" s="140">
        <v>24</v>
      </c>
      <c r="CB134" s="154">
        <v>1000</v>
      </c>
      <c r="CC134" s="154"/>
      <c r="CD134" s="154" t="s">
        <v>555</v>
      </c>
      <c r="CE134" s="140"/>
      <c r="CF134" s="154"/>
      <c r="CG134" s="154"/>
      <c r="CH134" s="154"/>
      <c r="CI134" s="140"/>
      <c r="CJ134" s="154"/>
      <c r="CK134" s="154"/>
      <c r="CL134" s="154"/>
      <c r="CM134" s="140"/>
      <c r="CN134" s="271"/>
      <c r="CO134" s="271"/>
      <c r="CP134" s="271"/>
      <c r="CQ134" s="140"/>
      <c r="CR134" s="154"/>
      <c r="CS134" s="154"/>
      <c r="CT134" s="154"/>
      <c r="CU134" s="140"/>
      <c r="CV134" s="154"/>
      <c r="CW134" s="154"/>
      <c r="CX134" s="220"/>
      <c r="CY134" s="140"/>
      <c r="CZ134" s="154"/>
      <c r="DA134" s="154"/>
      <c r="DB134" s="220"/>
      <c r="DC134" s="140"/>
      <c r="DD134" s="154"/>
      <c r="DE134" s="154"/>
      <c r="DF134" s="154"/>
      <c r="DG134" s="140"/>
      <c r="DH134" s="154"/>
      <c r="DI134" s="154"/>
      <c r="DJ134" s="154"/>
      <c r="DK134" s="154"/>
      <c r="DL134" s="154"/>
      <c r="DM134" s="154"/>
      <c r="DN134" s="154"/>
      <c r="DO134" s="154"/>
      <c r="DP134" s="154"/>
      <c r="DQ134" s="154"/>
      <c r="DR134" s="154"/>
      <c r="DS134" s="140"/>
      <c r="DT134" s="154"/>
      <c r="DU134" s="154"/>
      <c r="DV134" s="154"/>
      <c r="DW134" s="140"/>
      <c r="DX134" s="220"/>
      <c r="DY134" s="220"/>
      <c r="DZ134" s="220"/>
      <c r="EA134" s="140"/>
      <c r="EB134" s="220"/>
      <c r="EC134" s="220"/>
      <c r="ED134" s="220"/>
      <c r="EE134" s="140"/>
      <c r="EF134" s="154"/>
      <c r="EG134" s="154"/>
      <c r="EH134" s="154"/>
      <c r="EI134" s="140"/>
      <c r="EJ134" s="154"/>
      <c r="EK134" s="154"/>
      <c r="EL134" s="154"/>
      <c r="EM134" s="140"/>
      <c r="EN134" s="222"/>
      <c r="EO134" s="222"/>
      <c r="EP134" s="222"/>
      <c r="EQ134" s="140"/>
      <c r="ER134" s="222"/>
      <c r="ES134" s="222"/>
      <c r="ET134" s="222"/>
      <c r="EU134" s="140"/>
      <c r="EV134" s="222"/>
      <c r="EW134" s="222"/>
      <c r="EX134" s="222"/>
      <c r="EY134" s="344"/>
      <c r="EZ134" s="222"/>
      <c r="FA134" s="222"/>
      <c r="FB134" s="222"/>
      <c r="FC134" s="273"/>
      <c r="FD134" s="223"/>
      <c r="FE134" s="223"/>
      <c r="FF134" s="276"/>
      <c r="FG134" s="156"/>
      <c r="FH134" s="156"/>
      <c r="FI134" s="156"/>
      <c r="FJ134" s="140"/>
      <c r="FK134" s="277"/>
      <c r="FL134" s="277"/>
      <c r="FM134" s="277"/>
      <c r="FN134" s="140"/>
      <c r="FO134" s="277"/>
      <c r="FP134" s="277"/>
      <c r="FQ134" s="277"/>
      <c r="FR134" s="280"/>
      <c r="FS134" s="277"/>
      <c r="FT134" s="277"/>
      <c r="FU134" s="277"/>
      <c r="FV134" s="277"/>
      <c r="FW134" s="277"/>
      <c r="FX134" s="277"/>
      <c r="FY134" s="277"/>
      <c r="FZ134" s="277"/>
      <c r="GA134" s="277"/>
      <c r="GB134" s="277"/>
      <c r="GC134" s="277"/>
      <c r="GD134" s="277"/>
      <c r="GE134" s="277"/>
      <c r="GF134" s="277"/>
      <c r="GG134" s="277"/>
      <c r="GH134" s="277"/>
      <c r="GI134" s="277"/>
      <c r="GJ134" s="277"/>
      <c r="GK134" s="277"/>
      <c r="GL134" s="277"/>
      <c r="GM134" s="277"/>
      <c r="GN134" s="277"/>
      <c r="GO134" s="277"/>
      <c r="GP134" s="277"/>
      <c r="GQ134" s="277"/>
      <c r="GR134" s="277"/>
      <c r="GS134" s="277"/>
      <c r="GT134" s="277"/>
      <c r="GU134" s="277"/>
      <c r="GV134" s="277"/>
      <c r="GW134" s="277"/>
      <c r="GX134" s="277"/>
      <c r="GY134" s="277"/>
      <c r="GZ134" s="277"/>
      <c r="HA134" s="277"/>
      <c r="HB134" s="277"/>
      <c r="HC134" s="277"/>
      <c r="HD134" s="277"/>
      <c r="HE134" s="277"/>
      <c r="HF134" s="140">
        <v>2.5</v>
      </c>
      <c r="HG134" s="277">
        <v>1000</v>
      </c>
      <c r="HH134" s="277"/>
      <c r="HI134" s="277" t="s">
        <v>555</v>
      </c>
      <c r="HJ134" s="140"/>
      <c r="HK134" s="277"/>
      <c r="HL134" s="277"/>
      <c r="HM134" s="277"/>
      <c r="HN134" s="140"/>
      <c r="HO134" s="277"/>
      <c r="HP134" s="277"/>
      <c r="HQ134" s="277"/>
      <c r="HR134" s="277"/>
      <c r="HS134" s="277"/>
      <c r="HT134" s="277"/>
      <c r="HU134" s="277"/>
      <c r="HV134" s="277"/>
      <c r="HW134" s="277"/>
      <c r="HX134" s="277"/>
      <c r="HY134" s="277"/>
      <c r="HZ134" s="140"/>
      <c r="IA134" s="277"/>
      <c r="IB134" s="277"/>
      <c r="IC134" s="277"/>
      <c r="ID134" s="140"/>
      <c r="IE134" s="277"/>
      <c r="IF134" s="277"/>
      <c r="IG134" s="277"/>
      <c r="IH134" s="140"/>
      <c r="II134" s="277"/>
      <c r="IJ134" s="277"/>
      <c r="IK134" s="277"/>
      <c r="IL134" s="140"/>
      <c r="IM134" s="277"/>
      <c r="IN134" s="277"/>
      <c r="IO134" s="277"/>
      <c r="IP134" s="277"/>
      <c r="IQ134" s="277"/>
      <c r="IR134" s="277"/>
      <c r="IS134" s="277"/>
      <c r="IT134" s="277"/>
      <c r="IU134" s="277"/>
      <c r="IV134" s="277"/>
      <c r="IW134" s="277"/>
      <c r="IX134" s="140"/>
      <c r="IY134" s="277"/>
      <c r="IZ134" s="277"/>
      <c r="JA134" s="277"/>
      <c r="JB134" s="140"/>
      <c r="JC134" s="277"/>
      <c r="JD134" s="277"/>
      <c r="JE134" s="277"/>
      <c r="JF134" s="140"/>
      <c r="JG134" s="277"/>
      <c r="JH134" s="277"/>
      <c r="JI134" s="140"/>
      <c r="JJ134" s="277"/>
      <c r="JK134" s="277"/>
      <c r="JL134" s="140"/>
      <c r="JM134" s="277"/>
      <c r="JN134" s="277"/>
      <c r="JO134" s="140"/>
      <c r="JP134" s="277"/>
      <c r="JQ134" s="277"/>
      <c r="JR134" s="277"/>
      <c r="JS134" s="277"/>
      <c r="JT134" s="277"/>
      <c r="JU134" s="277"/>
      <c r="JV134" s="277"/>
      <c r="JW134" s="277"/>
      <c r="JX134" s="277"/>
      <c r="JY134" s="277"/>
      <c r="JZ134" s="277"/>
      <c r="KA134" s="277"/>
      <c r="KB134" s="277"/>
      <c r="KC134" s="277"/>
      <c r="KD134" s="277"/>
      <c r="KE134" s="277"/>
      <c r="KF134" s="277"/>
      <c r="KG134" s="277"/>
      <c r="KH134" s="277"/>
      <c r="KI134" s="277"/>
      <c r="KJ134" s="277"/>
      <c r="KK134" s="277"/>
      <c r="KL134" s="277"/>
      <c r="KM134" s="277"/>
      <c r="KN134" s="277"/>
      <c r="KO134" s="277"/>
      <c r="KP134" s="274"/>
      <c r="KQ134" s="253"/>
      <c r="KR134" s="253"/>
      <c r="KY134" s="141">
        <f t="shared" si="57"/>
        <v>0</v>
      </c>
      <c r="KZ134" s="141">
        <f t="shared" si="58"/>
        <v>0</v>
      </c>
      <c r="LB134" s="141">
        <f t="shared" si="59"/>
        <v>1</v>
      </c>
      <c r="LC134" s="141">
        <f t="shared" si="60"/>
        <v>1</v>
      </c>
      <c r="LD134" s="141">
        <f t="shared" si="61"/>
        <v>1</v>
      </c>
      <c r="LE134" s="141" t="e">
        <f>((N(AU134)&gt;0)*(AX134&lt;&gt;"")+(N(AY134)&gt;0)*(BB134&lt;&gt;"")+(N(BC134)&gt;0)*(BF134&lt;&gt;"")+(N(BG134)&gt;0)*(BJ134&lt;&gt;"")+(N(BK134)&gt;0)*(BN134&lt;&gt;"")+(N(BO134)&gt;0)*(BR134&lt;&gt;"")+(N(BS134)&gt;0)*(BV134&lt;&gt;"")+(N(BW134)&gt;0)*(BZ134&lt;&gt;"")+(N(CA134)&gt;0)*(CD134&lt;&gt;"")+(N(CE134)&gt;0)*(CH134&lt;&gt;"")+(N(CI134)&gt;0)*(CL134&lt;&gt;"")+(N(CM134)&gt;0)*(CP134&lt;&gt;"")+(N(CQ134)&gt;0)*(CT134&lt;&gt;"")+(N(CU134)&gt;0)*(CX134&lt;&gt;"")+(N(CY134)&gt;0)*(DB134&lt;&gt;"")+(N(DC134)&gt;0)*(DF134&lt;&gt;"")+(N(DG134)&gt;0)*(DJ134&lt;&gt;"")+(N(DS134)&gt;0)*(DV134&lt;&gt;"")+(N(DW134)&gt;0)*(DZ134&lt;&gt;"")+(N(EA134)&gt;0)*(ED134&lt;&gt;"")+(N(EE134)&gt;0)*(EH134&lt;&gt;"")+(N(EI134)&gt;0)*(EL134&lt;&gt;"")+(N(EM134)&gt;0)*(EP134&lt;&gt;"")+(N(EQ134)&gt;0)*(ET134&lt;&gt;"")+(N(EU134)&gt;0)*(EX134&lt;&gt;"")+(N(#REF!)&gt;0)*(#REF!&lt;&gt;"")+(N(#REF!)&gt;0)*(#REF!&lt;&gt;"")+(N(FJ134)&gt;0)*(FM134&lt;&gt;"")+(N(FN134)&gt;0)*(FQ134&lt;&gt;"")+(N(#REF!)&gt;0)*(#REF!&lt;&gt;"")+(N(#REF!)&gt;0)*(#REF!&lt;&gt;"")+(N(HF134)&gt;0)*(HI134&lt;&gt;"")+(N(#REF!)&gt;0)*(#REF!&lt;&gt;"")+(N(HJ134)&gt;0)*(HM134&lt;&gt;"")+(N(HN134)&gt;0)*(HQ134&lt;&gt;"")+(N(HZ134)&gt;0)*(IC134&lt;&gt;"")+(N(ID134)&gt;0)*(IG134&lt;&gt;"")+(N(IH134)&gt;0)*(IK134&lt;&gt;"")+(N(IL134)&gt;0)*(IO134&lt;&gt;"")+(N(IX134)&gt;0)*(JA134&lt;&gt;"")+(N(JB134)&gt;0)*(JE134&lt;&gt;"")+(N(JF134)&gt;0)*(JH134&lt;&gt;"")+(N(JI134)&gt;0)*(JK134&lt;&gt;"")+(N(JL134)&gt;0)*(JN134&lt;&gt;"")+(N(JO134)&gt;0)*(JQ134&lt;&gt;""))</f>
        <v>#REF!</v>
      </c>
      <c r="LF134" s="141">
        <f t="shared" si="48"/>
        <v>0</v>
      </c>
      <c r="LG134" s="141">
        <f t="shared" si="62"/>
        <v>0</v>
      </c>
    </row>
    <row r="135" spans="1:319" ht="38.25" customHeight="1" x14ac:dyDescent="0.55000000000000004">
      <c r="B135" s="314" t="s">
        <v>445</v>
      </c>
      <c r="C135" s="218"/>
      <c r="D135" s="218"/>
      <c r="E135" s="218"/>
      <c r="F135" s="218"/>
      <c r="G135" s="218"/>
      <c r="H135" s="218"/>
      <c r="I135" s="162" cm="1">
        <f t="array" ref="I135">SUMPRODUCT(($AI$2:$KV$2&lt;&gt;"")*($AI135:$KV135&lt;&gt;""))</f>
        <v>1</v>
      </c>
      <c r="J135" s="142">
        <f t="shared" si="43"/>
        <v>0</v>
      </c>
      <c r="K135" s="142">
        <f t="shared" si="44"/>
        <v>0</v>
      </c>
      <c r="L135" s="268">
        <f t="shared" si="49"/>
        <v>7000</v>
      </c>
      <c r="M135" s="164">
        <f t="shared" si="45"/>
        <v>840</v>
      </c>
      <c r="N135" s="397"/>
      <c r="O135" s="165">
        <f t="shared" si="46"/>
        <v>0</v>
      </c>
      <c r="P135" s="165"/>
      <c r="Q135" s="165"/>
      <c r="R135" s="165">
        <f>(IFERROR(AM135/AN135,0)+IFERROR(AU135/AV135,0)+IFERROR(AY135/AZ135,0)+IFERROR(BC135/BD135,0)+IFERROR(BG135/BH135,0)+IFERROR(BK135/BL135,0)+IFERROR(BO135/BP135,0)+IFERROR(BS135/BT135,0)+IFERROR(BW135/BX135,0)+IFERROR(CA135/CB135,0)+IFERROR(CE135/CF135,0)+IFERROR(CI135/CJ135,0)+IFERROR(CM135/CN135,0)+IFERROR(CQ135/CR135,0)+IFERROR(CU135/CV135,0)+IFERROR(CY135/CZ135,0)+IFERROR(DC135/DD135,0)+IFERROR(DG135/DH135,0)+IFERROR(DS135/DT135,0)+IFERROR(DW135/DX135,0)+IFERROR(EA135/EB135,0)+IFERROR(EE135/EF135,0)+IFERROR(EI135/EJ135,0)+IFERROR(EM135/EN135,0)+IFERROR(EQ135/ER135,0)+IFERROR(EU135/EV135,0)+IFERROR(#REF!/#REF!,0)+IFERROR(#REF!/#REF!,0)+IFERROR(FJ135/FK135,0)+IFERROR(FN135/FO135,0)+IFERROR(#REF!/#REF!,0)+IFERROR(#REF!/#REF!,0)+IFERROR(HF135/HG135,0)+IFERROR(#REF!/#REF!,0)+IFERROR(HJ135/HK135,0)+IFERROR(HN135/HO135,0)+IFERROR(HZ135/IA135,0)+IFERROR(ID135/IE135,0)+IFERROR(IH135/II135,0)+IFERROR(IL135/IM135,0)+IFERROR(IX135/IY135,0)+IFERROR(JB135/JC135,0)+IFERROR(JF135/JG135,0)+IFERROR(JI135/JJ135,0)+IFERROR(JL135/JM135,0)+IFERROR(JO135/JP135,0))*L135*(C135+D135+E135+I135)</f>
        <v>0</v>
      </c>
      <c r="S135" s="165"/>
      <c r="T135" s="165">
        <f t="shared" si="55"/>
        <v>0</v>
      </c>
      <c r="U135" s="165"/>
      <c r="V135" s="165"/>
      <c r="W135" s="165"/>
      <c r="X135" s="165">
        <f>(IFERROR(FF135/FG135,0)+IFERROR(FC135/FD135,0)+IFERROR(#REF!/#REF!,0)+IFERROR(KP135/KQ135,0))*L135*(C135+D135+E135+I135)</f>
        <v>0</v>
      </c>
      <c r="Y135" s="484"/>
      <c r="Z135" s="484"/>
      <c r="AA135" s="484"/>
      <c r="AB135" s="484"/>
      <c r="AC135" s="150">
        <f t="shared" si="47"/>
        <v>0</v>
      </c>
      <c r="AD135" s="150"/>
      <c r="AE135" s="150">
        <f t="shared" si="56"/>
        <v>0</v>
      </c>
      <c r="AF135" s="161"/>
      <c r="AG135" s="143"/>
      <c r="AH135" s="154"/>
      <c r="AI135" s="342">
        <v>30</v>
      </c>
      <c r="AJ135" s="342">
        <v>250</v>
      </c>
      <c r="AK135" s="342"/>
      <c r="AL135" s="343" t="s">
        <v>545</v>
      </c>
      <c r="AM135" s="140"/>
      <c r="AN135" s="154"/>
      <c r="AO135" s="154"/>
      <c r="AP135" s="220"/>
      <c r="AQ135" s="145"/>
      <c r="AR135" s="154"/>
      <c r="AS135" s="154"/>
      <c r="AT135" s="220"/>
      <c r="AU135" s="140"/>
      <c r="AV135" s="277"/>
      <c r="AW135" s="277"/>
      <c r="AX135" s="277"/>
      <c r="AY135" s="140"/>
      <c r="AZ135" s="277"/>
      <c r="BA135" s="277"/>
      <c r="BB135" s="277"/>
      <c r="BC135" s="140"/>
      <c r="BD135" s="277"/>
      <c r="BE135" s="277"/>
      <c r="BF135" s="277"/>
      <c r="BG135" s="140"/>
      <c r="BH135" s="277"/>
      <c r="BI135" s="277"/>
      <c r="BJ135" s="277"/>
      <c r="BK135" s="140"/>
      <c r="BL135" s="277"/>
      <c r="BM135" s="277"/>
      <c r="BN135" s="277"/>
      <c r="BO135" s="140"/>
      <c r="BP135" s="277"/>
      <c r="BQ135" s="277"/>
      <c r="BR135" s="277"/>
      <c r="BS135" s="140"/>
      <c r="BT135" s="277"/>
      <c r="BU135" s="277"/>
      <c r="BV135" s="277"/>
      <c r="BW135" s="140"/>
      <c r="BX135" s="154"/>
      <c r="BY135" s="154"/>
      <c r="BZ135" s="220"/>
      <c r="CA135" s="140"/>
      <c r="CB135" s="154"/>
      <c r="CC135" s="154"/>
      <c r="CD135" s="220"/>
      <c r="CE135" s="140"/>
      <c r="CF135" s="271"/>
      <c r="CG135" s="271"/>
      <c r="CH135" s="271"/>
      <c r="CI135" s="140"/>
      <c r="CJ135" s="154"/>
      <c r="CK135" s="154"/>
      <c r="CL135" s="154"/>
      <c r="CM135" s="140"/>
      <c r="CN135" s="271"/>
      <c r="CO135" s="271"/>
      <c r="CP135" s="271"/>
      <c r="CQ135" s="140"/>
      <c r="CR135" s="154"/>
      <c r="CS135" s="154"/>
      <c r="CT135" s="154"/>
      <c r="CU135" s="140"/>
      <c r="CV135" s="154"/>
      <c r="CW135" s="154"/>
      <c r="CX135" s="220"/>
      <c r="CY135" s="140"/>
      <c r="CZ135" s="154"/>
      <c r="DA135" s="154"/>
      <c r="DB135" s="220"/>
      <c r="DC135" s="140"/>
      <c r="DD135" s="146"/>
      <c r="DE135" s="146"/>
      <c r="DF135" s="146"/>
      <c r="DG135" s="140"/>
      <c r="DH135" s="146"/>
      <c r="DI135" s="146"/>
      <c r="DJ135" s="146"/>
      <c r="DK135" s="146"/>
      <c r="DL135" s="146"/>
      <c r="DM135" s="146"/>
      <c r="DN135" s="146"/>
      <c r="DO135" s="146"/>
      <c r="DP135" s="146"/>
      <c r="DQ135" s="146"/>
      <c r="DR135" s="146"/>
      <c r="DS135" s="140"/>
      <c r="DT135" s="154"/>
      <c r="DU135" s="154"/>
      <c r="DV135" s="154"/>
      <c r="DW135" s="140"/>
      <c r="DX135" s="220"/>
      <c r="DY135" s="220"/>
      <c r="DZ135" s="220"/>
      <c r="EA135" s="140"/>
      <c r="EB135" s="220"/>
      <c r="EC135" s="220"/>
      <c r="ED135" s="220"/>
      <c r="EE135" s="140"/>
      <c r="EF135" s="154"/>
      <c r="EG135" s="154"/>
      <c r="EH135" s="154"/>
      <c r="EI135" s="140"/>
      <c r="EJ135" s="154"/>
      <c r="EK135" s="154"/>
      <c r="EL135" s="154"/>
      <c r="EM135" s="140"/>
      <c r="EN135" s="222"/>
      <c r="EO135" s="222"/>
      <c r="EP135" s="222"/>
      <c r="EQ135" s="140"/>
      <c r="ER135" s="222"/>
      <c r="ES135" s="222"/>
      <c r="ET135" s="222"/>
      <c r="EU135" s="140"/>
      <c r="EV135" s="222"/>
      <c r="EW135" s="222"/>
      <c r="EX135" s="222"/>
      <c r="EY135" s="344"/>
      <c r="EZ135" s="222"/>
      <c r="FA135" s="222"/>
      <c r="FB135" s="222"/>
      <c r="FC135" s="273"/>
      <c r="FD135" s="223"/>
      <c r="FE135" s="223"/>
      <c r="FF135" s="276"/>
      <c r="FG135" s="156"/>
      <c r="FH135" s="156"/>
      <c r="FI135" s="156"/>
      <c r="FJ135" s="140"/>
      <c r="FK135" s="277"/>
      <c r="FL135" s="277"/>
      <c r="FM135" s="277"/>
      <c r="FN135" s="140"/>
      <c r="FO135" s="277"/>
      <c r="FP135" s="277"/>
      <c r="FQ135" s="277"/>
      <c r="FR135" s="280"/>
      <c r="FS135" s="277"/>
      <c r="FT135" s="277"/>
      <c r="FU135" s="277"/>
      <c r="FV135" s="277"/>
      <c r="FW135" s="277"/>
      <c r="FX135" s="277"/>
      <c r="FY135" s="277"/>
      <c r="FZ135" s="277"/>
      <c r="GA135" s="277"/>
      <c r="GB135" s="277"/>
      <c r="GC135" s="277"/>
      <c r="GD135" s="277"/>
      <c r="GE135" s="277"/>
      <c r="GF135" s="277"/>
      <c r="GG135" s="277"/>
      <c r="GH135" s="277"/>
      <c r="GI135" s="277"/>
      <c r="GJ135" s="277"/>
      <c r="GK135" s="277"/>
      <c r="GL135" s="277"/>
      <c r="GM135" s="277"/>
      <c r="GN135" s="277"/>
      <c r="GO135" s="277"/>
      <c r="GP135" s="277"/>
      <c r="GQ135" s="277"/>
      <c r="GR135" s="277"/>
      <c r="GS135" s="277"/>
      <c r="GT135" s="277"/>
      <c r="GU135" s="277"/>
      <c r="GV135" s="277"/>
      <c r="GW135" s="277"/>
      <c r="GX135" s="277"/>
      <c r="GY135" s="277"/>
      <c r="GZ135" s="277"/>
      <c r="HA135" s="277"/>
      <c r="HB135" s="277"/>
      <c r="HC135" s="277"/>
      <c r="HD135" s="277"/>
      <c r="HE135" s="277"/>
      <c r="HF135" s="140"/>
      <c r="HG135" s="277"/>
      <c r="HH135" s="277"/>
      <c r="HI135" s="277"/>
      <c r="HJ135" s="140"/>
      <c r="HK135" s="277"/>
      <c r="HL135" s="277"/>
      <c r="HM135" s="277"/>
      <c r="HN135" s="140"/>
      <c r="HO135" s="277"/>
      <c r="HP135" s="277"/>
      <c r="HQ135" s="277"/>
      <c r="HR135" s="277"/>
      <c r="HS135" s="277"/>
      <c r="HT135" s="277"/>
      <c r="HU135" s="277"/>
      <c r="HV135" s="277"/>
      <c r="HW135" s="277"/>
      <c r="HX135" s="277"/>
      <c r="HY135" s="277"/>
      <c r="HZ135" s="140"/>
      <c r="IA135" s="277"/>
      <c r="IB135" s="277"/>
      <c r="IC135" s="277"/>
      <c r="ID135" s="140"/>
      <c r="IE135" s="277"/>
      <c r="IF135" s="277"/>
      <c r="IG135" s="277"/>
      <c r="IH135" s="140"/>
      <c r="II135" s="277"/>
      <c r="IJ135" s="277"/>
      <c r="IK135" s="277"/>
      <c r="IL135" s="140"/>
      <c r="IM135" s="277"/>
      <c r="IN135" s="277"/>
      <c r="IO135" s="277"/>
      <c r="IP135" s="277"/>
      <c r="IQ135" s="277"/>
      <c r="IR135" s="277"/>
      <c r="IS135" s="277"/>
      <c r="IT135" s="277"/>
      <c r="IU135" s="277"/>
      <c r="IV135" s="277"/>
      <c r="IW135" s="277"/>
      <c r="IX135" s="140"/>
      <c r="IY135" s="277"/>
      <c r="IZ135" s="277"/>
      <c r="JA135" s="277"/>
      <c r="JB135" s="140"/>
      <c r="JC135" s="277"/>
      <c r="JD135" s="277"/>
      <c r="JE135" s="277"/>
      <c r="JF135" s="140"/>
      <c r="JG135" s="277"/>
      <c r="JH135" s="277"/>
      <c r="JI135" s="140"/>
      <c r="JJ135" s="277"/>
      <c r="JK135" s="277"/>
      <c r="JL135" s="140"/>
      <c r="JM135" s="277"/>
      <c r="JN135" s="277"/>
      <c r="JO135" s="140"/>
      <c r="JP135" s="277"/>
      <c r="JQ135" s="277"/>
      <c r="JR135" s="277"/>
      <c r="JS135" s="277"/>
      <c r="JT135" s="277"/>
      <c r="JU135" s="277"/>
      <c r="JV135" s="277"/>
      <c r="JW135" s="277"/>
      <c r="JX135" s="277"/>
      <c r="JY135" s="277"/>
      <c r="JZ135" s="277"/>
      <c r="KA135" s="277"/>
      <c r="KB135" s="277"/>
      <c r="KC135" s="277"/>
      <c r="KD135" s="277"/>
      <c r="KE135" s="277"/>
      <c r="KF135" s="277"/>
      <c r="KG135" s="277"/>
      <c r="KH135" s="277"/>
      <c r="KI135" s="277"/>
      <c r="KJ135" s="277"/>
      <c r="KK135" s="277"/>
      <c r="KL135" s="277"/>
      <c r="KM135" s="277"/>
      <c r="KN135" s="277"/>
      <c r="KO135" s="277"/>
      <c r="KP135" s="274"/>
      <c r="KQ135" s="253"/>
      <c r="KR135" s="253"/>
      <c r="KY135" s="141">
        <f t="shared" si="57"/>
        <v>0</v>
      </c>
      <c r="KZ135" s="141">
        <f t="shared" si="58"/>
        <v>0</v>
      </c>
      <c r="LB135" s="141">
        <f t="shared" si="59"/>
        <v>1</v>
      </c>
      <c r="LC135" s="141">
        <f t="shared" si="60"/>
        <v>0</v>
      </c>
      <c r="LD135" s="141">
        <f t="shared" si="61"/>
        <v>0</v>
      </c>
      <c r="LE135" s="141" t="e">
        <f>((N(AU135)&gt;0)*(AX135&lt;&gt;"")+(N(AY135)&gt;0)*(BB135&lt;&gt;"")+(N(BC135)&gt;0)*(BF135&lt;&gt;"")+(N(BG135)&gt;0)*(BJ135&lt;&gt;"")+(N(BK135)&gt;0)*(BN135&lt;&gt;"")+(N(BO135)&gt;0)*(BR135&lt;&gt;"")+(N(BS135)&gt;0)*(BV135&lt;&gt;"")+(N(BW135)&gt;0)*(BZ135&lt;&gt;"")+(N(CA135)&gt;0)*(CD135&lt;&gt;"")+(N(CE135)&gt;0)*(CH135&lt;&gt;"")+(N(CI135)&gt;0)*(CL135&lt;&gt;"")+(N(CM135)&gt;0)*(CP135&lt;&gt;"")+(N(CQ135)&gt;0)*(CT135&lt;&gt;"")+(N(CU135)&gt;0)*(CX135&lt;&gt;"")+(N(CY135)&gt;0)*(DB135&lt;&gt;"")+(N(DC135)&gt;0)*(DF135&lt;&gt;"")+(N(DG135)&gt;0)*(DJ135&lt;&gt;"")+(N(DS135)&gt;0)*(DV135&lt;&gt;"")+(N(DW135)&gt;0)*(DZ135&lt;&gt;"")+(N(EA135)&gt;0)*(ED135&lt;&gt;"")+(N(EE135)&gt;0)*(EH135&lt;&gt;"")+(N(EI135)&gt;0)*(EL135&lt;&gt;"")+(N(EM135)&gt;0)*(EP135&lt;&gt;"")+(N(EQ135)&gt;0)*(ET135&lt;&gt;"")+(N(EU135)&gt;0)*(EX135&lt;&gt;"")+(N(#REF!)&gt;0)*(#REF!&lt;&gt;"")+(N(#REF!)&gt;0)*(#REF!&lt;&gt;"")+(N(FJ135)&gt;0)*(FM135&lt;&gt;"")+(N(FN135)&gt;0)*(FQ135&lt;&gt;"")+(N(#REF!)&gt;0)*(#REF!&lt;&gt;"")+(N(#REF!)&gt;0)*(#REF!&lt;&gt;"")+(N(HF135)&gt;0)*(HI135&lt;&gt;"")+(N(#REF!)&gt;0)*(#REF!&lt;&gt;"")+(N(HJ135)&gt;0)*(HM135&lt;&gt;"")+(N(HN135)&gt;0)*(HQ135&lt;&gt;"")+(N(HZ135)&gt;0)*(IC135&lt;&gt;"")+(N(ID135)&gt;0)*(IG135&lt;&gt;"")+(N(IH135)&gt;0)*(IK135&lt;&gt;"")+(N(IL135)&gt;0)*(IO135&lt;&gt;"")+(N(IX135)&gt;0)*(JA135&lt;&gt;"")+(N(JB135)&gt;0)*(JE135&lt;&gt;"")+(N(JF135)&gt;0)*(JH135&lt;&gt;"")+(N(JI135)&gt;0)*(JK135&lt;&gt;"")+(N(JL135)&gt;0)*(JN135&lt;&gt;"")+(N(JO135)&gt;0)*(JQ135&lt;&gt;""))</f>
        <v>#REF!</v>
      </c>
      <c r="LF135" s="141">
        <f t="shared" si="48"/>
        <v>0</v>
      </c>
      <c r="LG135" s="141">
        <f t="shared" si="62"/>
        <v>0</v>
      </c>
    </row>
    <row r="136" spans="1:319" ht="38.25" customHeight="1" x14ac:dyDescent="0.55000000000000004">
      <c r="B136" s="506" t="s">
        <v>180</v>
      </c>
      <c r="C136" s="218">
        <v>3</v>
      </c>
      <c r="D136" s="218">
        <v>3</v>
      </c>
      <c r="E136" s="218">
        <v>3</v>
      </c>
      <c r="F136" s="162">
        <f>($AI$136/$AJ$136)*$L$136*C136</f>
        <v>2016</v>
      </c>
      <c r="G136" s="162">
        <f>($AI$136/$AJ$136)*$L$136*D136</f>
        <v>2016</v>
      </c>
      <c r="H136" s="162">
        <f>($AI$136/$AJ$136)*$L$136*E136</f>
        <v>2016</v>
      </c>
      <c r="I136" s="162" cm="1">
        <f t="array" ref="I136">SUMPRODUCT(($AI$2:$KV$2&lt;&gt;"")*($AI136:$KV136&lt;&gt;""))</f>
        <v>5</v>
      </c>
      <c r="J136" s="142">
        <f t="shared" si="43"/>
        <v>15</v>
      </c>
      <c r="K136" s="142">
        <f t="shared" si="44"/>
        <v>210</v>
      </c>
      <c r="L136" s="268">
        <f t="shared" si="49"/>
        <v>7000</v>
      </c>
      <c r="M136" s="164">
        <f t="shared" si="45"/>
        <v>9408</v>
      </c>
      <c r="N136" s="397"/>
      <c r="O136" s="165">
        <f t="shared" si="46"/>
        <v>7350</v>
      </c>
      <c r="P136" s="165"/>
      <c r="Q136" s="165"/>
      <c r="R136" s="165">
        <f>(IFERROR(AM136/AN136,0)+IFERROR(AU136/AV136,0)+IFERROR(AY136/AZ136,0)+IFERROR(BC136/BD136,0)+IFERROR(BG136/BH136,0)+IFERROR(BK136/BL136,0)+IFERROR(BO136/BP136,0)+IFERROR(BS136/BT136,0)+IFERROR(BW136/BX136,0)+IFERROR(CA136/CB136,0)+IFERROR(CE136/CF136,0)+IFERROR(CI136/CJ136,0)+IFERROR(CM136/CN136,0)+IFERROR(CQ136/CR136,0)+IFERROR(CU136/CV136,0)+IFERROR(CY136/CZ136,0)+IFERROR(DC136/DD136,0)+IFERROR(DG136/DH136,0)+IFERROR(DS136/DT136,0)+IFERROR(DW136/DX136,0)+IFERROR(EA136/EB136,0)+IFERROR(EE136/EF136,0)+IFERROR(EI136/EJ136,0)+IFERROR(EM136/EN136,0)+IFERROR(EQ136/ER136,0)+IFERROR(EU136/EV136,0)+IFERROR(#REF!/#REF!,0)+IFERROR(#REF!/#REF!,0)+IFERROR(FJ136/FK136,0)+IFERROR(FN136/FO136,0)+IFERROR(#REF!/#REF!,0)+IFERROR(#REF!/#REF!,0)+IFERROR(HF136/HG136,0)+IFERROR(#REF!/#REF!,0)+IFERROR(HJ136/HK136,0)+IFERROR(HN136/HO136,0)+IFERROR(HZ136/IA136,0)+IFERROR(ID136/IE136,0)+IFERROR(IH136/II136,0)+IFERROR(IL136/IM136,0)+IFERROR(IX136/IY136,0)+IFERROR(JB136/JC136,0)+IFERROR(JF136/JG136,0)+IFERROR(JI136/JJ136,0)+IFERROR(JL136/JM136,0)+IFERROR(JO136/JP136,0))*L136*(C136+D136+E136+I136)</f>
        <v>14210.000000000002</v>
      </c>
      <c r="S136" s="165"/>
      <c r="T136" s="165">
        <f t="shared" si="55"/>
        <v>0</v>
      </c>
      <c r="U136" s="165"/>
      <c r="V136" s="165"/>
      <c r="W136" s="165"/>
      <c r="X136" s="165">
        <f>(IFERROR(FF136/FG136,0)+IFERROR(FC136/FD136,0)+IFERROR(#REF!/#REF!,0)+IFERROR(KP136/KQ136,0))*L136*(C136+D136+E136+I136)</f>
        <v>0</v>
      </c>
      <c r="Y136" s="484"/>
      <c r="Z136" s="484"/>
      <c r="AA136" s="484"/>
      <c r="AB136" s="484"/>
      <c r="AC136" s="150">
        <f t="shared" si="47"/>
        <v>1225</v>
      </c>
      <c r="AD136" s="150"/>
      <c r="AE136" s="150">
        <f t="shared" si="56"/>
        <v>0</v>
      </c>
      <c r="AF136" s="161">
        <v>276</v>
      </c>
      <c r="AG136" s="143">
        <v>50</v>
      </c>
      <c r="AH136" s="154">
        <v>4000</v>
      </c>
      <c r="AI136" s="144">
        <v>24</v>
      </c>
      <c r="AJ136" s="154">
        <v>250</v>
      </c>
      <c r="AK136" s="489" t="s">
        <v>81</v>
      </c>
      <c r="AL136" s="154" t="s">
        <v>1114</v>
      </c>
      <c r="AM136" s="489">
        <v>20</v>
      </c>
      <c r="AN136" s="154">
        <v>1000</v>
      </c>
      <c r="AO136" s="489" t="s">
        <v>81</v>
      </c>
      <c r="AP136" s="154" t="s">
        <v>548</v>
      </c>
      <c r="AQ136" s="145">
        <v>150</v>
      </c>
      <c r="AR136" s="154">
        <v>2000</v>
      </c>
      <c r="AS136" s="496" t="s">
        <v>1078</v>
      </c>
      <c r="AT136" s="154" t="s">
        <v>557</v>
      </c>
      <c r="AU136" s="140"/>
      <c r="AV136" s="277"/>
      <c r="AW136" s="277"/>
      <c r="AX136" s="277"/>
      <c r="AY136" s="140"/>
      <c r="AZ136" s="277"/>
      <c r="BA136" s="277"/>
      <c r="BB136" s="277"/>
      <c r="BC136" s="140"/>
      <c r="BD136" s="277"/>
      <c r="BE136" s="277"/>
      <c r="BF136" s="277"/>
      <c r="BG136" s="493">
        <v>25</v>
      </c>
      <c r="BH136" s="277">
        <v>1000</v>
      </c>
      <c r="BI136" s="493" t="s">
        <v>345</v>
      </c>
      <c r="BJ136" s="277" t="s">
        <v>1192</v>
      </c>
      <c r="BK136" s="140"/>
      <c r="BL136" s="277"/>
      <c r="BM136" s="277"/>
      <c r="BN136" s="277"/>
      <c r="BO136" s="140"/>
      <c r="BP136" s="277"/>
      <c r="BQ136" s="277"/>
      <c r="BR136" s="277"/>
      <c r="BS136" s="140"/>
      <c r="BT136" s="277"/>
      <c r="BU136" s="277"/>
      <c r="BV136" s="277"/>
      <c r="BW136" s="140"/>
      <c r="BX136" s="154"/>
      <c r="BY136" s="154"/>
      <c r="BZ136" s="220"/>
      <c r="CA136" s="140"/>
      <c r="CB136" s="154"/>
      <c r="CC136" s="154"/>
      <c r="CD136" s="220"/>
      <c r="CE136" s="140"/>
      <c r="CF136" s="154"/>
      <c r="CG136" s="154"/>
      <c r="CH136" s="154"/>
      <c r="CI136" s="140"/>
      <c r="CJ136" s="154"/>
      <c r="CK136" s="154"/>
      <c r="CL136" s="154"/>
      <c r="CM136" s="140"/>
      <c r="CN136" s="271"/>
      <c r="CO136" s="271"/>
      <c r="CP136" s="271"/>
      <c r="CQ136" s="140"/>
      <c r="CR136" s="154"/>
      <c r="CS136" s="154"/>
      <c r="CT136" s="154"/>
      <c r="CU136" s="140"/>
      <c r="CV136" s="154"/>
      <c r="CW136" s="154"/>
      <c r="CX136" s="220"/>
      <c r="CY136" s="140"/>
      <c r="CZ136" s="154"/>
      <c r="DA136" s="154"/>
      <c r="DB136" s="220"/>
      <c r="DC136" s="140"/>
      <c r="DD136" s="146"/>
      <c r="DE136" s="146"/>
      <c r="DF136" s="146"/>
      <c r="DG136" s="140"/>
      <c r="DH136" s="146"/>
      <c r="DI136" s="146"/>
      <c r="DJ136" s="146"/>
      <c r="DK136" s="146"/>
      <c r="DL136" s="146"/>
      <c r="DM136" s="146"/>
      <c r="DN136" s="146"/>
      <c r="DO136" s="146"/>
      <c r="DP136" s="146"/>
      <c r="DQ136" s="146"/>
      <c r="DR136" s="146"/>
      <c r="DS136" s="140"/>
      <c r="DT136" s="154"/>
      <c r="DU136" s="154"/>
      <c r="DV136" s="154"/>
      <c r="DW136" s="140"/>
      <c r="DX136" s="220"/>
      <c r="DY136" s="220"/>
      <c r="DZ136" s="220"/>
      <c r="EA136" s="140"/>
      <c r="EB136" s="220"/>
      <c r="EC136" s="220"/>
      <c r="ED136" s="220"/>
      <c r="EE136" s="140"/>
      <c r="EF136" s="154"/>
      <c r="EG136" s="154"/>
      <c r="EH136" s="154"/>
      <c r="EI136" s="140"/>
      <c r="EJ136" s="154"/>
      <c r="EK136" s="154"/>
      <c r="EL136" s="154"/>
      <c r="EM136" s="140"/>
      <c r="EN136" s="222"/>
      <c r="EO136" s="222"/>
      <c r="EP136" s="222"/>
      <c r="EQ136" s="140"/>
      <c r="ER136" s="222"/>
      <c r="ES136" s="222"/>
      <c r="ET136" s="222"/>
      <c r="EU136" s="140"/>
      <c r="EV136" s="222"/>
      <c r="EW136" s="222"/>
      <c r="EX136" s="222"/>
      <c r="EY136" s="344"/>
      <c r="EZ136" s="222"/>
      <c r="FA136" s="222"/>
      <c r="FB136" s="222"/>
      <c r="FC136" s="273"/>
      <c r="FD136" s="223"/>
      <c r="FE136" s="223"/>
      <c r="FF136" s="276"/>
      <c r="FG136" s="156"/>
      <c r="FH136" s="156"/>
      <c r="FI136" s="156"/>
      <c r="FJ136" s="140"/>
      <c r="FK136" s="277"/>
      <c r="FL136" s="277"/>
      <c r="FM136" s="277"/>
      <c r="FN136" s="140"/>
      <c r="FO136" s="277"/>
      <c r="FP136" s="277"/>
      <c r="FQ136" s="277"/>
      <c r="FR136" s="280"/>
      <c r="FS136" s="277"/>
      <c r="FT136" s="277"/>
      <c r="FU136" s="277"/>
      <c r="FV136" s="277"/>
      <c r="FW136" s="277"/>
      <c r="FX136" s="277"/>
      <c r="FY136" s="277"/>
      <c r="FZ136" s="277"/>
      <c r="GA136" s="277"/>
      <c r="GB136" s="277"/>
      <c r="GC136" s="277"/>
      <c r="GD136" s="277"/>
      <c r="GE136" s="277"/>
      <c r="GF136" s="277"/>
      <c r="GG136" s="277"/>
      <c r="GH136" s="277"/>
      <c r="GI136" s="277"/>
      <c r="GJ136" s="277"/>
      <c r="GK136" s="277"/>
      <c r="GL136" s="277"/>
      <c r="GM136" s="277"/>
      <c r="GN136" s="277"/>
      <c r="GO136" s="277"/>
      <c r="GP136" s="277"/>
      <c r="GQ136" s="277"/>
      <c r="GR136" s="277"/>
      <c r="GS136" s="277"/>
      <c r="GT136" s="277"/>
      <c r="GU136" s="277"/>
      <c r="GV136" s="277"/>
      <c r="GW136" s="277"/>
      <c r="GX136" s="277"/>
      <c r="GY136" s="277"/>
      <c r="GZ136" s="277"/>
      <c r="HA136" s="277"/>
      <c r="HB136" s="277"/>
      <c r="HC136" s="277"/>
      <c r="HD136" s="277"/>
      <c r="HE136" s="277"/>
      <c r="HF136" s="140"/>
      <c r="HG136" s="277"/>
      <c r="HH136" s="277"/>
      <c r="HI136" s="277"/>
      <c r="HJ136" s="140"/>
      <c r="HK136" s="277"/>
      <c r="HL136" s="277"/>
      <c r="HM136" s="277"/>
      <c r="HN136" s="140"/>
      <c r="HO136" s="277"/>
      <c r="HP136" s="277"/>
      <c r="HQ136" s="277"/>
      <c r="HR136" s="277"/>
      <c r="HS136" s="277"/>
      <c r="HT136" s="277"/>
      <c r="HU136" s="277"/>
      <c r="HV136" s="277"/>
      <c r="HW136" s="277"/>
      <c r="HX136" s="277"/>
      <c r="HY136" s="277"/>
      <c r="HZ136" s="140"/>
      <c r="IA136" s="277"/>
      <c r="IB136" s="277"/>
      <c r="IC136" s="277"/>
      <c r="ID136" s="140"/>
      <c r="IE136" s="277"/>
      <c r="IF136" s="277"/>
      <c r="IG136" s="277"/>
      <c r="IH136" s="140"/>
      <c r="II136" s="277"/>
      <c r="IJ136" s="277"/>
      <c r="IK136" s="277"/>
      <c r="IL136" s="140"/>
      <c r="IM136" s="277"/>
      <c r="IN136" s="277"/>
      <c r="IO136" s="277"/>
      <c r="IP136" s="277"/>
      <c r="IQ136" s="277"/>
      <c r="IR136" s="277"/>
      <c r="IS136" s="277"/>
      <c r="IT136" s="277"/>
      <c r="IU136" s="277"/>
      <c r="IV136" s="277"/>
      <c r="IW136" s="277"/>
      <c r="IX136" s="493">
        <v>50</v>
      </c>
      <c r="IY136" s="521">
        <v>500</v>
      </c>
      <c r="IZ136" s="493" t="s">
        <v>345</v>
      </c>
      <c r="JA136" s="277" t="s">
        <v>558</v>
      </c>
      <c r="JB136" s="140"/>
      <c r="JC136" s="277"/>
      <c r="JD136" s="277"/>
      <c r="JE136" s="277"/>
      <c r="JF136" s="140"/>
      <c r="JG136" s="277"/>
      <c r="JH136" s="277"/>
      <c r="JI136" s="140"/>
      <c r="JJ136" s="277"/>
      <c r="JK136" s="277"/>
      <c r="JL136" s="140"/>
      <c r="JM136" s="277"/>
      <c r="JN136" s="277"/>
      <c r="JO136" s="140"/>
      <c r="JP136" s="277"/>
      <c r="JQ136" s="277"/>
      <c r="JR136" s="277"/>
      <c r="JS136" s="277"/>
      <c r="JT136" s="277"/>
      <c r="JU136" s="277"/>
      <c r="JV136" s="277"/>
      <c r="JW136" s="277"/>
      <c r="JX136" s="277"/>
      <c r="JY136" s="277"/>
      <c r="JZ136" s="277"/>
      <c r="KA136" s="277"/>
      <c r="KB136" s="277"/>
      <c r="KC136" s="277"/>
      <c r="KD136" s="277"/>
      <c r="KE136" s="277"/>
      <c r="KF136" s="277"/>
      <c r="KG136" s="277"/>
      <c r="KH136" s="277"/>
      <c r="KI136" s="277"/>
      <c r="KJ136" s="277"/>
      <c r="KK136" s="277"/>
      <c r="KL136" s="277"/>
      <c r="KM136" s="277"/>
      <c r="KN136" s="277"/>
      <c r="KO136" s="277"/>
      <c r="KP136" s="274"/>
      <c r="KQ136" s="253"/>
      <c r="KR136" s="253"/>
      <c r="KY136" s="141">
        <f t="shared" si="57"/>
        <v>0</v>
      </c>
      <c r="KZ136" s="141">
        <f t="shared" si="58"/>
        <v>0</v>
      </c>
      <c r="LB136" s="141">
        <f t="shared" si="59"/>
        <v>1</v>
      </c>
      <c r="LC136" s="141">
        <f t="shared" si="60"/>
        <v>1</v>
      </c>
      <c r="LD136" s="141">
        <f t="shared" si="61"/>
        <v>1</v>
      </c>
      <c r="LE136" s="141" t="e">
        <f>((N(AU136)&gt;0)*(AX136&lt;&gt;"")+(N(AY136)&gt;0)*(BB136&lt;&gt;"")+(N(BC136)&gt;0)*(BF136&lt;&gt;"")+(N(BG136)&gt;0)*(BJ136&lt;&gt;"")+(N(BK136)&gt;0)*(BN136&lt;&gt;"")+(N(BO136)&gt;0)*(BR136&lt;&gt;"")+(N(BS136)&gt;0)*(BV136&lt;&gt;"")+(N(BW136)&gt;0)*(BZ136&lt;&gt;"")+(N(CA136)&gt;0)*(CD136&lt;&gt;"")+(N(CE136)&gt;0)*(CH136&lt;&gt;"")+(N(CI136)&gt;0)*(CL136&lt;&gt;"")+(N(CM136)&gt;0)*(CP136&lt;&gt;"")+(N(CQ136)&gt;0)*(CT136&lt;&gt;"")+(N(CU136)&gt;0)*(CX136&lt;&gt;"")+(N(CY136)&gt;0)*(DB136&lt;&gt;"")+(N(DC136)&gt;0)*(DF136&lt;&gt;"")+(N(DG136)&gt;0)*(DJ136&lt;&gt;"")+(N(DS136)&gt;0)*(DV136&lt;&gt;"")+(N(DW136)&gt;0)*(DZ136&lt;&gt;"")+(N(EA136)&gt;0)*(ED136&lt;&gt;"")+(N(EE136)&gt;0)*(EH136&lt;&gt;"")+(N(EI136)&gt;0)*(EL136&lt;&gt;"")+(N(EM136)&gt;0)*(EP136&lt;&gt;"")+(N(EQ136)&gt;0)*(ET136&lt;&gt;"")+(N(EU136)&gt;0)*(EX136&lt;&gt;"")+(N(#REF!)&gt;0)*(#REF!&lt;&gt;"")+(N(#REF!)&gt;0)*(#REF!&lt;&gt;"")+(N(FJ136)&gt;0)*(FM136&lt;&gt;"")+(N(FN136)&gt;0)*(FQ136&lt;&gt;"")+(N(#REF!)&gt;0)*(#REF!&lt;&gt;"")+(N(#REF!)&gt;0)*(#REF!&lt;&gt;"")+(N(HF136)&gt;0)*(HI136&lt;&gt;"")+(N(#REF!)&gt;0)*(#REF!&lt;&gt;"")+(N(HJ136)&gt;0)*(HM136&lt;&gt;"")+(N(HN136)&gt;0)*(HQ136&lt;&gt;"")+(N(HZ136)&gt;0)*(IC136&lt;&gt;"")+(N(ID136)&gt;0)*(IG136&lt;&gt;"")+(N(IH136)&gt;0)*(IK136&lt;&gt;"")+(N(IL136)&gt;0)*(IO136&lt;&gt;"")+(N(IX136)&gt;0)*(JA136&lt;&gt;"")+(N(JB136)&gt;0)*(JE136&lt;&gt;"")+(N(JF136)&gt;0)*(JH136&lt;&gt;"")+(N(JI136)&gt;0)*(JK136&lt;&gt;"")+(N(JL136)&gt;0)*(JN136&lt;&gt;"")+(N(JO136)&gt;0)*(JQ136&lt;&gt;""))</f>
        <v>#REF!</v>
      </c>
      <c r="LF136" s="141">
        <f t="shared" si="48"/>
        <v>0</v>
      </c>
      <c r="LG136" s="141">
        <f t="shared" si="62"/>
        <v>1</v>
      </c>
    </row>
    <row r="137" spans="1:319" ht="38.25" customHeight="1" x14ac:dyDescent="0.55000000000000004">
      <c r="B137" s="506" t="s">
        <v>363</v>
      </c>
      <c r="C137" s="218">
        <v>4</v>
      </c>
      <c r="D137" s="218">
        <v>4</v>
      </c>
      <c r="E137" s="218">
        <v>4</v>
      </c>
      <c r="F137" s="162">
        <f>($AI$137/$AJ$137)*$L$137*C137</f>
        <v>2688</v>
      </c>
      <c r="G137" s="162">
        <f>($AI$137/$AJ$137)*$L$137*D137</f>
        <v>2688</v>
      </c>
      <c r="H137" s="162">
        <f>($AI$137/$AJ$137)*$L$137*E137</f>
        <v>2688</v>
      </c>
      <c r="I137" s="162" cm="1">
        <f t="array" ref="I137">SUMPRODUCT(($AI$2:$KV$2&lt;&gt;"")*($AI137:$KV137&lt;&gt;""))</f>
        <v>6</v>
      </c>
      <c r="J137" s="142">
        <f t="shared" si="43"/>
        <v>24</v>
      </c>
      <c r="K137" s="142">
        <f t="shared" si="44"/>
        <v>336</v>
      </c>
      <c r="L137" s="268">
        <f t="shared" si="49"/>
        <v>7000</v>
      </c>
      <c r="M137" s="164">
        <f t="shared" si="45"/>
        <v>12096</v>
      </c>
      <c r="N137" s="397"/>
      <c r="O137" s="165">
        <f t="shared" si="46"/>
        <v>9450</v>
      </c>
      <c r="P137" s="165"/>
      <c r="Q137" s="165"/>
      <c r="R137" s="165">
        <f>(IFERROR(AM137/AN137,0)+IFERROR(AU137/AV137,0)+IFERROR(AY137/AZ137,0)+IFERROR(BC137/BD137,0)+IFERROR(BG137/BH137,0)+IFERROR(BK137/BL137,0)+IFERROR(BO137/BP137,0)+IFERROR(BS137/BT137,0)+IFERROR(BW137/BX137,0)+IFERROR(CA137/CB137,0)+IFERROR(CE137/CF137,0)+IFERROR(CI137/CJ137,0)+IFERROR(CM137/CN137,0)+IFERROR(CQ137/CR137,0)+IFERROR(CU137/CV137,0)+IFERROR(CY137/CZ137,0)+IFERROR(DC137/DD137,0)+IFERROR(DG137/DH137,0)+IFERROR(DS137/DT137,0)+IFERROR(DW137/DX137,0)+IFERROR(EA137/EB137,0)+IFERROR(EE137/EF137,0)+IFERROR(EI137/EJ137,0)+IFERROR(EM137/EN137,0)+IFERROR(EQ137/ER137,0)+IFERROR(EU137/EV137,0)+IFERROR(#REF!/#REF!,0)+IFERROR(#REF!/#REF!,0)+IFERROR(FJ137/FK137,0)+IFERROR(FN137/FO137,0)+IFERROR(#REF!/#REF!,0)+IFERROR(#REF!/#REF!,0)+IFERROR(HF137/HG137,0)+IFERROR(#REF!/#REF!,0)+IFERROR(HJ137/HK137,0)+IFERROR(HN137/HO137,0)+IFERROR(HZ137/IA137,0)+IFERROR(ID137/IE137,0)+IFERROR(IH137/II137,0)+IFERROR(IL137/IM137,0)+IFERROR(IX137/IY137,0)+IFERROR(JB137/JC137,0)+IFERROR(JF137/JG137,0)+IFERROR(JI137/JJ137,0)+IFERROR(JL137/JM137,0)+IFERROR(JO137/JP137,0))*L137*(C137+D137+E137+I137)</f>
        <v>16329.599999999999</v>
      </c>
      <c r="S137" s="165"/>
      <c r="T137" s="165">
        <f t="shared" si="55"/>
        <v>0</v>
      </c>
      <c r="U137" s="165"/>
      <c r="V137" s="165"/>
      <c r="W137" s="165"/>
      <c r="X137" s="165">
        <f>(IFERROR(FF137/FG137,0)+IFERROR(FC137/FD137,0)+IFERROR(#REF!/#REF!,0)+IFERROR(KP137/KQ137,0))*L137*(C137+D137+E137+I137)</f>
        <v>0</v>
      </c>
      <c r="Y137" s="484"/>
      <c r="Z137" s="484"/>
      <c r="AA137" s="484"/>
      <c r="AB137" s="484"/>
      <c r="AC137" s="150">
        <f t="shared" si="47"/>
        <v>3150</v>
      </c>
      <c r="AD137" s="150"/>
      <c r="AE137" s="150">
        <f t="shared" si="56"/>
        <v>0</v>
      </c>
      <c r="AF137" s="161">
        <v>370</v>
      </c>
      <c r="AG137" s="143">
        <v>50</v>
      </c>
      <c r="AH137" s="154">
        <v>2000</v>
      </c>
      <c r="AI137" s="144">
        <v>24</v>
      </c>
      <c r="AJ137" s="154">
        <v>250</v>
      </c>
      <c r="AK137" s="489" t="s">
        <v>81</v>
      </c>
      <c r="AL137" s="154" t="s">
        <v>1114</v>
      </c>
      <c r="AM137" s="140"/>
      <c r="AN137" s="154"/>
      <c r="AO137" s="154"/>
      <c r="AP137" s="220"/>
      <c r="AQ137" s="145">
        <v>150</v>
      </c>
      <c r="AR137" s="154">
        <v>2000</v>
      </c>
      <c r="AS137" s="496" t="s">
        <v>1078</v>
      </c>
      <c r="AT137" s="220" t="s">
        <v>559</v>
      </c>
      <c r="AU137" s="140"/>
      <c r="AV137" s="277"/>
      <c r="AW137" s="277"/>
      <c r="AX137" s="277"/>
      <c r="AY137" s="140"/>
      <c r="AZ137" s="277"/>
      <c r="BA137" s="277"/>
      <c r="BB137" s="277"/>
      <c r="BC137" s="140"/>
      <c r="BD137" s="277"/>
      <c r="BE137" s="277"/>
      <c r="BF137" s="277"/>
      <c r="BG137" s="493">
        <v>14</v>
      </c>
      <c r="BH137" s="277">
        <v>1000</v>
      </c>
      <c r="BI137" s="493" t="s">
        <v>345</v>
      </c>
      <c r="BJ137" s="277" t="s">
        <v>1192</v>
      </c>
      <c r="BK137" s="140"/>
      <c r="BL137" s="277"/>
      <c r="BM137" s="277"/>
      <c r="BN137" s="277"/>
      <c r="BO137" s="140"/>
      <c r="BP137" s="277"/>
      <c r="BQ137" s="277"/>
      <c r="BR137" s="277"/>
      <c r="BS137" s="140"/>
      <c r="BT137" s="277"/>
      <c r="BU137" s="277"/>
      <c r="BV137" s="277"/>
      <c r="BW137" s="493">
        <v>2.8</v>
      </c>
      <c r="BX137" s="277">
        <v>1000</v>
      </c>
      <c r="BY137" s="493" t="s">
        <v>345</v>
      </c>
      <c r="BZ137" s="277" t="s">
        <v>1192</v>
      </c>
      <c r="CA137" s="493">
        <v>2.8</v>
      </c>
      <c r="CB137" s="277">
        <v>1000</v>
      </c>
      <c r="CC137" s="493" t="s">
        <v>345</v>
      </c>
      <c r="CD137" s="277" t="s">
        <v>1192</v>
      </c>
      <c r="CE137" s="140"/>
      <c r="CF137" s="154"/>
      <c r="CG137" s="154"/>
      <c r="CH137" s="154"/>
      <c r="CI137" s="140"/>
      <c r="CJ137" s="154"/>
      <c r="CK137" s="154"/>
      <c r="CL137" s="154"/>
      <c r="CM137" s="140"/>
      <c r="CN137" s="271"/>
      <c r="CO137" s="271"/>
      <c r="CP137" s="271"/>
      <c r="CQ137" s="140"/>
      <c r="CR137" s="154"/>
      <c r="CS137" s="154"/>
      <c r="CT137" s="154"/>
      <c r="CU137" s="140"/>
      <c r="CV137" s="154"/>
      <c r="CW137" s="154"/>
      <c r="CX137" s="220"/>
      <c r="CY137" s="140"/>
      <c r="CZ137" s="154"/>
      <c r="DA137" s="154"/>
      <c r="DB137" s="220"/>
      <c r="DC137" s="140"/>
      <c r="DD137" s="146"/>
      <c r="DE137" s="146"/>
      <c r="DF137" s="146"/>
      <c r="DG137" s="140"/>
      <c r="DH137" s="146"/>
      <c r="DI137" s="146"/>
      <c r="DJ137" s="146"/>
      <c r="DK137" s="146"/>
      <c r="DL137" s="146"/>
      <c r="DM137" s="146"/>
      <c r="DN137" s="146"/>
      <c r="DO137" s="146"/>
      <c r="DP137" s="146"/>
      <c r="DQ137" s="146"/>
      <c r="DR137" s="146"/>
      <c r="DS137" s="140"/>
      <c r="DT137" s="154"/>
      <c r="DU137" s="154"/>
      <c r="DV137" s="154"/>
      <c r="DW137" s="140"/>
      <c r="DX137" s="220"/>
      <c r="DY137" s="220"/>
      <c r="DZ137" s="220"/>
      <c r="EA137" s="140"/>
      <c r="EB137" s="220"/>
      <c r="EC137" s="220"/>
      <c r="ED137" s="220"/>
      <c r="EE137" s="140"/>
      <c r="EF137" s="154"/>
      <c r="EG137" s="154"/>
      <c r="EH137" s="154"/>
      <c r="EI137" s="140"/>
      <c r="EJ137" s="154"/>
      <c r="EK137" s="154"/>
      <c r="EL137" s="154"/>
      <c r="EM137" s="140"/>
      <c r="EN137" s="222"/>
      <c r="EO137" s="222"/>
      <c r="EP137" s="222"/>
      <c r="EQ137" s="140"/>
      <c r="ER137" s="222"/>
      <c r="ES137" s="222"/>
      <c r="ET137" s="222"/>
      <c r="EU137" s="140"/>
      <c r="EV137" s="222"/>
      <c r="EW137" s="222"/>
      <c r="EX137" s="222"/>
      <c r="EY137" s="344"/>
      <c r="EZ137" s="222"/>
      <c r="FA137" s="222"/>
      <c r="FB137" s="222"/>
      <c r="FC137" s="273"/>
      <c r="FD137" s="223"/>
      <c r="FE137" s="223"/>
      <c r="FF137" s="276"/>
      <c r="FG137" s="156"/>
      <c r="FH137" s="156"/>
      <c r="FI137" s="156"/>
      <c r="FJ137" s="140"/>
      <c r="FK137" s="277"/>
      <c r="FL137" s="277"/>
      <c r="FM137" s="277"/>
      <c r="FN137" s="140"/>
      <c r="FO137" s="277"/>
      <c r="FP137" s="277"/>
      <c r="FQ137" s="277"/>
      <c r="FR137" s="280"/>
      <c r="FS137" s="277"/>
      <c r="FT137" s="277"/>
      <c r="FU137" s="277"/>
      <c r="FV137" s="277"/>
      <c r="FW137" s="277"/>
      <c r="FX137" s="277"/>
      <c r="FY137" s="277"/>
      <c r="FZ137" s="277"/>
      <c r="GA137" s="277"/>
      <c r="GB137" s="277"/>
      <c r="GC137" s="277"/>
      <c r="GD137" s="277"/>
      <c r="GE137" s="277"/>
      <c r="GF137" s="277"/>
      <c r="GG137" s="277"/>
      <c r="GH137" s="277"/>
      <c r="GI137" s="277"/>
      <c r="GJ137" s="277"/>
      <c r="GK137" s="277"/>
      <c r="GL137" s="277"/>
      <c r="GM137" s="277"/>
      <c r="GN137" s="277"/>
      <c r="GO137" s="277"/>
      <c r="GP137" s="277"/>
      <c r="GQ137" s="277"/>
      <c r="GR137" s="277"/>
      <c r="GS137" s="277"/>
      <c r="GT137" s="277"/>
      <c r="GU137" s="277"/>
      <c r="GV137" s="277"/>
      <c r="GW137" s="277"/>
      <c r="GX137" s="277"/>
      <c r="GY137" s="277"/>
      <c r="GZ137" s="277"/>
      <c r="HA137" s="277"/>
      <c r="HB137" s="277"/>
      <c r="HC137" s="277"/>
      <c r="HD137" s="277"/>
      <c r="HE137" s="277"/>
      <c r="HF137" s="140"/>
      <c r="HG137" s="277"/>
      <c r="HH137" s="277"/>
      <c r="HI137" s="277"/>
      <c r="HJ137" s="140"/>
      <c r="HK137" s="277"/>
      <c r="HL137" s="277"/>
      <c r="HM137" s="277"/>
      <c r="HN137" s="140"/>
      <c r="HO137" s="277"/>
      <c r="HP137" s="277"/>
      <c r="HQ137" s="277"/>
      <c r="HR137" s="277"/>
      <c r="HS137" s="277"/>
      <c r="HT137" s="277"/>
      <c r="HU137" s="277"/>
      <c r="HV137" s="277"/>
      <c r="HW137" s="277"/>
      <c r="HX137" s="277"/>
      <c r="HY137" s="277"/>
      <c r="HZ137" s="140"/>
      <c r="IA137" s="277"/>
      <c r="IB137" s="277"/>
      <c r="IC137" s="277"/>
      <c r="ID137" s="140"/>
      <c r="IE137" s="277"/>
      <c r="IF137" s="277"/>
      <c r="IG137" s="277"/>
      <c r="IH137" s="140"/>
      <c r="II137" s="277"/>
      <c r="IJ137" s="277"/>
      <c r="IK137" s="277"/>
      <c r="IL137" s="140"/>
      <c r="IM137" s="277"/>
      <c r="IN137" s="277"/>
      <c r="IO137" s="277"/>
      <c r="IP137" s="277"/>
      <c r="IQ137" s="277"/>
      <c r="IR137" s="277"/>
      <c r="IS137" s="277"/>
      <c r="IT137" s="277"/>
      <c r="IU137" s="277"/>
      <c r="IV137" s="277"/>
      <c r="IW137" s="277"/>
      <c r="IX137" s="493">
        <v>55</v>
      </c>
      <c r="IY137" s="521">
        <v>500</v>
      </c>
      <c r="IZ137" s="493" t="s">
        <v>345</v>
      </c>
      <c r="JA137" s="277" t="s">
        <v>558</v>
      </c>
      <c r="JB137" s="140"/>
      <c r="JC137" s="277"/>
      <c r="JD137" s="277"/>
      <c r="JE137" s="277"/>
      <c r="JF137" s="140"/>
      <c r="JG137" s="277"/>
      <c r="JH137" s="277"/>
      <c r="JI137" s="140"/>
      <c r="JJ137" s="277"/>
      <c r="JK137" s="277"/>
      <c r="JL137" s="140"/>
      <c r="JM137" s="277"/>
      <c r="JN137" s="277"/>
      <c r="JO137" s="140"/>
      <c r="JP137" s="277"/>
      <c r="JQ137" s="277"/>
      <c r="JR137" s="277"/>
      <c r="JS137" s="277"/>
      <c r="JT137" s="277"/>
      <c r="JU137" s="277"/>
      <c r="JV137" s="277"/>
      <c r="JW137" s="277"/>
      <c r="JX137" s="277"/>
      <c r="JY137" s="277"/>
      <c r="JZ137" s="277"/>
      <c r="KA137" s="277"/>
      <c r="KB137" s="277"/>
      <c r="KC137" s="277"/>
      <c r="KD137" s="277"/>
      <c r="KE137" s="277"/>
      <c r="KF137" s="277"/>
      <c r="KG137" s="277"/>
      <c r="KH137" s="277"/>
      <c r="KI137" s="277"/>
      <c r="KJ137" s="277"/>
      <c r="KK137" s="277"/>
      <c r="KL137" s="277"/>
      <c r="KM137" s="277"/>
      <c r="KN137" s="277"/>
      <c r="KO137" s="277"/>
      <c r="KP137" s="274"/>
      <c r="KQ137" s="253"/>
      <c r="KR137" s="253"/>
      <c r="KY137" s="141">
        <f t="shared" si="57"/>
        <v>0</v>
      </c>
      <c r="KZ137" s="141">
        <f t="shared" si="58"/>
        <v>0</v>
      </c>
      <c r="LB137" s="141">
        <f t="shared" si="59"/>
        <v>1</v>
      </c>
      <c r="LC137" s="141">
        <f t="shared" si="60"/>
        <v>0</v>
      </c>
      <c r="LD137" s="141">
        <f t="shared" si="61"/>
        <v>1</v>
      </c>
      <c r="LE137" s="141" t="e">
        <f>((N(AU137)&gt;0)*(AX137&lt;&gt;"")+(N(AY137)&gt;0)*(BB137&lt;&gt;"")+(N(BC137)&gt;0)*(BF137&lt;&gt;"")+(N(BG137)&gt;0)*(BJ137&lt;&gt;"")+(N(BK137)&gt;0)*(BN137&lt;&gt;"")+(N(BO137)&gt;0)*(BR137&lt;&gt;"")+(N(BS137)&gt;0)*(BV137&lt;&gt;"")+(N(BW137)&gt;0)*(BZ137&lt;&gt;"")+(N(CA137)&gt;0)*(CD137&lt;&gt;"")+(N(CE137)&gt;0)*(CH137&lt;&gt;"")+(N(CI137)&gt;0)*(CL137&lt;&gt;"")+(N(CM137)&gt;0)*(CP137&lt;&gt;"")+(N(CQ137)&gt;0)*(CT137&lt;&gt;"")+(N(CU137)&gt;0)*(CX137&lt;&gt;"")+(N(CY137)&gt;0)*(DB137&lt;&gt;"")+(N(DC137)&gt;0)*(DF137&lt;&gt;"")+(N(DG137)&gt;0)*(DJ137&lt;&gt;"")+(N(DS137)&gt;0)*(DV137&lt;&gt;"")+(N(DW137)&gt;0)*(DZ137&lt;&gt;"")+(N(EA137)&gt;0)*(ED137&lt;&gt;"")+(N(EE137)&gt;0)*(EH137&lt;&gt;"")+(N(EI137)&gt;0)*(EL137&lt;&gt;"")+(N(EM137)&gt;0)*(EP137&lt;&gt;"")+(N(EQ137)&gt;0)*(ET137&lt;&gt;"")+(N(EU137)&gt;0)*(EX137&lt;&gt;"")+(N(#REF!)&gt;0)*(#REF!&lt;&gt;"")+(N(#REF!)&gt;0)*(#REF!&lt;&gt;"")+(N(FJ137)&gt;0)*(FM137&lt;&gt;"")+(N(FN137)&gt;0)*(FQ137&lt;&gt;"")+(N(#REF!)&gt;0)*(#REF!&lt;&gt;"")+(N(#REF!)&gt;0)*(#REF!&lt;&gt;"")+(N(HF137)&gt;0)*(HI137&lt;&gt;"")+(N(#REF!)&gt;0)*(#REF!&lt;&gt;"")+(N(HJ137)&gt;0)*(HM137&lt;&gt;"")+(N(HN137)&gt;0)*(HQ137&lt;&gt;"")+(N(HZ137)&gt;0)*(IC137&lt;&gt;"")+(N(ID137)&gt;0)*(IG137&lt;&gt;"")+(N(IH137)&gt;0)*(IK137&lt;&gt;"")+(N(IL137)&gt;0)*(IO137&lt;&gt;"")+(N(IX137)&gt;0)*(JA137&lt;&gt;"")+(N(JB137)&gt;0)*(JE137&lt;&gt;"")+(N(JF137)&gt;0)*(JH137&lt;&gt;"")+(N(JI137)&gt;0)*(JK137&lt;&gt;"")+(N(JL137)&gt;0)*(JN137&lt;&gt;"")+(N(JO137)&gt;0)*(JQ137&lt;&gt;""))</f>
        <v>#REF!</v>
      </c>
      <c r="LF137" s="141">
        <f t="shared" si="48"/>
        <v>0</v>
      </c>
      <c r="LG137" s="141">
        <f t="shared" si="62"/>
        <v>1</v>
      </c>
    </row>
    <row r="138" spans="1:319" ht="38.25" customHeight="1" x14ac:dyDescent="0.55000000000000004">
      <c r="B138" s="314" t="s">
        <v>417</v>
      </c>
      <c r="C138" s="218"/>
      <c r="D138" s="218"/>
      <c r="E138" s="218"/>
      <c r="F138" s="218"/>
      <c r="G138" s="218"/>
      <c r="H138" s="218"/>
      <c r="I138" s="162" cm="1">
        <f t="array" ref="I138">SUMPRODUCT(($AI$2:$KV$2&lt;&gt;"")*($AI138:$KV138&lt;&gt;""))</f>
        <v>1</v>
      </c>
      <c r="J138" s="142">
        <f t="shared" si="43"/>
        <v>0</v>
      </c>
      <c r="K138" s="142">
        <f t="shared" si="44"/>
        <v>0</v>
      </c>
      <c r="L138" s="268">
        <f t="shared" si="49"/>
        <v>7000</v>
      </c>
      <c r="M138" s="164">
        <f t="shared" si="45"/>
        <v>0</v>
      </c>
      <c r="N138" s="397"/>
      <c r="O138" s="165">
        <f t="shared" si="46"/>
        <v>0</v>
      </c>
      <c r="P138" s="165"/>
      <c r="Q138" s="165"/>
      <c r="R138" s="165">
        <f>(IFERROR(AM138/AN138,0)+IFERROR(AU138/AV138,0)+IFERROR(AY138/AZ138,0)+IFERROR(BC138/BD138,0)+IFERROR(BG138/BH138,0)+IFERROR(BK138/BL138,0)+IFERROR(BO138/BP138,0)+IFERROR(BS138/BT138,0)+IFERROR(BW138/BX138,0)+IFERROR(CA138/CB138,0)+IFERROR(CE138/CF138,0)+IFERROR(CI138/CJ138,0)+IFERROR(CM138/CN138,0)+IFERROR(CQ138/CR138,0)+IFERROR(CU138/CV138,0)+IFERROR(CY138/CZ138,0)+IFERROR(DC138/DD138,0)+IFERROR(DG138/DH138,0)+IFERROR(DS138/DT138,0)+IFERROR(DW138/DX138,0)+IFERROR(EA138/EB138,0)+IFERROR(EE138/EF138,0)+IFERROR(EI138/EJ138,0)+IFERROR(EM138/EN138,0)+IFERROR(EQ138/ER138,0)+IFERROR(EU138/EV138,0)+IFERROR(#REF!/#REF!,0)+IFERROR(#REF!/#REF!,0)+IFERROR(FJ138/FK138,0)+IFERROR(FN138/FO138,0)+IFERROR(#REF!/#REF!,0)+IFERROR(#REF!/#REF!,0)+IFERROR(HF138/HG138,0)+IFERROR(#REF!/#REF!,0)+IFERROR(HJ138/HK138,0)+IFERROR(HN138/HO138,0)+IFERROR(HZ138/IA138,0)+IFERROR(ID138/IE138,0)+IFERROR(IH138/II138,0)+IFERROR(IL138/IM138,0)+IFERROR(IX138/IY138,0)+IFERROR(JB138/JC138,0)+IFERROR(JF138/JG138,0)+IFERROR(JI138/JJ138,0)+IFERROR(JL138/JM138,0)+IFERROR(JO138/JP138,0))*L138*(C138+D138+E138+I138)</f>
        <v>0</v>
      </c>
      <c r="S138" s="165"/>
      <c r="T138" s="165">
        <f t="shared" si="55"/>
        <v>0</v>
      </c>
      <c r="U138" s="165"/>
      <c r="V138" s="165"/>
      <c r="W138" s="165"/>
      <c r="X138" s="165">
        <f>(IFERROR(FF138/FG138,0)+IFERROR(FC138/FD138,0)+IFERROR(#REF!/#REF!,0)+IFERROR(KP138/KQ138,0))*L138*(C138+D138+E138+I138)</f>
        <v>0</v>
      </c>
      <c r="Y138" s="484"/>
      <c r="Z138" s="484"/>
      <c r="AA138" s="484"/>
      <c r="AB138" s="484"/>
      <c r="AC138" s="150">
        <f t="shared" si="47"/>
        <v>0</v>
      </c>
      <c r="AD138" s="150"/>
      <c r="AE138" s="150">
        <f t="shared" si="56"/>
        <v>0</v>
      </c>
      <c r="AF138" s="161">
        <v>37</v>
      </c>
      <c r="AG138" s="143"/>
      <c r="AH138" s="154"/>
      <c r="AI138" s="144">
        <v>1</v>
      </c>
      <c r="AJ138" s="338"/>
      <c r="AK138" s="338"/>
      <c r="AL138" s="343" t="s">
        <v>545</v>
      </c>
      <c r="AM138" s="140"/>
      <c r="AN138" s="154"/>
      <c r="AO138" s="154"/>
      <c r="AP138" s="220"/>
      <c r="AQ138" s="145"/>
      <c r="AR138" s="154"/>
      <c r="AS138" s="154"/>
      <c r="AT138" s="220"/>
      <c r="AU138" s="140"/>
      <c r="AV138" s="277"/>
      <c r="AW138" s="277"/>
      <c r="AX138" s="277"/>
      <c r="AY138" s="140"/>
      <c r="AZ138" s="277"/>
      <c r="BA138" s="277"/>
      <c r="BB138" s="277"/>
      <c r="BC138" s="140"/>
      <c r="BD138" s="277"/>
      <c r="BE138" s="277"/>
      <c r="BF138" s="277"/>
      <c r="BG138" s="140"/>
      <c r="BH138" s="277"/>
      <c r="BI138" s="277"/>
      <c r="BJ138" s="277"/>
      <c r="BK138" s="140"/>
      <c r="BL138" s="277"/>
      <c r="BM138" s="277"/>
      <c r="BN138" s="277"/>
      <c r="BO138" s="140"/>
      <c r="BP138" s="277"/>
      <c r="BQ138" s="277"/>
      <c r="BR138" s="277"/>
      <c r="BS138" s="140"/>
      <c r="BT138" s="277"/>
      <c r="BU138" s="277"/>
      <c r="BV138" s="277"/>
      <c r="BW138" s="140"/>
      <c r="BX138" s="154"/>
      <c r="BY138" s="154"/>
      <c r="BZ138" s="220"/>
      <c r="CA138" s="140"/>
      <c r="CB138" s="154"/>
      <c r="CC138" s="154"/>
      <c r="CD138" s="220"/>
      <c r="CE138" s="140"/>
      <c r="CF138" s="271"/>
      <c r="CG138" s="271"/>
      <c r="CH138" s="271"/>
      <c r="CI138" s="140"/>
      <c r="CJ138" s="154"/>
      <c r="CK138" s="154"/>
      <c r="CL138" s="154"/>
      <c r="CM138" s="140"/>
      <c r="CN138" s="271"/>
      <c r="CO138" s="271"/>
      <c r="CP138" s="271"/>
      <c r="CQ138" s="140"/>
      <c r="CR138" s="154"/>
      <c r="CS138" s="154"/>
      <c r="CT138" s="154"/>
      <c r="CU138" s="140"/>
      <c r="CV138" s="154"/>
      <c r="CW138" s="154"/>
      <c r="CX138" s="220"/>
      <c r="CY138" s="140"/>
      <c r="CZ138" s="154"/>
      <c r="DA138" s="154"/>
      <c r="DB138" s="220"/>
      <c r="DC138" s="140"/>
      <c r="DD138" s="146"/>
      <c r="DE138" s="146"/>
      <c r="DF138" s="146"/>
      <c r="DG138" s="140"/>
      <c r="DH138" s="146"/>
      <c r="DI138" s="146"/>
      <c r="DJ138" s="146"/>
      <c r="DK138" s="146"/>
      <c r="DL138" s="146"/>
      <c r="DM138" s="146"/>
      <c r="DN138" s="146"/>
      <c r="DO138" s="146"/>
      <c r="DP138" s="146"/>
      <c r="DQ138" s="146"/>
      <c r="DR138" s="146"/>
      <c r="DS138" s="140"/>
      <c r="DT138" s="154"/>
      <c r="DU138" s="154"/>
      <c r="DV138" s="154"/>
      <c r="DW138" s="140"/>
      <c r="DX138" s="220"/>
      <c r="DY138" s="220"/>
      <c r="DZ138" s="220"/>
      <c r="EA138" s="140"/>
      <c r="EB138" s="220"/>
      <c r="EC138" s="220"/>
      <c r="ED138" s="220"/>
      <c r="EE138" s="140"/>
      <c r="EF138" s="154"/>
      <c r="EG138" s="154"/>
      <c r="EH138" s="154"/>
      <c r="EI138" s="140"/>
      <c r="EJ138" s="154"/>
      <c r="EK138" s="154"/>
      <c r="EL138" s="154"/>
      <c r="EM138" s="140"/>
      <c r="EN138" s="222"/>
      <c r="EO138" s="222"/>
      <c r="EP138" s="222"/>
      <c r="EQ138" s="140"/>
      <c r="ER138" s="222"/>
      <c r="ES138" s="222"/>
      <c r="ET138" s="222"/>
      <c r="EU138" s="140"/>
      <c r="EV138" s="222"/>
      <c r="EW138" s="222"/>
      <c r="EX138" s="222"/>
      <c r="EY138" s="344"/>
      <c r="EZ138" s="222"/>
      <c r="FA138" s="222"/>
      <c r="FB138" s="222"/>
      <c r="FC138" s="273"/>
      <c r="FD138" s="223"/>
      <c r="FE138" s="223"/>
      <c r="FF138" s="276"/>
      <c r="FG138" s="156"/>
      <c r="FH138" s="156"/>
      <c r="FI138" s="156"/>
      <c r="FJ138" s="140"/>
      <c r="FK138" s="277"/>
      <c r="FL138" s="277"/>
      <c r="FM138" s="277"/>
      <c r="FN138" s="140"/>
      <c r="FO138" s="277"/>
      <c r="FP138" s="277"/>
      <c r="FQ138" s="277"/>
      <c r="FR138" s="280"/>
      <c r="FS138" s="277"/>
      <c r="FT138" s="277"/>
      <c r="FU138" s="277"/>
      <c r="FV138" s="277"/>
      <c r="FW138" s="277"/>
      <c r="FX138" s="277"/>
      <c r="FY138" s="277"/>
      <c r="FZ138" s="277"/>
      <c r="GA138" s="277"/>
      <c r="GB138" s="277"/>
      <c r="GC138" s="277"/>
      <c r="GD138" s="277"/>
      <c r="GE138" s="277"/>
      <c r="GF138" s="277"/>
      <c r="GG138" s="277"/>
      <c r="GH138" s="277"/>
      <c r="GI138" s="277"/>
      <c r="GJ138" s="277"/>
      <c r="GK138" s="277"/>
      <c r="GL138" s="277"/>
      <c r="GM138" s="277"/>
      <c r="GN138" s="277"/>
      <c r="GO138" s="277"/>
      <c r="GP138" s="277"/>
      <c r="GQ138" s="277"/>
      <c r="GR138" s="277"/>
      <c r="GS138" s="277"/>
      <c r="GT138" s="277"/>
      <c r="GU138" s="277"/>
      <c r="GV138" s="277"/>
      <c r="GW138" s="277"/>
      <c r="GX138" s="277"/>
      <c r="GY138" s="277"/>
      <c r="GZ138" s="277"/>
      <c r="HA138" s="277"/>
      <c r="HB138" s="277"/>
      <c r="HC138" s="277"/>
      <c r="HD138" s="277"/>
      <c r="HE138" s="277"/>
      <c r="HF138" s="140"/>
      <c r="HG138" s="277"/>
      <c r="HH138" s="277"/>
      <c r="HI138" s="277"/>
      <c r="HJ138" s="140"/>
      <c r="HK138" s="277"/>
      <c r="HL138" s="277"/>
      <c r="HM138" s="277"/>
      <c r="HN138" s="140"/>
      <c r="HO138" s="277"/>
      <c r="HP138" s="277"/>
      <c r="HQ138" s="277"/>
      <c r="HR138" s="277"/>
      <c r="HS138" s="277"/>
      <c r="HT138" s="277"/>
      <c r="HU138" s="277"/>
      <c r="HV138" s="277"/>
      <c r="HW138" s="277"/>
      <c r="HX138" s="277"/>
      <c r="HY138" s="277"/>
      <c r="HZ138" s="140"/>
      <c r="IA138" s="277"/>
      <c r="IB138" s="277"/>
      <c r="IC138" s="277"/>
      <c r="ID138" s="140"/>
      <c r="IE138" s="277"/>
      <c r="IF138" s="277"/>
      <c r="IG138" s="277"/>
      <c r="IH138" s="140"/>
      <c r="II138" s="277"/>
      <c r="IJ138" s="277"/>
      <c r="IK138" s="277"/>
      <c r="IL138" s="140"/>
      <c r="IM138" s="277"/>
      <c r="IN138" s="277"/>
      <c r="IO138" s="277"/>
      <c r="IP138" s="277"/>
      <c r="IQ138" s="277"/>
      <c r="IR138" s="277"/>
      <c r="IS138" s="277"/>
      <c r="IT138" s="277"/>
      <c r="IU138" s="277"/>
      <c r="IV138" s="277"/>
      <c r="IW138" s="277"/>
      <c r="IX138" s="140"/>
      <c r="IY138" s="277"/>
      <c r="IZ138" s="277"/>
      <c r="JA138" s="277"/>
      <c r="JB138" s="140"/>
      <c r="JC138" s="277"/>
      <c r="JD138" s="277"/>
      <c r="JE138" s="277"/>
      <c r="JF138" s="140"/>
      <c r="JG138" s="277"/>
      <c r="JH138" s="277"/>
      <c r="JI138" s="140"/>
      <c r="JJ138" s="277"/>
      <c r="JK138" s="277"/>
      <c r="JL138" s="140"/>
      <c r="JM138" s="277"/>
      <c r="JN138" s="277"/>
      <c r="JO138" s="140"/>
      <c r="JP138" s="277"/>
      <c r="JQ138" s="277"/>
      <c r="JR138" s="277"/>
      <c r="JS138" s="277"/>
      <c r="JT138" s="277"/>
      <c r="JU138" s="277"/>
      <c r="JV138" s="277"/>
      <c r="JW138" s="277"/>
      <c r="JX138" s="277"/>
      <c r="JY138" s="277"/>
      <c r="JZ138" s="277"/>
      <c r="KA138" s="277"/>
      <c r="KB138" s="277"/>
      <c r="KC138" s="277"/>
      <c r="KD138" s="277"/>
      <c r="KE138" s="277"/>
      <c r="KF138" s="277"/>
      <c r="KG138" s="277"/>
      <c r="KH138" s="277"/>
      <c r="KI138" s="277"/>
      <c r="KJ138" s="277"/>
      <c r="KK138" s="277"/>
      <c r="KL138" s="277"/>
      <c r="KM138" s="277"/>
      <c r="KN138" s="277"/>
      <c r="KO138" s="277"/>
      <c r="KP138" s="274"/>
      <c r="KQ138" s="253"/>
      <c r="KR138" s="253"/>
      <c r="KY138" s="141">
        <f t="shared" si="57"/>
        <v>0</v>
      </c>
      <c r="KZ138" s="141">
        <f t="shared" si="58"/>
        <v>0</v>
      </c>
      <c r="LB138" s="141">
        <f t="shared" si="59"/>
        <v>1</v>
      </c>
      <c r="LC138" s="141">
        <f t="shared" si="60"/>
        <v>0</v>
      </c>
      <c r="LD138" s="141">
        <f t="shared" si="61"/>
        <v>0</v>
      </c>
      <c r="LE138" s="141" t="e">
        <f>((N(AU138)&gt;0)*(AX138&lt;&gt;"")+(N(AY138)&gt;0)*(BB138&lt;&gt;"")+(N(BC138)&gt;0)*(BF138&lt;&gt;"")+(N(BG138)&gt;0)*(BJ138&lt;&gt;"")+(N(BK138)&gt;0)*(BN138&lt;&gt;"")+(N(BO138)&gt;0)*(BR138&lt;&gt;"")+(N(BS138)&gt;0)*(BV138&lt;&gt;"")+(N(BW138)&gt;0)*(BZ138&lt;&gt;"")+(N(CA138)&gt;0)*(CD138&lt;&gt;"")+(N(CE138)&gt;0)*(CH138&lt;&gt;"")+(N(CI138)&gt;0)*(CL138&lt;&gt;"")+(N(CM138)&gt;0)*(CP138&lt;&gt;"")+(N(CQ138)&gt;0)*(CT138&lt;&gt;"")+(N(CU138)&gt;0)*(CX138&lt;&gt;"")+(N(CY138)&gt;0)*(DB138&lt;&gt;"")+(N(DC138)&gt;0)*(DF138&lt;&gt;"")+(N(DG138)&gt;0)*(DJ138&lt;&gt;"")+(N(DS138)&gt;0)*(DV138&lt;&gt;"")+(N(DW138)&gt;0)*(DZ138&lt;&gt;"")+(N(EA138)&gt;0)*(ED138&lt;&gt;"")+(N(EE138)&gt;0)*(EH138&lt;&gt;"")+(N(EI138)&gt;0)*(EL138&lt;&gt;"")+(N(EM138)&gt;0)*(EP138&lt;&gt;"")+(N(EQ138)&gt;0)*(ET138&lt;&gt;"")+(N(EU138)&gt;0)*(EX138&lt;&gt;"")+(N(#REF!)&gt;0)*(#REF!&lt;&gt;"")+(N(#REF!)&gt;0)*(#REF!&lt;&gt;"")+(N(FJ138)&gt;0)*(FM138&lt;&gt;"")+(N(FN138)&gt;0)*(FQ138&lt;&gt;"")+(N(#REF!)&gt;0)*(#REF!&lt;&gt;"")+(N(#REF!)&gt;0)*(#REF!&lt;&gt;"")+(N(HF138)&gt;0)*(HI138&lt;&gt;"")+(N(#REF!)&gt;0)*(#REF!&lt;&gt;"")+(N(HJ138)&gt;0)*(HM138&lt;&gt;"")+(N(HN138)&gt;0)*(HQ138&lt;&gt;"")+(N(HZ138)&gt;0)*(IC138&lt;&gt;"")+(N(ID138)&gt;0)*(IG138&lt;&gt;"")+(N(IH138)&gt;0)*(IK138&lt;&gt;"")+(N(IL138)&gt;0)*(IO138&lt;&gt;"")+(N(IX138)&gt;0)*(JA138&lt;&gt;"")+(N(JB138)&gt;0)*(JE138&lt;&gt;"")+(N(JF138)&gt;0)*(JH138&lt;&gt;"")+(N(JI138)&gt;0)*(JK138&lt;&gt;"")+(N(JL138)&gt;0)*(JN138&lt;&gt;"")+(N(JO138)&gt;0)*(JQ138&lt;&gt;""))</f>
        <v>#REF!</v>
      </c>
      <c r="LF138" s="141">
        <f t="shared" si="48"/>
        <v>0</v>
      </c>
      <c r="LG138" s="141">
        <f t="shared" si="62"/>
        <v>0</v>
      </c>
    </row>
    <row r="139" spans="1:319" ht="38.25" customHeight="1" x14ac:dyDescent="0.55000000000000004">
      <c r="B139" s="314" t="s">
        <v>446</v>
      </c>
      <c r="C139" s="218"/>
      <c r="D139" s="218"/>
      <c r="E139" s="218"/>
      <c r="F139" s="218"/>
      <c r="G139" s="218"/>
      <c r="H139" s="218"/>
      <c r="I139" s="162" cm="1">
        <f t="array" ref="I139">SUMPRODUCT(($AI$2:$KV$2&lt;&gt;"")*($AI139:$KV139&lt;&gt;""))</f>
        <v>2</v>
      </c>
      <c r="J139" s="142">
        <f t="shared" si="43"/>
        <v>0</v>
      </c>
      <c r="K139" s="142">
        <f t="shared" si="44"/>
        <v>0</v>
      </c>
      <c r="L139" s="268">
        <f t="shared" si="49"/>
        <v>7000</v>
      </c>
      <c r="M139" s="164">
        <f t="shared" si="45"/>
        <v>1960.0000000000002</v>
      </c>
      <c r="N139" s="397"/>
      <c r="O139" s="165">
        <f t="shared" si="46"/>
        <v>0</v>
      </c>
      <c r="P139" s="165"/>
      <c r="Q139" s="165"/>
      <c r="R139" s="165">
        <f>(IFERROR(AM139/AN139,0)+IFERROR(AU139/AV139,0)+IFERROR(AY139/AZ139,0)+IFERROR(BC139/BD139,0)+IFERROR(BG139/BH139,0)+IFERROR(BK139/BL139,0)+IFERROR(BO139/BP139,0)+IFERROR(BS139/BT139,0)+IFERROR(BW139/BX139,0)+IFERROR(CA139/CB139,0)+IFERROR(CE139/CF139,0)+IFERROR(CI139/CJ139,0)+IFERROR(CM139/CN139,0)+IFERROR(CQ139/CR139,0)+IFERROR(CU139/CV139,0)+IFERROR(CY139/CZ139,0)+IFERROR(DC139/DD139,0)+IFERROR(DG139/DH139,0)+IFERROR(DS139/DT139,0)+IFERROR(DW139/DX139,0)+IFERROR(EA139/EB139,0)+IFERROR(EE139/EF139,0)+IFERROR(EI139/EJ139,0)+IFERROR(EM139/EN139,0)+IFERROR(EQ139/ER139,0)+IFERROR(EU139/EV139,0)+IFERROR(#REF!/#REF!,0)+IFERROR(#REF!/#REF!,0)+IFERROR(FJ139/FK139,0)+IFERROR(FN139/FO139,0)+IFERROR(#REF!/#REF!,0)+IFERROR(#REF!/#REF!,0)+IFERROR(HF139/HG139,0)+IFERROR(#REF!/#REF!,0)+IFERROR(HJ139/HK139,0)+IFERROR(HN139/HO139,0)+IFERROR(HZ139/IA139,0)+IFERROR(ID139/IE139,0)+IFERROR(IH139/II139,0)+IFERROR(IL139/IM139,0)+IFERROR(IX139/IY139,0)+IFERROR(JB139/JC139,0)+IFERROR(JF139/JG139,0)+IFERROR(JI139/JJ139,0)+IFERROR(JL139/JM139,0)+IFERROR(JO139/JP139,0))*L139*(C139+D139+E139+I139)</f>
        <v>0</v>
      </c>
      <c r="S139" s="165"/>
      <c r="T139" s="165">
        <f t="shared" si="55"/>
        <v>0</v>
      </c>
      <c r="U139" s="165"/>
      <c r="V139" s="165"/>
      <c r="W139" s="165"/>
      <c r="X139" s="165">
        <f>(IFERROR(FF139/FG139,0)+IFERROR(FC139/FD139,0)+IFERROR(#REF!/#REF!,0)+IFERROR(KP139/KQ139,0))*L139*(C139+D139+E139+I139)</f>
        <v>0</v>
      </c>
      <c r="Y139" s="484"/>
      <c r="Z139" s="484"/>
      <c r="AA139" s="484"/>
      <c r="AB139" s="484"/>
      <c r="AC139" s="150">
        <f t="shared" si="47"/>
        <v>0</v>
      </c>
      <c r="AD139" s="150"/>
      <c r="AE139" s="150">
        <f t="shared" si="56"/>
        <v>0</v>
      </c>
      <c r="AF139" s="161"/>
      <c r="AG139" s="143"/>
      <c r="AH139" s="154"/>
      <c r="AI139" s="342">
        <v>35</v>
      </c>
      <c r="AJ139" s="342">
        <v>250</v>
      </c>
      <c r="AK139" s="342"/>
      <c r="AL139" s="343" t="s">
        <v>545</v>
      </c>
      <c r="AM139" s="140"/>
      <c r="AN139" s="154"/>
      <c r="AO139" s="154"/>
      <c r="AP139" s="220"/>
      <c r="AQ139" s="145"/>
      <c r="AR139" s="154"/>
      <c r="AS139" s="154"/>
      <c r="AT139" s="220"/>
      <c r="AU139" s="140"/>
      <c r="AV139" s="277"/>
      <c r="AW139" s="277"/>
      <c r="AX139" s="277"/>
      <c r="AY139" s="140"/>
      <c r="AZ139" s="277"/>
      <c r="BA139" s="277"/>
      <c r="BB139" s="277"/>
      <c r="BC139" s="140"/>
      <c r="BD139" s="277"/>
      <c r="BE139" s="277"/>
      <c r="BF139" s="277"/>
      <c r="BG139" s="140"/>
      <c r="BH139" s="277"/>
      <c r="BI139" s="277"/>
      <c r="BJ139" s="277"/>
      <c r="BK139" s="140"/>
      <c r="BL139" s="277"/>
      <c r="BM139" s="277"/>
      <c r="BN139" s="277"/>
      <c r="BO139" s="140"/>
      <c r="BP139" s="277"/>
      <c r="BQ139" s="277"/>
      <c r="BR139" s="277"/>
      <c r="BS139" s="140"/>
      <c r="BT139" s="277"/>
      <c r="BU139" s="277"/>
      <c r="BV139" s="277"/>
      <c r="BW139" s="140"/>
      <c r="BX139" s="154"/>
      <c r="BY139" s="154"/>
      <c r="BZ139" s="220"/>
      <c r="CA139" s="140"/>
      <c r="CB139" s="154"/>
      <c r="CC139" s="154"/>
      <c r="CD139" s="220"/>
      <c r="CE139" s="140"/>
      <c r="CF139" s="271"/>
      <c r="CG139" s="271"/>
      <c r="CH139" s="271"/>
      <c r="CI139" s="140"/>
      <c r="CJ139" s="154"/>
      <c r="CK139" s="154"/>
      <c r="CL139" s="154"/>
      <c r="CM139" s="140"/>
      <c r="CN139" s="271"/>
      <c r="CO139" s="271"/>
      <c r="CP139" s="271"/>
      <c r="CQ139" s="140"/>
      <c r="CR139" s="154"/>
      <c r="CS139" s="154"/>
      <c r="CT139" s="154"/>
      <c r="CU139" s="140"/>
      <c r="CV139" s="154"/>
      <c r="CW139" s="154"/>
      <c r="CX139" s="220"/>
      <c r="CY139" s="140"/>
      <c r="CZ139" s="154"/>
      <c r="DA139" s="154"/>
      <c r="DB139" s="220"/>
      <c r="DC139" s="140"/>
      <c r="DD139" s="146"/>
      <c r="DE139" s="146"/>
      <c r="DF139" s="146"/>
      <c r="DG139" s="140"/>
      <c r="DH139" s="146"/>
      <c r="DI139" s="146"/>
      <c r="DJ139" s="146"/>
      <c r="DK139" s="146"/>
      <c r="DL139" s="146"/>
      <c r="DM139" s="146"/>
      <c r="DN139" s="146"/>
      <c r="DO139" s="146"/>
      <c r="DP139" s="146"/>
      <c r="DQ139" s="146"/>
      <c r="DR139" s="146"/>
      <c r="DS139" s="140"/>
      <c r="DT139" s="154"/>
      <c r="DU139" s="154"/>
      <c r="DV139" s="154"/>
      <c r="DW139" s="140"/>
      <c r="DX139" s="220"/>
      <c r="DY139" s="220"/>
      <c r="DZ139" s="220"/>
      <c r="EA139" s="140"/>
      <c r="EB139" s="220"/>
      <c r="EC139" s="220"/>
      <c r="ED139" s="220"/>
      <c r="EE139" s="140"/>
      <c r="EF139" s="154"/>
      <c r="EG139" s="154"/>
      <c r="EH139" s="154"/>
      <c r="EI139" s="140"/>
      <c r="EJ139" s="154"/>
      <c r="EK139" s="154"/>
      <c r="EL139" s="154"/>
      <c r="EM139" s="140"/>
      <c r="EN139" s="222"/>
      <c r="EO139" s="222"/>
      <c r="EP139" s="222"/>
      <c r="EQ139" s="140"/>
      <c r="ER139" s="222"/>
      <c r="ES139" s="222"/>
      <c r="ET139" s="222"/>
      <c r="EU139" s="140"/>
      <c r="EV139" s="222"/>
      <c r="EW139" s="222"/>
      <c r="EX139" s="222"/>
      <c r="EY139" s="344"/>
      <c r="EZ139" s="222"/>
      <c r="FA139" s="222"/>
      <c r="FB139" s="222"/>
      <c r="FC139" s="273"/>
      <c r="FD139" s="223"/>
      <c r="FE139" s="223"/>
      <c r="FF139" s="276"/>
      <c r="FG139" s="156"/>
      <c r="FH139" s="156"/>
      <c r="FI139" s="156"/>
      <c r="FJ139" s="140"/>
      <c r="FK139" s="277"/>
      <c r="FL139" s="277"/>
      <c r="FM139" s="277"/>
      <c r="FN139" s="140"/>
      <c r="FO139" s="277"/>
      <c r="FP139" s="277"/>
      <c r="FQ139" s="277"/>
      <c r="FR139" s="280"/>
      <c r="FS139" s="277"/>
      <c r="FT139" s="277"/>
      <c r="FU139" s="277"/>
      <c r="FV139" s="277"/>
      <c r="FW139" s="277"/>
      <c r="FX139" s="277"/>
      <c r="FY139" s="277"/>
      <c r="FZ139" s="277"/>
      <c r="GA139" s="277"/>
      <c r="GB139" s="277"/>
      <c r="GC139" s="277"/>
      <c r="GD139" s="277"/>
      <c r="GE139" s="277"/>
      <c r="GF139" s="277"/>
      <c r="GG139" s="277"/>
      <c r="GH139" s="277"/>
      <c r="GI139" s="277"/>
      <c r="GJ139" s="277"/>
      <c r="GK139" s="277"/>
      <c r="GL139" s="277"/>
      <c r="GM139" s="277"/>
      <c r="GN139" s="277"/>
      <c r="GO139" s="277"/>
      <c r="GP139" s="277"/>
      <c r="GQ139" s="277"/>
      <c r="GR139" s="277"/>
      <c r="GS139" s="277"/>
      <c r="GT139" s="277"/>
      <c r="GU139" s="277"/>
      <c r="GV139" s="277"/>
      <c r="GW139" s="277"/>
      <c r="GX139" s="277"/>
      <c r="GY139" s="277"/>
      <c r="GZ139" s="277"/>
      <c r="HA139" s="277"/>
      <c r="HB139" s="277"/>
      <c r="HC139" s="277"/>
      <c r="HD139" s="277"/>
      <c r="HE139" s="277"/>
      <c r="HF139" s="140"/>
      <c r="HG139" s="277"/>
      <c r="HH139" s="277"/>
      <c r="HI139" s="277"/>
      <c r="HJ139" s="140"/>
      <c r="HK139" s="277"/>
      <c r="HL139" s="277"/>
      <c r="HM139" s="277"/>
      <c r="HN139" s="140"/>
      <c r="HO139" s="277"/>
      <c r="HP139" s="277"/>
      <c r="HQ139" s="277"/>
      <c r="HR139" s="277"/>
      <c r="HS139" s="277"/>
      <c r="HT139" s="277"/>
      <c r="HU139" s="277"/>
      <c r="HV139" s="277"/>
      <c r="HW139" s="277"/>
      <c r="HX139" s="277"/>
      <c r="HY139" s="277"/>
      <c r="HZ139" s="140"/>
      <c r="IA139" s="277"/>
      <c r="IB139" s="277"/>
      <c r="IC139" s="277"/>
      <c r="ID139" s="140"/>
      <c r="IE139" s="277"/>
      <c r="IF139" s="277"/>
      <c r="IG139" s="277"/>
      <c r="IH139" s="140"/>
      <c r="II139" s="277"/>
      <c r="IJ139" s="277"/>
      <c r="IK139" s="277"/>
      <c r="IL139" s="140"/>
      <c r="IM139" s="277"/>
      <c r="IN139" s="277"/>
      <c r="IO139" s="277"/>
      <c r="IP139" s="277"/>
      <c r="IQ139" s="277"/>
      <c r="IR139" s="277"/>
      <c r="IS139" s="277"/>
      <c r="IT139" s="277"/>
      <c r="IU139" s="277"/>
      <c r="IV139" s="277"/>
      <c r="IW139" s="277"/>
      <c r="IX139" s="140"/>
      <c r="IY139" s="277"/>
      <c r="IZ139" s="277"/>
      <c r="JA139" s="277"/>
      <c r="JB139" s="140"/>
      <c r="JC139" s="277"/>
      <c r="JD139" s="277"/>
      <c r="JE139" s="277"/>
      <c r="JF139" s="140"/>
      <c r="JG139" s="277"/>
      <c r="JH139" s="277"/>
      <c r="JI139" s="140"/>
      <c r="JJ139" s="277"/>
      <c r="JK139" s="277"/>
      <c r="JL139" s="140"/>
      <c r="JM139" s="277"/>
      <c r="JN139" s="277"/>
      <c r="JO139" s="140"/>
      <c r="JP139" s="277"/>
      <c r="JQ139" s="277"/>
      <c r="JR139" s="277"/>
      <c r="JS139" s="277"/>
      <c r="JT139" s="277"/>
      <c r="JU139" s="277"/>
      <c r="JV139" s="277"/>
      <c r="JW139" s="277"/>
      <c r="JX139" s="277"/>
      <c r="JY139" s="277"/>
      <c r="JZ139" s="277"/>
      <c r="KA139" s="277"/>
      <c r="KB139" s="277"/>
      <c r="KC139" s="277"/>
      <c r="KD139" s="277"/>
      <c r="KE139" s="277"/>
      <c r="KF139" s="277"/>
      <c r="KG139" s="277"/>
      <c r="KH139" s="277"/>
      <c r="KI139" s="277"/>
      <c r="KJ139" s="277"/>
      <c r="KK139" s="277"/>
      <c r="KL139" s="277"/>
      <c r="KM139" s="277"/>
      <c r="KN139" s="277"/>
      <c r="KO139" s="277"/>
      <c r="KP139" s="274"/>
      <c r="KQ139" s="253"/>
      <c r="KR139" s="253"/>
      <c r="KS139" s="346">
        <v>40</v>
      </c>
      <c r="KT139" s="346">
        <v>1000</v>
      </c>
      <c r="KU139" s="346" t="s">
        <v>759</v>
      </c>
      <c r="KY139" s="141">
        <f t="shared" si="57"/>
        <v>560</v>
      </c>
      <c r="KZ139" s="141">
        <f t="shared" si="58"/>
        <v>0</v>
      </c>
      <c r="LB139" s="141">
        <f t="shared" si="59"/>
        <v>1</v>
      </c>
      <c r="LC139" s="141">
        <f t="shared" si="60"/>
        <v>0</v>
      </c>
      <c r="LD139" s="141">
        <f t="shared" si="61"/>
        <v>0</v>
      </c>
      <c r="LE139" s="141" t="e">
        <f>((N(AU139)&gt;0)*(AX139&lt;&gt;"")+(N(AY139)&gt;0)*(BB139&lt;&gt;"")+(N(BC139)&gt;0)*(BF139&lt;&gt;"")+(N(BG139)&gt;0)*(BJ139&lt;&gt;"")+(N(BK139)&gt;0)*(BN139&lt;&gt;"")+(N(BO139)&gt;0)*(BR139&lt;&gt;"")+(N(BS139)&gt;0)*(BV139&lt;&gt;"")+(N(BW139)&gt;0)*(BZ139&lt;&gt;"")+(N(CA139)&gt;0)*(CD139&lt;&gt;"")+(N(CE139)&gt;0)*(CH139&lt;&gt;"")+(N(CI139)&gt;0)*(CL139&lt;&gt;"")+(N(CM139)&gt;0)*(CP139&lt;&gt;"")+(N(CQ139)&gt;0)*(CT139&lt;&gt;"")+(N(CU139)&gt;0)*(CX139&lt;&gt;"")+(N(CY139)&gt;0)*(DB139&lt;&gt;"")+(N(DC139)&gt;0)*(DF139&lt;&gt;"")+(N(DG139)&gt;0)*(DJ139&lt;&gt;"")+(N(DS139)&gt;0)*(DV139&lt;&gt;"")+(N(DW139)&gt;0)*(DZ139&lt;&gt;"")+(N(EA139)&gt;0)*(ED139&lt;&gt;"")+(N(EE139)&gt;0)*(EH139&lt;&gt;"")+(N(EI139)&gt;0)*(EL139&lt;&gt;"")+(N(EM139)&gt;0)*(EP139&lt;&gt;"")+(N(EQ139)&gt;0)*(ET139&lt;&gt;"")+(N(EU139)&gt;0)*(EX139&lt;&gt;"")+(N(#REF!)&gt;0)*(#REF!&lt;&gt;"")+(N(#REF!)&gt;0)*(#REF!&lt;&gt;"")+(N(FJ139)&gt;0)*(FM139&lt;&gt;"")+(N(FN139)&gt;0)*(FQ139&lt;&gt;"")+(N(#REF!)&gt;0)*(#REF!&lt;&gt;"")+(N(#REF!)&gt;0)*(#REF!&lt;&gt;"")+(N(HF139)&gt;0)*(HI139&lt;&gt;"")+(N(#REF!)&gt;0)*(#REF!&lt;&gt;"")+(N(HJ139)&gt;0)*(HM139&lt;&gt;"")+(N(HN139)&gt;0)*(HQ139&lt;&gt;"")+(N(HZ139)&gt;0)*(IC139&lt;&gt;"")+(N(ID139)&gt;0)*(IG139&lt;&gt;"")+(N(IH139)&gt;0)*(IK139&lt;&gt;"")+(N(IL139)&gt;0)*(IO139&lt;&gt;"")+(N(IX139)&gt;0)*(JA139&lt;&gt;"")+(N(JB139)&gt;0)*(JE139&lt;&gt;"")+(N(JF139)&gt;0)*(JH139&lt;&gt;"")+(N(JI139)&gt;0)*(JK139&lt;&gt;"")+(N(JL139)&gt;0)*(JN139&lt;&gt;"")+(N(JO139)&gt;0)*(JQ139&lt;&gt;""))</f>
        <v>#REF!</v>
      </c>
      <c r="LF139" s="141">
        <f t="shared" si="48"/>
        <v>0</v>
      </c>
      <c r="LG139" s="141">
        <f t="shared" si="62"/>
        <v>0</v>
      </c>
    </row>
    <row r="140" spans="1:319" ht="38.25" customHeight="1" x14ac:dyDescent="0.55000000000000004">
      <c r="B140" s="506" t="s">
        <v>177</v>
      </c>
      <c r="C140" s="218">
        <v>4</v>
      </c>
      <c r="D140" s="218">
        <v>3</v>
      </c>
      <c r="E140" s="218">
        <v>3</v>
      </c>
      <c r="F140" s="162">
        <f>($AI$140/$AJ$140)*$L$140*C140</f>
        <v>6048</v>
      </c>
      <c r="G140" s="162">
        <f>($AI$140/$AJ$140)*$L$140*D140</f>
        <v>4536</v>
      </c>
      <c r="H140" s="162">
        <f>($AI$140/$AJ$140)*$L$140*E140</f>
        <v>4536</v>
      </c>
      <c r="I140" s="162" cm="1">
        <f t="array" ref="I140">SUMPRODUCT(($AI$2:$KV$2&lt;&gt;"")*($AI140:$KV140&lt;&gt;""))</f>
        <v>5</v>
      </c>
      <c r="J140" s="142">
        <f t="shared" si="43"/>
        <v>20</v>
      </c>
      <c r="K140" s="142">
        <f t="shared" si="44"/>
        <v>280</v>
      </c>
      <c r="L140" s="268">
        <f t="shared" si="49"/>
        <v>7000</v>
      </c>
      <c r="M140" s="164">
        <f t="shared" si="45"/>
        <v>22680</v>
      </c>
      <c r="N140" s="397"/>
      <c r="O140" s="165">
        <f t="shared" si="46"/>
        <v>38500</v>
      </c>
      <c r="P140" s="165"/>
      <c r="Q140" s="165"/>
      <c r="R140" s="165">
        <f>(IFERROR(AM140/AN140,0)+IFERROR(AU140/AV140,0)+IFERROR(AY140/AZ140,0)+IFERROR(BC140/BD140,0)+IFERROR(BG140/BH140,0)+IFERROR(BK140/BL140,0)+IFERROR(BO140/BP140,0)+IFERROR(BS140/BT140,0)+IFERROR(BW140/BX140,0)+IFERROR(CA140/CB140,0)+IFERROR(CE140/CF140,0)+IFERROR(CI140/CJ140,0)+IFERROR(CM140/CN140,0)+IFERROR(CQ140/CR140,0)+IFERROR(CU140/CV140,0)+IFERROR(CY140/CZ140,0)+IFERROR(DC140/DD140,0)+IFERROR(DG140/DH140,0)+IFERROR(DS140/DT140,0)+IFERROR(DW140/DX140,0)+IFERROR(EA140/EB140,0)+IFERROR(EE140/EF140,0)+IFERROR(EI140/EJ140,0)+IFERROR(EM140/EN140,0)+IFERROR(EQ140/ER140,0)+IFERROR(EU140/EV140,0)+IFERROR(#REF!/#REF!,0)+IFERROR(#REF!/#REF!,0)+IFERROR(FJ140/FK140,0)+IFERROR(FN140/FO140,0)+IFERROR(#REF!/#REF!,0)+IFERROR(#REF!/#REF!,0)+IFERROR(HF140/HG140,0)+IFERROR(#REF!/#REF!,0)+IFERROR(HJ140/HK140,0)+IFERROR(HN140/HO140,0)+IFERROR(HZ140/IA140,0)+IFERROR(ID140/IE140,0)+IFERROR(IH140/II140,0)+IFERROR(IL140/IM140,0)+IFERROR(IX140/IY140,0)+IFERROR(JB140/JC140,0)+IFERROR(JF140/JG140,0)+IFERROR(JI140/JJ140,0)+IFERROR(JL140/JM140,0)+IFERROR(JO140/JP140,0))*L140*(C140+D140+E140+I140)</f>
        <v>630</v>
      </c>
      <c r="S140" s="165"/>
      <c r="T140" s="165">
        <f t="shared" si="55"/>
        <v>0</v>
      </c>
      <c r="U140" s="165"/>
      <c r="V140" s="165"/>
      <c r="W140" s="165"/>
      <c r="X140" s="165">
        <f>(IFERROR(FF140/FG140,0)+IFERROR(FC140/FD140,0)+IFERROR(#REF!/#REF!,0)+IFERROR(KP140/KQ140,0))*L140*(C140+D140+E140+I140)</f>
        <v>0</v>
      </c>
      <c r="Y140" s="484"/>
      <c r="Z140" s="484"/>
      <c r="AA140" s="484"/>
      <c r="AB140" s="484"/>
      <c r="AC140" s="150">
        <f t="shared" si="47"/>
        <v>3394.9999999999995</v>
      </c>
      <c r="AD140" s="150"/>
      <c r="AE140" s="150">
        <f t="shared" si="56"/>
        <v>9870</v>
      </c>
      <c r="AF140" s="161">
        <v>800</v>
      </c>
      <c r="AG140" s="143">
        <v>97</v>
      </c>
      <c r="AH140" s="154">
        <v>3000</v>
      </c>
      <c r="AI140" s="144">
        <v>54</v>
      </c>
      <c r="AJ140" s="154">
        <v>250</v>
      </c>
      <c r="AK140" s="489" t="s">
        <v>81</v>
      </c>
      <c r="AL140" s="154" t="s">
        <v>560</v>
      </c>
      <c r="AM140" s="140"/>
      <c r="AN140" s="154"/>
      <c r="AO140" s="154"/>
      <c r="AP140" s="220"/>
      <c r="AQ140" s="145">
        <v>550</v>
      </c>
      <c r="AR140" s="154">
        <v>1500</v>
      </c>
      <c r="AS140" s="496" t="s">
        <v>1078</v>
      </c>
      <c r="AT140" s="154" t="s">
        <v>1154</v>
      </c>
      <c r="AU140" s="140"/>
      <c r="AV140" s="277"/>
      <c r="AW140" s="277"/>
      <c r="AX140" s="277"/>
      <c r="AY140" s="140"/>
      <c r="AZ140" s="277"/>
      <c r="BA140" s="277"/>
      <c r="BB140" s="277"/>
      <c r="BC140" s="140"/>
      <c r="BD140" s="277"/>
      <c r="BE140" s="277"/>
      <c r="BF140" s="277"/>
      <c r="BG140" s="140"/>
      <c r="BH140" s="277"/>
      <c r="BI140" s="277"/>
      <c r="BJ140" s="277"/>
      <c r="BK140" s="140"/>
      <c r="BL140" s="277"/>
      <c r="BM140" s="277"/>
      <c r="BN140" s="277"/>
      <c r="BO140" s="140"/>
      <c r="BP140" s="277"/>
      <c r="BQ140" s="277"/>
      <c r="BR140" s="277"/>
      <c r="BS140" s="140"/>
      <c r="BT140" s="277"/>
      <c r="BU140" s="277"/>
      <c r="BV140" s="277"/>
      <c r="BW140" s="140"/>
      <c r="BX140" s="154"/>
      <c r="BY140" s="154"/>
      <c r="BZ140" s="220"/>
      <c r="CA140" s="140"/>
      <c r="CB140" s="154"/>
      <c r="CC140" s="154"/>
      <c r="CD140" s="220"/>
      <c r="CE140" s="493">
        <v>3</v>
      </c>
      <c r="CF140" s="154">
        <v>1000</v>
      </c>
      <c r="CG140" s="493" t="s">
        <v>345</v>
      </c>
      <c r="CH140" s="154" t="s">
        <v>345</v>
      </c>
      <c r="CI140" s="493">
        <v>3</v>
      </c>
      <c r="CJ140" s="154">
        <v>1000</v>
      </c>
      <c r="CK140" s="493" t="s">
        <v>345</v>
      </c>
      <c r="CL140" s="154" t="s">
        <v>345</v>
      </c>
      <c r="CM140" s="140"/>
      <c r="CN140" s="271"/>
      <c r="CO140" s="271"/>
      <c r="CP140" s="271"/>
      <c r="CQ140" s="140"/>
      <c r="CR140" s="154"/>
      <c r="CS140" s="154"/>
      <c r="CT140" s="154"/>
      <c r="CU140" s="140"/>
      <c r="CV140" s="154"/>
      <c r="CW140" s="154"/>
      <c r="CX140" s="220"/>
      <c r="CY140" s="140"/>
      <c r="CZ140" s="154"/>
      <c r="DA140" s="154"/>
      <c r="DB140" s="220"/>
      <c r="DC140" s="140"/>
      <c r="DD140" s="146"/>
      <c r="DE140" s="146"/>
      <c r="DF140" s="146"/>
      <c r="DG140" s="140"/>
      <c r="DH140" s="146"/>
      <c r="DI140" s="146"/>
      <c r="DJ140" s="146"/>
      <c r="DK140" s="146"/>
      <c r="DL140" s="146"/>
      <c r="DM140" s="146"/>
      <c r="DN140" s="146"/>
      <c r="DO140" s="146"/>
      <c r="DP140" s="146"/>
      <c r="DQ140" s="146"/>
      <c r="DR140" s="146"/>
      <c r="DS140" s="140"/>
      <c r="DT140" s="154"/>
      <c r="DU140" s="154"/>
      <c r="DV140" s="154"/>
      <c r="DW140" s="140"/>
      <c r="DX140" s="220"/>
      <c r="DY140" s="220"/>
      <c r="DZ140" s="220"/>
      <c r="EA140" s="140"/>
      <c r="EB140" s="220"/>
      <c r="EC140" s="220"/>
      <c r="ED140" s="220"/>
      <c r="EE140" s="140"/>
      <c r="EF140" s="154"/>
      <c r="EG140" s="154"/>
      <c r="EH140" s="154"/>
      <c r="EI140" s="140"/>
      <c r="EJ140" s="154"/>
      <c r="EK140" s="154"/>
      <c r="EL140" s="154"/>
      <c r="EM140" s="140"/>
      <c r="EN140" s="222"/>
      <c r="EO140" s="222"/>
      <c r="EP140" s="222"/>
      <c r="EQ140" s="140"/>
      <c r="ER140" s="222"/>
      <c r="ES140" s="222"/>
      <c r="ET140" s="222"/>
      <c r="EU140" s="493"/>
      <c r="EV140" s="154"/>
      <c r="EW140" s="493" t="s">
        <v>345</v>
      </c>
      <c r="EX140" s="154" t="s">
        <v>345</v>
      </c>
      <c r="EY140" s="336">
        <v>47</v>
      </c>
      <c r="EZ140" s="512">
        <v>500</v>
      </c>
      <c r="FA140" s="336" t="s">
        <v>152</v>
      </c>
      <c r="FB140" s="512" t="s">
        <v>533</v>
      </c>
      <c r="FC140" s="273"/>
      <c r="FD140" s="223"/>
      <c r="FE140" s="223"/>
      <c r="FF140" s="276"/>
      <c r="FG140" s="156"/>
      <c r="FH140" s="156"/>
      <c r="FI140" s="156"/>
      <c r="FJ140" s="140"/>
      <c r="FK140" s="277"/>
      <c r="FL140" s="277"/>
      <c r="FM140" s="277"/>
      <c r="FN140" s="140"/>
      <c r="FO140" s="277"/>
      <c r="FP140" s="277"/>
      <c r="FQ140" s="277"/>
      <c r="FR140" s="280"/>
      <c r="FS140" s="277"/>
      <c r="FT140" s="277"/>
      <c r="FU140" s="277"/>
      <c r="FV140" s="277"/>
      <c r="FW140" s="277"/>
      <c r="FX140" s="277"/>
      <c r="FY140" s="277"/>
      <c r="FZ140" s="277"/>
      <c r="GA140" s="277"/>
      <c r="GB140" s="277"/>
      <c r="GC140" s="277"/>
      <c r="GD140" s="277"/>
      <c r="GE140" s="277"/>
      <c r="GF140" s="277"/>
      <c r="GG140" s="277"/>
      <c r="GH140" s="277"/>
      <c r="GI140" s="277"/>
      <c r="GJ140" s="277"/>
      <c r="GK140" s="277"/>
      <c r="GL140" s="277"/>
      <c r="GM140" s="277"/>
      <c r="GN140" s="277"/>
      <c r="GO140" s="277"/>
      <c r="GP140" s="277"/>
      <c r="GQ140" s="277"/>
      <c r="GR140" s="277"/>
      <c r="GS140" s="277"/>
      <c r="GT140" s="277"/>
      <c r="GU140" s="277"/>
      <c r="GV140" s="277"/>
      <c r="GW140" s="277"/>
      <c r="GX140" s="277"/>
      <c r="GY140" s="277"/>
      <c r="GZ140" s="277"/>
      <c r="HA140" s="277"/>
      <c r="HB140" s="277"/>
      <c r="HC140" s="277"/>
      <c r="HD140" s="277"/>
      <c r="HE140" s="277"/>
      <c r="HF140" s="140"/>
      <c r="HG140" s="277"/>
      <c r="HH140" s="277"/>
      <c r="HI140" s="277"/>
      <c r="HJ140" s="140"/>
      <c r="HK140" s="277"/>
      <c r="HL140" s="277"/>
      <c r="HM140" s="277"/>
      <c r="HN140" s="140"/>
      <c r="HO140" s="277"/>
      <c r="HP140" s="277"/>
      <c r="HQ140" s="277"/>
      <c r="HR140" s="277"/>
      <c r="HS140" s="277"/>
      <c r="HT140" s="277"/>
      <c r="HU140" s="277"/>
      <c r="HV140" s="277"/>
      <c r="HW140" s="277"/>
      <c r="HX140" s="277"/>
      <c r="HY140" s="277"/>
      <c r="HZ140" s="140"/>
      <c r="IA140" s="277"/>
      <c r="IB140" s="277"/>
      <c r="IC140" s="277"/>
      <c r="ID140" s="140"/>
      <c r="IE140" s="277"/>
      <c r="IF140" s="277"/>
      <c r="IG140" s="277"/>
      <c r="IH140" s="140"/>
      <c r="II140" s="277"/>
      <c r="IJ140" s="277"/>
      <c r="IK140" s="277"/>
      <c r="IL140" s="140"/>
      <c r="IM140" s="277"/>
      <c r="IN140" s="277"/>
      <c r="IO140" s="277"/>
      <c r="IP140" s="277"/>
      <c r="IQ140" s="277"/>
      <c r="IR140" s="277"/>
      <c r="IS140" s="277"/>
      <c r="IT140" s="277"/>
      <c r="IU140" s="277"/>
      <c r="IV140" s="277"/>
      <c r="IW140" s="277"/>
      <c r="IX140" s="140"/>
      <c r="IY140" s="277"/>
      <c r="IZ140" s="277"/>
      <c r="JA140" s="277"/>
      <c r="JB140" s="140"/>
      <c r="JC140" s="277"/>
      <c r="JD140" s="277"/>
      <c r="JE140" s="277"/>
      <c r="JF140" s="140"/>
      <c r="JG140" s="277"/>
      <c r="JH140" s="277"/>
      <c r="JI140" s="140"/>
      <c r="JJ140" s="277"/>
      <c r="JK140" s="277"/>
      <c r="JL140" s="140"/>
      <c r="JM140" s="277"/>
      <c r="JN140" s="277"/>
      <c r="JO140" s="140"/>
      <c r="JP140" s="277"/>
      <c r="JQ140" s="277"/>
      <c r="JR140" s="277"/>
      <c r="JS140" s="277"/>
      <c r="JT140" s="277"/>
      <c r="JU140" s="277"/>
      <c r="JV140" s="277"/>
      <c r="JW140" s="277"/>
      <c r="JX140" s="277"/>
      <c r="JY140" s="277"/>
      <c r="JZ140" s="277"/>
      <c r="KA140" s="277"/>
      <c r="KB140" s="277"/>
      <c r="KC140" s="277"/>
      <c r="KD140" s="277"/>
      <c r="KE140" s="277"/>
      <c r="KF140" s="277"/>
      <c r="KG140" s="277"/>
      <c r="KH140" s="277"/>
      <c r="KI140" s="277"/>
      <c r="KJ140" s="277"/>
      <c r="KK140" s="277"/>
      <c r="KL140" s="277"/>
      <c r="KM140" s="277"/>
      <c r="KN140" s="277"/>
      <c r="KO140" s="277"/>
      <c r="KP140" s="274"/>
      <c r="KQ140" s="253"/>
      <c r="KR140" s="253"/>
      <c r="KY140" s="141">
        <f t="shared" si="57"/>
        <v>0</v>
      </c>
      <c r="KZ140" s="141">
        <f t="shared" si="58"/>
        <v>0</v>
      </c>
      <c r="LB140" s="141">
        <f t="shared" si="59"/>
        <v>1</v>
      </c>
      <c r="LC140" s="141">
        <f t="shared" si="60"/>
        <v>0</v>
      </c>
      <c r="LD140" s="141">
        <f t="shared" si="61"/>
        <v>1</v>
      </c>
      <c r="LE140" s="141" t="e">
        <f>((N(AU140)&gt;0)*(AX140&lt;&gt;"")+(N(AY140)&gt;0)*(BB140&lt;&gt;"")+(N(BC140)&gt;0)*(BF140&lt;&gt;"")+(N(BG140)&gt;0)*(BJ140&lt;&gt;"")+(N(BK140)&gt;0)*(BN140&lt;&gt;"")+(N(BO140)&gt;0)*(BR140&lt;&gt;"")+(N(BS140)&gt;0)*(BV140&lt;&gt;"")+(N(BW140)&gt;0)*(BZ140&lt;&gt;"")+(N(CA140)&gt;0)*(CD140&lt;&gt;"")+(N(CE140)&gt;0)*(CH140&lt;&gt;"")+(N(CI140)&gt;0)*(CL140&lt;&gt;"")+(N(CM140)&gt;0)*(CP140&lt;&gt;"")+(N(CQ140)&gt;0)*(CT140&lt;&gt;"")+(N(CU140)&gt;0)*(CX140&lt;&gt;"")+(N(CY140)&gt;0)*(DB140&lt;&gt;"")+(N(DC140)&gt;0)*(DF140&lt;&gt;"")+(N(DG140)&gt;0)*(DJ140&lt;&gt;"")+(N(DS140)&gt;0)*(DV140&lt;&gt;"")+(N(DW140)&gt;0)*(DZ140&lt;&gt;"")+(N(EA140)&gt;0)*(ED140&lt;&gt;"")+(N(EE140)&gt;0)*(EH140&lt;&gt;"")+(N(EI140)&gt;0)*(EL140&lt;&gt;"")+(N(EM140)&gt;0)*(EP140&lt;&gt;"")+(N(EQ140)&gt;0)*(ET140&lt;&gt;"")+(N(EU140)&gt;0)*(EX140&lt;&gt;"")+(N(#REF!)&gt;0)*(#REF!&lt;&gt;"")+(N(#REF!)&gt;0)*(#REF!&lt;&gt;"")+(N(FJ140)&gt;0)*(FM140&lt;&gt;"")+(N(FN140)&gt;0)*(FQ140&lt;&gt;"")+(N(#REF!)&gt;0)*(#REF!&lt;&gt;"")+(N(#REF!)&gt;0)*(#REF!&lt;&gt;"")+(N(HF140)&gt;0)*(HI140&lt;&gt;"")+(N(#REF!)&gt;0)*(#REF!&lt;&gt;"")+(N(HJ140)&gt;0)*(HM140&lt;&gt;"")+(N(HN140)&gt;0)*(HQ140&lt;&gt;"")+(N(HZ140)&gt;0)*(IC140&lt;&gt;"")+(N(ID140)&gt;0)*(IG140&lt;&gt;"")+(N(IH140)&gt;0)*(IK140&lt;&gt;"")+(N(IL140)&gt;0)*(IO140&lt;&gt;"")+(N(IX140)&gt;0)*(JA140&lt;&gt;"")+(N(JB140)&gt;0)*(JE140&lt;&gt;"")+(N(JF140)&gt;0)*(JH140&lt;&gt;"")+(N(JI140)&gt;0)*(JK140&lt;&gt;"")+(N(JL140)&gt;0)*(JN140&lt;&gt;"")+(N(JO140)&gt;0)*(JQ140&lt;&gt;""))</f>
        <v>#REF!</v>
      </c>
      <c r="LF140" s="141">
        <f t="shared" si="48"/>
        <v>1</v>
      </c>
      <c r="LG140" s="141">
        <f t="shared" si="62"/>
        <v>1</v>
      </c>
    </row>
    <row r="141" spans="1:319" ht="38.25" customHeight="1" x14ac:dyDescent="0.55000000000000004">
      <c r="A141" s="141" t="s">
        <v>197</v>
      </c>
      <c r="B141" s="506" t="s">
        <v>178</v>
      </c>
      <c r="C141" s="218">
        <v>0</v>
      </c>
      <c r="D141" s="218">
        <v>4</v>
      </c>
      <c r="E141" s="218">
        <v>5</v>
      </c>
      <c r="F141" s="162">
        <f>($AI$141/$AJ$141)*$L$141*C141</f>
        <v>0</v>
      </c>
      <c r="G141" s="162">
        <f>($AI$141/$AJ$141)*$L$141*D141</f>
        <v>6048</v>
      </c>
      <c r="H141" s="162">
        <f>($AI$141/$AJ$141)*$L$141*E141</f>
        <v>7560</v>
      </c>
      <c r="I141" s="162" cm="1">
        <f t="array" ref="I141">SUMPRODUCT(($AI$2:$KV$2&lt;&gt;"")*($AI141:$KV141&lt;&gt;""))</f>
        <v>6</v>
      </c>
      <c r="J141" s="142">
        <f t="shared" si="43"/>
        <v>0</v>
      </c>
      <c r="K141" s="142">
        <f t="shared" si="44"/>
        <v>0</v>
      </c>
      <c r="L141" s="268">
        <f t="shared" si="49"/>
        <v>7000</v>
      </c>
      <c r="M141" s="164">
        <f t="shared" si="45"/>
        <v>22680</v>
      </c>
      <c r="N141" s="397"/>
      <c r="O141" s="165">
        <f t="shared" si="46"/>
        <v>50400</v>
      </c>
      <c r="P141" s="165"/>
      <c r="Q141" s="165"/>
      <c r="R141" s="165">
        <f>(IFERROR(AM141/AN141,0)+IFERROR(AU141/AV141,0)+IFERROR(AY141/AZ141,0)+IFERROR(BC141/BD141,0)+IFERROR(BG141/BH141,0)+IFERROR(BK141/BL141,0)+IFERROR(BO141/BP141,0)+IFERROR(BS141/BT141,0)+IFERROR(BW141/BX141,0)+IFERROR(CA141/CB141,0)+IFERROR(CE141/CF141,0)+IFERROR(CI141/CJ141,0)+IFERROR(CM141/CN141,0)+IFERROR(CQ141/CR141,0)+IFERROR(CU141/CV141,0)+IFERROR(CY141/CZ141,0)+IFERROR(DC141/DD141,0)+IFERROR(DG141/DH141,0)+IFERROR(DS141/DT141,0)+IFERROR(DW141/DX141,0)+IFERROR(EA141/EB141,0)+IFERROR(EE141/EF141,0)+IFERROR(EI141/EJ141,0)+IFERROR(EM141/EN141,0)+IFERROR(EQ141/ER141,0)+IFERROR(EU141/EV141,0)+IFERROR(#REF!/#REF!,0)+IFERROR(#REF!/#REF!,0)+IFERROR(FJ141/FK141,0)+IFERROR(FN141/FO141,0)+IFERROR(#REF!/#REF!,0)+IFERROR(#REF!/#REF!,0)+IFERROR(HF141/HG141,0)+IFERROR(#REF!/#REF!,0)+IFERROR(HJ141/HK141,0)+IFERROR(HN141/HO141,0)+IFERROR(HZ141/IA141,0)+IFERROR(ID141/IE141,0)+IFERROR(IH141/II141,0)+IFERROR(IL141/IM141,0)+IFERROR(IX141/IY141,0)+IFERROR(JB141/JC141,0)+IFERROR(JF141/JG141,0)+IFERROR(JI141/JJ141,0)+IFERROR(JL141/JM141,0)+IFERROR(JO141/JP141,0))*L141*(C141+D141+E141+I141)</f>
        <v>22575.000000000004</v>
      </c>
      <c r="S141" s="165"/>
      <c r="T141" s="165">
        <f t="shared" si="55"/>
        <v>0</v>
      </c>
      <c r="U141" s="165"/>
      <c r="V141" s="165"/>
      <c r="W141" s="165"/>
      <c r="X141" s="165">
        <f>(IFERROR(FF141/FG141,0)+IFERROR(FC141/FD141,0)+IFERROR(#REF!/#REF!,0)+IFERROR(KP141/KQ141,0))*L141*(C141+D141+E141+I141)</f>
        <v>0</v>
      </c>
      <c r="Y141" s="484"/>
      <c r="Z141" s="484"/>
      <c r="AA141" s="484"/>
      <c r="AB141" s="484"/>
      <c r="AC141" s="150">
        <f t="shared" si="47"/>
        <v>1575</v>
      </c>
      <c r="AD141" s="150"/>
      <c r="AE141" s="150">
        <f t="shared" si="56"/>
        <v>10500</v>
      </c>
      <c r="AF141" s="161">
        <v>1500</v>
      </c>
      <c r="AG141" s="143">
        <v>60</v>
      </c>
      <c r="AH141" s="154">
        <v>4000</v>
      </c>
      <c r="AI141" s="144">
        <v>54</v>
      </c>
      <c r="AJ141" s="154">
        <v>250</v>
      </c>
      <c r="AK141" s="489" t="s">
        <v>81</v>
      </c>
      <c r="AL141" s="154" t="s">
        <v>560</v>
      </c>
      <c r="AM141" s="140"/>
      <c r="AN141" s="154"/>
      <c r="AO141" s="154"/>
      <c r="AP141" s="220"/>
      <c r="AQ141" s="145">
        <v>720</v>
      </c>
      <c r="AR141" s="154">
        <v>1500</v>
      </c>
      <c r="AS141" s="496" t="s">
        <v>1078</v>
      </c>
      <c r="AT141" s="220" t="s">
        <v>561</v>
      </c>
      <c r="AU141" s="140"/>
      <c r="AV141" s="277"/>
      <c r="AW141" s="277"/>
      <c r="AX141" s="277"/>
      <c r="AY141" s="140"/>
      <c r="AZ141" s="277"/>
      <c r="BA141" s="277"/>
      <c r="BB141" s="277"/>
      <c r="BC141" s="140"/>
      <c r="BD141" s="277"/>
      <c r="BE141" s="277"/>
      <c r="BF141" s="277"/>
      <c r="BG141" s="140"/>
      <c r="BH141" s="277"/>
      <c r="BI141" s="277"/>
      <c r="BJ141" s="277"/>
      <c r="BK141" s="140"/>
      <c r="BL141" s="277"/>
      <c r="BM141" s="277"/>
      <c r="BN141" s="277"/>
      <c r="BO141" s="140"/>
      <c r="BP141" s="277"/>
      <c r="BQ141" s="277"/>
      <c r="BR141" s="277"/>
      <c r="BS141" s="140"/>
      <c r="BT141" s="277"/>
      <c r="BU141" s="277"/>
      <c r="BV141" s="277"/>
      <c r="BW141" s="140"/>
      <c r="BX141" s="154"/>
      <c r="BY141" s="154"/>
      <c r="BZ141" s="220"/>
      <c r="CA141" s="140"/>
      <c r="CB141" s="154"/>
      <c r="CC141" s="154"/>
      <c r="CD141" s="220"/>
      <c r="CE141" s="482">
        <v>7.5</v>
      </c>
      <c r="CF141" s="154">
        <v>1000</v>
      </c>
      <c r="CG141" s="482" t="s">
        <v>1088</v>
      </c>
      <c r="CH141" s="154" t="s">
        <v>1088</v>
      </c>
      <c r="CI141" s="482">
        <v>7.5</v>
      </c>
      <c r="CJ141" s="154">
        <v>1000</v>
      </c>
      <c r="CK141" s="482" t="s">
        <v>1088</v>
      </c>
      <c r="CL141" s="154" t="s">
        <v>1088</v>
      </c>
      <c r="CM141" s="140"/>
      <c r="CN141" s="271"/>
      <c r="CO141" s="271"/>
      <c r="CP141" s="271"/>
      <c r="CQ141" s="140"/>
      <c r="CR141" s="154"/>
      <c r="CS141" s="154"/>
      <c r="CT141" s="154"/>
      <c r="CU141" s="140"/>
      <c r="CV141" s="154"/>
      <c r="CW141" s="154"/>
      <c r="CX141" s="220"/>
      <c r="CY141" s="140"/>
      <c r="CZ141" s="154"/>
      <c r="DA141" s="154"/>
      <c r="DB141" s="220"/>
      <c r="DC141" s="140"/>
      <c r="DD141" s="146"/>
      <c r="DE141" s="146"/>
      <c r="DF141" s="146"/>
      <c r="DG141" s="140"/>
      <c r="DH141" s="146"/>
      <c r="DI141" s="146"/>
      <c r="DJ141" s="146"/>
      <c r="DK141" s="146"/>
      <c r="DL141" s="146"/>
      <c r="DM141" s="146"/>
      <c r="DN141" s="146"/>
      <c r="DO141" s="146"/>
      <c r="DP141" s="146"/>
      <c r="DQ141" s="146"/>
      <c r="DR141" s="146"/>
      <c r="DS141" s="140"/>
      <c r="DT141" s="154"/>
      <c r="DU141" s="154"/>
      <c r="DV141" s="154"/>
      <c r="DW141" s="140"/>
      <c r="DX141" s="220"/>
      <c r="DY141" s="220"/>
      <c r="DZ141" s="220"/>
      <c r="EA141" s="140"/>
      <c r="EB141" s="220"/>
      <c r="EC141" s="220"/>
      <c r="ED141" s="220"/>
      <c r="EE141" s="140"/>
      <c r="EF141" s="154"/>
      <c r="EG141" s="154"/>
      <c r="EH141" s="154"/>
      <c r="EI141" s="140"/>
      <c r="EJ141" s="154"/>
      <c r="EK141" s="154"/>
      <c r="EL141" s="154"/>
      <c r="EM141" s="140"/>
      <c r="EN141" s="222"/>
      <c r="EO141" s="222"/>
      <c r="EP141" s="222"/>
      <c r="EQ141" s="140"/>
      <c r="ER141" s="222"/>
      <c r="ES141" s="222"/>
      <c r="ET141" s="222"/>
      <c r="EU141" s="482">
        <v>200</v>
      </c>
      <c r="EV141" s="154">
        <v>1000</v>
      </c>
      <c r="EW141" s="482" t="s">
        <v>1088</v>
      </c>
      <c r="EX141" s="154" t="s">
        <v>1088</v>
      </c>
      <c r="EY141" s="336">
        <v>100</v>
      </c>
      <c r="EZ141" s="512">
        <v>1000</v>
      </c>
      <c r="FA141" s="336" t="s">
        <v>152</v>
      </c>
      <c r="FB141" s="512" t="s">
        <v>533</v>
      </c>
      <c r="FC141" s="273"/>
      <c r="FD141" s="223"/>
      <c r="FE141" s="223"/>
      <c r="FF141" s="276"/>
      <c r="FG141" s="156"/>
      <c r="FH141" s="156"/>
      <c r="FI141" s="156"/>
      <c r="FJ141" s="140"/>
      <c r="FK141" s="277"/>
      <c r="FL141" s="277"/>
      <c r="FM141" s="277"/>
      <c r="FN141" s="140"/>
      <c r="FO141" s="277"/>
      <c r="FP141" s="277"/>
      <c r="FQ141" s="277"/>
      <c r="FR141" s="280"/>
      <c r="FS141" s="277"/>
      <c r="FT141" s="277"/>
      <c r="FU141" s="277"/>
      <c r="FV141" s="277"/>
      <c r="FW141" s="277"/>
      <c r="FX141" s="277"/>
      <c r="FY141" s="277"/>
      <c r="FZ141" s="277"/>
      <c r="GA141" s="277"/>
      <c r="GB141" s="277"/>
      <c r="GC141" s="277"/>
      <c r="GD141" s="277"/>
      <c r="GE141" s="277"/>
      <c r="GF141" s="277"/>
      <c r="GG141" s="277"/>
      <c r="GH141" s="277"/>
      <c r="GI141" s="277"/>
      <c r="GJ141" s="277"/>
      <c r="GK141" s="277"/>
      <c r="GL141" s="277"/>
      <c r="GM141" s="277"/>
      <c r="GN141" s="277"/>
      <c r="GO141" s="277"/>
      <c r="GP141" s="277"/>
      <c r="GQ141" s="277"/>
      <c r="GR141" s="277"/>
      <c r="GS141" s="277"/>
      <c r="GT141" s="277"/>
      <c r="GU141" s="277"/>
      <c r="GV141" s="277"/>
      <c r="GW141" s="277"/>
      <c r="GX141" s="277"/>
      <c r="GY141" s="277"/>
      <c r="GZ141" s="277"/>
      <c r="HA141" s="277"/>
      <c r="HB141" s="277"/>
      <c r="HC141" s="277"/>
      <c r="HD141" s="277"/>
      <c r="HE141" s="277"/>
      <c r="HF141" s="140"/>
      <c r="HG141" s="277"/>
      <c r="HH141" s="277"/>
      <c r="HI141" s="277"/>
      <c r="HJ141" s="140"/>
      <c r="HK141" s="277"/>
      <c r="HL141" s="277"/>
      <c r="HM141" s="277"/>
      <c r="HN141" s="140"/>
      <c r="HO141" s="277"/>
      <c r="HP141" s="277"/>
      <c r="HQ141" s="277"/>
      <c r="HR141" s="277"/>
      <c r="HS141" s="277"/>
      <c r="HT141" s="277"/>
      <c r="HU141" s="277"/>
      <c r="HV141" s="277"/>
      <c r="HW141" s="277"/>
      <c r="HX141" s="277"/>
      <c r="HY141" s="277"/>
      <c r="HZ141" s="140"/>
      <c r="IA141" s="277"/>
      <c r="IB141" s="277"/>
      <c r="IC141" s="277"/>
      <c r="ID141" s="140"/>
      <c r="IE141" s="277"/>
      <c r="IF141" s="277"/>
      <c r="IG141" s="277"/>
      <c r="IH141" s="140"/>
      <c r="II141" s="277"/>
      <c r="IJ141" s="277"/>
      <c r="IK141" s="277"/>
      <c r="IL141" s="140"/>
      <c r="IM141" s="277"/>
      <c r="IN141" s="277"/>
      <c r="IO141" s="277"/>
      <c r="IP141" s="277"/>
      <c r="IQ141" s="277"/>
      <c r="IR141" s="277"/>
      <c r="IS141" s="277"/>
      <c r="IT141" s="277"/>
      <c r="IU141" s="277"/>
      <c r="IV141" s="277"/>
      <c r="IW141" s="277"/>
      <c r="IX141" s="140"/>
      <c r="IY141" s="277"/>
      <c r="IZ141" s="277"/>
      <c r="JA141" s="277"/>
      <c r="JB141" s="140"/>
      <c r="JC141" s="277"/>
      <c r="JD141" s="277"/>
      <c r="JE141" s="277"/>
      <c r="JF141" s="140"/>
      <c r="JG141" s="277"/>
      <c r="JH141" s="277"/>
      <c r="JI141" s="140"/>
      <c r="JJ141" s="277"/>
      <c r="JK141" s="277"/>
      <c r="JL141" s="140"/>
      <c r="JM141" s="277"/>
      <c r="JN141" s="277"/>
      <c r="JO141" s="140"/>
      <c r="JP141" s="277"/>
      <c r="JQ141" s="277"/>
      <c r="JR141" s="277"/>
      <c r="JS141" s="277"/>
      <c r="JT141" s="277"/>
      <c r="JU141" s="277"/>
      <c r="JV141" s="277"/>
      <c r="JW141" s="277"/>
      <c r="JX141" s="277"/>
      <c r="JY141" s="277"/>
      <c r="JZ141" s="277"/>
      <c r="KA141" s="277"/>
      <c r="KB141" s="277"/>
      <c r="KC141" s="277"/>
      <c r="KD141" s="277"/>
      <c r="KE141" s="277"/>
      <c r="KF141" s="277"/>
      <c r="KG141" s="277"/>
      <c r="KH141" s="277"/>
      <c r="KI141" s="277"/>
      <c r="KJ141" s="277"/>
      <c r="KK141" s="277"/>
      <c r="KL141" s="277"/>
      <c r="KM141" s="277"/>
      <c r="KN141" s="277"/>
      <c r="KO141" s="277"/>
      <c r="KP141" s="274"/>
      <c r="KQ141" s="253"/>
      <c r="KR141" s="253"/>
      <c r="KY141" s="141">
        <f t="shared" si="57"/>
        <v>0</v>
      </c>
      <c r="KZ141" s="141">
        <f t="shared" si="58"/>
        <v>0</v>
      </c>
      <c r="LB141" s="141">
        <f t="shared" si="59"/>
        <v>1</v>
      </c>
      <c r="LC141" s="141">
        <f t="shared" si="60"/>
        <v>0</v>
      </c>
      <c r="LD141" s="141">
        <f t="shared" si="61"/>
        <v>1</v>
      </c>
      <c r="LE141" s="141" t="e">
        <f>((N(AU141)&gt;0)*(AX141&lt;&gt;"")+(N(AY141)&gt;0)*(BB141&lt;&gt;"")+(N(BC141)&gt;0)*(BF141&lt;&gt;"")+(N(BG141)&gt;0)*(BJ141&lt;&gt;"")+(N(BK141)&gt;0)*(BN141&lt;&gt;"")+(N(BO141)&gt;0)*(BR141&lt;&gt;"")+(N(BS141)&gt;0)*(BV141&lt;&gt;"")+(N(BW141)&gt;0)*(BZ141&lt;&gt;"")+(N(CA141)&gt;0)*(CD141&lt;&gt;"")+(N(CE141)&gt;0)*(CH141&lt;&gt;"")+(N(CI141)&gt;0)*(CL141&lt;&gt;"")+(N(CM141)&gt;0)*(CP141&lt;&gt;"")+(N(CQ141)&gt;0)*(CT141&lt;&gt;"")+(N(CU141)&gt;0)*(CX141&lt;&gt;"")+(N(CY141)&gt;0)*(DB141&lt;&gt;"")+(N(DC141)&gt;0)*(DF141&lt;&gt;"")+(N(DG141)&gt;0)*(DJ141&lt;&gt;"")+(N(DS141)&gt;0)*(DV141&lt;&gt;"")+(N(DW141)&gt;0)*(DZ141&lt;&gt;"")+(N(EA141)&gt;0)*(ED141&lt;&gt;"")+(N(EE141)&gt;0)*(EH141&lt;&gt;"")+(N(EI141)&gt;0)*(EL141&lt;&gt;"")+(N(EM141)&gt;0)*(EP141&lt;&gt;"")+(N(EQ141)&gt;0)*(ET141&lt;&gt;"")+(N(EU141)&gt;0)*(EX141&lt;&gt;"")+(N(#REF!)&gt;0)*(#REF!&lt;&gt;"")+(N(#REF!)&gt;0)*(#REF!&lt;&gt;"")+(N(FJ141)&gt;0)*(FM141&lt;&gt;"")+(N(FN141)&gt;0)*(FQ141&lt;&gt;"")+(N(#REF!)&gt;0)*(#REF!&lt;&gt;"")+(N(#REF!)&gt;0)*(#REF!&lt;&gt;"")+(N(HF141)&gt;0)*(HI141&lt;&gt;"")+(N(#REF!)&gt;0)*(#REF!&lt;&gt;"")+(N(HJ141)&gt;0)*(HM141&lt;&gt;"")+(N(HN141)&gt;0)*(HQ141&lt;&gt;"")+(N(HZ141)&gt;0)*(IC141&lt;&gt;"")+(N(ID141)&gt;0)*(IG141&lt;&gt;"")+(N(IH141)&gt;0)*(IK141&lt;&gt;"")+(N(IL141)&gt;0)*(IO141&lt;&gt;"")+(N(IX141)&gt;0)*(JA141&lt;&gt;"")+(N(JB141)&gt;0)*(JE141&lt;&gt;"")+(N(JF141)&gt;0)*(JH141&lt;&gt;"")+(N(JI141)&gt;0)*(JK141&lt;&gt;"")+(N(JL141)&gt;0)*(JN141&lt;&gt;"")+(N(JO141)&gt;0)*(JQ141&lt;&gt;""))</f>
        <v>#REF!</v>
      </c>
      <c r="LF141" s="141">
        <f t="shared" si="48"/>
        <v>1</v>
      </c>
      <c r="LG141" s="141">
        <f t="shared" si="62"/>
        <v>1</v>
      </c>
    </row>
    <row r="142" spans="1:319" ht="38.25" customHeight="1" x14ac:dyDescent="0.55000000000000004">
      <c r="B142" s="314" t="s">
        <v>482</v>
      </c>
      <c r="C142" s="218"/>
      <c r="D142" s="218"/>
      <c r="E142" s="218"/>
      <c r="F142" s="218"/>
      <c r="G142" s="218"/>
      <c r="H142" s="218"/>
      <c r="I142" s="162" cm="1">
        <f t="array" ref="I142">SUMPRODUCT(($AI$2:$KV$2&lt;&gt;"")*($AI142:$KV142&lt;&gt;""))</f>
        <v>3</v>
      </c>
      <c r="J142" s="142">
        <f t="shared" si="43"/>
        <v>0</v>
      </c>
      <c r="K142" s="142">
        <f t="shared" si="44"/>
        <v>0</v>
      </c>
      <c r="L142" s="268">
        <f t="shared" si="49"/>
        <v>7000</v>
      </c>
      <c r="M142" s="164">
        <f t="shared" si="45"/>
        <v>3360</v>
      </c>
      <c r="N142" s="397"/>
      <c r="O142" s="165">
        <f t="shared" si="46"/>
        <v>0</v>
      </c>
      <c r="P142" s="165"/>
      <c r="Q142" s="165"/>
      <c r="R142" s="165">
        <f>(IFERROR(AM142/AN142,0)+IFERROR(AU142/AV142,0)+IFERROR(AY142/AZ142,0)+IFERROR(BC142/BD142,0)+IFERROR(BG142/BH142,0)+IFERROR(BK142/BL142,0)+IFERROR(BO142/BP142,0)+IFERROR(BS142/BT142,0)+IFERROR(BW142/BX142,0)+IFERROR(CA142/CB142,0)+IFERROR(CE142/CF142,0)+IFERROR(CI142/CJ142,0)+IFERROR(CM142/CN142,0)+IFERROR(CQ142/CR142,0)+IFERROR(CU142/CV142,0)+IFERROR(CY142/CZ142,0)+IFERROR(DC142/DD142,0)+IFERROR(DG142/DH142,0)+IFERROR(DS142/DT142,0)+IFERROR(DW142/DX142,0)+IFERROR(EA142/EB142,0)+IFERROR(EE142/EF142,0)+IFERROR(EI142/EJ142,0)+IFERROR(EM142/EN142,0)+IFERROR(EQ142/ER142,0)+IFERROR(EU142/EV142,0)+IFERROR(#REF!/#REF!,0)+IFERROR(#REF!/#REF!,0)+IFERROR(FJ142/FK142,0)+IFERROR(FN142/FO142,0)+IFERROR(#REF!/#REF!,0)+IFERROR(#REF!/#REF!,0)+IFERROR(HF142/HG142,0)+IFERROR(#REF!/#REF!,0)+IFERROR(HJ142/HK142,0)+IFERROR(HN142/HO142,0)+IFERROR(HZ142/IA142,0)+IFERROR(ID142/IE142,0)+IFERROR(IH142/II142,0)+IFERROR(IL142/IM142,0)+IFERROR(IX142/IY142,0)+IFERROR(JB142/JC142,0)+IFERROR(JF142/JG142,0)+IFERROR(JI142/JJ142,0)+IFERROR(JL142/JM142,0)+IFERROR(JO142/JP142,0))*L142*(C142+D142+E142+I142)</f>
        <v>0</v>
      </c>
      <c r="S142" s="165"/>
      <c r="T142" s="165">
        <f t="shared" si="55"/>
        <v>0</v>
      </c>
      <c r="U142" s="165"/>
      <c r="V142" s="165"/>
      <c r="W142" s="165"/>
      <c r="X142" s="165">
        <f>(IFERROR(FF142/FG142,0)+IFERROR(FC142/FD142,0)+IFERROR(#REF!/#REF!,0)+IFERROR(KP142/KQ142,0))*L142*(C142+D142+E142+I142)</f>
        <v>0</v>
      </c>
      <c r="Y142" s="484"/>
      <c r="Z142" s="484"/>
      <c r="AA142" s="484"/>
      <c r="AB142" s="484"/>
      <c r="AC142" s="150">
        <f t="shared" si="47"/>
        <v>0</v>
      </c>
      <c r="AD142" s="150"/>
      <c r="AE142" s="150">
        <f t="shared" si="56"/>
        <v>0</v>
      </c>
      <c r="AF142" s="161"/>
      <c r="AG142" s="143"/>
      <c r="AH142" s="154"/>
      <c r="AI142" s="342">
        <v>40</v>
      </c>
      <c r="AJ142" s="342">
        <v>250</v>
      </c>
      <c r="AK142" s="342"/>
      <c r="AL142" s="343" t="s">
        <v>545</v>
      </c>
      <c r="AM142" s="140"/>
      <c r="AN142" s="154"/>
      <c r="AO142" s="154"/>
      <c r="AP142" s="220"/>
      <c r="AQ142" s="145"/>
      <c r="AR142" s="154"/>
      <c r="AS142" s="154"/>
      <c r="AT142" s="220"/>
      <c r="AU142" s="140"/>
      <c r="AV142" s="277"/>
      <c r="AW142" s="277"/>
      <c r="AX142" s="277"/>
      <c r="AY142" s="140"/>
      <c r="AZ142" s="277"/>
      <c r="BA142" s="277"/>
      <c r="BB142" s="277"/>
      <c r="BC142" s="140"/>
      <c r="BD142" s="277"/>
      <c r="BE142" s="277"/>
      <c r="BF142" s="277"/>
      <c r="BG142" s="140"/>
      <c r="BH142" s="277"/>
      <c r="BI142" s="277"/>
      <c r="BJ142" s="277"/>
      <c r="BK142" s="140"/>
      <c r="BL142" s="277"/>
      <c r="BM142" s="277"/>
      <c r="BN142" s="277"/>
      <c r="BO142" s="140"/>
      <c r="BP142" s="277"/>
      <c r="BQ142" s="277"/>
      <c r="BR142" s="277"/>
      <c r="BS142" s="140"/>
      <c r="BT142" s="277"/>
      <c r="BU142" s="277"/>
      <c r="BV142" s="277"/>
      <c r="BW142" s="140"/>
      <c r="BX142" s="154"/>
      <c r="BY142" s="154"/>
      <c r="BZ142" s="220"/>
      <c r="CA142" s="140"/>
      <c r="CB142" s="154"/>
      <c r="CC142" s="154"/>
      <c r="CD142" s="220"/>
      <c r="CE142" s="140"/>
      <c r="CF142" s="271"/>
      <c r="CG142" s="271"/>
      <c r="CH142" s="271"/>
      <c r="CI142" s="140"/>
      <c r="CJ142" s="154"/>
      <c r="CK142" s="154"/>
      <c r="CL142" s="154"/>
      <c r="CM142" s="140"/>
      <c r="CN142" s="271"/>
      <c r="CO142" s="271"/>
      <c r="CP142" s="271"/>
      <c r="CQ142" s="140"/>
      <c r="CR142" s="154"/>
      <c r="CS142" s="154"/>
      <c r="CT142" s="154"/>
      <c r="CU142" s="140"/>
      <c r="CV142" s="154"/>
      <c r="CW142" s="154"/>
      <c r="CX142" s="220"/>
      <c r="CY142" s="140"/>
      <c r="CZ142" s="154"/>
      <c r="DA142" s="154"/>
      <c r="DB142" s="220"/>
      <c r="DC142" s="140"/>
      <c r="DD142" s="146"/>
      <c r="DE142" s="146"/>
      <c r="DF142" s="146"/>
      <c r="DG142" s="140"/>
      <c r="DH142" s="146"/>
      <c r="DI142" s="146"/>
      <c r="DJ142" s="146"/>
      <c r="DK142" s="146"/>
      <c r="DL142" s="146"/>
      <c r="DM142" s="146"/>
      <c r="DN142" s="146"/>
      <c r="DO142" s="146"/>
      <c r="DP142" s="146"/>
      <c r="DQ142" s="146"/>
      <c r="DR142" s="146"/>
      <c r="DS142" s="140"/>
      <c r="DT142" s="154"/>
      <c r="DU142" s="154"/>
      <c r="DV142" s="154"/>
      <c r="DW142" s="140"/>
      <c r="DX142" s="220"/>
      <c r="DY142" s="220"/>
      <c r="DZ142" s="220"/>
      <c r="EA142" s="140"/>
      <c r="EB142" s="220"/>
      <c r="EC142" s="220"/>
      <c r="ED142" s="220"/>
      <c r="EE142" s="140"/>
      <c r="EF142" s="154"/>
      <c r="EG142" s="154"/>
      <c r="EH142" s="154"/>
      <c r="EI142" s="140"/>
      <c r="EJ142" s="154"/>
      <c r="EK142" s="154"/>
      <c r="EL142" s="154"/>
      <c r="EM142" s="140"/>
      <c r="EN142" s="222"/>
      <c r="EO142" s="222"/>
      <c r="EP142" s="222"/>
      <c r="EQ142" s="140"/>
      <c r="ER142" s="222"/>
      <c r="ES142" s="222"/>
      <c r="ET142" s="222"/>
      <c r="EU142" s="140"/>
      <c r="EV142" s="222"/>
      <c r="EW142" s="222"/>
      <c r="EX142" s="222"/>
      <c r="EY142" s="344"/>
      <c r="EZ142" s="222"/>
      <c r="FA142" s="222"/>
      <c r="FB142" s="222"/>
      <c r="FC142" s="273"/>
      <c r="FD142" s="223"/>
      <c r="FE142" s="223"/>
      <c r="FF142" s="276"/>
      <c r="FG142" s="156"/>
      <c r="FH142" s="156"/>
      <c r="FI142" s="156"/>
      <c r="FJ142" s="140"/>
      <c r="FK142" s="277"/>
      <c r="FL142" s="277"/>
      <c r="FM142" s="277"/>
      <c r="FN142" s="140"/>
      <c r="FO142" s="277"/>
      <c r="FP142" s="277"/>
      <c r="FQ142" s="277"/>
      <c r="FR142" s="280"/>
      <c r="FS142" s="277"/>
      <c r="FT142" s="277"/>
      <c r="FU142" s="277"/>
      <c r="FV142" s="277"/>
      <c r="FW142" s="277"/>
      <c r="FX142" s="277"/>
      <c r="FY142" s="277"/>
      <c r="FZ142" s="277"/>
      <c r="GA142" s="277"/>
      <c r="GB142" s="277"/>
      <c r="GC142" s="277"/>
      <c r="GD142" s="277"/>
      <c r="GE142" s="277"/>
      <c r="GF142" s="277"/>
      <c r="GG142" s="277"/>
      <c r="GH142" s="277"/>
      <c r="GI142" s="277"/>
      <c r="GJ142" s="277"/>
      <c r="GK142" s="277"/>
      <c r="GL142" s="277"/>
      <c r="GM142" s="277"/>
      <c r="GN142" s="277"/>
      <c r="GO142" s="277"/>
      <c r="GP142" s="277"/>
      <c r="GQ142" s="277"/>
      <c r="GR142" s="277"/>
      <c r="GS142" s="277"/>
      <c r="GT142" s="277"/>
      <c r="GU142" s="277"/>
      <c r="GV142" s="277"/>
      <c r="GW142" s="277"/>
      <c r="GX142" s="277"/>
      <c r="GY142" s="277"/>
      <c r="GZ142" s="277"/>
      <c r="HA142" s="277"/>
      <c r="HB142" s="277"/>
      <c r="HC142" s="277"/>
      <c r="HD142" s="277"/>
      <c r="HE142" s="277"/>
      <c r="HF142" s="140"/>
      <c r="HG142" s="277"/>
      <c r="HH142" s="277"/>
      <c r="HI142" s="277"/>
      <c r="HJ142" s="140"/>
      <c r="HK142" s="277"/>
      <c r="HL142" s="277"/>
      <c r="HM142" s="277"/>
      <c r="HN142" s="140"/>
      <c r="HO142" s="277"/>
      <c r="HP142" s="277"/>
      <c r="HQ142" s="277"/>
      <c r="HR142" s="277"/>
      <c r="HS142" s="277"/>
      <c r="HT142" s="277"/>
      <c r="HU142" s="277"/>
      <c r="HV142" s="277"/>
      <c r="HW142" s="277"/>
      <c r="HX142" s="277"/>
      <c r="HY142" s="277"/>
      <c r="HZ142" s="140"/>
      <c r="IA142" s="277"/>
      <c r="IB142" s="277"/>
      <c r="IC142" s="277"/>
      <c r="ID142" s="140"/>
      <c r="IE142" s="277"/>
      <c r="IF142" s="277"/>
      <c r="IG142" s="277"/>
      <c r="IH142" s="140"/>
      <c r="II142" s="277"/>
      <c r="IJ142" s="277"/>
      <c r="IK142" s="277"/>
      <c r="IL142" s="140"/>
      <c r="IM142" s="277"/>
      <c r="IN142" s="277"/>
      <c r="IO142" s="277"/>
      <c r="IP142" s="277"/>
      <c r="IQ142" s="277"/>
      <c r="IR142" s="277"/>
      <c r="IS142" s="277"/>
      <c r="IT142" s="277"/>
      <c r="IU142" s="277"/>
      <c r="IV142" s="277"/>
      <c r="IW142" s="277"/>
      <c r="IX142" s="140"/>
      <c r="IY142" s="277"/>
      <c r="IZ142" s="277"/>
      <c r="JA142" s="277"/>
      <c r="JB142" s="140"/>
      <c r="JC142" s="277"/>
      <c r="JD142" s="277"/>
      <c r="JE142" s="277"/>
      <c r="JF142" s="140"/>
      <c r="JG142" s="277"/>
      <c r="JH142" s="277"/>
      <c r="JI142" s="140"/>
      <c r="JJ142" s="277"/>
      <c r="JK142" s="277"/>
      <c r="JL142" s="140"/>
      <c r="JM142" s="277"/>
      <c r="JN142" s="277"/>
      <c r="JO142" s="140"/>
      <c r="JP142" s="277"/>
      <c r="JQ142" s="277"/>
      <c r="JR142" s="277"/>
      <c r="JS142" s="277"/>
      <c r="JT142" s="277"/>
      <c r="JU142" s="277"/>
      <c r="JV142" s="277"/>
      <c r="JW142" s="277"/>
      <c r="JX142" s="277"/>
      <c r="JY142" s="277"/>
      <c r="JZ142" s="277"/>
      <c r="KA142" s="277"/>
      <c r="KB142" s="277"/>
      <c r="KC142" s="277"/>
      <c r="KD142" s="277"/>
      <c r="KE142" s="277"/>
      <c r="KF142" s="277"/>
      <c r="KG142" s="277"/>
      <c r="KH142" s="277"/>
      <c r="KI142" s="277"/>
      <c r="KJ142" s="277"/>
      <c r="KK142" s="277"/>
      <c r="KL142" s="277"/>
      <c r="KM142" s="277"/>
      <c r="KN142" s="277"/>
      <c r="KO142" s="277"/>
      <c r="KP142" s="274"/>
      <c r="KQ142" s="253"/>
      <c r="KR142" s="253"/>
      <c r="KS142" s="346">
        <v>40</v>
      </c>
      <c r="KT142" s="346">
        <v>1000</v>
      </c>
      <c r="KU142" s="346" t="s">
        <v>759</v>
      </c>
      <c r="KV142" s="346">
        <v>25</v>
      </c>
      <c r="KW142" s="346">
        <v>500</v>
      </c>
      <c r="KX142" s="346" t="s">
        <v>759</v>
      </c>
      <c r="KY142" s="141">
        <f t="shared" si="57"/>
        <v>840</v>
      </c>
      <c r="KZ142" s="141">
        <f t="shared" si="58"/>
        <v>1050</v>
      </c>
      <c r="LB142" s="141">
        <f t="shared" si="59"/>
        <v>1</v>
      </c>
      <c r="LC142" s="141">
        <f t="shared" si="60"/>
        <v>0</v>
      </c>
      <c r="LD142" s="141">
        <f t="shared" si="61"/>
        <v>0</v>
      </c>
      <c r="LE142" s="141" t="e">
        <f>((N(AU142)&gt;0)*(AX142&lt;&gt;"")+(N(AY142)&gt;0)*(BB142&lt;&gt;"")+(N(BC142)&gt;0)*(BF142&lt;&gt;"")+(N(BG142)&gt;0)*(BJ142&lt;&gt;"")+(N(BK142)&gt;0)*(BN142&lt;&gt;"")+(N(BO142)&gt;0)*(BR142&lt;&gt;"")+(N(BS142)&gt;0)*(BV142&lt;&gt;"")+(N(BW142)&gt;0)*(BZ142&lt;&gt;"")+(N(CA142)&gt;0)*(CD142&lt;&gt;"")+(N(CE142)&gt;0)*(CH142&lt;&gt;"")+(N(CI142)&gt;0)*(CL142&lt;&gt;"")+(N(CM142)&gt;0)*(CP142&lt;&gt;"")+(N(CQ142)&gt;0)*(CT142&lt;&gt;"")+(N(CU142)&gt;0)*(CX142&lt;&gt;"")+(N(CY142)&gt;0)*(DB142&lt;&gt;"")+(N(DC142)&gt;0)*(DF142&lt;&gt;"")+(N(DG142)&gt;0)*(DJ142&lt;&gt;"")+(N(DS142)&gt;0)*(DV142&lt;&gt;"")+(N(DW142)&gt;0)*(DZ142&lt;&gt;"")+(N(EA142)&gt;0)*(ED142&lt;&gt;"")+(N(EE142)&gt;0)*(EH142&lt;&gt;"")+(N(EI142)&gt;0)*(EL142&lt;&gt;"")+(N(EM142)&gt;0)*(EP142&lt;&gt;"")+(N(EQ142)&gt;0)*(ET142&lt;&gt;"")+(N(EU142)&gt;0)*(EX142&lt;&gt;"")+(N(#REF!)&gt;0)*(#REF!&lt;&gt;"")+(N(#REF!)&gt;0)*(#REF!&lt;&gt;"")+(N(FJ142)&gt;0)*(FM142&lt;&gt;"")+(N(FN142)&gt;0)*(FQ142&lt;&gt;"")+(N(#REF!)&gt;0)*(#REF!&lt;&gt;"")+(N(#REF!)&gt;0)*(#REF!&lt;&gt;"")+(N(HF142)&gt;0)*(HI142&lt;&gt;"")+(N(#REF!)&gt;0)*(#REF!&lt;&gt;"")+(N(HJ142)&gt;0)*(HM142&lt;&gt;"")+(N(HN142)&gt;0)*(HQ142&lt;&gt;"")+(N(HZ142)&gt;0)*(IC142&lt;&gt;"")+(N(ID142)&gt;0)*(IG142&lt;&gt;"")+(N(IH142)&gt;0)*(IK142&lt;&gt;"")+(N(IL142)&gt;0)*(IO142&lt;&gt;"")+(N(IX142)&gt;0)*(JA142&lt;&gt;"")+(N(JB142)&gt;0)*(JE142&lt;&gt;"")+(N(JF142)&gt;0)*(JH142&lt;&gt;"")+(N(JI142)&gt;0)*(JK142&lt;&gt;"")+(N(JL142)&gt;0)*(JN142&lt;&gt;"")+(N(JO142)&gt;0)*(JQ142&lt;&gt;""))</f>
        <v>#REF!</v>
      </c>
      <c r="LF142" s="141">
        <f t="shared" si="48"/>
        <v>0</v>
      </c>
      <c r="LG142" s="141">
        <f t="shared" si="62"/>
        <v>0</v>
      </c>
    </row>
    <row r="143" spans="1:319" ht="38.25" customHeight="1" x14ac:dyDescent="0.55000000000000004">
      <c r="B143" s="314" t="s">
        <v>447</v>
      </c>
      <c r="C143" s="218"/>
      <c r="D143" s="218"/>
      <c r="E143" s="218"/>
      <c r="F143" s="218"/>
      <c r="G143" s="218"/>
      <c r="H143" s="218"/>
      <c r="I143" s="162" cm="1">
        <f t="array" ref="I143">SUMPRODUCT(($AI$2:$KV$2&lt;&gt;"")*($AI143:$KV143&lt;&gt;""))</f>
        <v>0</v>
      </c>
      <c r="J143" s="142">
        <f t="shared" si="43"/>
        <v>0</v>
      </c>
      <c r="K143" s="142">
        <f t="shared" si="44"/>
        <v>0</v>
      </c>
      <c r="L143" s="268">
        <f t="shared" si="49"/>
        <v>7000</v>
      </c>
      <c r="M143" s="164">
        <f t="shared" si="45"/>
        <v>0</v>
      </c>
      <c r="N143" s="397"/>
      <c r="O143" s="165">
        <f t="shared" si="46"/>
        <v>0</v>
      </c>
      <c r="P143" s="165"/>
      <c r="Q143" s="165"/>
      <c r="R143" s="165">
        <f>(IFERROR(AM143/AN143,0)+IFERROR(AU143/AV143,0)+IFERROR(AY143/AZ143,0)+IFERROR(BC143/BD143,0)+IFERROR(BG143/BH143,0)+IFERROR(BK143/BL143,0)+IFERROR(BO143/BP143,0)+IFERROR(BS143/BT143,0)+IFERROR(BW143/BX143,0)+IFERROR(CA143/CB143,0)+IFERROR(CE143/CF143,0)+IFERROR(CI143/CJ143,0)+IFERROR(CM143/CN143,0)+IFERROR(CQ143/CR143,0)+IFERROR(CU143/CV143,0)+IFERROR(CY143/CZ143,0)+IFERROR(DC143/DD143,0)+IFERROR(DG143/DH143,0)+IFERROR(DS143/DT143,0)+IFERROR(DW143/DX143,0)+IFERROR(EA143/EB143,0)+IFERROR(EE143/EF143,0)+IFERROR(EI143/EJ143,0)+IFERROR(EM143/EN143,0)+IFERROR(EQ143/ER143,0)+IFERROR(EU143/EV143,0)+IFERROR(#REF!/#REF!,0)+IFERROR(#REF!/#REF!,0)+IFERROR(FJ143/FK143,0)+IFERROR(FN143/FO143,0)+IFERROR(#REF!/#REF!,0)+IFERROR(#REF!/#REF!,0)+IFERROR(HF143/HG143,0)+IFERROR(#REF!/#REF!,0)+IFERROR(HJ143/HK143,0)+IFERROR(HN143/HO143,0)+IFERROR(HZ143/IA143,0)+IFERROR(ID143/IE143,0)+IFERROR(IH143/II143,0)+IFERROR(IL143/IM143,0)+IFERROR(IX143/IY143,0)+IFERROR(JB143/JC143,0)+IFERROR(JF143/JG143,0)+IFERROR(JI143/JJ143,0)+IFERROR(JL143/JM143,0)+IFERROR(JO143/JP143,0))*L143*(C143+D143+E143+I143)</f>
        <v>0</v>
      </c>
      <c r="S143" s="165"/>
      <c r="T143" s="165">
        <f t="shared" si="55"/>
        <v>0</v>
      </c>
      <c r="U143" s="165"/>
      <c r="V143" s="165"/>
      <c r="W143" s="165"/>
      <c r="X143" s="165">
        <f>(IFERROR(FF143/FG143,0)+IFERROR(FC143/FD143,0)+IFERROR(#REF!/#REF!,0)+IFERROR(KP143/KQ143,0))*L143*(C143+D143+E143+I143)</f>
        <v>0</v>
      </c>
      <c r="Y143" s="484"/>
      <c r="Z143" s="484"/>
      <c r="AA143" s="484"/>
      <c r="AB143" s="484"/>
      <c r="AC143" s="150">
        <f t="shared" si="47"/>
        <v>0</v>
      </c>
      <c r="AD143" s="150"/>
      <c r="AE143" s="150">
        <f t="shared" si="56"/>
        <v>0</v>
      </c>
      <c r="AF143" s="161"/>
      <c r="AG143" s="143"/>
      <c r="AH143" s="154"/>
      <c r="AI143" s="144"/>
      <c r="AJ143" s="154"/>
      <c r="AK143" s="154"/>
      <c r="AL143" s="220"/>
      <c r="AM143" s="140"/>
      <c r="AN143" s="154"/>
      <c r="AO143" s="154"/>
      <c r="AP143" s="220"/>
      <c r="AQ143" s="145"/>
      <c r="AR143" s="154"/>
      <c r="AS143" s="154"/>
      <c r="AT143" s="220"/>
      <c r="AU143" s="140"/>
      <c r="AV143" s="277"/>
      <c r="AW143" s="277"/>
      <c r="AX143" s="277"/>
      <c r="AY143" s="140"/>
      <c r="AZ143" s="277"/>
      <c r="BA143" s="277"/>
      <c r="BB143" s="277"/>
      <c r="BC143" s="140"/>
      <c r="BD143" s="277"/>
      <c r="BE143" s="277"/>
      <c r="BF143" s="277"/>
      <c r="BG143" s="140"/>
      <c r="BH143" s="277"/>
      <c r="BI143" s="277"/>
      <c r="BJ143" s="277"/>
      <c r="BK143" s="140"/>
      <c r="BL143" s="277"/>
      <c r="BM143" s="277"/>
      <c r="BN143" s="277"/>
      <c r="BO143" s="140"/>
      <c r="BP143" s="277"/>
      <c r="BQ143" s="277"/>
      <c r="BR143" s="277"/>
      <c r="BS143" s="140"/>
      <c r="BT143" s="277"/>
      <c r="BU143" s="277"/>
      <c r="BV143" s="277"/>
      <c r="BW143" s="140"/>
      <c r="BX143" s="154"/>
      <c r="BY143" s="154"/>
      <c r="BZ143" s="220"/>
      <c r="CA143" s="140"/>
      <c r="CB143" s="154"/>
      <c r="CC143" s="154"/>
      <c r="CD143" s="220"/>
      <c r="CE143" s="140"/>
      <c r="CF143" s="271"/>
      <c r="CG143" s="271"/>
      <c r="CH143" s="271"/>
      <c r="CI143" s="140"/>
      <c r="CJ143" s="154"/>
      <c r="CK143" s="154"/>
      <c r="CL143" s="154"/>
      <c r="CM143" s="140"/>
      <c r="CN143" s="271"/>
      <c r="CO143" s="271"/>
      <c r="CP143" s="271"/>
      <c r="CQ143" s="140"/>
      <c r="CR143" s="154"/>
      <c r="CS143" s="154"/>
      <c r="CT143" s="154"/>
      <c r="CU143" s="140"/>
      <c r="CV143" s="154"/>
      <c r="CW143" s="154"/>
      <c r="CX143" s="220"/>
      <c r="CY143" s="140"/>
      <c r="CZ143" s="154"/>
      <c r="DA143" s="154"/>
      <c r="DB143" s="220"/>
      <c r="DC143" s="140"/>
      <c r="DD143" s="146"/>
      <c r="DE143" s="146"/>
      <c r="DF143" s="146"/>
      <c r="DG143" s="140"/>
      <c r="DH143" s="146"/>
      <c r="DI143" s="146"/>
      <c r="DJ143" s="146"/>
      <c r="DK143" s="146"/>
      <c r="DL143" s="146"/>
      <c r="DM143" s="146"/>
      <c r="DN143" s="146"/>
      <c r="DO143" s="146"/>
      <c r="DP143" s="146"/>
      <c r="DQ143" s="146"/>
      <c r="DR143" s="146"/>
      <c r="DS143" s="140"/>
      <c r="DT143" s="154"/>
      <c r="DU143" s="154"/>
      <c r="DV143" s="154"/>
      <c r="DW143" s="140"/>
      <c r="DX143" s="220"/>
      <c r="DY143" s="220"/>
      <c r="DZ143" s="220"/>
      <c r="EA143" s="140"/>
      <c r="EB143" s="220"/>
      <c r="EC143" s="220"/>
      <c r="ED143" s="220"/>
      <c r="EE143" s="140"/>
      <c r="EF143" s="154"/>
      <c r="EG143" s="154"/>
      <c r="EH143" s="154"/>
      <c r="EI143" s="140"/>
      <c r="EJ143" s="154"/>
      <c r="EK143" s="154"/>
      <c r="EL143" s="154"/>
      <c r="EM143" s="140"/>
      <c r="EN143" s="222"/>
      <c r="EO143" s="222"/>
      <c r="EP143" s="222"/>
      <c r="EQ143" s="140"/>
      <c r="ER143" s="222"/>
      <c r="ES143" s="222"/>
      <c r="ET143" s="222"/>
      <c r="EU143" s="140"/>
      <c r="EV143" s="222"/>
      <c r="EW143" s="222"/>
      <c r="EX143" s="222"/>
      <c r="EY143" s="344"/>
      <c r="EZ143" s="222"/>
      <c r="FA143" s="222"/>
      <c r="FB143" s="222"/>
      <c r="FC143" s="273"/>
      <c r="FD143" s="223"/>
      <c r="FE143" s="223"/>
      <c r="FF143" s="276"/>
      <c r="FG143" s="156"/>
      <c r="FH143" s="156"/>
      <c r="FI143" s="156"/>
      <c r="FJ143" s="140"/>
      <c r="FK143" s="277"/>
      <c r="FL143" s="277"/>
      <c r="FM143" s="277"/>
      <c r="FN143" s="140"/>
      <c r="FO143" s="277"/>
      <c r="FP143" s="277"/>
      <c r="FQ143" s="277"/>
      <c r="FR143" s="280"/>
      <c r="FS143" s="277"/>
      <c r="FT143" s="277"/>
      <c r="FU143" s="277"/>
      <c r="FV143" s="277"/>
      <c r="FW143" s="277"/>
      <c r="FX143" s="277"/>
      <c r="FY143" s="277"/>
      <c r="FZ143" s="277"/>
      <c r="GA143" s="277"/>
      <c r="GB143" s="277"/>
      <c r="GC143" s="277"/>
      <c r="GD143" s="277"/>
      <c r="GE143" s="277"/>
      <c r="GF143" s="277"/>
      <c r="GG143" s="277"/>
      <c r="GH143" s="277"/>
      <c r="GI143" s="277"/>
      <c r="GJ143" s="277"/>
      <c r="GK143" s="277"/>
      <c r="GL143" s="277"/>
      <c r="GM143" s="277"/>
      <c r="GN143" s="277"/>
      <c r="GO143" s="277"/>
      <c r="GP143" s="277"/>
      <c r="GQ143" s="277"/>
      <c r="GR143" s="277"/>
      <c r="GS143" s="277"/>
      <c r="GT143" s="277"/>
      <c r="GU143" s="277"/>
      <c r="GV143" s="277"/>
      <c r="GW143" s="277"/>
      <c r="GX143" s="277"/>
      <c r="GY143" s="277"/>
      <c r="GZ143" s="277"/>
      <c r="HA143" s="277"/>
      <c r="HB143" s="277"/>
      <c r="HC143" s="277"/>
      <c r="HD143" s="277"/>
      <c r="HE143" s="277"/>
      <c r="HF143" s="140"/>
      <c r="HG143" s="277"/>
      <c r="HH143" s="277"/>
      <c r="HI143" s="277"/>
      <c r="HJ143" s="140"/>
      <c r="HK143" s="277"/>
      <c r="HL143" s="277"/>
      <c r="HM143" s="277"/>
      <c r="HN143" s="140"/>
      <c r="HO143" s="277"/>
      <c r="HP143" s="277"/>
      <c r="HQ143" s="277"/>
      <c r="HR143" s="277"/>
      <c r="HS143" s="277"/>
      <c r="HT143" s="277"/>
      <c r="HU143" s="277"/>
      <c r="HV143" s="277"/>
      <c r="HW143" s="277"/>
      <c r="HX143" s="277"/>
      <c r="HY143" s="277"/>
      <c r="HZ143" s="140"/>
      <c r="IA143" s="277"/>
      <c r="IB143" s="277"/>
      <c r="IC143" s="277"/>
      <c r="ID143" s="140"/>
      <c r="IE143" s="277"/>
      <c r="IF143" s="277"/>
      <c r="IG143" s="277"/>
      <c r="IH143" s="140"/>
      <c r="II143" s="277"/>
      <c r="IJ143" s="277"/>
      <c r="IK143" s="277"/>
      <c r="IL143" s="140"/>
      <c r="IM143" s="277"/>
      <c r="IN143" s="277"/>
      <c r="IO143" s="277"/>
      <c r="IP143" s="277"/>
      <c r="IQ143" s="277"/>
      <c r="IR143" s="277"/>
      <c r="IS143" s="277"/>
      <c r="IT143" s="277"/>
      <c r="IU143" s="277"/>
      <c r="IV143" s="277"/>
      <c r="IW143" s="277"/>
      <c r="IX143" s="140"/>
      <c r="IY143" s="277"/>
      <c r="IZ143" s="277"/>
      <c r="JA143" s="277"/>
      <c r="JB143" s="140"/>
      <c r="JC143" s="277"/>
      <c r="JD143" s="277"/>
      <c r="JE143" s="277"/>
      <c r="JF143" s="140"/>
      <c r="JG143" s="277"/>
      <c r="JH143" s="277"/>
      <c r="JI143" s="140"/>
      <c r="JJ143" s="277"/>
      <c r="JK143" s="277"/>
      <c r="JL143" s="140"/>
      <c r="JM143" s="277"/>
      <c r="JN143" s="277"/>
      <c r="JO143" s="140"/>
      <c r="JP143" s="277"/>
      <c r="JQ143" s="277"/>
      <c r="JR143" s="277"/>
      <c r="JS143" s="277"/>
      <c r="JT143" s="277"/>
      <c r="JU143" s="277"/>
      <c r="JV143" s="277"/>
      <c r="JW143" s="277"/>
      <c r="JX143" s="277"/>
      <c r="JY143" s="277"/>
      <c r="JZ143" s="277"/>
      <c r="KA143" s="277"/>
      <c r="KB143" s="277"/>
      <c r="KC143" s="277"/>
      <c r="KD143" s="277"/>
      <c r="KE143" s="277"/>
      <c r="KF143" s="277"/>
      <c r="KG143" s="277"/>
      <c r="KH143" s="277"/>
      <c r="KI143" s="277"/>
      <c r="KJ143" s="277"/>
      <c r="KK143" s="277"/>
      <c r="KL143" s="277"/>
      <c r="KM143" s="277"/>
      <c r="KN143" s="277"/>
      <c r="KO143" s="277"/>
      <c r="KP143" s="274"/>
      <c r="KQ143" s="253"/>
      <c r="KR143" s="253"/>
      <c r="KY143" s="141">
        <f t="shared" si="57"/>
        <v>0</v>
      </c>
      <c r="KZ143" s="141">
        <f t="shared" si="58"/>
        <v>0</v>
      </c>
      <c r="LB143" s="141">
        <f t="shared" si="59"/>
        <v>0</v>
      </c>
      <c r="LC143" s="141">
        <f t="shared" si="60"/>
        <v>0</v>
      </c>
      <c r="LD143" s="141">
        <f t="shared" si="61"/>
        <v>0</v>
      </c>
      <c r="LE143" s="141" t="e">
        <f>((N(AU143)&gt;0)*(AX143&lt;&gt;"")+(N(AY143)&gt;0)*(BB143&lt;&gt;"")+(N(BC143)&gt;0)*(BF143&lt;&gt;"")+(N(BG143)&gt;0)*(BJ143&lt;&gt;"")+(N(BK143)&gt;0)*(BN143&lt;&gt;"")+(N(BO143)&gt;0)*(BR143&lt;&gt;"")+(N(BS143)&gt;0)*(BV143&lt;&gt;"")+(N(BW143)&gt;0)*(BZ143&lt;&gt;"")+(N(CA143)&gt;0)*(CD143&lt;&gt;"")+(N(CE143)&gt;0)*(CH143&lt;&gt;"")+(N(CI143)&gt;0)*(CL143&lt;&gt;"")+(N(CM143)&gt;0)*(CP143&lt;&gt;"")+(N(CQ143)&gt;0)*(CT143&lt;&gt;"")+(N(CU143)&gt;0)*(CX143&lt;&gt;"")+(N(CY143)&gt;0)*(DB143&lt;&gt;"")+(N(DC143)&gt;0)*(DF143&lt;&gt;"")+(N(DG143)&gt;0)*(DJ143&lt;&gt;"")+(N(DS143)&gt;0)*(DV143&lt;&gt;"")+(N(DW143)&gt;0)*(DZ143&lt;&gt;"")+(N(EA143)&gt;0)*(ED143&lt;&gt;"")+(N(EE143)&gt;0)*(EH143&lt;&gt;"")+(N(EI143)&gt;0)*(EL143&lt;&gt;"")+(N(EM143)&gt;0)*(EP143&lt;&gt;"")+(N(EQ143)&gt;0)*(ET143&lt;&gt;"")+(N(EU143)&gt;0)*(EX143&lt;&gt;"")+(N(#REF!)&gt;0)*(#REF!&lt;&gt;"")+(N(#REF!)&gt;0)*(#REF!&lt;&gt;"")+(N(FJ143)&gt;0)*(FM143&lt;&gt;"")+(N(FN143)&gt;0)*(FQ143&lt;&gt;"")+(N(#REF!)&gt;0)*(#REF!&lt;&gt;"")+(N(#REF!)&gt;0)*(#REF!&lt;&gt;"")+(N(HF143)&gt;0)*(HI143&lt;&gt;"")+(N(#REF!)&gt;0)*(#REF!&lt;&gt;"")+(N(HJ143)&gt;0)*(HM143&lt;&gt;"")+(N(HN143)&gt;0)*(HQ143&lt;&gt;"")+(N(HZ143)&gt;0)*(IC143&lt;&gt;"")+(N(ID143)&gt;0)*(IG143&lt;&gt;"")+(N(IH143)&gt;0)*(IK143&lt;&gt;"")+(N(IL143)&gt;0)*(IO143&lt;&gt;"")+(N(IX143)&gt;0)*(JA143&lt;&gt;"")+(N(JB143)&gt;0)*(JE143&lt;&gt;"")+(N(JF143)&gt;0)*(JH143&lt;&gt;"")+(N(JI143)&gt;0)*(JK143&lt;&gt;"")+(N(JL143)&gt;0)*(JN143&lt;&gt;"")+(N(JO143)&gt;0)*(JQ143&lt;&gt;""))</f>
        <v>#REF!</v>
      </c>
      <c r="LF143" s="141">
        <f t="shared" si="48"/>
        <v>0</v>
      </c>
      <c r="LG143" s="141">
        <f t="shared" si="62"/>
        <v>0</v>
      </c>
    </row>
    <row r="144" spans="1:319" ht="38.25" customHeight="1" x14ac:dyDescent="0.55000000000000004">
      <c r="B144" s="314" t="s">
        <v>409</v>
      </c>
      <c r="C144" s="218"/>
      <c r="D144" s="218"/>
      <c r="E144" s="218"/>
      <c r="F144" s="218"/>
      <c r="G144" s="218"/>
      <c r="H144" s="218"/>
      <c r="I144" s="162" cm="1">
        <f t="array" ref="I144">SUMPRODUCT(($AI$2:$KV$2&lt;&gt;"")*($AI144:$KV144&lt;&gt;""))</f>
        <v>2</v>
      </c>
      <c r="J144" s="142">
        <f t="shared" si="43"/>
        <v>0</v>
      </c>
      <c r="K144" s="142">
        <f t="shared" si="44"/>
        <v>0</v>
      </c>
      <c r="L144" s="268">
        <f t="shared" si="49"/>
        <v>7000</v>
      </c>
      <c r="M144" s="164">
        <f t="shared" si="45"/>
        <v>1960.0000000000002</v>
      </c>
      <c r="N144" s="397"/>
      <c r="O144" s="165">
        <f t="shared" si="46"/>
        <v>0</v>
      </c>
      <c r="P144" s="165"/>
      <c r="Q144" s="165"/>
      <c r="R144" s="165">
        <f>(IFERROR(AM144/AN144,0)+IFERROR(AU144/AV144,0)+IFERROR(AY144/AZ144,0)+IFERROR(BC144/BD144,0)+IFERROR(BG144/BH144,0)+IFERROR(BK144/BL144,0)+IFERROR(BO144/BP144,0)+IFERROR(BS144/BT144,0)+IFERROR(BW144/BX144,0)+IFERROR(CA144/CB144,0)+IFERROR(CE144/CF144,0)+IFERROR(CI144/CJ144,0)+IFERROR(CM144/CN144,0)+IFERROR(CQ144/CR144,0)+IFERROR(CU144/CV144,0)+IFERROR(CY144/CZ144,0)+IFERROR(DC144/DD144,0)+IFERROR(DG144/DH144,0)+IFERROR(DS144/DT144,0)+IFERROR(DW144/DX144,0)+IFERROR(EA144/EB144,0)+IFERROR(EE144/EF144,0)+IFERROR(EI144/EJ144,0)+IFERROR(EM144/EN144,0)+IFERROR(EQ144/ER144,0)+IFERROR(EU144/EV144,0)+IFERROR(#REF!/#REF!,0)+IFERROR(#REF!/#REF!,0)+IFERROR(FJ144/FK144,0)+IFERROR(FN144/FO144,0)+IFERROR(#REF!/#REF!,0)+IFERROR(#REF!/#REF!,0)+IFERROR(HF144/HG144,0)+IFERROR(#REF!/#REF!,0)+IFERROR(HJ144/HK144,0)+IFERROR(HN144/HO144,0)+IFERROR(HZ144/IA144,0)+IFERROR(ID144/IE144,0)+IFERROR(IH144/II144,0)+IFERROR(IL144/IM144,0)+IFERROR(IX144/IY144,0)+IFERROR(JB144/JC144,0)+IFERROR(JF144/JG144,0)+IFERROR(JI144/JJ144,0)+IFERROR(JL144/JM144,0)+IFERROR(JO144/JP144,0))*L144*(C144+D144+E144+I144)</f>
        <v>0</v>
      </c>
      <c r="S144" s="165"/>
      <c r="T144" s="165">
        <f t="shared" si="55"/>
        <v>0</v>
      </c>
      <c r="U144" s="165"/>
      <c r="V144" s="165"/>
      <c r="W144" s="165"/>
      <c r="X144" s="165">
        <f>(IFERROR(FF144/FG144,0)+IFERROR(FC144/FD144,0)+IFERROR(#REF!/#REF!,0)+IFERROR(KP144/KQ144,0))*L144*(C144+D144+E144+I144)</f>
        <v>0</v>
      </c>
      <c r="Y144" s="484"/>
      <c r="Z144" s="484"/>
      <c r="AA144" s="484"/>
      <c r="AB144" s="484"/>
      <c r="AC144" s="150">
        <f t="shared" si="47"/>
        <v>0</v>
      </c>
      <c r="AD144" s="150"/>
      <c r="AE144" s="150">
        <f t="shared" si="56"/>
        <v>0</v>
      </c>
      <c r="AF144" s="161"/>
      <c r="AG144" s="143"/>
      <c r="AH144" s="154"/>
      <c r="AI144" s="342">
        <v>35</v>
      </c>
      <c r="AJ144" s="342">
        <v>250</v>
      </c>
      <c r="AK144" s="342"/>
      <c r="AL144" s="343" t="s">
        <v>545</v>
      </c>
      <c r="AM144" s="140"/>
      <c r="AN144" s="154"/>
      <c r="AO144" s="154"/>
      <c r="AP144" s="220"/>
      <c r="AQ144" s="145"/>
      <c r="AR144" s="154"/>
      <c r="AS144" s="154"/>
      <c r="AT144" s="220"/>
      <c r="AU144" s="140"/>
      <c r="AV144" s="277"/>
      <c r="AW144" s="277"/>
      <c r="AX144" s="277"/>
      <c r="AY144" s="140"/>
      <c r="AZ144" s="277"/>
      <c r="BA144" s="277"/>
      <c r="BB144" s="277"/>
      <c r="BC144" s="140"/>
      <c r="BD144" s="277"/>
      <c r="BE144" s="277"/>
      <c r="BF144" s="277"/>
      <c r="BG144" s="140"/>
      <c r="BH144" s="277"/>
      <c r="BI144" s="277"/>
      <c r="BJ144" s="277"/>
      <c r="BK144" s="140"/>
      <c r="BL144" s="277"/>
      <c r="BM144" s="277"/>
      <c r="BN144" s="277"/>
      <c r="BO144" s="140"/>
      <c r="BP144" s="277"/>
      <c r="BQ144" s="277"/>
      <c r="BR144" s="277"/>
      <c r="BS144" s="140"/>
      <c r="BT144" s="277"/>
      <c r="BU144" s="277"/>
      <c r="BV144" s="277"/>
      <c r="BW144" s="140"/>
      <c r="BX144" s="154"/>
      <c r="BY144" s="154"/>
      <c r="BZ144" s="220"/>
      <c r="CA144" s="140"/>
      <c r="CB144" s="154"/>
      <c r="CC144" s="154"/>
      <c r="CD144" s="220"/>
      <c r="CE144" s="140"/>
      <c r="CF144" s="271"/>
      <c r="CG144" s="271"/>
      <c r="CH144" s="271"/>
      <c r="CI144" s="140"/>
      <c r="CJ144" s="154"/>
      <c r="CK144" s="154"/>
      <c r="CL144" s="154"/>
      <c r="CM144" s="140"/>
      <c r="CN144" s="271"/>
      <c r="CO144" s="271"/>
      <c r="CP144" s="271"/>
      <c r="CQ144" s="140"/>
      <c r="CR144" s="154"/>
      <c r="CS144" s="154"/>
      <c r="CT144" s="154"/>
      <c r="CU144" s="140"/>
      <c r="CV144" s="154"/>
      <c r="CW144" s="154"/>
      <c r="CX144" s="220"/>
      <c r="CY144" s="140"/>
      <c r="CZ144" s="154"/>
      <c r="DA144" s="154"/>
      <c r="DB144" s="220"/>
      <c r="DC144" s="140"/>
      <c r="DD144" s="146"/>
      <c r="DE144" s="146"/>
      <c r="DF144" s="146"/>
      <c r="DG144" s="140"/>
      <c r="DH144" s="146"/>
      <c r="DI144" s="146"/>
      <c r="DJ144" s="146"/>
      <c r="DK144" s="146"/>
      <c r="DL144" s="146"/>
      <c r="DM144" s="146"/>
      <c r="DN144" s="146"/>
      <c r="DO144" s="146"/>
      <c r="DP144" s="146"/>
      <c r="DQ144" s="146"/>
      <c r="DR144" s="146"/>
      <c r="DS144" s="140"/>
      <c r="DT144" s="154"/>
      <c r="DU144" s="154"/>
      <c r="DV144" s="154"/>
      <c r="DW144" s="140"/>
      <c r="DX144" s="220"/>
      <c r="DY144" s="220"/>
      <c r="DZ144" s="220"/>
      <c r="EA144" s="140"/>
      <c r="EB144" s="220"/>
      <c r="EC144" s="220"/>
      <c r="ED144" s="220"/>
      <c r="EE144" s="140"/>
      <c r="EF144" s="154"/>
      <c r="EG144" s="154"/>
      <c r="EH144" s="154"/>
      <c r="EI144" s="140"/>
      <c r="EJ144" s="154"/>
      <c r="EK144" s="154"/>
      <c r="EL144" s="154"/>
      <c r="EM144" s="140"/>
      <c r="EN144" s="222"/>
      <c r="EO144" s="222"/>
      <c r="EP144" s="222"/>
      <c r="EQ144" s="140"/>
      <c r="ER144" s="222"/>
      <c r="ES144" s="222"/>
      <c r="ET144" s="222"/>
      <c r="EU144" s="140"/>
      <c r="EV144" s="222"/>
      <c r="EW144" s="222"/>
      <c r="EX144" s="222"/>
      <c r="EY144" s="344"/>
      <c r="EZ144" s="222"/>
      <c r="FA144" s="222"/>
      <c r="FB144" s="222"/>
      <c r="FC144" s="273"/>
      <c r="FD144" s="223"/>
      <c r="FE144" s="223"/>
      <c r="FF144" s="276"/>
      <c r="FG144" s="156"/>
      <c r="FH144" s="156"/>
      <c r="FI144" s="156"/>
      <c r="FJ144" s="140"/>
      <c r="FK144" s="277"/>
      <c r="FL144" s="277"/>
      <c r="FM144" s="277"/>
      <c r="FN144" s="140"/>
      <c r="FO144" s="277"/>
      <c r="FP144" s="277"/>
      <c r="FQ144" s="277"/>
      <c r="FR144" s="280"/>
      <c r="FS144" s="277"/>
      <c r="FT144" s="277"/>
      <c r="FU144" s="277"/>
      <c r="FV144" s="277"/>
      <c r="FW144" s="277"/>
      <c r="FX144" s="277"/>
      <c r="FY144" s="277"/>
      <c r="FZ144" s="277"/>
      <c r="GA144" s="277"/>
      <c r="GB144" s="277"/>
      <c r="GC144" s="277"/>
      <c r="GD144" s="277"/>
      <c r="GE144" s="277"/>
      <c r="GF144" s="277"/>
      <c r="GG144" s="277"/>
      <c r="GH144" s="277"/>
      <c r="GI144" s="277"/>
      <c r="GJ144" s="277"/>
      <c r="GK144" s="277"/>
      <c r="GL144" s="277"/>
      <c r="GM144" s="277"/>
      <c r="GN144" s="277"/>
      <c r="GO144" s="277"/>
      <c r="GP144" s="277"/>
      <c r="GQ144" s="277"/>
      <c r="GR144" s="277"/>
      <c r="GS144" s="277"/>
      <c r="GT144" s="277"/>
      <c r="GU144" s="277"/>
      <c r="GV144" s="277"/>
      <c r="GW144" s="277"/>
      <c r="GX144" s="277"/>
      <c r="GY144" s="277"/>
      <c r="GZ144" s="277"/>
      <c r="HA144" s="277"/>
      <c r="HB144" s="277"/>
      <c r="HC144" s="277"/>
      <c r="HD144" s="277"/>
      <c r="HE144" s="277"/>
      <c r="HF144" s="140"/>
      <c r="HG144" s="277"/>
      <c r="HH144" s="277"/>
      <c r="HI144" s="277"/>
      <c r="HJ144" s="140"/>
      <c r="HK144" s="277"/>
      <c r="HL144" s="277"/>
      <c r="HM144" s="277"/>
      <c r="HN144" s="140"/>
      <c r="HO144" s="277"/>
      <c r="HP144" s="277"/>
      <c r="HQ144" s="277"/>
      <c r="HR144" s="277"/>
      <c r="HS144" s="277"/>
      <c r="HT144" s="277"/>
      <c r="HU144" s="277"/>
      <c r="HV144" s="277"/>
      <c r="HW144" s="277"/>
      <c r="HX144" s="277"/>
      <c r="HY144" s="277"/>
      <c r="HZ144" s="140"/>
      <c r="IA144" s="277"/>
      <c r="IB144" s="277"/>
      <c r="IC144" s="277"/>
      <c r="ID144" s="140"/>
      <c r="IE144" s="277"/>
      <c r="IF144" s="277"/>
      <c r="IG144" s="277"/>
      <c r="IH144" s="140"/>
      <c r="II144" s="277"/>
      <c r="IJ144" s="277"/>
      <c r="IK144" s="277"/>
      <c r="IL144" s="140"/>
      <c r="IM144" s="277"/>
      <c r="IN144" s="277"/>
      <c r="IO144" s="277"/>
      <c r="IP144" s="277"/>
      <c r="IQ144" s="277"/>
      <c r="IR144" s="277"/>
      <c r="IS144" s="277"/>
      <c r="IT144" s="277"/>
      <c r="IU144" s="277"/>
      <c r="IV144" s="277"/>
      <c r="IW144" s="277"/>
      <c r="IX144" s="140"/>
      <c r="IY144" s="277"/>
      <c r="IZ144" s="277"/>
      <c r="JA144" s="277"/>
      <c r="JB144" s="140"/>
      <c r="JC144" s="277"/>
      <c r="JD144" s="277"/>
      <c r="JE144" s="277"/>
      <c r="JF144" s="140"/>
      <c r="JG144" s="277"/>
      <c r="JH144" s="277"/>
      <c r="JI144" s="140"/>
      <c r="JJ144" s="277"/>
      <c r="JK144" s="277"/>
      <c r="JL144" s="140"/>
      <c r="JM144" s="277"/>
      <c r="JN144" s="277"/>
      <c r="JO144" s="140"/>
      <c r="JP144" s="277"/>
      <c r="JQ144" s="277"/>
      <c r="JR144" s="277"/>
      <c r="JS144" s="277"/>
      <c r="JT144" s="277"/>
      <c r="JU144" s="277"/>
      <c r="JV144" s="277"/>
      <c r="JW144" s="277"/>
      <c r="JX144" s="277"/>
      <c r="JY144" s="277"/>
      <c r="JZ144" s="277"/>
      <c r="KA144" s="277"/>
      <c r="KB144" s="277"/>
      <c r="KC144" s="277"/>
      <c r="KD144" s="277"/>
      <c r="KE144" s="277"/>
      <c r="KF144" s="277"/>
      <c r="KG144" s="277"/>
      <c r="KH144" s="277"/>
      <c r="KI144" s="277"/>
      <c r="KJ144" s="277"/>
      <c r="KK144" s="277"/>
      <c r="KL144" s="277"/>
      <c r="KM144" s="277"/>
      <c r="KN144" s="277"/>
      <c r="KO144" s="277"/>
      <c r="KP144" s="274"/>
      <c r="KQ144" s="253"/>
      <c r="KR144" s="253"/>
      <c r="KS144" s="346">
        <v>40</v>
      </c>
      <c r="KT144" s="346">
        <v>1000</v>
      </c>
      <c r="KU144" s="346" t="s">
        <v>759</v>
      </c>
      <c r="KY144" s="141">
        <f t="shared" si="57"/>
        <v>560</v>
      </c>
      <c r="KZ144" s="141">
        <f t="shared" si="58"/>
        <v>0</v>
      </c>
      <c r="LB144" s="141">
        <f t="shared" si="59"/>
        <v>1</v>
      </c>
      <c r="LC144" s="141">
        <f t="shared" si="60"/>
        <v>0</v>
      </c>
      <c r="LD144" s="141">
        <f t="shared" si="61"/>
        <v>0</v>
      </c>
      <c r="LE144" s="141" t="e">
        <f>((N(AU144)&gt;0)*(AX144&lt;&gt;"")+(N(AY144)&gt;0)*(BB144&lt;&gt;"")+(N(BC144)&gt;0)*(BF144&lt;&gt;"")+(N(BG144)&gt;0)*(BJ144&lt;&gt;"")+(N(BK144)&gt;0)*(BN144&lt;&gt;"")+(N(BO144)&gt;0)*(BR144&lt;&gt;"")+(N(BS144)&gt;0)*(BV144&lt;&gt;"")+(N(BW144)&gt;0)*(BZ144&lt;&gt;"")+(N(CA144)&gt;0)*(CD144&lt;&gt;"")+(N(CE144)&gt;0)*(CH144&lt;&gt;"")+(N(CI144)&gt;0)*(CL144&lt;&gt;"")+(N(CM144)&gt;0)*(CP144&lt;&gt;"")+(N(CQ144)&gt;0)*(CT144&lt;&gt;"")+(N(CU144)&gt;0)*(CX144&lt;&gt;"")+(N(CY144)&gt;0)*(DB144&lt;&gt;"")+(N(DC144)&gt;0)*(DF144&lt;&gt;"")+(N(DG144)&gt;0)*(DJ144&lt;&gt;"")+(N(DS144)&gt;0)*(DV144&lt;&gt;"")+(N(DW144)&gt;0)*(DZ144&lt;&gt;"")+(N(EA144)&gt;0)*(ED144&lt;&gt;"")+(N(EE144)&gt;0)*(EH144&lt;&gt;"")+(N(EI144)&gt;0)*(EL144&lt;&gt;"")+(N(EM144)&gt;0)*(EP144&lt;&gt;"")+(N(EQ144)&gt;0)*(ET144&lt;&gt;"")+(N(EU144)&gt;0)*(EX144&lt;&gt;"")+(N(#REF!)&gt;0)*(#REF!&lt;&gt;"")+(N(#REF!)&gt;0)*(#REF!&lt;&gt;"")+(N(FJ144)&gt;0)*(FM144&lt;&gt;"")+(N(FN144)&gt;0)*(FQ144&lt;&gt;"")+(N(#REF!)&gt;0)*(#REF!&lt;&gt;"")+(N(#REF!)&gt;0)*(#REF!&lt;&gt;"")+(N(HF144)&gt;0)*(HI144&lt;&gt;"")+(N(#REF!)&gt;0)*(#REF!&lt;&gt;"")+(N(HJ144)&gt;0)*(HM144&lt;&gt;"")+(N(HN144)&gt;0)*(HQ144&lt;&gt;"")+(N(HZ144)&gt;0)*(IC144&lt;&gt;"")+(N(ID144)&gt;0)*(IG144&lt;&gt;"")+(N(IH144)&gt;0)*(IK144&lt;&gt;"")+(N(IL144)&gt;0)*(IO144&lt;&gt;"")+(N(IX144)&gt;0)*(JA144&lt;&gt;"")+(N(JB144)&gt;0)*(JE144&lt;&gt;"")+(N(JF144)&gt;0)*(JH144&lt;&gt;"")+(N(JI144)&gt;0)*(JK144&lt;&gt;"")+(N(JL144)&gt;0)*(JN144&lt;&gt;"")+(N(JO144)&gt;0)*(JQ144&lt;&gt;""))</f>
        <v>#REF!</v>
      </c>
      <c r="LF144" s="141">
        <f t="shared" si="48"/>
        <v>0</v>
      </c>
      <c r="LG144" s="141">
        <f t="shared" si="62"/>
        <v>0</v>
      </c>
    </row>
    <row r="145" spans="2:319" ht="38.25" customHeight="1" x14ac:dyDescent="0.55000000000000004">
      <c r="B145" s="314" t="s">
        <v>411</v>
      </c>
      <c r="C145" s="218"/>
      <c r="D145" s="218"/>
      <c r="E145" s="218"/>
      <c r="F145" s="218"/>
      <c r="G145" s="218"/>
      <c r="H145" s="218"/>
      <c r="I145" s="162" cm="1">
        <f t="array" ref="I145">SUMPRODUCT(($AI$2:$KV$2&lt;&gt;"")*($AI145:$KV145&lt;&gt;""))</f>
        <v>2</v>
      </c>
      <c r="J145" s="142">
        <f t="shared" si="43"/>
        <v>0</v>
      </c>
      <c r="K145" s="142">
        <f t="shared" si="44"/>
        <v>0</v>
      </c>
      <c r="L145" s="268">
        <f t="shared" si="49"/>
        <v>7000</v>
      </c>
      <c r="M145" s="164">
        <f t="shared" si="45"/>
        <v>1960.0000000000002</v>
      </c>
      <c r="N145" s="397"/>
      <c r="O145" s="165">
        <f t="shared" si="46"/>
        <v>0</v>
      </c>
      <c r="P145" s="165"/>
      <c r="Q145" s="165"/>
      <c r="R145" s="165">
        <f>(IFERROR(AM145/AN145,0)+IFERROR(AU145/AV145,0)+IFERROR(AY145/AZ145,0)+IFERROR(BC145/BD145,0)+IFERROR(BG145/BH145,0)+IFERROR(BK145/BL145,0)+IFERROR(BO145/BP145,0)+IFERROR(BS145/BT145,0)+IFERROR(BW145/BX145,0)+IFERROR(CA145/CB145,0)+IFERROR(CE145/CF145,0)+IFERROR(CI145/CJ145,0)+IFERROR(CM145/CN145,0)+IFERROR(CQ145/CR145,0)+IFERROR(CU145/CV145,0)+IFERROR(CY145/CZ145,0)+IFERROR(DC145/DD145,0)+IFERROR(DG145/DH145,0)+IFERROR(DS145/DT145,0)+IFERROR(DW145/DX145,0)+IFERROR(EA145/EB145,0)+IFERROR(EE145/EF145,0)+IFERROR(EI145/EJ145,0)+IFERROR(EM145/EN145,0)+IFERROR(EQ145/ER145,0)+IFERROR(EU145/EV145,0)+IFERROR(#REF!/#REF!,0)+IFERROR(#REF!/#REF!,0)+IFERROR(FJ145/FK145,0)+IFERROR(FN145/FO145,0)+IFERROR(#REF!/#REF!,0)+IFERROR(#REF!/#REF!,0)+IFERROR(HF145/HG145,0)+IFERROR(#REF!/#REF!,0)+IFERROR(HJ145/HK145,0)+IFERROR(HN145/HO145,0)+IFERROR(HZ145/IA145,0)+IFERROR(ID145/IE145,0)+IFERROR(IH145/II145,0)+IFERROR(IL145/IM145,0)+IFERROR(IX145/IY145,0)+IFERROR(JB145/JC145,0)+IFERROR(JF145/JG145,0)+IFERROR(JI145/JJ145,0)+IFERROR(JL145/JM145,0)+IFERROR(JO145/JP145,0))*L145*(C145+D145+E145+I145)</f>
        <v>0</v>
      </c>
      <c r="S145" s="165"/>
      <c r="T145" s="165">
        <f t="shared" si="55"/>
        <v>0</v>
      </c>
      <c r="U145" s="165"/>
      <c r="V145" s="165"/>
      <c r="W145" s="165"/>
      <c r="X145" s="165">
        <f>(IFERROR(FF145/FG145,0)+IFERROR(FC145/FD145,0)+IFERROR(#REF!/#REF!,0)+IFERROR(KP145/KQ145,0))*L145*(C145+D145+E145+I145)</f>
        <v>0</v>
      </c>
      <c r="Y145" s="484"/>
      <c r="Z145" s="484"/>
      <c r="AA145" s="484"/>
      <c r="AB145" s="484"/>
      <c r="AC145" s="150">
        <f t="shared" si="47"/>
        <v>0</v>
      </c>
      <c r="AD145" s="150"/>
      <c r="AE145" s="150">
        <f t="shared" si="56"/>
        <v>0</v>
      </c>
      <c r="AF145" s="161"/>
      <c r="AG145" s="143"/>
      <c r="AH145" s="154"/>
      <c r="AI145" s="342">
        <v>35</v>
      </c>
      <c r="AJ145" s="342">
        <v>250</v>
      </c>
      <c r="AK145" s="342"/>
      <c r="AL145" s="343" t="s">
        <v>545</v>
      </c>
      <c r="AM145" s="140"/>
      <c r="AN145" s="154"/>
      <c r="AO145" s="154"/>
      <c r="AP145" s="220"/>
      <c r="AQ145" s="145"/>
      <c r="AR145" s="154"/>
      <c r="AS145" s="154"/>
      <c r="AT145" s="220"/>
      <c r="AU145" s="140"/>
      <c r="AV145" s="277"/>
      <c r="AW145" s="277"/>
      <c r="AX145" s="277"/>
      <c r="AY145" s="140"/>
      <c r="AZ145" s="277"/>
      <c r="BA145" s="277"/>
      <c r="BB145" s="277"/>
      <c r="BC145" s="140"/>
      <c r="BD145" s="277"/>
      <c r="BE145" s="277"/>
      <c r="BF145" s="277"/>
      <c r="BG145" s="140"/>
      <c r="BH145" s="277"/>
      <c r="BI145" s="277"/>
      <c r="BJ145" s="277"/>
      <c r="BK145" s="140"/>
      <c r="BL145" s="277"/>
      <c r="BM145" s="277"/>
      <c r="BN145" s="277"/>
      <c r="BO145" s="140"/>
      <c r="BP145" s="277"/>
      <c r="BQ145" s="277"/>
      <c r="BR145" s="277"/>
      <c r="BS145" s="140"/>
      <c r="BT145" s="277"/>
      <c r="BU145" s="277"/>
      <c r="BV145" s="277"/>
      <c r="BW145" s="140"/>
      <c r="BX145" s="154"/>
      <c r="BY145" s="154"/>
      <c r="BZ145" s="220"/>
      <c r="CA145" s="140"/>
      <c r="CB145" s="154"/>
      <c r="CC145" s="154"/>
      <c r="CD145" s="220"/>
      <c r="CE145" s="140"/>
      <c r="CF145" s="271"/>
      <c r="CG145" s="271"/>
      <c r="CH145" s="271"/>
      <c r="CI145" s="140"/>
      <c r="CJ145" s="154"/>
      <c r="CK145" s="154"/>
      <c r="CL145" s="154"/>
      <c r="CM145" s="140"/>
      <c r="CN145" s="271"/>
      <c r="CO145" s="271"/>
      <c r="CP145" s="271"/>
      <c r="CQ145" s="140"/>
      <c r="CR145" s="154"/>
      <c r="CS145" s="154"/>
      <c r="CT145" s="154"/>
      <c r="CU145" s="140"/>
      <c r="CV145" s="154"/>
      <c r="CW145" s="154"/>
      <c r="CX145" s="220"/>
      <c r="CY145" s="140"/>
      <c r="CZ145" s="154"/>
      <c r="DA145" s="154"/>
      <c r="DB145" s="220"/>
      <c r="DC145" s="140"/>
      <c r="DD145" s="146"/>
      <c r="DE145" s="146"/>
      <c r="DF145" s="146"/>
      <c r="DG145" s="140"/>
      <c r="DH145" s="146"/>
      <c r="DI145" s="146"/>
      <c r="DJ145" s="146"/>
      <c r="DK145" s="146"/>
      <c r="DL145" s="146"/>
      <c r="DM145" s="146"/>
      <c r="DN145" s="146"/>
      <c r="DO145" s="146"/>
      <c r="DP145" s="146"/>
      <c r="DQ145" s="146"/>
      <c r="DR145" s="146"/>
      <c r="DS145" s="140"/>
      <c r="DT145" s="154"/>
      <c r="DU145" s="154"/>
      <c r="DV145" s="154"/>
      <c r="DW145" s="140"/>
      <c r="DX145" s="220"/>
      <c r="DY145" s="220"/>
      <c r="DZ145" s="220"/>
      <c r="EA145" s="140"/>
      <c r="EB145" s="220"/>
      <c r="EC145" s="220"/>
      <c r="ED145" s="220"/>
      <c r="EE145" s="140"/>
      <c r="EF145" s="154"/>
      <c r="EG145" s="154"/>
      <c r="EH145" s="154"/>
      <c r="EI145" s="140"/>
      <c r="EJ145" s="154"/>
      <c r="EK145" s="154"/>
      <c r="EL145" s="154"/>
      <c r="EM145" s="140"/>
      <c r="EN145" s="222"/>
      <c r="EO145" s="222"/>
      <c r="EP145" s="222"/>
      <c r="EQ145" s="140"/>
      <c r="ER145" s="222"/>
      <c r="ES145" s="222"/>
      <c r="ET145" s="222"/>
      <c r="EU145" s="140"/>
      <c r="EV145" s="222"/>
      <c r="EW145" s="222"/>
      <c r="EX145" s="222"/>
      <c r="EY145" s="344"/>
      <c r="EZ145" s="222"/>
      <c r="FA145" s="222"/>
      <c r="FB145" s="222"/>
      <c r="FC145" s="273"/>
      <c r="FD145" s="223"/>
      <c r="FE145" s="223"/>
      <c r="FF145" s="276"/>
      <c r="FG145" s="156"/>
      <c r="FH145" s="156"/>
      <c r="FI145" s="156"/>
      <c r="FJ145" s="140"/>
      <c r="FK145" s="277"/>
      <c r="FL145" s="277"/>
      <c r="FM145" s="277"/>
      <c r="FN145" s="140"/>
      <c r="FO145" s="277"/>
      <c r="FP145" s="277"/>
      <c r="FQ145" s="277"/>
      <c r="FR145" s="280"/>
      <c r="FS145" s="277"/>
      <c r="FT145" s="277"/>
      <c r="FU145" s="277"/>
      <c r="FV145" s="277"/>
      <c r="FW145" s="277"/>
      <c r="FX145" s="277"/>
      <c r="FY145" s="277"/>
      <c r="FZ145" s="277"/>
      <c r="GA145" s="277"/>
      <c r="GB145" s="277"/>
      <c r="GC145" s="277"/>
      <c r="GD145" s="277"/>
      <c r="GE145" s="277"/>
      <c r="GF145" s="277"/>
      <c r="GG145" s="277"/>
      <c r="GH145" s="277"/>
      <c r="GI145" s="277"/>
      <c r="GJ145" s="277"/>
      <c r="GK145" s="277"/>
      <c r="GL145" s="277"/>
      <c r="GM145" s="277"/>
      <c r="GN145" s="277"/>
      <c r="GO145" s="277"/>
      <c r="GP145" s="277"/>
      <c r="GQ145" s="277"/>
      <c r="GR145" s="277"/>
      <c r="GS145" s="277"/>
      <c r="GT145" s="277"/>
      <c r="GU145" s="277"/>
      <c r="GV145" s="277"/>
      <c r="GW145" s="277"/>
      <c r="GX145" s="277"/>
      <c r="GY145" s="277"/>
      <c r="GZ145" s="277"/>
      <c r="HA145" s="277"/>
      <c r="HB145" s="277"/>
      <c r="HC145" s="277"/>
      <c r="HD145" s="277"/>
      <c r="HE145" s="277"/>
      <c r="HF145" s="140"/>
      <c r="HG145" s="277"/>
      <c r="HH145" s="277"/>
      <c r="HI145" s="277"/>
      <c r="HJ145" s="140"/>
      <c r="HK145" s="277"/>
      <c r="HL145" s="277"/>
      <c r="HM145" s="277"/>
      <c r="HN145" s="140"/>
      <c r="HO145" s="277"/>
      <c r="HP145" s="277"/>
      <c r="HQ145" s="277"/>
      <c r="HR145" s="277"/>
      <c r="HS145" s="277"/>
      <c r="HT145" s="277"/>
      <c r="HU145" s="277"/>
      <c r="HV145" s="277"/>
      <c r="HW145" s="277"/>
      <c r="HX145" s="277"/>
      <c r="HY145" s="277"/>
      <c r="HZ145" s="140"/>
      <c r="IA145" s="277"/>
      <c r="IB145" s="277"/>
      <c r="IC145" s="277"/>
      <c r="ID145" s="140"/>
      <c r="IE145" s="277"/>
      <c r="IF145" s="277"/>
      <c r="IG145" s="277"/>
      <c r="IH145" s="140"/>
      <c r="II145" s="277"/>
      <c r="IJ145" s="277"/>
      <c r="IK145" s="277"/>
      <c r="IL145" s="140"/>
      <c r="IM145" s="277"/>
      <c r="IN145" s="277"/>
      <c r="IO145" s="277"/>
      <c r="IP145" s="277"/>
      <c r="IQ145" s="277"/>
      <c r="IR145" s="277"/>
      <c r="IS145" s="277"/>
      <c r="IT145" s="277"/>
      <c r="IU145" s="277"/>
      <c r="IV145" s="277"/>
      <c r="IW145" s="277"/>
      <c r="IX145" s="140"/>
      <c r="IY145" s="277"/>
      <c r="IZ145" s="277"/>
      <c r="JA145" s="277"/>
      <c r="JB145" s="140"/>
      <c r="JC145" s="277"/>
      <c r="JD145" s="277"/>
      <c r="JE145" s="277"/>
      <c r="JF145" s="140"/>
      <c r="JG145" s="277"/>
      <c r="JH145" s="277"/>
      <c r="JI145" s="140"/>
      <c r="JJ145" s="277"/>
      <c r="JK145" s="277"/>
      <c r="JL145" s="140"/>
      <c r="JM145" s="277"/>
      <c r="JN145" s="277"/>
      <c r="JO145" s="140"/>
      <c r="JP145" s="277"/>
      <c r="JQ145" s="277"/>
      <c r="JR145" s="277"/>
      <c r="JS145" s="277"/>
      <c r="JT145" s="277"/>
      <c r="JU145" s="277"/>
      <c r="JV145" s="277"/>
      <c r="JW145" s="277"/>
      <c r="JX145" s="277"/>
      <c r="JY145" s="277"/>
      <c r="JZ145" s="277"/>
      <c r="KA145" s="277"/>
      <c r="KB145" s="277"/>
      <c r="KC145" s="277"/>
      <c r="KD145" s="277"/>
      <c r="KE145" s="277"/>
      <c r="KF145" s="277"/>
      <c r="KG145" s="277"/>
      <c r="KH145" s="277"/>
      <c r="KI145" s="277"/>
      <c r="KJ145" s="277"/>
      <c r="KK145" s="277"/>
      <c r="KL145" s="277"/>
      <c r="KM145" s="277"/>
      <c r="KN145" s="277"/>
      <c r="KO145" s="277"/>
      <c r="KP145" s="274"/>
      <c r="KQ145" s="253"/>
      <c r="KR145" s="253"/>
      <c r="KS145" s="346">
        <v>40</v>
      </c>
      <c r="KT145" s="346">
        <v>1000</v>
      </c>
      <c r="KU145" s="346" t="s">
        <v>759</v>
      </c>
      <c r="KY145" s="141">
        <f t="shared" si="57"/>
        <v>560</v>
      </c>
      <c r="KZ145" s="141">
        <f t="shared" si="58"/>
        <v>0</v>
      </c>
      <c r="LB145" s="141">
        <f t="shared" si="59"/>
        <v>1</v>
      </c>
      <c r="LC145" s="141">
        <f t="shared" si="60"/>
        <v>0</v>
      </c>
      <c r="LD145" s="141">
        <f t="shared" si="61"/>
        <v>0</v>
      </c>
      <c r="LE145" s="141" t="e">
        <f>((N(AU145)&gt;0)*(AX145&lt;&gt;"")+(N(AY145)&gt;0)*(BB145&lt;&gt;"")+(N(BC145)&gt;0)*(BF145&lt;&gt;"")+(N(BG145)&gt;0)*(BJ145&lt;&gt;"")+(N(BK145)&gt;0)*(BN145&lt;&gt;"")+(N(BO145)&gt;0)*(BR145&lt;&gt;"")+(N(BS145)&gt;0)*(BV145&lt;&gt;"")+(N(BW145)&gt;0)*(BZ145&lt;&gt;"")+(N(CA145)&gt;0)*(CD145&lt;&gt;"")+(N(CE145)&gt;0)*(CH145&lt;&gt;"")+(N(CI145)&gt;0)*(CL145&lt;&gt;"")+(N(CM145)&gt;0)*(CP145&lt;&gt;"")+(N(CQ145)&gt;0)*(CT145&lt;&gt;"")+(N(CU145)&gt;0)*(CX145&lt;&gt;"")+(N(CY145)&gt;0)*(DB145&lt;&gt;"")+(N(DC145)&gt;0)*(DF145&lt;&gt;"")+(N(DG145)&gt;0)*(DJ145&lt;&gt;"")+(N(DS145)&gt;0)*(DV145&lt;&gt;"")+(N(DW145)&gt;0)*(DZ145&lt;&gt;"")+(N(EA145)&gt;0)*(ED145&lt;&gt;"")+(N(EE145)&gt;0)*(EH145&lt;&gt;"")+(N(EI145)&gt;0)*(EL145&lt;&gt;"")+(N(EM145)&gt;0)*(EP145&lt;&gt;"")+(N(EQ145)&gt;0)*(ET145&lt;&gt;"")+(N(EU145)&gt;0)*(EX145&lt;&gt;"")+(N(#REF!)&gt;0)*(#REF!&lt;&gt;"")+(N(#REF!)&gt;0)*(#REF!&lt;&gt;"")+(N(FJ145)&gt;0)*(FM145&lt;&gt;"")+(N(FN145)&gt;0)*(FQ145&lt;&gt;"")+(N(#REF!)&gt;0)*(#REF!&lt;&gt;"")+(N(#REF!)&gt;0)*(#REF!&lt;&gt;"")+(N(HF145)&gt;0)*(HI145&lt;&gt;"")+(N(#REF!)&gt;0)*(#REF!&lt;&gt;"")+(N(HJ145)&gt;0)*(HM145&lt;&gt;"")+(N(HN145)&gt;0)*(HQ145&lt;&gt;"")+(N(HZ145)&gt;0)*(IC145&lt;&gt;"")+(N(ID145)&gt;0)*(IG145&lt;&gt;"")+(N(IH145)&gt;0)*(IK145&lt;&gt;"")+(N(IL145)&gt;0)*(IO145&lt;&gt;"")+(N(IX145)&gt;0)*(JA145&lt;&gt;"")+(N(JB145)&gt;0)*(JE145&lt;&gt;"")+(N(JF145)&gt;0)*(JH145&lt;&gt;"")+(N(JI145)&gt;0)*(JK145&lt;&gt;"")+(N(JL145)&gt;0)*(JN145&lt;&gt;"")+(N(JO145)&gt;0)*(JQ145&lt;&gt;""))</f>
        <v>#REF!</v>
      </c>
      <c r="LF145" s="141">
        <f t="shared" si="48"/>
        <v>0</v>
      </c>
      <c r="LG145" s="141">
        <f t="shared" si="62"/>
        <v>0</v>
      </c>
    </row>
    <row r="146" spans="2:319" ht="38.25" customHeight="1" x14ac:dyDescent="0.55000000000000004">
      <c r="B146" s="314" t="s">
        <v>410</v>
      </c>
      <c r="C146" s="218"/>
      <c r="D146" s="218"/>
      <c r="E146" s="218"/>
      <c r="F146" s="218"/>
      <c r="G146" s="218"/>
      <c r="H146" s="218"/>
      <c r="I146" s="162" cm="1">
        <f t="array" ref="I146">SUMPRODUCT(($AI$2:$KV$2&lt;&gt;"")*($AI146:$KV146&lt;&gt;""))</f>
        <v>2</v>
      </c>
      <c r="J146" s="142">
        <f t="shared" si="43"/>
        <v>0</v>
      </c>
      <c r="K146" s="142">
        <f t="shared" si="44"/>
        <v>0</v>
      </c>
      <c r="L146" s="268">
        <f t="shared" si="49"/>
        <v>7000</v>
      </c>
      <c r="M146" s="164">
        <f t="shared" si="45"/>
        <v>1960.0000000000002</v>
      </c>
      <c r="N146" s="397"/>
      <c r="O146" s="165">
        <f t="shared" si="46"/>
        <v>0</v>
      </c>
      <c r="P146" s="165"/>
      <c r="Q146" s="165"/>
      <c r="R146" s="165">
        <f>(IFERROR(AM146/AN146,0)+IFERROR(AU146/AV146,0)+IFERROR(AY146/AZ146,0)+IFERROR(BC146/BD146,0)+IFERROR(BG146/BH146,0)+IFERROR(BK146/BL146,0)+IFERROR(BO146/BP146,0)+IFERROR(BS146/BT146,0)+IFERROR(BW146/BX146,0)+IFERROR(CA146/CB146,0)+IFERROR(CE146/CF146,0)+IFERROR(CI146/CJ146,0)+IFERROR(CM146/CN146,0)+IFERROR(CQ146/CR146,0)+IFERROR(CU146/CV146,0)+IFERROR(CY146/CZ146,0)+IFERROR(DC146/DD146,0)+IFERROR(DG146/DH146,0)+IFERROR(DS146/DT146,0)+IFERROR(DW146/DX146,0)+IFERROR(EA146/EB146,0)+IFERROR(EE146/EF146,0)+IFERROR(EI146/EJ146,0)+IFERROR(EM146/EN146,0)+IFERROR(EQ146/ER146,0)+IFERROR(EU146/EV146,0)+IFERROR(#REF!/#REF!,0)+IFERROR(#REF!/#REF!,0)+IFERROR(FJ146/FK146,0)+IFERROR(FN146/FO146,0)+IFERROR(#REF!/#REF!,0)+IFERROR(#REF!/#REF!,0)+IFERROR(HF146/HG146,0)+IFERROR(#REF!/#REF!,0)+IFERROR(HJ146/HK146,0)+IFERROR(HN146/HO146,0)+IFERROR(HZ146/IA146,0)+IFERROR(ID146/IE146,0)+IFERROR(IH146/II146,0)+IFERROR(IL146/IM146,0)+IFERROR(IX146/IY146,0)+IFERROR(JB146/JC146,0)+IFERROR(JF146/JG146,0)+IFERROR(JI146/JJ146,0)+IFERROR(JL146/JM146,0)+IFERROR(JO146/JP146,0))*L146*(C146+D146+E146+I146)</f>
        <v>0</v>
      </c>
      <c r="S146" s="165"/>
      <c r="T146" s="165">
        <f t="shared" si="55"/>
        <v>0</v>
      </c>
      <c r="U146" s="165"/>
      <c r="V146" s="165"/>
      <c r="W146" s="165"/>
      <c r="X146" s="165">
        <f>(IFERROR(FF146/FG146,0)+IFERROR(FC146/FD146,0)+IFERROR(#REF!/#REF!,0)+IFERROR(KP146/KQ146,0))*L146*(C146+D146+E146+I146)</f>
        <v>0</v>
      </c>
      <c r="Y146" s="484"/>
      <c r="Z146" s="484"/>
      <c r="AA146" s="484"/>
      <c r="AB146" s="484"/>
      <c r="AC146" s="150">
        <f t="shared" si="47"/>
        <v>0</v>
      </c>
      <c r="AD146" s="150"/>
      <c r="AE146" s="150">
        <f t="shared" si="56"/>
        <v>0</v>
      </c>
      <c r="AF146" s="161"/>
      <c r="AG146" s="143"/>
      <c r="AH146" s="154"/>
      <c r="AI146" s="342">
        <v>35</v>
      </c>
      <c r="AJ146" s="342">
        <v>250</v>
      </c>
      <c r="AK146" s="342"/>
      <c r="AL146" s="343" t="s">
        <v>545</v>
      </c>
      <c r="AM146" s="140"/>
      <c r="AN146" s="154"/>
      <c r="AO146" s="154"/>
      <c r="AP146" s="220"/>
      <c r="AQ146" s="145"/>
      <c r="AR146" s="154"/>
      <c r="AS146" s="154"/>
      <c r="AT146" s="220"/>
      <c r="AU146" s="140"/>
      <c r="AV146" s="277"/>
      <c r="AW146" s="277"/>
      <c r="AX146" s="277"/>
      <c r="AY146" s="140"/>
      <c r="AZ146" s="277"/>
      <c r="BA146" s="277"/>
      <c r="BB146" s="277"/>
      <c r="BC146" s="140"/>
      <c r="BD146" s="277"/>
      <c r="BE146" s="277"/>
      <c r="BF146" s="277"/>
      <c r="BG146" s="140"/>
      <c r="BH146" s="277"/>
      <c r="BI146" s="277"/>
      <c r="BJ146" s="277"/>
      <c r="BK146" s="140"/>
      <c r="BL146" s="277"/>
      <c r="BM146" s="277"/>
      <c r="BN146" s="277"/>
      <c r="BO146" s="140"/>
      <c r="BP146" s="277"/>
      <c r="BQ146" s="277"/>
      <c r="BR146" s="277"/>
      <c r="BS146" s="140"/>
      <c r="BT146" s="277"/>
      <c r="BU146" s="277"/>
      <c r="BV146" s="277"/>
      <c r="BW146" s="140"/>
      <c r="BX146" s="154"/>
      <c r="BY146" s="154"/>
      <c r="BZ146" s="220"/>
      <c r="CA146" s="140"/>
      <c r="CB146" s="154"/>
      <c r="CC146" s="154"/>
      <c r="CD146" s="220"/>
      <c r="CE146" s="140"/>
      <c r="CF146" s="271"/>
      <c r="CG146" s="271"/>
      <c r="CH146" s="271"/>
      <c r="CI146" s="140"/>
      <c r="CJ146" s="154"/>
      <c r="CK146" s="154"/>
      <c r="CL146" s="154"/>
      <c r="CM146" s="140"/>
      <c r="CN146" s="271"/>
      <c r="CO146" s="271"/>
      <c r="CP146" s="271"/>
      <c r="CQ146" s="140"/>
      <c r="CR146" s="154"/>
      <c r="CS146" s="154"/>
      <c r="CT146" s="154"/>
      <c r="CU146" s="140"/>
      <c r="CV146" s="154"/>
      <c r="CW146" s="154"/>
      <c r="CX146" s="220"/>
      <c r="CY146" s="140"/>
      <c r="CZ146" s="154"/>
      <c r="DA146" s="154"/>
      <c r="DB146" s="220"/>
      <c r="DC146" s="140"/>
      <c r="DD146" s="146"/>
      <c r="DE146" s="146"/>
      <c r="DF146" s="146"/>
      <c r="DG146" s="140"/>
      <c r="DH146" s="146"/>
      <c r="DI146" s="146"/>
      <c r="DJ146" s="146"/>
      <c r="DK146" s="146"/>
      <c r="DL146" s="146"/>
      <c r="DM146" s="146"/>
      <c r="DN146" s="146"/>
      <c r="DO146" s="146"/>
      <c r="DP146" s="146"/>
      <c r="DQ146" s="146"/>
      <c r="DR146" s="146"/>
      <c r="DS146" s="140"/>
      <c r="DT146" s="154"/>
      <c r="DU146" s="154"/>
      <c r="DV146" s="154"/>
      <c r="DW146" s="140"/>
      <c r="DX146" s="220"/>
      <c r="DY146" s="220"/>
      <c r="DZ146" s="220"/>
      <c r="EA146" s="140"/>
      <c r="EB146" s="220"/>
      <c r="EC146" s="220"/>
      <c r="ED146" s="220"/>
      <c r="EE146" s="140"/>
      <c r="EF146" s="154"/>
      <c r="EG146" s="154"/>
      <c r="EH146" s="154"/>
      <c r="EI146" s="140"/>
      <c r="EJ146" s="154"/>
      <c r="EK146" s="154"/>
      <c r="EL146" s="154"/>
      <c r="EM146" s="140"/>
      <c r="EN146" s="222"/>
      <c r="EO146" s="222"/>
      <c r="EP146" s="222"/>
      <c r="EQ146" s="140"/>
      <c r="ER146" s="222"/>
      <c r="ES146" s="222"/>
      <c r="ET146" s="222"/>
      <c r="EU146" s="140"/>
      <c r="EV146" s="222"/>
      <c r="EW146" s="222"/>
      <c r="EX146" s="222"/>
      <c r="EY146" s="344"/>
      <c r="EZ146" s="222"/>
      <c r="FA146" s="222"/>
      <c r="FB146" s="222"/>
      <c r="FC146" s="273"/>
      <c r="FD146" s="223"/>
      <c r="FE146" s="223"/>
      <c r="FF146" s="276"/>
      <c r="FG146" s="156"/>
      <c r="FH146" s="156"/>
      <c r="FI146" s="156"/>
      <c r="FJ146" s="140"/>
      <c r="FK146" s="277"/>
      <c r="FL146" s="277"/>
      <c r="FM146" s="277"/>
      <c r="FN146" s="140"/>
      <c r="FO146" s="277"/>
      <c r="FP146" s="277"/>
      <c r="FQ146" s="277"/>
      <c r="FR146" s="280"/>
      <c r="FS146" s="277"/>
      <c r="FT146" s="277"/>
      <c r="FU146" s="277"/>
      <c r="FV146" s="277"/>
      <c r="FW146" s="277"/>
      <c r="FX146" s="277"/>
      <c r="FY146" s="277"/>
      <c r="FZ146" s="277"/>
      <c r="GA146" s="277"/>
      <c r="GB146" s="277"/>
      <c r="GC146" s="277"/>
      <c r="GD146" s="277"/>
      <c r="GE146" s="277"/>
      <c r="GF146" s="277"/>
      <c r="GG146" s="277"/>
      <c r="GH146" s="277"/>
      <c r="GI146" s="277"/>
      <c r="GJ146" s="277"/>
      <c r="GK146" s="277"/>
      <c r="GL146" s="277"/>
      <c r="GM146" s="277"/>
      <c r="GN146" s="277"/>
      <c r="GO146" s="277"/>
      <c r="GP146" s="277"/>
      <c r="GQ146" s="277"/>
      <c r="GR146" s="277"/>
      <c r="GS146" s="277"/>
      <c r="GT146" s="277"/>
      <c r="GU146" s="277"/>
      <c r="GV146" s="277"/>
      <c r="GW146" s="277"/>
      <c r="GX146" s="277"/>
      <c r="GY146" s="277"/>
      <c r="GZ146" s="277"/>
      <c r="HA146" s="277"/>
      <c r="HB146" s="277"/>
      <c r="HC146" s="277"/>
      <c r="HD146" s="277"/>
      <c r="HE146" s="277"/>
      <c r="HF146" s="140"/>
      <c r="HG146" s="277"/>
      <c r="HH146" s="277"/>
      <c r="HI146" s="277"/>
      <c r="HJ146" s="140"/>
      <c r="HK146" s="277"/>
      <c r="HL146" s="277"/>
      <c r="HM146" s="277"/>
      <c r="HN146" s="140"/>
      <c r="HO146" s="277"/>
      <c r="HP146" s="277"/>
      <c r="HQ146" s="277"/>
      <c r="HR146" s="277"/>
      <c r="HS146" s="277"/>
      <c r="HT146" s="277"/>
      <c r="HU146" s="277"/>
      <c r="HV146" s="277"/>
      <c r="HW146" s="277"/>
      <c r="HX146" s="277"/>
      <c r="HY146" s="277"/>
      <c r="HZ146" s="140"/>
      <c r="IA146" s="277"/>
      <c r="IB146" s="277"/>
      <c r="IC146" s="277"/>
      <c r="ID146" s="140"/>
      <c r="IE146" s="277"/>
      <c r="IF146" s="277"/>
      <c r="IG146" s="277"/>
      <c r="IH146" s="140"/>
      <c r="II146" s="277"/>
      <c r="IJ146" s="277"/>
      <c r="IK146" s="277"/>
      <c r="IL146" s="140"/>
      <c r="IM146" s="277"/>
      <c r="IN146" s="277"/>
      <c r="IO146" s="277"/>
      <c r="IP146" s="277"/>
      <c r="IQ146" s="277"/>
      <c r="IR146" s="277"/>
      <c r="IS146" s="277"/>
      <c r="IT146" s="277"/>
      <c r="IU146" s="277"/>
      <c r="IV146" s="277"/>
      <c r="IW146" s="277"/>
      <c r="IX146" s="140"/>
      <c r="IY146" s="277"/>
      <c r="IZ146" s="277"/>
      <c r="JA146" s="277"/>
      <c r="JB146" s="140"/>
      <c r="JC146" s="277"/>
      <c r="JD146" s="277"/>
      <c r="JE146" s="277"/>
      <c r="JF146" s="140"/>
      <c r="JG146" s="277"/>
      <c r="JH146" s="277"/>
      <c r="JI146" s="140"/>
      <c r="JJ146" s="277"/>
      <c r="JK146" s="277"/>
      <c r="JL146" s="140"/>
      <c r="JM146" s="277"/>
      <c r="JN146" s="277"/>
      <c r="JO146" s="140"/>
      <c r="JP146" s="277"/>
      <c r="JQ146" s="277"/>
      <c r="JR146" s="277"/>
      <c r="JS146" s="277"/>
      <c r="JT146" s="277"/>
      <c r="JU146" s="277"/>
      <c r="JV146" s="277"/>
      <c r="JW146" s="277"/>
      <c r="JX146" s="277"/>
      <c r="JY146" s="277"/>
      <c r="JZ146" s="277"/>
      <c r="KA146" s="277"/>
      <c r="KB146" s="277"/>
      <c r="KC146" s="277"/>
      <c r="KD146" s="277"/>
      <c r="KE146" s="277"/>
      <c r="KF146" s="277"/>
      <c r="KG146" s="277"/>
      <c r="KH146" s="277"/>
      <c r="KI146" s="277"/>
      <c r="KJ146" s="277"/>
      <c r="KK146" s="277"/>
      <c r="KL146" s="277"/>
      <c r="KM146" s="277"/>
      <c r="KN146" s="277"/>
      <c r="KO146" s="277"/>
      <c r="KP146" s="274"/>
      <c r="KQ146" s="253"/>
      <c r="KR146" s="253"/>
      <c r="KS146" s="346">
        <v>40</v>
      </c>
      <c r="KT146" s="346">
        <v>1000</v>
      </c>
      <c r="KU146" s="346" t="s">
        <v>759</v>
      </c>
      <c r="KY146" s="141">
        <f t="shared" si="57"/>
        <v>560</v>
      </c>
      <c r="KZ146" s="141">
        <f t="shared" si="58"/>
        <v>0</v>
      </c>
      <c r="LB146" s="141">
        <f t="shared" si="59"/>
        <v>1</v>
      </c>
      <c r="LC146" s="141">
        <f t="shared" si="60"/>
        <v>0</v>
      </c>
      <c r="LD146" s="141">
        <f t="shared" si="61"/>
        <v>0</v>
      </c>
      <c r="LE146" s="141" t="e">
        <f>((N(AU146)&gt;0)*(AX146&lt;&gt;"")+(N(AY146)&gt;0)*(BB146&lt;&gt;"")+(N(BC146)&gt;0)*(BF146&lt;&gt;"")+(N(BG146)&gt;0)*(BJ146&lt;&gt;"")+(N(BK146)&gt;0)*(BN146&lt;&gt;"")+(N(BO146)&gt;0)*(BR146&lt;&gt;"")+(N(BS146)&gt;0)*(BV146&lt;&gt;"")+(N(BW146)&gt;0)*(BZ146&lt;&gt;"")+(N(CA146)&gt;0)*(CD146&lt;&gt;"")+(N(CE146)&gt;0)*(CH146&lt;&gt;"")+(N(CI146)&gt;0)*(CL146&lt;&gt;"")+(N(CM146)&gt;0)*(CP146&lt;&gt;"")+(N(CQ146)&gt;0)*(CT146&lt;&gt;"")+(N(CU146)&gt;0)*(CX146&lt;&gt;"")+(N(CY146)&gt;0)*(DB146&lt;&gt;"")+(N(DC146)&gt;0)*(DF146&lt;&gt;"")+(N(DG146)&gt;0)*(DJ146&lt;&gt;"")+(N(DS146)&gt;0)*(DV146&lt;&gt;"")+(N(DW146)&gt;0)*(DZ146&lt;&gt;"")+(N(EA146)&gt;0)*(ED146&lt;&gt;"")+(N(EE146)&gt;0)*(EH146&lt;&gt;"")+(N(EI146)&gt;0)*(EL146&lt;&gt;"")+(N(EM146)&gt;0)*(EP146&lt;&gt;"")+(N(EQ146)&gt;0)*(ET146&lt;&gt;"")+(N(EU146)&gt;0)*(EX146&lt;&gt;"")+(N(#REF!)&gt;0)*(#REF!&lt;&gt;"")+(N(#REF!)&gt;0)*(#REF!&lt;&gt;"")+(N(FJ146)&gt;0)*(FM146&lt;&gt;"")+(N(FN146)&gt;0)*(FQ146&lt;&gt;"")+(N(#REF!)&gt;0)*(#REF!&lt;&gt;"")+(N(#REF!)&gt;0)*(#REF!&lt;&gt;"")+(N(HF146)&gt;0)*(HI146&lt;&gt;"")+(N(#REF!)&gt;0)*(#REF!&lt;&gt;"")+(N(HJ146)&gt;0)*(HM146&lt;&gt;"")+(N(HN146)&gt;0)*(HQ146&lt;&gt;"")+(N(HZ146)&gt;0)*(IC146&lt;&gt;"")+(N(ID146)&gt;0)*(IG146&lt;&gt;"")+(N(IH146)&gt;0)*(IK146&lt;&gt;"")+(N(IL146)&gt;0)*(IO146&lt;&gt;"")+(N(IX146)&gt;0)*(JA146&lt;&gt;"")+(N(JB146)&gt;0)*(JE146&lt;&gt;"")+(N(JF146)&gt;0)*(JH146&lt;&gt;"")+(N(JI146)&gt;0)*(JK146&lt;&gt;"")+(N(JL146)&gt;0)*(JN146&lt;&gt;"")+(N(JO146)&gt;0)*(JQ146&lt;&gt;""))</f>
        <v>#REF!</v>
      </c>
      <c r="LF146" s="141">
        <f t="shared" si="48"/>
        <v>0</v>
      </c>
      <c r="LG146" s="141">
        <f t="shared" si="62"/>
        <v>0</v>
      </c>
    </row>
    <row r="147" spans="2:319" ht="38.25" customHeight="1" x14ac:dyDescent="0.55000000000000004">
      <c r="B147" s="314" t="s">
        <v>413</v>
      </c>
      <c r="C147" s="218"/>
      <c r="D147" s="218"/>
      <c r="E147" s="218"/>
      <c r="F147" s="218"/>
      <c r="G147" s="218"/>
      <c r="H147" s="218"/>
      <c r="I147" s="162" cm="1">
        <f t="array" ref="I147">SUMPRODUCT(($AI$2:$KV$2&lt;&gt;"")*($AI147:$KV147&lt;&gt;""))</f>
        <v>1</v>
      </c>
      <c r="J147" s="142">
        <f t="shared" si="43"/>
        <v>0</v>
      </c>
      <c r="K147" s="142">
        <f t="shared" si="44"/>
        <v>0</v>
      </c>
      <c r="L147" s="268">
        <f t="shared" si="49"/>
        <v>7000</v>
      </c>
      <c r="M147" s="164">
        <f t="shared" si="45"/>
        <v>280</v>
      </c>
      <c r="N147" s="397"/>
      <c r="O147" s="165">
        <f t="shared" si="46"/>
        <v>0</v>
      </c>
      <c r="P147" s="165"/>
      <c r="Q147" s="165"/>
      <c r="R147" s="165">
        <f>(IFERROR(AM147/AN147,0)+IFERROR(AU147/AV147,0)+IFERROR(AY147/AZ147,0)+IFERROR(BC147/BD147,0)+IFERROR(BG147/BH147,0)+IFERROR(BK147/BL147,0)+IFERROR(BO147/BP147,0)+IFERROR(BS147/BT147,0)+IFERROR(BW147/BX147,0)+IFERROR(CA147/CB147,0)+IFERROR(CE147/CF147,0)+IFERROR(CI147/CJ147,0)+IFERROR(CM147/CN147,0)+IFERROR(CQ147/CR147,0)+IFERROR(CU147/CV147,0)+IFERROR(CY147/CZ147,0)+IFERROR(DC147/DD147,0)+IFERROR(DG147/DH147,0)+IFERROR(DS147/DT147,0)+IFERROR(DW147/DX147,0)+IFERROR(EA147/EB147,0)+IFERROR(EE147/EF147,0)+IFERROR(EI147/EJ147,0)+IFERROR(EM147/EN147,0)+IFERROR(EQ147/ER147,0)+IFERROR(EU147/EV147,0)+IFERROR(#REF!/#REF!,0)+IFERROR(#REF!/#REF!,0)+IFERROR(FJ147/FK147,0)+IFERROR(FN147/FO147,0)+IFERROR(#REF!/#REF!,0)+IFERROR(#REF!/#REF!,0)+IFERROR(HF147/HG147,0)+IFERROR(#REF!/#REF!,0)+IFERROR(HJ147/HK147,0)+IFERROR(HN147/HO147,0)+IFERROR(HZ147/IA147,0)+IFERROR(ID147/IE147,0)+IFERROR(IH147/II147,0)+IFERROR(IL147/IM147,0)+IFERROR(IX147/IY147,0)+IFERROR(JB147/JC147,0)+IFERROR(JF147/JG147,0)+IFERROR(JI147/JJ147,0)+IFERROR(JL147/JM147,0)+IFERROR(JO147/JP147,0))*L147*(C147+D147+E147+I147)</f>
        <v>0</v>
      </c>
      <c r="S147" s="165"/>
      <c r="T147" s="165">
        <f t="shared" si="55"/>
        <v>0</v>
      </c>
      <c r="U147" s="165"/>
      <c r="V147" s="165"/>
      <c r="W147" s="165"/>
      <c r="X147" s="165">
        <f>(IFERROR(FF147/FG147,0)+IFERROR(FC147/FD147,0)+IFERROR(#REF!/#REF!,0)+IFERROR(KP147/KQ147,0))*L147*(C147+D147+E147+I147)</f>
        <v>0</v>
      </c>
      <c r="Y147" s="484"/>
      <c r="Z147" s="484"/>
      <c r="AA147" s="484"/>
      <c r="AB147" s="484"/>
      <c r="AC147" s="150">
        <f t="shared" si="47"/>
        <v>0</v>
      </c>
      <c r="AD147" s="150"/>
      <c r="AE147" s="150">
        <f t="shared" si="56"/>
        <v>0</v>
      </c>
      <c r="AF147" s="161"/>
      <c r="AG147" s="143"/>
      <c r="AH147" s="154"/>
      <c r="AI147" s="342">
        <v>10</v>
      </c>
      <c r="AJ147" s="342">
        <v>250</v>
      </c>
      <c r="AK147" s="342"/>
      <c r="AL147" s="343" t="s">
        <v>545</v>
      </c>
      <c r="AM147" s="140"/>
      <c r="AN147" s="154"/>
      <c r="AO147" s="154"/>
      <c r="AP147" s="220"/>
      <c r="AQ147" s="145"/>
      <c r="AR147" s="154"/>
      <c r="AS147" s="154"/>
      <c r="AT147" s="220"/>
      <c r="AU147" s="140"/>
      <c r="AV147" s="277"/>
      <c r="AW147" s="277"/>
      <c r="AX147" s="277"/>
      <c r="AY147" s="140"/>
      <c r="AZ147" s="277"/>
      <c r="BA147" s="277"/>
      <c r="BB147" s="277"/>
      <c r="BC147" s="140"/>
      <c r="BD147" s="277"/>
      <c r="BE147" s="277"/>
      <c r="BF147" s="277"/>
      <c r="BG147" s="140"/>
      <c r="BH147" s="277"/>
      <c r="BI147" s="277"/>
      <c r="BJ147" s="277"/>
      <c r="BK147" s="140"/>
      <c r="BL147" s="277"/>
      <c r="BM147" s="277"/>
      <c r="BN147" s="277"/>
      <c r="BO147" s="140"/>
      <c r="BP147" s="277"/>
      <c r="BQ147" s="277"/>
      <c r="BR147" s="277"/>
      <c r="BS147" s="140"/>
      <c r="BT147" s="277"/>
      <c r="BU147" s="277"/>
      <c r="BV147" s="277"/>
      <c r="BW147" s="140"/>
      <c r="BX147" s="154"/>
      <c r="BY147" s="154"/>
      <c r="BZ147" s="220"/>
      <c r="CA147" s="140"/>
      <c r="CB147" s="154"/>
      <c r="CC147" s="154"/>
      <c r="CD147" s="220"/>
      <c r="CE147" s="140"/>
      <c r="CF147" s="271"/>
      <c r="CG147" s="271"/>
      <c r="CH147" s="271"/>
      <c r="CI147" s="140"/>
      <c r="CJ147" s="154"/>
      <c r="CK147" s="154"/>
      <c r="CL147" s="154"/>
      <c r="CM147" s="140"/>
      <c r="CN147" s="271"/>
      <c r="CO147" s="271"/>
      <c r="CP147" s="271"/>
      <c r="CQ147" s="140"/>
      <c r="CR147" s="154"/>
      <c r="CS147" s="154"/>
      <c r="CT147" s="154"/>
      <c r="CU147" s="140"/>
      <c r="CV147" s="154"/>
      <c r="CW147" s="154"/>
      <c r="CX147" s="220"/>
      <c r="CY147" s="140"/>
      <c r="CZ147" s="154"/>
      <c r="DA147" s="154"/>
      <c r="DB147" s="220"/>
      <c r="DC147" s="140"/>
      <c r="DD147" s="146"/>
      <c r="DE147" s="146"/>
      <c r="DF147" s="146"/>
      <c r="DG147" s="140"/>
      <c r="DH147" s="146"/>
      <c r="DI147" s="146"/>
      <c r="DJ147" s="146"/>
      <c r="DK147" s="146"/>
      <c r="DL147" s="146"/>
      <c r="DM147" s="146"/>
      <c r="DN147" s="146"/>
      <c r="DO147" s="146"/>
      <c r="DP147" s="146"/>
      <c r="DQ147" s="146"/>
      <c r="DR147" s="146"/>
      <c r="DS147" s="140"/>
      <c r="DT147" s="154"/>
      <c r="DU147" s="154"/>
      <c r="DV147" s="154"/>
      <c r="DW147" s="140"/>
      <c r="DX147" s="220"/>
      <c r="DY147" s="220"/>
      <c r="DZ147" s="220"/>
      <c r="EA147" s="140"/>
      <c r="EB147" s="220"/>
      <c r="EC147" s="220"/>
      <c r="ED147" s="220"/>
      <c r="EE147" s="140"/>
      <c r="EF147" s="154"/>
      <c r="EG147" s="154"/>
      <c r="EH147" s="154"/>
      <c r="EI147" s="140"/>
      <c r="EJ147" s="154"/>
      <c r="EK147" s="154"/>
      <c r="EL147" s="154"/>
      <c r="EM147" s="140"/>
      <c r="EN147" s="222"/>
      <c r="EO147" s="222"/>
      <c r="EP147" s="222"/>
      <c r="EQ147" s="140"/>
      <c r="ER147" s="222"/>
      <c r="ES147" s="222"/>
      <c r="ET147" s="222"/>
      <c r="EU147" s="140"/>
      <c r="EV147" s="222"/>
      <c r="EW147" s="222"/>
      <c r="EX147" s="222"/>
      <c r="EY147" s="344"/>
      <c r="EZ147" s="222"/>
      <c r="FA147" s="222"/>
      <c r="FB147" s="222"/>
      <c r="FC147" s="273"/>
      <c r="FD147" s="223"/>
      <c r="FE147" s="223"/>
      <c r="FF147" s="276"/>
      <c r="FG147" s="156"/>
      <c r="FH147" s="156"/>
      <c r="FI147" s="156"/>
      <c r="FJ147" s="140"/>
      <c r="FK147" s="277"/>
      <c r="FL147" s="277"/>
      <c r="FM147" s="277"/>
      <c r="FN147" s="140"/>
      <c r="FO147" s="277"/>
      <c r="FP147" s="277"/>
      <c r="FQ147" s="277"/>
      <c r="FR147" s="280"/>
      <c r="FS147" s="277"/>
      <c r="FT147" s="277"/>
      <c r="FU147" s="277"/>
      <c r="FV147" s="277"/>
      <c r="FW147" s="277"/>
      <c r="FX147" s="277"/>
      <c r="FY147" s="277"/>
      <c r="FZ147" s="277"/>
      <c r="GA147" s="277"/>
      <c r="GB147" s="277"/>
      <c r="GC147" s="277"/>
      <c r="GD147" s="277"/>
      <c r="GE147" s="277"/>
      <c r="GF147" s="277"/>
      <c r="GG147" s="277"/>
      <c r="GH147" s="277"/>
      <c r="GI147" s="277"/>
      <c r="GJ147" s="277"/>
      <c r="GK147" s="277"/>
      <c r="GL147" s="277"/>
      <c r="GM147" s="277"/>
      <c r="GN147" s="277"/>
      <c r="GO147" s="277"/>
      <c r="GP147" s="277"/>
      <c r="GQ147" s="277"/>
      <c r="GR147" s="277"/>
      <c r="GS147" s="277"/>
      <c r="GT147" s="277"/>
      <c r="GU147" s="277"/>
      <c r="GV147" s="277"/>
      <c r="GW147" s="277"/>
      <c r="GX147" s="277"/>
      <c r="GY147" s="277"/>
      <c r="GZ147" s="277"/>
      <c r="HA147" s="277"/>
      <c r="HB147" s="277"/>
      <c r="HC147" s="277"/>
      <c r="HD147" s="277"/>
      <c r="HE147" s="277"/>
      <c r="HF147" s="140"/>
      <c r="HG147" s="277"/>
      <c r="HH147" s="277"/>
      <c r="HI147" s="277"/>
      <c r="HJ147" s="140"/>
      <c r="HK147" s="277"/>
      <c r="HL147" s="277"/>
      <c r="HM147" s="277"/>
      <c r="HN147" s="140"/>
      <c r="HO147" s="277"/>
      <c r="HP147" s="277"/>
      <c r="HQ147" s="277"/>
      <c r="HR147" s="277"/>
      <c r="HS147" s="277"/>
      <c r="HT147" s="277"/>
      <c r="HU147" s="277"/>
      <c r="HV147" s="277"/>
      <c r="HW147" s="277"/>
      <c r="HX147" s="277"/>
      <c r="HY147" s="277"/>
      <c r="HZ147" s="140"/>
      <c r="IA147" s="277"/>
      <c r="IB147" s="277"/>
      <c r="IC147" s="277"/>
      <c r="ID147" s="140"/>
      <c r="IE147" s="277"/>
      <c r="IF147" s="277"/>
      <c r="IG147" s="277"/>
      <c r="IH147" s="140"/>
      <c r="II147" s="277"/>
      <c r="IJ147" s="277"/>
      <c r="IK147" s="277"/>
      <c r="IL147" s="140"/>
      <c r="IM147" s="277"/>
      <c r="IN147" s="277"/>
      <c r="IO147" s="277"/>
      <c r="IP147" s="277"/>
      <c r="IQ147" s="277"/>
      <c r="IR147" s="277"/>
      <c r="IS147" s="277"/>
      <c r="IT147" s="277"/>
      <c r="IU147" s="277"/>
      <c r="IV147" s="277"/>
      <c r="IW147" s="277"/>
      <c r="IX147" s="140"/>
      <c r="IY147" s="277"/>
      <c r="IZ147" s="277"/>
      <c r="JA147" s="277"/>
      <c r="JB147" s="140"/>
      <c r="JC147" s="277"/>
      <c r="JD147" s="277"/>
      <c r="JE147" s="277"/>
      <c r="JF147" s="140"/>
      <c r="JG147" s="277"/>
      <c r="JH147" s="277"/>
      <c r="JI147" s="140"/>
      <c r="JJ147" s="277"/>
      <c r="JK147" s="277"/>
      <c r="JL147" s="140"/>
      <c r="JM147" s="277"/>
      <c r="JN147" s="277"/>
      <c r="JO147" s="140"/>
      <c r="JP147" s="277"/>
      <c r="JQ147" s="277"/>
      <c r="JR147" s="277"/>
      <c r="JS147" s="277"/>
      <c r="JT147" s="277"/>
      <c r="JU147" s="277"/>
      <c r="JV147" s="277"/>
      <c r="JW147" s="277"/>
      <c r="JX147" s="277"/>
      <c r="JY147" s="277"/>
      <c r="JZ147" s="277"/>
      <c r="KA147" s="277"/>
      <c r="KB147" s="277"/>
      <c r="KC147" s="277"/>
      <c r="KD147" s="277"/>
      <c r="KE147" s="277"/>
      <c r="KF147" s="277"/>
      <c r="KG147" s="277"/>
      <c r="KH147" s="277"/>
      <c r="KI147" s="277"/>
      <c r="KJ147" s="277"/>
      <c r="KK147" s="277"/>
      <c r="KL147" s="277"/>
      <c r="KM147" s="277"/>
      <c r="KN147" s="277"/>
      <c r="KO147" s="277"/>
      <c r="KP147" s="274"/>
      <c r="KQ147" s="253"/>
      <c r="KR147" s="253"/>
      <c r="KY147" s="141">
        <f t="shared" si="57"/>
        <v>0</v>
      </c>
      <c r="KZ147" s="141">
        <f t="shared" si="58"/>
        <v>0</v>
      </c>
      <c r="LB147" s="141">
        <f t="shared" si="59"/>
        <v>1</v>
      </c>
      <c r="LC147" s="141">
        <f t="shared" si="60"/>
        <v>0</v>
      </c>
      <c r="LD147" s="141">
        <f t="shared" si="61"/>
        <v>0</v>
      </c>
      <c r="LE147" s="141" t="e">
        <f>((N(AU147)&gt;0)*(AX147&lt;&gt;"")+(N(AY147)&gt;0)*(BB147&lt;&gt;"")+(N(BC147)&gt;0)*(BF147&lt;&gt;"")+(N(BG147)&gt;0)*(BJ147&lt;&gt;"")+(N(BK147)&gt;0)*(BN147&lt;&gt;"")+(N(BO147)&gt;0)*(BR147&lt;&gt;"")+(N(BS147)&gt;0)*(BV147&lt;&gt;"")+(N(BW147)&gt;0)*(BZ147&lt;&gt;"")+(N(CA147)&gt;0)*(CD147&lt;&gt;"")+(N(CE147)&gt;0)*(CH147&lt;&gt;"")+(N(CI147)&gt;0)*(CL147&lt;&gt;"")+(N(CM147)&gt;0)*(CP147&lt;&gt;"")+(N(CQ147)&gt;0)*(CT147&lt;&gt;"")+(N(CU147)&gt;0)*(CX147&lt;&gt;"")+(N(CY147)&gt;0)*(DB147&lt;&gt;"")+(N(DC147)&gt;0)*(DF147&lt;&gt;"")+(N(DG147)&gt;0)*(DJ147&lt;&gt;"")+(N(DS147)&gt;0)*(DV147&lt;&gt;"")+(N(DW147)&gt;0)*(DZ147&lt;&gt;"")+(N(EA147)&gt;0)*(ED147&lt;&gt;"")+(N(EE147)&gt;0)*(EH147&lt;&gt;"")+(N(EI147)&gt;0)*(EL147&lt;&gt;"")+(N(EM147)&gt;0)*(EP147&lt;&gt;"")+(N(EQ147)&gt;0)*(ET147&lt;&gt;"")+(N(EU147)&gt;0)*(EX147&lt;&gt;"")+(N(#REF!)&gt;0)*(#REF!&lt;&gt;"")+(N(#REF!)&gt;0)*(#REF!&lt;&gt;"")+(N(FJ147)&gt;0)*(FM147&lt;&gt;"")+(N(FN147)&gt;0)*(FQ147&lt;&gt;"")+(N(#REF!)&gt;0)*(#REF!&lt;&gt;"")+(N(#REF!)&gt;0)*(#REF!&lt;&gt;"")+(N(HF147)&gt;0)*(HI147&lt;&gt;"")+(N(#REF!)&gt;0)*(#REF!&lt;&gt;"")+(N(HJ147)&gt;0)*(HM147&lt;&gt;"")+(N(HN147)&gt;0)*(HQ147&lt;&gt;"")+(N(HZ147)&gt;0)*(IC147&lt;&gt;"")+(N(ID147)&gt;0)*(IG147&lt;&gt;"")+(N(IH147)&gt;0)*(IK147&lt;&gt;"")+(N(IL147)&gt;0)*(IO147&lt;&gt;"")+(N(IX147)&gt;0)*(JA147&lt;&gt;"")+(N(JB147)&gt;0)*(JE147&lt;&gt;"")+(N(JF147)&gt;0)*(JH147&lt;&gt;"")+(N(JI147)&gt;0)*(JK147&lt;&gt;"")+(N(JL147)&gt;0)*(JN147&lt;&gt;"")+(N(JO147)&gt;0)*(JQ147&lt;&gt;""))</f>
        <v>#REF!</v>
      </c>
      <c r="LF147" s="141">
        <f t="shared" si="48"/>
        <v>0</v>
      </c>
      <c r="LG147" s="141">
        <f t="shared" si="62"/>
        <v>0</v>
      </c>
    </row>
    <row r="148" spans="2:319" ht="38.25" customHeight="1" x14ac:dyDescent="0.55000000000000004">
      <c r="B148" s="314" t="s">
        <v>414</v>
      </c>
      <c r="C148" s="218"/>
      <c r="D148" s="218"/>
      <c r="E148" s="218"/>
      <c r="F148" s="218"/>
      <c r="G148" s="218"/>
      <c r="H148" s="218"/>
      <c r="I148" s="162" cm="1">
        <f t="array" ref="I148">SUMPRODUCT(($AI$2:$KV$2&lt;&gt;"")*($AI148:$KV148&lt;&gt;""))</f>
        <v>1</v>
      </c>
      <c r="J148" s="142">
        <f t="shared" si="43"/>
        <v>0</v>
      </c>
      <c r="K148" s="142">
        <f t="shared" si="44"/>
        <v>0</v>
      </c>
      <c r="L148" s="268">
        <f t="shared" si="49"/>
        <v>7000</v>
      </c>
      <c r="M148" s="164">
        <f t="shared" si="45"/>
        <v>280</v>
      </c>
      <c r="N148" s="397"/>
      <c r="O148" s="165">
        <f t="shared" si="46"/>
        <v>0</v>
      </c>
      <c r="P148" s="165"/>
      <c r="Q148" s="165"/>
      <c r="R148" s="165">
        <f>(IFERROR(AM148/AN148,0)+IFERROR(AU148/AV148,0)+IFERROR(AY148/AZ148,0)+IFERROR(BC148/BD148,0)+IFERROR(BG148/BH148,0)+IFERROR(BK148/BL148,0)+IFERROR(BO148/BP148,0)+IFERROR(BS148/BT148,0)+IFERROR(BW148/BX148,0)+IFERROR(CA148/CB148,0)+IFERROR(CE148/CF148,0)+IFERROR(CI148/CJ148,0)+IFERROR(CM148/CN148,0)+IFERROR(CQ148/CR148,0)+IFERROR(CU148/CV148,0)+IFERROR(CY148/CZ148,0)+IFERROR(DC148/DD148,0)+IFERROR(DG148/DH148,0)+IFERROR(DS148/DT148,0)+IFERROR(DW148/DX148,0)+IFERROR(EA148/EB148,0)+IFERROR(EE148/EF148,0)+IFERROR(EI148/EJ148,0)+IFERROR(EM148/EN148,0)+IFERROR(EQ148/ER148,0)+IFERROR(EU148/EV148,0)+IFERROR(#REF!/#REF!,0)+IFERROR(#REF!/#REF!,0)+IFERROR(FJ148/FK148,0)+IFERROR(FN148/FO148,0)+IFERROR(#REF!/#REF!,0)+IFERROR(#REF!/#REF!,0)+IFERROR(HF148/HG148,0)+IFERROR(#REF!/#REF!,0)+IFERROR(HJ148/HK148,0)+IFERROR(HN148/HO148,0)+IFERROR(HZ148/IA148,0)+IFERROR(ID148/IE148,0)+IFERROR(IH148/II148,0)+IFERROR(IL148/IM148,0)+IFERROR(IX148/IY148,0)+IFERROR(JB148/JC148,0)+IFERROR(JF148/JG148,0)+IFERROR(JI148/JJ148,0)+IFERROR(JL148/JM148,0)+IFERROR(JO148/JP148,0))*L148*(C148+D148+E148+I148)</f>
        <v>0</v>
      </c>
      <c r="S148" s="165"/>
      <c r="T148" s="165">
        <f t="shared" si="55"/>
        <v>0</v>
      </c>
      <c r="U148" s="165"/>
      <c r="V148" s="165"/>
      <c r="W148" s="165"/>
      <c r="X148" s="165">
        <f>(IFERROR(FF148/FG148,0)+IFERROR(FC148/FD148,0)+IFERROR(#REF!/#REF!,0)+IFERROR(KP148/KQ148,0))*L148*(C148+D148+E148+I148)</f>
        <v>0</v>
      </c>
      <c r="Y148" s="484"/>
      <c r="Z148" s="484"/>
      <c r="AA148" s="484"/>
      <c r="AB148" s="484"/>
      <c r="AC148" s="150">
        <f t="shared" si="47"/>
        <v>0</v>
      </c>
      <c r="AD148" s="150"/>
      <c r="AE148" s="150">
        <f t="shared" si="56"/>
        <v>0</v>
      </c>
      <c r="AF148" s="161"/>
      <c r="AG148" s="143"/>
      <c r="AH148" s="154"/>
      <c r="AI148" s="342">
        <v>10</v>
      </c>
      <c r="AJ148" s="342">
        <v>250</v>
      </c>
      <c r="AK148" s="342"/>
      <c r="AL148" s="343" t="s">
        <v>545</v>
      </c>
      <c r="AM148" s="140"/>
      <c r="AN148" s="154"/>
      <c r="AO148" s="154"/>
      <c r="AP148" s="220"/>
      <c r="AQ148" s="145"/>
      <c r="AR148" s="154"/>
      <c r="AS148" s="154"/>
      <c r="AT148" s="220"/>
      <c r="AU148" s="140"/>
      <c r="AV148" s="277"/>
      <c r="AW148" s="277"/>
      <c r="AX148" s="277"/>
      <c r="AY148" s="140"/>
      <c r="AZ148" s="277"/>
      <c r="BA148" s="277"/>
      <c r="BB148" s="277"/>
      <c r="BC148" s="140"/>
      <c r="BD148" s="277"/>
      <c r="BE148" s="277"/>
      <c r="BF148" s="277"/>
      <c r="BG148" s="140"/>
      <c r="BH148" s="277"/>
      <c r="BI148" s="277"/>
      <c r="BJ148" s="277"/>
      <c r="BK148" s="140"/>
      <c r="BL148" s="277"/>
      <c r="BM148" s="277"/>
      <c r="BN148" s="277"/>
      <c r="BO148" s="140"/>
      <c r="BP148" s="277"/>
      <c r="BQ148" s="277"/>
      <c r="BR148" s="277"/>
      <c r="BS148" s="140"/>
      <c r="BT148" s="277"/>
      <c r="BU148" s="277"/>
      <c r="BV148" s="277"/>
      <c r="BW148" s="140"/>
      <c r="BX148" s="154"/>
      <c r="BY148" s="154"/>
      <c r="BZ148" s="220"/>
      <c r="CA148" s="140"/>
      <c r="CB148" s="154"/>
      <c r="CC148" s="154"/>
      <c r="CD148" s="220"/>
      <c r="CE148" s="140"/>
      <c r="CF148" s="271"/>
      <c r="CG148" s="271"/>
      <c r="CH148" s="271"/>
      <c r="CI148" s="140"/>
      <c r="CJ148" s="154"/>
      <c r="CK148" s="154"/>
      <c r="CL148" s="154"/>
      <c r="CM148" s="140"/>
      <c r="CN148" s="271"/>
      <c r="CO148" s="271"/>
      <c r="CP148" s="271"/>
      <c r="CQ148" s="140"/>
      <c r="CR148" s="154"/>
      <c r="CS148" s="154"/>
      <c r="CT148" s="154"/>
      <c r="CU148" s="140"/>
      <c r="CV148" s="154"/>
      <c r="CW148" s="154"/>
      <c r="CX148" s="220"/>
      <c r="CY148" s="140"/>
      <c r="CZ148" s="154"/>
      <c r="DA148" s="154"/>
      <c r="DB148" s="220"/>
      <c r="DC148" s="140"/>
      <c r="DD148" s="146"/>
      <c r="DE148" s="146"/>
      <c r="DF148" s="146"/>
      <c r="DG148" s="140"/>
      <c r="DH148" s="146"/>
      <c r="DI148" s="146"/>
      <c r="DJ148" s="146"/>
      <c r="DK148" s="146"/>
      <c r="DL148" s="146"/>
      <c r="DM148" s="146"/>
      <c r="DN148" s="146"/>
      <c r="DO148" s="146"/>
      <c r="DP148" s="146"/>
      <c r="DQ148" s="146"/>
      <c r="DR148" s="146"/>
      <c r="DS148" s="140"/>
      <c r="DT148" s="154"/>
      <c r="DU148" s="154"/>
      <c r="DV148" s="154"/>
      <c r="DW148" s="140"/>
      <c r="DX148" s="220"/>
      <c r="DY148" s="220"/>
      <c r="DZ148" s="220"/>
      <c r="EA148" s="140"/>
      <c r="EB148" s="220"/>
      <c r="EC148" s="220"/>
      <c r="ED148" s="220"/>
      <c r="EE148" s="140"/>
      <c r="EF148" s="154"/>
      <c r="EG148" s="154"/>
      <c r="EH148" s="154"/>
      <c r="EI148" s="140"/>
      <c r="EJ148" s="154"/>
      <c r="EK148" s="154"/>
      <c r="EL148" s="154"/>
      <c r="EM148" s="140"/>
      <c r="EN148" s="222"/>
      <c r="EO148" s="222"/>
      <c r="EP148" s="222"/>
      <c r="EQ148" s="140"/>
      <c r="ER148" s="222"/>
      <c r="ES148" s="222"/>
      <c r="ET148" s="222"/>
      <c r="EU148" s="140"/>
      <c r="EV148" s="222"/>
      <c r="EW148" s="222"/>
      <c r="EX148" s="222"/>
      <c r="EY148" s="344"/>
      <c r="EZ148" s="222"/>
      <c r="FA148" s="222"/>
      <c r="FB148" s="222"/>
      <c r="FC148" s="273"/>
      <c r="FD148" s="223"/>
      <c r="FE148" s="223"/>
      <c r="FF148" s="276"/>
      <c r="FG148" s="156"/>
      <c r="FH148" s="156"/>
      <c r="FI148" s="156"/>
      <c r="FJ148" s="140"/>
      <c r="FK148" s="277"/>
      <c r="FL148" s="277"/>
      <c r="FM148" s="277"/>
      <c r="FN148" s="140"/>
      <c r="FO148" s="277"/>
      <c r="FP148" s="277"/>
      <c r="FQ148" s="277"/>
      <c r="FR148" s="280"/>
      <c r="FS148" s="277"/>
      <c r="FT148" s="277"/>
      <c r="FU148" s="277"/>
      <c r="FV148" s="277"/>
      <c r="FW148" s="277"/>
      <c r="FX148" s="277"/>
      <c r="FY148" s="277"/>
      <c r="FZ148" s="277"/>
      <c r="GA148" s="277"/>
      <c r="GB148" s="277"/>
      <c r="GC148" s="277"/>
      <c r="GD148" s="277"/>
      <c r="GE148" s="277"/>
      <c r="GF148" s="277"/>
      <c r="GG148" s="277"/>
      <c r="GH148" s="277"/>
      <c r="GI148" s="277"/>
      <c r="GJ148" s="277"/>
      <c r="GK148" s="277"/>
      <c r="GL148" s="277"/>
      <c r="GM148" s="277"/>
      <c r="GN148" s="277"/>
      <c r="GO148" s="277"/>
      <c r="GP148" s="277"/>
      <c r="GQ148" s="277"/>
      <c r="GR148" s="277"/>
      <c r="GS148" s="277"/>
      <c r="GT148" s="277"/>
      <c r="GU148" s="277"/>
      <c r="GV148" s="277"/>
      <c r="GW148" s="277"/>
      <c r="GX148" s="277"/>
      <c r="GY148" s="277"/>
      <c r="GZ148" s="277"/>
      <c r="HA148" s="277"/>
      <c r="HB148" s="277"/>
      <c r="HC148" s="277"/>
      <c r="HD148" s="277"/>
      <c r="HE148" s="277"/>
      <c r="HF148" s="140"/>
      <c r="HG148" s="277"/>
      <c r="HH148" s="277"/>
      <c r="HI148" s="277"/>
      <c r="HJ148" s="140"/>
      <c r="HK148" s="277"/>
      <c r="HL148" s="277"/>
      <c r="HM148" s="277"/>
      <c r="HN148" s="140"/>
      <c r="HO148" s="277"/>
      <c r="HP148" s="277"/>
      <c r="HQ148" s="277"/>
      <c r="HR148" s="277"/>
      <c r="HS148" s="277"/>
      <c r="HT148" s="277"/>
      <c r="HU148" s="277"/>
      <c r="HV148" s="277"/>
      <c r="HW148" s="277"/>
      <c r="HX148" s="277"/>
      <c r="HY148" s="277"/>
      <c r="HZ148" s="140"/>
      <c r="IA148" s="277"/>
      <c r="IB148" s="277"/>
      <c r="IC148" s="277"/>
      <c r="ID148" s="140"/>
      <c r="IE148" s="277"/>
      <c r="IF148" s="277"/>
      <c r="IG148" s="277"/>
      <c r="IH148" s="140"/>
      <c r="II148" s="277"/>
      <c r="IJ148" s="277"/>
      <c r="IK148" s="277"/>
      <c r="IL148" s="140"/>
      <c r="IM148" s="277"/>
      <c r="IN148" s="277"/>
      <c r="IO148" s="277"/>
      <c r="IP148" s="277"/>
      <c r="IQ148" s="277"/>
      <c r="IR148" s="277"/>
      <c r="IS148" s="277"/>
      <c r="IT148" s="277"/>
      <c r="IU148" s="277"/>
      <c r="IV148" s="277"/>
      <c r="IW148" s="277"/>
      <c r="IX148" s="140"/>
      <c r="IY148" s="277"/>
      <c r="IZ148" s="277"/>
      <c r="JA148" s="277"/>
      <c r="JB148" s="140"/>
      <c r="JC148" s="277"/>
      <c r="JD148" s="277"/>
      <c r="JE148" s="277"/>
      <c r="JF148" s="140"/>
      <c r="JG148" s="277"/>
      <c r="JH148" s="277"/>
      <c r="JI148" s="140"/>
      <c r="JJ148" s="277"/>
      <c r="JK148" s="277"/>
      <c r="JL148" s="140"/>
      <c r="JM148" s="277"/>
      <c r="JN148" s="277"/>
      <c r="JO148" s="140"/>
      <c r="JP148" s="277"/>
      <c r="JQ148" s="277"/>
      <c r="JR148" s="277"/>
      <c r="JS148" s="277"/>
      <c r="JT148" s="277"/>
      <c r="JU148" s="277"/>
      <c r="JV148" s="277"/>
      <c r="JW148" s="277"/>
      <c r="JX148" s="277"/>
      <c r="JY148" s="277"/>
      <c r="JZ148" s="277"/>
      <c r="KA148" s="277"/>
      <c r="KB148" s="277"/>
      <c r="KC148" s="277"/>
      <c r="KD148" s="277"/>
      <c r="KE148" s="277"/>
      <c r="KF148" s="277"/>
      <c r="KG148" s="277"/>
      <c r="KH148" s="277"/>
      <c r="KI148" s="277"/>
      <c r="KJ148" s="277"/>
      <c r="KK148" s="277"/>
      <c r="KL148" s="277"/>
      <c r="KM148" s="277"/>
      <c r="KN148" s="277"/>
      <c r="KO148" s="277"/>
      <c r="KP148" s="274"/>
      <c r="KQ148" s="253"/>
      <c r="KR148" s="253"/>
      <c r="KY148" s="141">
        <f t="shared" si="57"/>
        <v>0</v>
      </c>
      <c r="KZ148" s="141">
        <f t="shared" si="58"/>
        <v>0</v>
      </c>
      <c r="LB148" s="141">
        <f t="shared" si="59"/>
        <v>1</v>
      </c>
      <c r="LC148" s="141">
        <f t="shared" si="60"/>
        <v>0</v>
      </c>
      <c r="LD148" s="141">
        <f t="shared" si="61"/>
        <v>0</v>
      </c>
      <c r="LE148" s="141" t="e">
        <f>((N(AU148)&gt;0)*(AX148&lt;&gt;"")+(N(AY148)&gt;0)*(BB148&lt;&gt;"")+(N(BC148)&gt;0)*(BF148&lt;&gt;"")+(N(BG148)&gt;0)*(BJ148&lt;&gt;"")+(N(BK148)&gt;0)*(BN148&lt;&gt;"")+(N(BO148)&gt;0)*(BR148&lt;&gt;"")+(N(BS148)&gt;0)*(BV148&lt;&gt;"")+(N(BW148)&gt;0)*(BZ148&lt;&gt;"")+(N(CA148)&gt;0)*(CD148&lt;&gt;"")+(N(CE148)&gt;0)*(CH148&lt;&gt;"")+(N(CI148)&gt;0)*(CL148&lt;&gt;"")+(N(CM148)&gt;0)*(CP148&lt;&gt;"")+(N(CQ148)&gt;0)*(CT148&lt;&gt;"")+(N(CU148)&gt;0)*(CX148&lt;&gt;"")+(N(CY148)&gt;0)*(DB148&lt;&gt;"")+(N(DC148)&gt;0)*(DF148&lt;&gt;"")+(N(DG148)&gt;0)*(DJ148&lt;&gt;"")+(N(DS148)&gt;0)*(DV148&lt;&gt;"")+(N(DW148)&gt;0)*(DZ148&lt;&gt;"")+(N(EA148)&gt;0)*(ED148&lt;&gt;"")+(N(EE148)&gt;0)*(EH148&lt;&gt;"")+(N(EI148)&gt;0)*(EL148&lt;&gt;"")+(N(EM148)&gt;0)*(EP148&lt;&gt;"")+(N(EQ148)&gt;0)*(ET148&lt;&gt;"")+(N(EU148)&gt;0)*(EX148&lt;&gt;"")+(N(#REF!)&gt;0)*(#REF!&lt;&gt;"")+(N(#REF!)&gt;0)*(#REF!&lt;&gt;"")+(N(FJ148)&gt;0)*(FM148&lt;&gt;"")+(N(FN148)&gt;0)*(FQ148&lt;&gt;"")+(N(#REF!)&gt;0)*(#REF!&lt;&gt;"")+(N(#REF!)&gt;0)*(#REF!&lt;&gt;"")+(N(HF148)&gt;0)*(HI148&lt;&gt;"")+(N(#REF!)&gt;0)*(#REF!&lt;&gt;"")+(N(HJ148)&gt;0)*(HM148&lt;&gt;"")+(N(HN148)&gt;0)*(HQ148&lt;&gt;"")+(N(HZ148)&gt;0)*(IC148&lt;&gt;"")+(N(ID148)&gt;0)*(IG148&lt;&gt;"")+(N(IH148)&gt;0)*(IK148&lt;&gt;"")+(N(IL148)&gt;0)*(IO148&lt;&gt;"")+(N(IX148)&gt;0)*(JA148&lt;&gt;"")+(N(JB148)&gt;0)*(JE148&lt;&gt;"")+(N(JF148)&gt;0)*(JH148&lt;&gt;"")+(N(JI148)&gt;0)*(JK148&lt;&gt;"")+(N(JL148)&gt;0)*(JN148&lt;&gt;"")+(N(JO148)&gt;0)*(JQ148&lt;&gt;""))</f>
        <v>#REF!</v>
      </c>
      <c r="LF148" s="141">
        <f t="shared" si="48"/>
        <v>0</v>
      </c>
      <c r="LG148" s="141">
        <f t="shared" si="62"/>
        <v>0</v>
      </c>
    </row>
    <row r="149" spans="2:319" ht="38.25" customHeight="1" x14ac:dyDescent="0.55000000000000004">
      <c r="B149" s="314" t="s">
        <v>415</v>
      </c>
      <c r="C149" s="218"/>
      <c r="D149" s="218"/>
      <c r="E149" s="218"/>
      <c r="F149" s="218"/>
      <c r="G149" s="218"/>
      <c r="H149" s="218"/>
      <c r="I149" s="162" cm="1">
        <f t="array" ref="I149">SUMPRODUCT(($AI$2:$KV$2&lt;&gt;"")*($AI149:$KV149&lt;&gt;""))</f>
        <v>1</v>
      </c>
      <c r="J149" s="142">
        <f t="shared" si="43"/>
        <v>0</v>
      </c>
      <c r="K149" s="142">
        <f t="shared" si="44"/>
        <v>0</v>
      </c>
      <c r="L149" s="268">
        <f t="shared" si="49"/>
        <v>7000</v>
      </c>
      <c r="M149" s="164">
        <f t="shared" si="45"/>
        <v>280</v>
      </c>
      <c r="N149" s="397"/>
      <c r="O149" s="165">
        <f t="shared" si="46"/>
        <v>0</v>
      </c>
      <c r="P149" s="165"/>
      <c r="Q149" s="165"/>
      <c r="R149" s="165">
        <f>(IFERROR(AM149/AN149,0)+IFERROR(AU149/AV149,0)+IFERROR(AY149/AZ149,0)+IFERROR(BC149/BD149,0)+IFERROR(BG149/BH149,0)+IFERROR(BK149/BL149,0)+IFERROR(BO149/BP149,0)+IFERROR(BS149/BT149,0)+IFERROR(BW149/BX149,0)+IFERROR(CA149/CB149,0)+IFERROR(CE149/CF149,0)+IFERROR(CI149/CJ149,0)+IFERROR(CM149/CN149,0)+IFERROR(CQ149/CR149,0)+IFERROR(CU149/CV149,0)+IFERROR(CY149/CZ149,0)+IFERROR(DC149/DD149,0)+IFERROR(DG149/DH149,0)+IFERROR(DS149/DT149,0)+IFERROR(DW149/DX149,0)+IFERROR(EA149/EB149,0)+IFERROR(EE149/EF149,0)+IFERROR(EI149/EJ149,0)+IFERROR(EM149/EN149,0)+IFERROR(EQ149/ER149,0)+IFERROR(EU149/EV149,0)+IFERROR(#REF!/#REF!,0)+IFERROR(#REF!/#REF!,0)+IFERROR(FJ149/FK149,0)+IFERROR(FN149/FO149,0)+IFERROR(#REF!/#REF!,0)+IFERROR(#REF!/#REF!,0)+IFERROR(HF149/HG149,0)+IFERROR(#REF!/#REF!,0)+IFERROR(HJ149/HK149,0)+IFERROR(HN149/HO149,0)+IFERROR(HZ149/IA149,0)+IFERROR(ID149/IE149,0)+IFERROR(IH149/II149,0)+IFERROR(IL149/IM149,0)+IFERROR(IX149/IY149,0)+IFERROR(JB149/JC149,0)+IFERROR(JF149/JG149,0)+IFERROR(JI149/JJ149,0)+IFERROR(JL149/JM149,0)+IFERROR(JO149/JP149,0))*L149*(C149+D149+E149+I149)</f>
        <v>0</v>
      </c>
      <c r="S149" s="165"/>
      <c r="T149" s="165">
        <f t="shared" si="55"/>
        <v>0</v>
      </c>
      <c r="U149" s="165"/>
      <c r="V149" s="165"/>
      <c r="W149" s="165"/>
      <c r="X149" s="165">
        <f>(IFERROR(FF149/FG149,0)+IFERROR(FC149/FD149,0)+IFERROR(#REF!/#REF!,0)+IFERROR(KP149/KQ149,0))*L149*(C149+D149+E149+I149)</f>
        <v>0</v>
      </c>
      <c r="Y149" s="484"/>
      <c r="Z149" s="484"/>
      <c r="AA149" s="484"/>
      <c r="AB149" s="484"/>
      <c r="AC149" s="150">
        <f t="shared" si="47"/>
        <v>0</v>
      </c>
      <c r="AD149" s="150"/>
      <c r="AE149" s="150">
        <f t="shared" si="56"/>
        <v>0</v>
      </c>
      <c r="AF149" s="161"/>
      <c r="AG149" s="143"/>
      <c r="AH149" s="154"/>
      <c r="AI149" s="342">
        <v>10</v>
      </c>
      <c r="AJ149" s="342">
        <v>250</v>
      </c>
      <c r="AK149" s="342"/>
      <c r="AL149" s="343" t="s">
        <v>545</v>
      </c>
      <c r="AM149" s="140"/>
      <c r="AN149" s="154"/>
      <c r="AO149" s="154"/>
      <c r="AP149" s="220"/>
      <c r="AQ149" s="145"/>
      <c r="AR149" s="154"/>
      <c r="AS149" s="154"/>
      <c r="AT149" s="220"/>
      <c r="AU149" s="140"/>
      <c r="AV149" s="277"/>
      <c r="AW149" s="277"/>
      <c r="AX149" s="277"/>
      <c r="AY149" s="140"/>
      <c r="AZ149" s="277"/>
      <c r="BA149" s="277"/>
      <c r="BB149" s="277"/>
      <c r="BC149" s="140"/>
      <c r="BD149" s="277"/>
      <c r="BE149" s="277"/>
      <c r="BF149" s="277"/>
      <c r="BG149" s="140"/>
      <c r="BH149" s="277"/>
      <c r="BI149" s="277"/>
      <c r="BJ149" s="277"/>
      <c r="BK149" s="140"/>
      <c r="BL149" s="277"/>
      <c r="BM149" s="277"/>
      <c r="BN149" s="277"/>
      <c r="BO149" s="140"/>
      <c r="BP149" s="277"/>
      <c r="BQ149" s="277"/>
      <c r="BR149" s="277"/>
      <c r="BS149" s="140"/>
      <c r="BT149" s="277"/>
      <c r="BU149" s="277"/>
      <c r="BV149" s="277"/>
      <c r="BW149" s="140"/>
      <c r="BX149" s="154"/>
      <c r="BY149" s="154"/>
      <c r="BZ149" s="220"/>
      <c r="CA149" s="140"/>
      <c r="CB149" s="154"/>
      <c r="CC149" s="154"/>
      <c r="CD149" s="220"/>
      <c r="CE149" s="140"/>
      <c r="CF149" s="271"/>
      <c r="CG149" s="271"/>
      <c r="CH149" s="271"/>
      <c r="CI149" s="140"/>
      <c r="CJ149" s="154"/>
      <c r="CK149" s="154"/>
      <c r="CL149" s="154"/>
      <c r="CM149" s="140"/>
      <c r="CN149" s="271"/>
      <c r="CO149" s="271"/>
      <c r="CP149" s="271"/>
      <c r="CQ149" s="140"/>
      <c r="CR149" s="154"/>
      <c r="CS149" s="154"/>
      <c r="CT149" s="154"/>
      <c r="CU149" s="140"/>
      <c r="CV149" s="154"/>
      <c r="CW149" s="154"/>
      <c r="CX149" s="220"/>
      <c r="CY149" s="140"/>
      <c r="CZ149" s="154"/>
      <c r="DA149" s="154"/>
      <c r="DB149" s="220"/>
      <c r="DC149" s="140"/>
      <c r="DD149" s="146"/>
      <c r="DE149" s="146"/>
      <c r="DF149" s="146"/>
      <c r="DG149" s="140"/>
      <c r="DH149" s="146"/>
      <c r="DI149" s="146"/>
      <c r="DJ149" s="146"/>
      <c r="DK149" s="146"/>
      <c r="DL149" s="146"/>
      <c r="DM149" s="146"/>
      <c r="DN149" s="146"/>
      <c r="DO149" s="146"/>
      <c r="DP149" s="146"/>
      <c r="DQ149" s="146"/>
      <c r="DR149" s="146"/>
      <c r="DS149" s="140"/>
      <c r="DT149" s="154"/>
      <c r="DU149" s="154"/>
      <c r="DV149" s="154"/>
      <c r="DW149" s="140"/>
      <c r="DX149" s="220"/>
      <c r="DY149" s="220"/>
      <c r="DZ149" s="220"/>
      <c r="EA149" s="140"/>
      <c r="EB149" s="220"/>
      <c r="EC149" s="220"/>
      <c r="ED149" s="220"/>
      <c r="EE149" s="140"/>
      <c r="EF149" s="154"/>
      <c r="EG149" s="154"/>
      <c r="EH149" s="154"/>
      <c r="EI149" s="140"/>
      <c r="EJ149" s="154"/>
      <c r="EK149" s="154"/>
      <c r="EL149" s="154"/>
      <c r="EM149" s="140"/>
      <c r="EN149" s="222"/>
      <c r="EO149" s="222"/>
      <c r="EP149" s="222"/>
      <c r="EQ149" s="140"/>
      <c r="ER149" s="222"/>
      <c r="ES149" s="222"/>
      <c r="ET149" s="222"/>
      <c r="EU149" s="140"/>
      <c r="EV149" s="222"/>
      <c r="EW149" s="222"/>
      <c r="EX149" s="222"/>
      <c r="EY149" s="344"/>
      <c r="EZ149" s="222"/>
      <c r="FA149" s="222"/>
      <c r="FB149" s="222"/>
      <c r="FC149" s="273"/>
      <c r="FD149" s="223"/>
      <c r="FE149" s="223"/>
      <c r="FF149" s="276"/>
      <c r="FG149" s="156"/>
      <c r="FH149" s="156"/>
      <c r="FI149" s="156"/>
      <c r="FJ149" s="140"/>
      <c r="FK149" s="277"/>
      <c r="FL149" s="277"/>
      <c r="FM149" s="277"/>
      <c r="FN149" s="140"/>
      <c r="FO149" s="277"/>
      <c r="FP149" s="277"/>
      <c r="FQ149" s="277"/>
      <c r="FR149" s="280"/>
      <c r="FS149" s="277"/>
      <c r="FT149" s="277"/>
      <c r="FU149" s="277"/>
      <c r="FV149" s="277"/>
      <c r="FW149" s="277"/>
      <c r="FX149" s="277"/>
      <c r="FY149" s="277"/>
      <c r="FZ149" s="277"/>
      <c r="GA149" s="277"/>
      <c r="GB149" s="277"/>
      <c r="GC149" s="277"/>
      <c r="GD149" s="277"/>
      <c r="GE149" s="277"/>
      <c r="GF149" s="277"/>
      <c r="GG149" s="277"/>
      <c r="GH149" s="277"/>
      <c r="GI149" s="277"/>
      <c r="GJ149" s="277"/>
      <c r="GK149" s="277"/>
      <c r="GL149" s="277"/>
      <c r="GM149" s="277"/>
      <c r="GN149" s="277"/>
      <c r="GO149" s="277"/>
      <c r="GP149" s="277"/>
      <c r="GQ149" s="277"/>
      <c r="GR149" s="277"/>
      <c r="GS149" s="277"/>
      <c r="GT149" s="277"/>
      <c r="GU149" s="277"/>
      <c r="GV149" s="277"/>
      <c r="GW149" s="277"/>
      <c r="GX149" s="277"/>
      <c r="GY149" s="277"/>
      <c r="GZ149" s="277"/>
      <c r="HA149" s="277"/>
      <c r="HB149" s="277"/>
      <c r="HC149" s="277"/>
      <c r="HD149" s="277"/>
      <c r="HE149" s="277"/>
      <c r="HF149" s="140"/>
      <c r="HG149" s="277"/>
      <c r="HH149" s="277"/>
      <c r="HI149" s="277"/>
      <c r="HJ149" s="140"/>
      <c r="HK149" s="277"/>
      <c r="HL149" s="277"/>
      <c r="HM149" s="277"/>
      <c r="HN149" s="140"/>
      <c r="HO149" s="277"/>
      <c r="HP149" s="277"/>
      <c r="HQ149" s="277"/>
      <c r="HR149" s="277"/>
      <c r="HS149" s="277"/>
      <c r="HT149" s="277"/>
      <c r="HU149" s="277"/>
      <c r="HV149" s="277"/>
      <c r="HW149" s="277"/>
      <c r="HX149" s="277"/>
      <c r="HY149" s="277"/>
      <c r="HZ149" s="140"/>
      <c r="IA149" s="277"/>
      <c r="IB149" s="277"/>
      <c r="IC149" s="277"/>
      <c r="ID149" s="140"/>
      <c r="IE149" s="277"/>
      <c r="IF149" s="277"/>
      <c r="IG149" s="277"/>
      <c r="IH149" s="140"/>
      <c r="II149" s="277"/>
      <c r="IJ149" s="277"/>
      <c r="IK149" s="277"/>
      <c r="IL149" s="140"/>
      <c r="IM149" s="277"/>
      <c r="IN149" s="277"/>
      <c r="IO149" s="277"/>
      <c r="IP149" s="277"/>
      <c r="IQ149" s="277"/>
      <c r="IR149" s="277"/>
      <c r="IS149" s="277"/>
      <c r="IT149" s="277"/>
      <c r="IU149" s="277"/>
      <c r="IV149" s="277"/>
      <c r="IW149" s="277"/>
      <c r="IX149" s="140"/>
      <c r="IY149" s="277"/>
      <c r="IZ149" s="277"/>
      <c r="JA149" s="277"/>
      <c r="JB149" s="140"/>
      <c r="JC149" s="277"/>
      <c r="JD149" s="277"/>
      <c r="JE149" s="277"/>
      <c r="JF149" s="140"/>
      <c r="JG149" s="277"/>
      <c r="JH149" s="277"/>
      <c r="JI149" s="140"/>
      <c r="JJ149" s="277"/>
      <c r="JK149" s="277"/>
      <c r="JL149" s="140"/>
      <c r="JM149" s="277"/>
      <c r="JN149" s="277"/>
      <c r="JO149" s="140"/>
      <c r="JP149" s="277"/>
      <c r="JQ149" s="277"/>
      <c r="JR149" s="277"/>
      <c r="JS149" s="277"/>
      <c r="JT149" s="277"/>
      <c r="JU149" s="277"/>
      <c r="JV149" s="277"/>
      <c r="JW149" s="277"/>
      <c r="JX149" s="277"/>
      <c r="JY149" s="277"/>
      <c r="JZ149" s="277"/>
      <c r="KA149" s="277"/>
      <c r="KB149" s="277"/>
      <c r="KC149" s="277"/>
      <c r="KD149" s="277"/>
      <c r="KE149" s="277"/>
      <c r="KF149" s="277"/>
      <c r="KG149" s="277"/>
      <c r="KH149" s="277"/>
      <c r="KI149" s="277"/>
      <c r="KJ149" s="277"/>
      <c r="KK149" s="277"/>
      <c r="KL149" s="277"/>
      <c r="KM149" s="277"/>
      <c r="KN149" s="277"/>
      <c r="KO149" s="277"/>
      <c r="KP149" s="274"/>
      <c r="KQ149" s="253"/>
      <c r="KR149" s="253"/>
      <c r="KY149" s="141">
        <f t="shared" si="57"/>
        <v>0</v>
      </c>
      <c r="KZ149" s="141">
        <f t="shared" si="58"/>
        <v>0</v>
      </c>
      <c r="LB149" s="141">
        <f t="shared" si="59"/>
        <v>1</v>
      </c>
      <c r="LC149" s="141">
        <f t="shared" si="60"/>
        <v>0</v>
      </c>
      <c r="LD149" s="141">
        <f t="shared" si="61"/>
        <v>0</v>
      </c>
      <c r="LE149" s="141" t="e">
        <f>((N(AU149)&gt;0)*(AX149&lt;&gt;"")+(N(AY149)&gt;0)*(BB149&lt;&gt;"")+(N(BC149)&gt;0)*(BF149&lt;&gt;"")+(N(BG149)&gt;0)*(BJ149&lt;&gt;"")+(N(BK149)&gt;0)*(BN149&lt;&gt;"")+(N(BO149)&gt;0)*(BR149&lt;&gt;"")+(N(BS149)&gt;0)*(BV149&lt;&gt;"")+(N(BW149)&gt;0)*(BZ149&lt;&gt;"")+(N(CA149)&gt;0)*(CD149&lt;&gt;"")+(N(CE149)&gt;0)*(CH149&lt;&gt;"")+(N(CI149)&gt;0)*(CL149&lt;&gt;"")+(N(CM149)&gt;0)*(CP149&lt;&gt;"")+(N(CQ149)&gt;0)*(CT149&lt;&gt;"")+(N(CU149)&gt;0)*(CX149&lt;&gt;"")+(N(CY149)&gt;0)*(DB149&lt;&gt;"")+(N(DC149)&gt;0)*(DF149&lt;&gt;"")+(N(DG149)&gt;0)*(DJ149&lt;&gt;"")+(N(DS149)&gt;0)*(DV149&lt;&gt;"")+(N(DW149)&gt;0)*(DZ149&lt;&gt;"")+(N(EA149)&gt;0)*(ED149&lt;&gt;"")+(N(EE149)&gt;0)*(EH149&lt;&gt;"")+(N(EI149)&gt;0)*(EL149&lt;&gt;"")+(N(EM149)&gt;0)*(EP149&lt;&gt;"")+(N(EQ149)&gt;0)*(ET149&lt;&gt;"")+(N(EU149)&gt;0)*(EX149&lt;&gt;"")+(N(#REF!)&gt;0)*(#REF!&lt;&gt;"")+(N(#REF!)&gt;0)*(#REF!&lt;&gt;"")+(N(FJ149)&gt;0)*(FM149&lt;&gt;"")+(N(FN149)&gt;0)*(FQ149&lt;&gt;"")+(N(#REF!)&gt;0)*(#REF!&lt;&gt;"")+(N(#REF!)&gt;0)*(#REF!&lt;&gt;"")+(N(HF149)&gt;0)*(HI149&lt;&gt;"")+(N(#REF!)&gt;0)*(#REF!&lt;&gt;"")+(N(HJ149)&gt;0)*(HM149&lt;&gt;"")+(N(HN149)&gt;0)*(HQ149&lt;&gt;"")+(N(HZ149)&gt;0)*(IC149&lt;&gt;"")+(N(ID149)&gt;0)*(IG149&lt;&gt;"")+(N(IH149)&gt;0)*(IK149&lt;&gt;"")+(N(IL149)&gt;0)*(IO149&lt;&gt;"")+(N(IX149)&gt;0)*(JA149&lt;&gt;"")+(N(JB149)&gt;0)*(JE149&lt;&gt;"")+(N(JF149)&gt;0)*(JH149&lt;&gt;"")+(N(JI149)&gt;0)*(JK149&lt;&gt;"")+(N(JL149)&gt;0)*(JN149&lt;&gt;"")+(N(JO149)&gt;0)*(JQ149&lt;&gt;""))</f>
        <v>#REF!</v>
      </c>
      <c r="LF149" s="141">
        <f t="shared" si="48"/>
        <v>0</v>
      </c>
      <c r="LG149" s="141">
        <f t="shared" si="62"/>
        <v>0</v>
      </c>
    </row>
    <row r="150" spans="2:319" ht="38.25" customHeight="1" x14ac:dyDescent="0.55000000000000004">
      <c r="B150" s="314" t="s">
        <v>412</v>
      </c>
      <c r="C150" s="218"/>
      <c r="D150" s="218"/>
      <c r="E150" s="218"/>
      <c r="F150" s="218"/>
      <c r="G150" s="218"/>
      <c r="H150" s="218"/>
      <c r="I150" s="162" cm="1">
        <f t="array" ref="I150">SUMPRODUCT(($AI$2:$KV$2&lt;&gt;"")*($AI150:$KV150&lt;&gt;""))</f>
        <v>2</v>
      </c>
      <c r="J150" s="142">
        <f t="shared" si="43"/>
        <v>0</v>
      </c>
      <c r="K150" s="142">
        <f t="shared" si="44"/>
        <v>0</v>
      </c>
      <c r="L150" s="268">
        <f t="shared" si="49"/>
        <v>7000</v>
      </c>
      <c r="M150" s="164">
        <f t="shared" si="45"/>
        <v>1960.0000000000002</v>
      </c>
      <c r="N150" s="397"/>
      <c r="O150" s="165">
        <f t="shared" si="46"/>
        <v>0</v>
      </c>
      <c r="P150" s="165"/>
      <c r="Q150" s="165"/>
      <c r="R150" s="165">
        <f>(IFERROR(AM150/AN150,0)+IFERROR(AU150/AV150,0)+IFERROR(AY150/AZ150,0)+IFERROR(BC150/BD150,0)+IFERROR(BG150/BH150,0)+IFERROR(BK150/BL150,0)+IFERROR(BO150/BP150,0)+IFERROR(BS150/BT150,0)+IFERROR(BW150/BX150,0)+IFERROR(CA150/CB150,0)+IFERROR(CE150/CF150,0)+IFERROR(CI150/CJ150,0)+IFERROR(CM150/CN150,0)+IFERROR(CQ150/CR150,0)+IFERROR(CU150/CV150,0)+IFERROR(CY150/CZ150,0)+IFERROR(DC150/DD150,0)+IFERROR(DG150/DH150,0)+IFERROR(DS150/DT150,0)+IFERROR(DW150/DX150,0)+IFERROR(EA150/EB150,0)+IFERROR(EE150/EF150,0)+IFERROR(EI150/EJ150,0)+IFERROR(EM150/EN150,0)+IFERROR(EQ150/ER150,0)+IFERROR(EU150/EV150,0)+IFERROR(#REF!/#REF!,0)+IFERROR(#REF!/#REF!,0)+IFERROR(FJ150/FK150,0)+IFERROR(FN150/FO150,0)+IFERROR(#REF!/#REF!,0)+IFERROR(#REF!/#REF!,0)+IFERROR(HF150/HG150,0)+IFERROR(#REF!/#REF!,0)+IFERROR(HJ150/HK150,0)+IFERROR(HN150/HO150,0)+IFERROR(HZ150/IA150,0)+IFERROR(ID150/IE150,0)+IFERROR(IH150/II150,0)+IFERROR(IL150/IM150,0)+IFERROR(IX150/IY150,0)+IFERROR(JB150/JC150,0)+IFERROR(JF150/JG150,0)+IFERROR(JI150/JJ150,0)+IFERROR(JL150/JM150,0)+IFERROR(JO150/JP150,0))*L150*(C150+D150+E150+I150)</f>
        <v>0</v>
      </c>
      <c r="S150" s="165"/>
      <c r="T150" s="165">
        <f t="shared" si="55"/>
        <v>0</v>
      </c>
      <c r="U150" s="165"/>
      <c r="V150" s="165"/>
      <c r="W150" s="165"/>
      <c r="X150" s="165">
        <f>(IFERROR(FF150/FG150,0)+IFERROR(FC150/FD150,0)+IFERROR(#REF!/#REF!,0)+IFERROR(KP150/KQ150,0))*L150*(C150+D150+E150+I150)</f>
        <v>0</v>
      </c>
      <c r="Y150" s="484"/>
      <c r="Z150" s="484"/>
      <c r="AA150" s="484"/>
      <c r="AB150" s="484"/>
      <c r="AC150" s="150">
        <f t="shared" si="47"/>
        <v>0</v>
      </c>
      <c r="AD150" s="150"/>
      <c r="AE150" s="150">
        <f t="shared" si="56"/>
        <v>0</v>
      </c>
      <c r="AF150" s="161"/>
      <c r="AG150" s="143"/>
      <c r="AH150" s="154"/>
      <c r="AI150" s="342">
        <v>35</v>
      </c>
      <c r="AJ150" s="342">
        <v>250</v>
      </c>
      <c r="AK150" s="342"/>
      <c r="AL150" s="343" t="s">
        <v>545</v>
      </c>
      <c r="AM150" s="140"/>
      <c r="AN150" s="154"/>
      <c r="AO150" s="154"/>
      <c r="AP150" s="220"/>
      <c r="AQ150" s="145"/>
      <c r="AR150" s="154"/>
      <c r="AS150" s="154"/>
      <c r="AT150" s="220"/>
      <c r="AU150" s="140"/>
      <c r="AV150" s="277"/>
      <c r="AW150" s="277"/>
      <c r="AX150" s="277"/>
      <c r="AY150" s="140"/>
      <c r="AZ150" s="277"/>
      <c r="BA150" s="277"/>
      <c r="BB150" s="277"/>
      <c r="BC150" s="140"/>
      <c r="BD150" s="277"/>
      <c r="BE150" s="277"/>
      <c r="BF150" s="277"/>
      <c r="BG150" s="140"/>
      <c r="BH150" s="277"/>
      <c r="BI150" s="277"/>
      <c r="BJ150" s="277"/>
      <c r="BK150" s="140"/>
      <c r="BL150" s="277"/>
      <c r="BM150" s="277"/>
      <c r="BN150" s="277"/>
      <c r="BO150" s="140"/>
      <c r="BP150" s="277"/>
      <c r="BQ150" s="277"/>
      <c r="BR150" s="277"/>
      <c r="BS150" s="140"/>
      <c r="BT150" s="277"/>
      <c r="BU150" s="277"/>
      <c r="BV150" s="277"/>
      <c r="BW150" s="140"/>
      <c r="BX150" s="154"/>
      <c r="BY150" s="154"/>
      <c r="BZ150" s="220"/>
      <c r="CA150" s="140"/>
      <c r="CB150" s="154"/>
      <c r="CC150" s="154"/>
      <c r="CD150" s="220"/>
      <c r="CE150" s="140"/>
      <c r="CF150" s="271"/>
      <c r="CG150" s="271"/>
      <c r="CH150" s="271"/>
      <c r="CI150" s="140"/>
      <c r="CJ150" s="154"/>
      <c r="CK150" s="154"/>
      <c r="CL150" s="154"/>
      <c r="CM150" s="140"/>
      <c r="CN150" s="271"/>
      <c r="CO150" s="271"/>
      <c r="CP150" s="271"/>
      <c r="CQ150" s="140"/>
      <c r="CR150" s="154"/>
      <c r="CS150" s="154"/>
      <c r="CT150" s="154"/>
      <c r="CU150" s="140"/>
      <c r="CV150" s="154"/>
      <c r="CW150" s="154"/>
      <c r="CX150" s="220"/>
      <c r="CY150" s="140"/>
      <c r="CZ150" s="154"/>
      <c r="DA150" s="154"/>
      <c r="DB150" s="220"/>
      <c r="DC150" s="140"/>
      <c r="DD150" s="146"/>
      <c r="DE150" s="146"/>
      <c r="DF150" s="146"/>
      <c r="DG150" s="140"/>
      <c r="DH150" s="146"/>
      <c r="DI150" s="146"/>
      <c r="DJ150" s="146"/>
      <c r="DK150" s="146"/>
      <c r="DL150" s="146"/>
      <c r="DM150" s="146"/>
      <c r="DN150" s="146"/>
      <c r="DO150" s="146"/>
      <c r="DP150" s="146"/>
      <c r="DQ150" s="146"/>
      <c r="DR150" s="146"/>
      <c r="DS150" s="140"/>
      <c r="DT150" s="154"/>
      <c r="DU150" s="154"/>
      <c r="DV150" s="154"/>
      <c r="DW150" s="140"/>
      <c r="DX150" s="220"/>
      <c r="DY150" s="220"/>
      <c r="DZ150" s="220"/>
      <c r="EA150" s="140"/>
      <c r="EB150" s="220"/>
      <c r="EC150" s="220"/>
      <c r="ED150" s="220"/>
      <c r="EE150" s="140"/>
      <c r="EF150" s="154"/>
      <c r="EG150" s="154"/>
      <c r="EH150" s="154"/>
      <c r="EI150" s="140"/>
      <c r="EJ150" s="154"/>
      <c r="EK150" s="154"/>
      <c r="EL150" s="154"/>
      <c r="EM150" s="140"/>
      <c r="EN150" s="222"/>
      <c r="EO150" s="222"/>
      <c r="EP150" s="222"/>
      <c r="EQ150" s="140"/>
      <c r="ER150" s="222"/>
      <c r="ES150" s="222"/>
      <c r="ET150" s="222"/>
      <c r="EU150" s="140"/>
      <c r="EV150" s="222"/>
      <c r="EW150" s="222"/>
      <c r="EX150" s="222"/>
      <c r="EY150" s="344"/>
      <c r="EZ150" s="222"/>
      <c r="FA150" s="222"/>
      <c r="FB150" s="222"/>
      <c r="FC150" s="273"/>
      <c r="FD150" s="223"/>
      <c r="FE150" s="223"/>
      <c r="FF150" s="276"/>
      <c r="FG150" s="156"/>
      <c r="FH150" s="156"/>
      <c r="FI150" s="156"/>
      <c r="FJ150" s="140"/>
      <c r="FK150" s="277"/>
      <c r="FL150" s="277"/>
      <c r="FM150" s="277"/>
      <c r="FN150" s="140"/>
      <c r="FO150" s="277"/>
      <c r="FP150" s="277"/>
      <c r="FQ150" s="277"/>
      <c r="FR150" s="280"/>
      <c r="FS150" s="277"/>
      <c r="FT150" s="277"/>
      <c r="FU150" s="277"/>
      <c r="FV150" s="277"/>
      <c r="FW150" s="277"/>
      <c r="FX150" s="277"/>
      <c r="FY150" s="277"/>
      <c r="FZ150" s="277"/>
      <c r="GA150" s="277"/>
      <c r="GB150" s="277"/>
      <c r="GC150" s="277"/>
      <c r="GD150" s="277"/>
      <c r="GE150" s="277"/>
      <c r="GF150" s="277"/>
      <c r="GG150" s="277"/>
      <c r="GH150" s="277"/>
      <c r="GI150" s="277"/>
      <c r="GJ150" s="277"/>
      <c r="GK150" s="277"/>
      <c r="GL150" s="277"/>
      <c r="GM150" s="277"/>
      <c r="GN150" s="277"/>
      <c r="GO150" s="277"/>
      <c r="GP150" s="277"/>
      <c r="GQ150" s="277"/>
      <c r="GR150" s="277"/>
      <c r="GS150" s="277"/>
      <c r="GT150" s="277"/>
      <c r="GU150" s="277"/>
      <c r="GV150" s="277"/>
      <c r="GW150" s="277"/>
      <c r="GX150" s="277"/>
      <c r="GY150" s="277"/>
      <c r="GZ150" s="277"/>
      <c r="HA150" s="277"/>
      <c r="HB150" s="277"/>
      <c r="HC150" s="277"/>
      <c r="HD150" s="277"/>
      <c r="HE150" s="277"/>
      <c r="HF150" s="140"/>
      <c r="HG150" s="277"/>
      <c r="HH150" s="277"/>
      <c r="HI150" s="277"/>
      <c r="HJ150" s="140"/>
      <c r="HK150" s="277"/>
      <c r="HL150" s="277"/>
      <c r="HM150" s="277"/>
      <c r="HN150" s="140"/>
      <c r="HO150" s="277"/>
      <c r="HP150" s="277"/>
      <c r="HQ150" s="277"/>
      <c r="HR150" s="277"/>
      <c r="HS150" s="277"/>
      <c r="HT150" s="277"/>
      <c r="HU150" s="277"/>
      <c r="HV150" s="277"/>
      <c r="HW150" s="277"/>
      <c r="HX150" s="277"/>
      <c r="HY150" s="277"/>
      <c r="HZ150" s="140"/>
      <c r="IA150" s="277"/>
      <c r="IB150" s="277"/>
      <c r="IC150" s="277"/>
      <c r="ID150" s="140"/>
      <c r="IE150" s="277"/>
      <c r="IF150" s="277"/>
      <c r="IG150" s="277"/>
      <c r="IH150" s="140"/>
      <c r="II150" s="277"/>
      <c r="IJ150" s="277"/>
      <c r="IK150" s="277"/>
      <c r="IL150" s="140"/>
      <c r="IM150" s="277"/>
      <c r="IN150" s="277"/>
      <c r="IO150" s="277"/>
      <c r="IP150" s="277"/>
      <c r="IQ150" s="277"/>
      <c r="IR150" s="277"/>
      <c r="IS150" s="277"/>
      <c r="IT150" s="277"/>
      <c r="IU150" s="277"/>
      <c r="IV150" s="277"/>
      <c r="IW150" s="277"/>
      <c r="IX150" s="140"/>
      <c r="IY150" s="277"/>
      <c r="IZ150" s="277"/>
      <c r="JA150" s="277"/>
      <c r="JB150" s="140"/>
      <c r="JC150" s="277"/>
      <c r="JD150" s="277"/>
      <c r="JE150" s="277"/>
      <c r="JF150" s="140"/>
      <c r="JG150" s="277"/>
      <c r="JH150" s="277"/>
      <c r="JI150" s="140"/>
      <c r="JJ150" s="277"/>
      <c r="JK150" s="277"/>
      <c r="JL150" s="140"/>
      <c r="JM150" s="277"/>
      <c r="JN150" s="277"/>
      <c r="JO150" s="140"/>
      <c r="JP150" s="277"/>
      <c r="JQ150" s="277"/>
      <c r="JR150" s="277"/>
      <c r="JS150" s="277"/>
      <c r="JT150" s="277"/>
      <c r="JU150" s="277"/>
      <c r="JV150" s="277"/>
      <c r="JW150" s="277"/>
      <c r="JX150" s="277"/>
      <c r="JY150" s="277"/>
      <c r="JZ150" s="277"/>
      <c r="KA150" s="277"/>
      <c r="KB150" s="277"/>
      <c r="KC150" s="277"/>
      <c r="KD150" s="277"/>
      <c r="KE150" s="277"/>
      <c r="KF150" s="277"/>
      <c r="KG150" s="277"/>
      <c r="KH150" s="277"/>
      <c r="KI150" s="277"/>
      <c r="KJ150" s="277"/>
      <c r="KK150" s="277"/>
      <c r="KL150" s="277"/>
      <c r="KM150" s="277"/>
      <c r="KN150" s="277"/>
      <c r="KO150" s="277"/>
      <c r="KP150" s="274"/>
      <c r="KQ150" s="253"/>
      <c r="KR150" s="253"/>
      <c r="KS150" s="346">
        <v>40</v>
      </c>
      <c r="KT150" s="346">
        <v>1000</v>
      </c>
      <c r="KU150" s="346" t="s">
        <v>759</v>
      </c>
      <c r="KY150" s="141">
        <f t="shared" si="57"/>
        <v>560</v>
      </c>
      <c r="KZ150" s="141">
        <f t="shared" si="58"/>
        <v>0</v>
      </c>
      <c r="LB150" s="141">
        <f t="shared" si="59"/>
        <v>1</v>
      </c>
      <c r="LC150" s="141">
        <f t="shared" si="60"/>
        <v>0</v>
      </c>
      <c r="LD150" s="141">
        <f t="shared" si="61"/>
        <v>0</v>
      </c>
      <c r="LE150" s="141" t="e">
        <f>((N(AU150)&gt;0)*(AX150&lt;&gt;"")+(N(AY150)&gt;0)*(BB150&lt;&gt;"")+(N(BC150)&gt;0)*(BF150&lt;&gt;"")+(N(BG150)&gt;0)*(BJ150&lt;&gt;"")+(N(BK150)&gt;0)*(BN150&lt;&gt;"")+(N(BO150)&gt;0)*(BR150&lt;&gt;"")+(N(BS150)&gt;0)*(BV150&lt;&gt;"")+(N(BW150)&gt;0)*(BZ150&lt;&gt;"")+(N(CA150)&gt;0)*(CD150&lt;&gt;"")+(N(CE150)&gt;0)*(CH150&lt;&gt;"")+(N(CI150)&gt;0)*(CL150&lt;&gt;"")+(N(CM150)&gt;0)*(CP150&lt;&gt;"")+(N(CQ150)&gt;0)*(CT150&lt;&gt;"")+(N(CU150)&gt;0)*(CX150&lt;&gt;"")+(N(CY150)&gt;0)*(DB150&lt;&gt;"")+(N(DC150)&gt;0)*(DF150&lt;&gt;"")+(N(DG150)&gt;0)*(DJ150&lt;&gt;"")+(N(DS150)&gt;0)*(DV150&lt;&gt;"")+(N(DW150)&gt;0)*(DZ150&lt;&gt;"")+(N(EA150)&gt;0)*(ED150&lt;&gt;"")+(N(EE150)&gt;0)*(EH150&lt;&gt;"")+(N(EI150)&gt;0)*(EL150&lt;&gt;"")+(N(EM150)&gt;0)*(EP150&lt;&gt;"")+(N(EQ150)&gt;0)*(ET150&lt;&gt;"")+(N(EU150)&gt;0)*(EX150&lt;&gt;"")+(N(#REF!)&gt;0)*(#REF!&lt;&gt;"")+(N(#REF!)&gt;0)*(#REF!&lt;&gt;"")+(N(FJ150)&gt;0)*(FM150&lt;&gt;"")+(N(FN150)&gt;0)*(FQ150&lt;&gt;"")+(N(#REF!)&gt;0)*(#REF!&lt;&gt;"")+(N(#REF!)&gt;0)*(#REF!&lt;&gt;"")+(N(HF150)&gt;0)*(HI150&lt;&gt;"")+(N(#REF!)&gt;0)*(#REF!&lt;&gt;"")+(N(HJ150)&gt;0)*(HM150&lt;&gt;"")+(N(HN150)&gt;0)*(HQ150&lt;&gt;"")+(N(HZ150)&gt;0)*(IC150&lt;&gt;"")+(N(ID150)&gt;0)*(IG150&lt;&gt;"")+(N(IH150)&gt;0)*(IK150&lt;&gt;"")+(N(IL150)&gt;0)*(IO150&lt;&gt;"")+(N(IX150)&gt;0)*(JA150&lt;&gt;"")+(N(JB150)&gt;0)*(JE150&lt;&gt;"")+(N(JF150)&gt;0)*(JH150&lt;&gt;"")+(N(JI150)&gt;0)*(JK150&lt;&gt;"")+(N(JL150)&gt;0)*(JN150&lt;&gt;"")+(N(JO150)&gt;0)*(JQ150&lt;&gt;""))</f>
        <v>#REF!</v>
      </c>
      <c r="LF150" s="141">
        <f t="shared" si="48"/>
        <v>0</v>
      </c>
      <c r="LG150" s="141">
        <f t="shared" si="62"/>
        <v>0</v>
      </c>
    </row>
    <row r="151" spans="2:319" ht="38.25" customHeight="1" x14ac:dyDescent="0.55000000000000004">
      <c r="B151" s="314" t="s">
        <v>479</v>
      </c>
      <c r="C151" s="218"/>
      <c r="D151" s="218"/>
      <c r="E151" s="218"/>
      <c r="F151" s="218"/>
      <c r="G151" s="218"/>
      <c r="H151" s="218"/>
      <c r="I151" s="162" cm="1">
        <f t="array" ref="I151">SUMPRODUCT(($AI$2:$KV$2&lt;&gt;"")*($AI151:$KV151&lt;&gt;""))</f>
        <v>0</v>
      </c>
      <c r="J151" s="142">
        <f t="shared" si="43"/>
        <v>0</v>
      </c>
      <c r="K151" s="142">
        <f t="shared" si="44"/>
        <v>0</v>
      </c>
      <c r="L151" s="268">
        <f t="shared" si="49"/>
        <v>7000</v>
      </c>
      <c r="M151" s="164">
        <f t="shared" si="45"/>
        <v>0</v>
      </c>
      <c r="N151" s="397"/>
      <c r="O151" s="165">
        <f t="shared" si="46"/>
        <v>0</v>
      </c>
      <c r="P151" s="165"/>
      <c r="Q151" s="165"/>
      <c r="R151" s="165">
        <f>(IFERROR(AM151/AN151,0)+IFERROR(AU151/AV151,0)+IFERROR(AY151/AZ151,0)+IFERROR(BC151/BD151,0)+IFERROR(BG151/BH151,0)+IFERROR(BK151/BL151,0)+IFERROR(BO151/BP151,0)+IFERROR(BS151/BT151,0)+IFERROR(BW151/BX151,0)+IFERROR(CA151/CB151,0)+IFERROR(CE151/CF151,0)+IFERROR(CI151/CJ151,0)+IFERROR(CM151/CN151,0)+IFERROR(CQ151/CR151,0)+IFERROR(CU151/CV151,0)+IFERROR(CY151/CZ151,0)+IFERROR(DC151/DD151,0)+IFERROR(DG151/DH151,0)+IFERROR(DS151/DT151,0)+IFERROR(DW151/DX151,0)+IFERROR(EA151/EB151,0)+IFERROR(EE151/EF151,0)+IFERROR(EI151/EJ151,0)+IFERROR(EM151/EN151,0)+IFERROR(EQ151/ER151,0)+IFERROR(EU151/EV151,0)+IFERROR(#REF!/#REF!,0)+IFERROR(#REF!/#REF!,0)+IFERROR(FJ151/FK151,0)+IFERROR(FN151/FO151,0)+IFERROR(#REF!/#REF!,0)+IFERROR(#REF!/#REF!,0)+IFERROR(HF151/HG151,0)+IFERROR(#REF!/#REF!,0)+IFERROR(HJ151/HK151,0)+IFERROR(HN151/HO151,0)+IFERROR(HZ151/IA151,0)+IFERROR(ID151/IE151,0)+IFERROR(IH151/II151,0)+IFERROR(IL151/IM151,0)+IFERROR(IX151/IY151,0)+IFERROR(JB151/JC151,0)+IFERROR(JF151/JG151,0)+IFERROR(JI151/JJ151,0)+IFERROR(JL151/JM151,0)+IFERROR(JO151/JP151,0))*L151*(C151+D151+E151+I151)</f>
        <v>0</v>
      </c>
      <c r="S151" s="165"/>
      <c r="T151" s="165">
        <f t="shared" si="55"/>
        <v>0</v>
      </c>
      <c r="U151" s="165"/>
      <c r="V151" s="165"/>
      <c r="W151" s="165"/>
      <c r="X151" s="165">
        <f>(IFERROR(FF151/FG151,0)+IFERROR(FC151/FD151,0)+IFERROR(#REF!/#REF!,0)+IFERROR(KP151/KQ151,0))*L151*(C151+D151+E151+I151)</f>
        <v>0</v>
      </c>
      <c r="Y151" s="484"/>
      <c r="Z151" s="484"/>
      <c r="AA151" s="484"/>
      <c r="AB151" s="484"/>
      <c r="AC151" s="150">
        <f t="shared" si="47"/>
        <v>0</v>
      </c>
      <c r="AD151" s="150"/>
      <c r="AE151" s="150">
        <f t="shared" si="56"/>
        <v>0</v>
      </c>
      <c r="AF151" s="161"/>
      <c r="AG151" s="143"/>
      <c r="AH151" s="154"/>
      <c r="AI151" s="144"/>
      <c r="AJ151" s="154"/>
      <c r="AK151" s="154"/>
      <c r="AL151" s="220"/>
      <c r="AM151" s="140"/>
      <c r="AN151" s="154"/>
      <c r="AO151" s="154"/>
      <c r="AP151" s="220"/>
      <c r="AQ151" s="145"/>
      <c r="AR151" s="154"/>
      <c r="AS151" s="154"/>
      <c r="AT151" s="220"/>
      <c r="AU151" s="140"/>
      <c r="AV151" s="277"/>
      <c r="AW151" s="277"/>
      <c r="AX151" s="277"/>
      <c r="AY151" s="140"/>
      <c r="AZ151" s="277"/>
      <c r="BA151" s="277"/>
      <c r="BB151" s="277"/>
      <c r="BC151" s="140"/>
      <c r="BD151" s="277"/>
      <c r="BE151" s="277"/>
      <c r="BF151" s="277"/>
      <c r="BG151" s="140"/>
      <c r="BH151" s="277"/>
      <c r="BI151" s="277"/>
      <c r="BJ151" s="277"/>
      <c r="BK151" s="140"/>
      <c r="BL151" s="277"/>
      <c r="BM151" s="277"/>
      <c r="BN151" s="277"/>
      <c r="BO151" s="140"/>
      <c r="BP151" s="277"/>
      <c r="BQ151" s="277"/>
      <c r="BR151" s="277"/>
      <c r="BS151" s="140"/>
      <c r="BT151" s="277"/>
      <c r="BU151" s="277"/>
      <c r="BV151" s="277"/>
      <c r="BW151" s="140"/>
      <c r="BX151" s="154"/>
      <c r="BY151" s="154"/>
      <c r="BZ151" s="220"/>
      <c r="CA151" s="140"/>
      <c r="CB151" s="154"/>
      <c r="CC151" s="154"/>
      <c r="CD151" s="220"/>
      <c r="CE151" s="140"/>
      <c r="CF151" s="271"/>
      <c r="CG151" s="271"/>
      <c r="CH151" s="271"/>
      <c r="CI151" s="140"/>
      <c r="CJ151" s="154"/>
      <c r="CK151" s="154"/>
      <c r="CL151" s="154"/>
      <c r="CM151" s="140"/>
      <c r="CN151" s="271"/>
      <c r="CO151" s="271"/>
      <c r="CP151" s="271"/>
      <c r="CQ151" s="140"/>
      <c r="CR151" s="154"/>
      <c r="CS151" s="154"/>
      <c r="CT151" s="154"/>
      <c r="CU151" s="140"/>
      <c r="CV151" s="154"/>
      <c r="CW151" s="154"/>
      <c r="CX151" s="220"/>
      <c r="CY151" s="140"/>
      <c r="CZ151" s="154"/>
      <c r="DA151" s="154"/>
      <c r="DB151" s="220"/>
      <c r="DC151" s="140"/>
      <c r="DD151" s="146"/>
      <c r="DE151" s="146"/>
      <c r="DF151" s="146"/>
      <c r="DG151" s="140"/>
      <c r="DH151" s="146"/>
      <c r="DI151" s="146"/>
      <c r="DJ151" s="146"/>
      <c r="DK151" s="146"/>
      <c r="DL151" s="146"/>
      <c r="DM151" s="146"/>
      <c r="DN151" s="146"/>
      <c r="DO151" s="146"/>
      <c r="DP151" s="146"/>
      <c r="DQ151" s="146"/>
      <c r="DR151" s="146"/>
      <c r="DS151" s="140"/>
      <c r="DT151" s="154"/>
      <c r="DU151" s="154"/>
      <c r="DV151" s="154"/>
      <c r="DW151" s="140"/>
      <c r="DX151" s="220"/>
      <c r="DY151" s="220"/>
      <c r="DZ151" s="220"/>
      <c r="EA151" s="140"/>
      <c r="EB151" s="220"/>
      <c r="EC151" s="220"/>
      <c r="ED151" s="220"/>
      <c r="EE151" s="140"/>
      <c r="EF151" s="154"/>
      <c r="EG151" s="154"/>
      <c r="EH151" s="154"/>
      <c r="EI151" s="140"/>
      <c r="EJ151" s="154"/>
      <c r="EK151" s="154"/>
      <c r="EL151" s="154"/>
      <c r="EM151" s="140"/>
      <c r="EN151" s="222"/>
      <c r="EO151" s="222"/>
      <c r="EP151" s="222"/>
      <c r="EQ151" s="140"/>
      <c r="ER151" s="222"/>
      <c r="ES151" s="222"/>
      <c r="ET151" s="222"/>
      <c r="EU151" s="140"/>
      <c r="EV151" s="222"/>
      <c r="EW151" s="222"/>
      <c r="EX151" s="222"/>
      <c r="EY151" s="344"/>
      <c r="EZ151" s="222"/>
      <c r="FA151" s="222"/>
      <c r="FB151" s="222"/>
      <c r="FC151" s="273"/>
      <c r="FD151" s="223"/>
      <c r="FE151" s="223"/>
      <c r="FF151" s="276"/>
      <c r="FG151" s="156"/>
      <c r="FH151" s="156"/>
      <c r="FI151" s="156"/>
      <c r="FJ151" s="140"/>
      <c r="FK151" s="277"/>
      <c r="FL151" s="277"/>
      <c r="FM151" s="277"/>
      <c r="FN151" s="140"/>
      <c r="FO151" s="277"/>
      <c r="FP151" s="277"/>
      <c r="FQ151" s="277"/>
      <c r="FR151" s="280"/>
      <c r="FS151" s="277"/>
      <c r="FT151" s="277"/>
      <c r="FU151" s="277"/>
      <c r="FV151" s="277"/>
      <c r="FW151" s="277"/>
      <c r="FX151" s="277"/>
      <c r="FY151" s="277"/>
      <c r="FZ151" s="277"/>
      <c r="GA151" s="277"/>
      <c r="GB151" s="277"/>
      <c r="GC151" s="277"/>
      <c r="GD151" s="277"/>
      <c r="GE151" s="277"/>
      <c r="GF151" s="277"/>
      <c r="GG151" s="277"/>
      <c r="GH151" s="277"/>
      <c r="GI151" s="277"/>
      <c r="GJ151" s="277"/>
      <c r="GK151" s="277"/>
      <c r="GL151" s="277"/>
      <c r="GM151" s="277"/>
      <c r="GN151" s="277"/>
      <c r="GO151" s="277"/>
      <c r="GP151" s="277"/>
      <c r="GQ151" s="277"/>
      <c r="GR151" s="277"/>
      <c r="GS151" s="277"/>
      <c r="GT151" s="277"/>
      <c r="GU151" s="277"/>
      <c r="GV151" s="277"/>
      <c r="GW151" s="277"/>
      <c r="GX151" s="277"/>
      <c r="GY151" s="277"/>
      <c r="GZ151" s="277"/>
      <c r="HA151" s="277"/>
      <c r="HB151" s="277"/>
      <c r="HC151" s="277"/>
      <c r="HD151" s="277"/>
      <c r="HE151" s="277"/>
      <c r="HF151" s="140"/>
      <c r="HG151" s="277"/>
      <c r="HH151" s="277"/>
      <c r="HI151" s="277"/>
      <c r="HJ151" s="140"/>
      <c r="HK151" s="277"/>
      <c r="HL151" s="277"/>
      <c r="HM151" s="277"/>
      <c r="HN151" s="140"/>
      <c r="HO151" s="277"/>
      <c r="HP151" s="277"/>
      <c r="HQ151" s="277"/>
      <c r="HR151" s="277"/>
      <c r="HS151" s="277"/>
      <c r="HT151" s="277"/>
      <c r="HU151" s="277"/>
      <c r="HV151" s="277"/>
      <c r="HW151" s="277"/>
      <c r="HX151" s="277"/>
      <c r="HY151" s="277"/>
      <c r="HZ151" s="140"/>
      <c r="IA151" s="277"/>
      <c r="IB151" s="277"/>
      <c r="IC151" s="277"/>
      <c r="ID151" s="140"/>
      <c r="IE151" s="277"/>
      <c r="IF151" s="277"/>
      <c r="IG151" s="277"/>
      <c r="IH151" s="140"/>
      <c r="II151" s="277"/>
      <c r="IJ151" s="277"/>
      <c r="IK151" s="277"/>
      <c r="IL151" s="140"/>
      <c r="IM151" s="277"/>
      <c r="IN151" s="277"/>
      <c r="IO151" s="277"/>
      <c r="IP151" s="277"/>
      <c r="IQ151" s="277"/>
      <c r="IR151" s="277"/>
      <c r="IS151" s="277"/>
      <c r="IT151" s="277"/>
      <c r="IU151" s="277"/>
      <c r="IV151" s="277"/>
      <c r="IW151" s="277"/>
      <c r="IX151" s="140"/>
      <c r="IY151" s="277"/>
      <c r="IZ151" s="277"/>
      <c r="JA151" s="277"/>
      <c r="JB151" s="140"/>
      <c r="JC151" s="277"/>
      <c r="JD151" s="277"/>
      <c r="JE151" s="277"/>
      <c r="JF151" s="140"/>
      <c r="JG151" s="277"/>
      <c r="JH151" s="277"/>
      <c r="JI151" s="140"/>
      <c r="JJ151" s="277"/>
      <c r="JK151" s="277"/>
      <c r="JL151" s="140"/>
      <c r="JM151" s="277"/>
      <c r="JN151" s="277"/>
      <c r="JO151" s="140"/>
      <c r="JP151" s="277"/>
      <c r="JQ151" s="277"/>
      <c r="JR151" s="277"/>
      <c r="JS151" s="277"/>
      <c r="JT151" s="277"/>
      <c r="JU151" s="277"/>
      <c r="JV151" s="277"/>
      <c r="JW151" s="277"/>
      <c r="JX151" s="277"/>
      <c r="JY151" s="277"/>
      <c r="JZ151" s="277"/>
      <c r="KA151" s="277"/>
      <c r="KB151" s="277"/>
      <c r="KC151" s="277"/>
      <c r="KD151" s="277"/>
      <c r="KE151" s="277"/>
      <c r="KF151" s="277"/>
      <c r="KG151" s="277"/>
      <c r="KH151" s="277"/>
      <c r="KI151" s="277"/>
      <c r="KJ151" s="277"/>
      <c r="KK151" s="277"/>
      <c r="KL151" s="277"/>
      <c r="KM151" s="277"/>
      <c r="KN151" s="277"/>
      <c r="KO151" s="277"/>
      <c r="KP151" s="274"/>
      <c r="KQ151" s="253"/>
      <c r="KR151" s="253"/>
      <c r="KY151" s="141">
        <f t="shared" si="57"/>
        <v>0</v>
      </c>
      <c r="KZ151" s="141">
        <f t="shared" si="58"/>
        <v>0</v>
      </c>
      <c r="LB151" s="141">
        <f t="shared" si="59"/>
        <v>0</v>
      </c>
      <c r="LC151" s="141">
        <f t="shared" si="60"/>
        <v>0</v>
      </c>
      <c r="LD151" s="141">
        <f t="shared" si="61"/>
        <v>0</v>
      </c>
      <c r="LE151" s="141" t="e">
        <f>((N(AU151)&gt;0)*(AX151&lt;&gt;"")+(N(AY151)&gt;0)*(BB151&lt;&gt;"")+(N(BC151)&gt;0)*(BF151&lt;&gt;"")+(N(BG151)&gt;0)*(BJ151&lt;&gt;"")+(N(BK151)&gt;0)*(BN151&lt;&gt;"")+(N(BO151)&gt;0)*(BR151&lt;&gt;"")+(N(BS151)&gt;0)*(BV151&lt;&gt;"")+(N(BW151)&gt;0)*(BZ151&lt;&gt;"")+(N(CA151)&gt;0)*(CD151&lt;&gt;"")+(N(CE151)&gt;0)*(CH151&lt;&gt;"")+(N(CI151)&gt;0)*(CL151&lt;&gt;"")+(N(CM151)&gt;0)*(CP151&lt;&gt;"")+(N(CQ151)&gt;0)*(CT151&lt;&gt;"")+(N(CU151)&gt;0)*(CX151&lt;&gt;"")+(N(CY151)&gt;0)*(DB151&lt;&gt;"")+(N(DC151)&gt;0)*(DF151&lt;&gt;"")+(N(DG151)&gt;0)*(DJ151&lt;&gt;"")+(N(DS151)&gt;0)*(DV151&lt;&gt;"")+(N(DW151)&gt;0)*(DZ151&lt;&gt;"")+(N(EA151)&gt;0)*(ED151&lt;&gt;"")+(N(EE151)&gt;0)*(EH151&lt;&gt;"")+(N(EI151)&gt;0)*(EL151&lt;&gt;"")+(N(EM151)&gt;0)*(EP151&lt;&gt;"")+(N(EQ151)&gt;0)*(ET151&lt;&gt;"")+(N(EU151)&gt;0)*(EX151&lt;&gt;"")+(N(#REF!)&gt;0)*(#REF!&lt;&gt;"")+(N(#REF!)&gt;0)*(#REF!&lt;&gt;"")+(N(FJ151)&gt;0)*(FM151&lt;&gt;"")+(N(FN151)&gt;0)*(FQ151&lt;&gt;"")+(N(#REF!)&gt;0)*(#REF!&lt;&gt;"")+(N(#REF!)&gt;0)*(#REF!&lt;&gt;"")+(N(HF151)&gt;0)*(HI151&lt;&gt;"")+(N(#REF!)&gt;0)*(#REF!&lt;&gt;"")+(N(HJ151)&gt;0)*(HM151&lt;&gt;"")+(N(HN151)&gt;0)*(HQ151&lt;&gt;"")+(N(HZ151)&gt;0)*(IC151&lt;&gt;"")+(N(ID151)&gt;0)*(IG151&lt;&gt;"")+(N(IH151)&gt;0)*(IK151&lt;&gt;"")+(N(IL151)&gt;0)*(IO151&lt;&gt;"")+(N(IX151)&gt;0)*(JA151&lt;&gt;"")+(N(JB151)&gt;0)*(JE151&lt;&gt;"")+(N(JF151)&gt;0)*(JH151&lt;&gt;"")+(N(JI151)&gt;0)*(JK151&lt;&gt;"")+(N(JL151)&gt;0)*(JN151&lt;&gt;"")+(N(JO151)&gt;0)*(JQ151&lt;&gt;""))</f>
        <v>#REF!</v>
      </c>
      <c r="LF151" s="141">
        <f t="shared" si="48"/>
        <v>0</v>
      </c>
      <c r="LG151" s="141">
        <f t="shared" si="62"/>
        <v>0</v>
      </c>
    </row>
    <row r="152" spans="2:319" ht="38.25" customHeight="1" x14ac:dyDescent="0.55000000000000004">
      <c r="B152" s="314" t="s">
        <v>448</v>
      </c>
      <c r="C152" s="218"/>
      <c r="D152" s="218"/>
      <c r="E152" s="218"/>
      <c r="F152" s="218"/>
      <c r="G152" s="218"/>
      <c r="H152" s="218"/>
      <c r="I152" s="162" cm="1">
        <f t="array" ref="I152">SUMPRODUCT(($AI$2:$KV$2&lt;&gt;"")*($AI152:$KV152&lt;&gt;""))</f>
        <v>1</v>
      </c>
      <c r="J152" s="142">
        <f t="shared" si="43"/>
        <v>0</v>
      </c>
      <c r="K152" s="142">
        <f t="shared" si="44"/>
        <v>0</v>
      </c>
      <c r="L152" s="268">
        <f t="shared" si="49"/>
        <v>7000</v>
      </c>
      <c r="M152" s="164">
        <f t="shared" si="45"/>
        <v>196</v>
      </c>
      <c r="N152" s="397"/>
      <c r="O152" s="165">
        <f t="shared" si="46"/>
        <v>0</v>
      </c>
      <c r="P152" s="165"/>
      <c r="Q152" s="165"/>
      <c r="R152" s="165">
        <f>(IFERROR(AM152/AN152,0)+IFERROR(AU152/AV152,0)+IFERROR(AY152/AZ152,0)+IFERROR(BC152/BD152,0)+IFERROR(BG152/BH152,0)+IFERROR(BK152/BL152,0)+IFERROR(BO152/BP152,0)+IFERROR(BS152/BT152,0)+IFERROR(BW152/BX152,0)+IFERROR(CA152/CB152,0)+IFERROR(CE152/CF152,0)+IFERROR(CI152/CJ152,0)+IFERROR(CM152/CN152,0)+IFERROR(CQ152/CR152,0)+IFERROR(CU152/CV152,0)+IFERROR(CY152/CZ152,0)+IFERROR(DC152/DD152,0)+IFERROR(DG152/DH152,0)+IFERROR(DS152/DT152,0)+IFERROR(DW152/DX152,0)+IFERROR(EA152/EB152,0)+IFERROR(EE152/EF152,0)+IFERROR(EI152/EJ152,0)+IFERROR(EM152/EN152,0)+IFERROR(EQ152/ER152,0)+IFERROR(EU152/EV152,0)+IFERROR(#REF!/#REF!,0)+IFERROR(#REF!/#REF!,0)+IFERROR(FJ152/FK152,0)+IFERROR(FN152/FO152,0)+IFERROR(#REF!/#REF!,0)+IFERROR(#REF!/#REF!,0)+IFERROR(HF152/HG152,0)+IFERROR(#REF!/#REF!,0)+IFERROR(HJ152/HK152,0)+IFERROR(HN152/HO152,0)+IFERROR(HZ152/IA152,0)+IFERROR(ID152/IE152,0)+IFERROR(IH152/II152,0)+IFERROR(IL152/IM152,0)+IFERROR(IX152/IY152,0)+IFERROR(JB152/JC152,0)+IFERROR(JF152/JG152,0)+IFERROR(JI152/JJ152,0)+IFERROR(JL152/JM152,0)+IFERROR(JO152/JP152,0))*L152*(C152+D152+E152+I152)</f>
        <v>0</v>
      </c>
      <c r="S152" s="165"/>
      <c r="T152" s="165">
        <f t="shared" si="55"/>
        <v>0</v>
      </c>
      <c r="U152" s="165"/>
      <c r="V152" s="165"/>
      <c r="W152" s="165"/>
      <c r="X152" s="165">
        <f>(IFERROR(FF152/FG152,0)+IFERROR(FC152/FD152,0)+IFERROR(#REF!/#REF!,0)+IFERROR(KP152/KQ152,0))*L152*(C152+D152+E152+I152)</f>
        <v>0</v>
      </c>
      <c r="Y152" s="484"/>
      <c r="Z152" s="484"/>
      <c r="AA152" s="484"/>
      <c r="AB152" s="484"/>
      <c r="AC152" s="150">
        <f t="shared" si="47"/>
        <v>0</v>
      </c>
      <c r="AD152" s="150"/>
      <c r="AE152" s="150">
        <f t="shared" si="56"/>
        <v>0</v>
      </c>
      <c r="AF152" s="161"/>
      <c r="AG152" s="143"/>
      <c r="AH152" s="154"/>
      <c r="AI152" s="342">
        <v>7</v>
      </c>
      <c r="AJ152" s="342">
        <v>250</v>
      </c>
      <c r="AK152" s="342"/>
      <c r="AL152" s="343" t="s">
        <v>760</v>
      </c>
      <c r="AM152" s="140"/>
      <c r="AN152" s="154"/>
      <c r="AO152" s="154"/>
      <c r="AP152" s="220"/>
      <c r="AQ152" s="145"/>
      <c r="AR152" s="154"/>
      <c r="AS152" s="154"/>
      <c r="AT152" s="220"/>
      <c r="AU152" s="140"/>
      <c r="AV152" s="277"/>
      <c r="AW152" s="277"/>
      <c r="AX152" s="277"/>
      <c r="AY152" s="140"/>
      <c r="AZ152" s="277"/>
      <c r="BA152" s="277"/>
      <c r="BB152" s="277"/>
      <c r="BC152" s="140"/>
      <c r="BD152" s="277"/>
      <c r="BE152" s="277"/>
      <c r="BF152" s="277"/>
      <c r="BG152" s="140"/>
      <c r="BH152" s="277"/>
      <c r="BI152" s="277"/>
      <c r="BJ152" s="277"/>
      <c r="BK152" s="140"/>
      <c r="BL152" s="277"/>
      <c r="BM152" s="277"/>
      <c r="BN152" s="277"/>
      <c r="BO152" s="140"/>
      <c r="BP152" s="277"/>
      <c r="BQ152" s="277"/>
      <c r="BR152" s="277"/>
      <c r="BS152" s="140"/>
      <c r="BT152" s="277"/>
      <c r="BU152" s="277"/>
      <c r="BV152" s="277"/>
      <c r="BW152" s="140"/>
      <c r="BX152" s="154"/>
      <c r="BY152" s="154"/>
      <c r="BZ152" s="220"/>
      <c r="CA152" s="140"/>
      <c r="CB152" s="154"/>
      <c r="CC152" s="154"/>
      <c r="CD152" s="220"/>
      <c r="CE152" s="140"/>
      <c r="CF152" s="271"/>
      <c r="CG152" s="271"/>
      <c r="CH152" s="271"/>
      <c r="CI152" s="140"/>
      <c r="CJ152" s="154"/>
      <c r="CK152" s="154"/>
      <c r="CL152" s="154"/>
      <c r="CM152" s="140"/>
      <c r="CN152" s="271"/>
      <c r="CO152" s="271"/>
      <c r="CP152" s="271"/>
      <c r="CQ152" s="140"/>
      <c r="CR152" s="154"/>
      <c r="CS152" s="154"/>
      <c r="CT152" s="154"/>
      <c r="CU152" s="140"/>
      <c r="CV152" s="154"/>
      <c r="CW152" s="154"/>
      <c r="CX152" s="220"/>
      <c r="CY152" s="140"/>
      <c r="CZ152" s="154"/>
      <c r="DA152" s="154"/>
      <c r="DB152" s="220"/>
      <c r="DC152" s="140"/>
      <c r="DD152" s="146"/>
      <c r="DE152" s="146"/>
      <c r="DF152" s="146"/>
      <c r="DG152" s="140"/>
      <c r="DH152" s="146"/>
      <c r="DI152" s="146"/>
      <c r="DJ152" s="146"/>
      <c r="DK152" s="146"/>
      <c r="DL152" s="146"/>
      <c r="DM152" s="146"/>
      <c r="DN152" s="146"/>
      <c r="DO152" s="146"/>
      <c r="DP152" s="146"/>
      <c r="DQ152" s="146"/>
      <c r="DR152" s="146"/>
      <c r="DS152" s="140"/>
      <c r="DT152" s="154"/>
      <c r="DU152" s="154"/>
      <c r="DV152" s="154"/>
      <c r="DW152" s="140"/>
      <c r="DX152" s="220"/>
      <c r="DY152" s="220"/>
      <c r="DZ152" s="220"/>
      <c r="EA152" s="140"/>
      <c r="EB152" s="220"/>
      <c r="EC152" s="220"/>
      <c r="ED152" s="220"/>
      <c r="EE152" s="140"/>
      <c r="EF152" s="154"/>
      <c r="EG152" s="154"/>
      <c r="EH152" s="154"/>
      <c r="EI152" s="140"/>
      <c r="EJ152" s="154"/>
      <c r="EK152" s="154"/>
      <c r="EL152" s="154"/>
      <c r="EM152" s="140"/>
      <c r="EN152" s="222"/>
      <c r="EO152" s="222"/>
      <c r="EP152" s="222"/>
      <c r="EQ152" s="140"/>
      <c r="ER152" s="222"/>
      <c r="ES152" s="222"/>
      <c r="ET152" s="222"/>
      <c r="EU152" s="140"/>
      <c r="EV152" s="222"/>
      <c r="EW152" s="222"/>
      <c r="EX152" s="222"/>
      <c r="EY152" s="344"/>
      <c r="EZ152" s="222"/>
      <c r="FA152" s="222"/>
      <c r="FB152" s="222"/>
      <c r="FC152" s="273"/>
      <c r="FD152" s="223"/>
      <c r="FE152" s="223"/>
      <c r="FF152" s="276"/>
      <c r="FG152" s="156"/>
      <c r="FH152" s="156"/>
      <c r="FI152" s="156"/>
      <c r="FJ152" s="140"/>
      <c r="FK152" s="277"/>
      <c r="FL152" s="277"/>
      <c r="FM152" s="277"/>
      <c r="FN152" s="140"/>
      <c r="FO152" s="277"/>
      <c r="FP152" s="277"/>
      <c r="FQ152" s="277"/>
      <c r="FR152" s="280"/>
      <c r="FS152" s="277"/>
      <c r="FT152" s="277"/>
      <c r="FU152" s="277"/>
      <c r="FV152" s="277"/>
      <c r="FW152" s="277"/>
      <c r="FX152" s="277"/>
      <c r="FY152" s="277"/>
      <c r="FZ152" s="277"/>
      <c r="GA152" s="277"/>
      <c r="GB152" s="277"/>
      <c r="GC152" s="277"/>
      <c r="GD152" s="277"/>
      <c r="GE152" s="277"/>
      <c r="GF152" s="277"/>
      <c r="GG152" s="277"/>
      <c r="GH152" s="277"/>
      <c r="GI152" s="277"/>
      <c r="GJ152" s="277"/>
      <c r="GK152" s="277"/>
      <c r="GL152" s="277"/>
      <c r="GM152" s="277"/>
      <c r="GN152" s="277"/>
      <c r="GO152" s="277"/>
      <c r="GP152" s="277"/>
      <c r="GQ152" s="277"/>
      <c r="GR152" s="277"/>
      <c r="GS152" s="277"/>
      <c r="GT152" s="277"/>
      <c r="GU152" s="277"/>
      <c r="GV152" s="277"/>
      <c r="GW152" s="277"/>
      <c r="GX152" s="277"/>
      <c r="GY152" s="277"/>
      <c r="GZ152" s="277"/>
      <c r="HA152" s="277"/>
      <c r="HB152" s="277"/>
      <c r="HC152" s="277"/>
      <c r="HD152" s="277"/>
      <c r="HE152" s="277"/>
      <c r="HF152" s="140"/>
      <c r="HG152" s="277"/>
      <c r="HH152" s="277"/>
      <c r="HI152" s="277"/>
      <c r="HJ152" s="140"/>
      <c r="HK152" s="277"/>
      <c r="HL152" s="277"/>
      <c r="HM152" s="277"/>
      <c r="HN152" s="140"/>
      <c r="HO152" s="277"/>
      <c r="HP152" s="277"/>
      <c r="HQ152" s="277"/>
      <c r="HR152" s="277"/>
      <c r="HS152" s="277"/>
      <c r="HT152" s="277"/>
      <c r="HU152" s="277"/>
      <c r="HV152" s="277"/>
      <c r="HW152" s="277"/>
      <c r="HX152" s="277"/>
      <c r="HY152" s="277"/>
      <c r="HZ152" s="140"/>
      <c r="IA152" s="277"/>
      <c r="IB152" s="277"/>
      <c r="IC152" s="277"/>
      <c r="ID152" s="140"/>
      <c r="IE152" s="277"/>
      <c r="IF152" s="277"/>
      <c r="IG152" s="277"/>
      <c r="IH152" s="140"/>
      <c r="II152" s="277"/>
      <c r="IJ152" s="277"/>
      <c r="IK152" s="277"/>
      <c r="IL152" s="140"/>
      <c r="IM152" s="277"/>
      <c r="IN152" s="277"/>
      <c r="IO152" s="277"/>
      <c r="IP152" s="277"/>
      <c r="IQ152" s="277"/>
      <c r="IR152" s="277"/>
      <c r="IS152" s="277"/>
      <c r="IT152" s="277"/>
      <c r="IU152" s="277"/>
      <c r="IV152" s="277"/>
      <c r="IW152" s="277"/>
      <c r="IX152" s="140"/>
      <c r="IY152" s="277"/>
      <c r="IZ152" s="277"/>
      <c r="JA152" s="277"/>
      <c r="JB152" s="140"/>
      <c r="JC152" s="277"/>
      <c r="JD152" s="277"/>
      <c r="JE152" s="277"/>
      <c r="JF152" s="140"/>
      <c r="JG152" s="277"/>
      <c r="JH152" s="277"/>
      <c r="JI152" s="140"/>
      <c r="JJ152" s="277"/>
      <c r="JK152" s="277"/>
      <c r="JL152" s="140"/>
      <c r="JM152" s="277"/>
      <c r="JN152" s="277"/>
      <c r="JO152" s="140"/>
      <c r="JP152" s="277"/>
      <c r="JQ152" s="277"/>
      <c r="JR152" s="277"/>
      <c r="JS152" s="277"/>
      <c r="JT152" s="277"/>
      <c r="JU152" s="277"/>
      <c r="JV152" s="277"/>
      <c r="JW152" s="277"/>
      <c r="JX152" s="277"/>
      <c r="JY152" s="277"/>
      <c r="JZ152" s="277"/>
      <c r="KA152" s="277"/>
      <c r="KB152" s="277"/>
      <c r="KC152" s="277"/>
      <c r="KD152" s="277"/>
      <c r="KE152" s="277"/>
      <c r="KF152" s="277"/>
      <c r="KG152" s="277"/>
      <c r="KH152" s="277"/>
      <c r="KI152" s="277"/>
      <c r="KJ152" s="277"/>
      <c r="KK152" s="277"/>
      <c r="KL152" s="277"/>
      <c r="KM152" s="277"/>
      <c r="KN152" s="277"/>
      <c r="KO152" s="277"/>
      <c r="KP152" s="274"/>
      <c r="KQ152" s="253"/>
      <c r="KR152" s="253"/>
      <c r="KY152" s="141">
        <f t="shared" si="57"/>
        <v>0</v>
      </c>
      <c r="KZ152" s="141">
        <f t="shared" si="58"/>
        <v>0</v>
      </c>
      <c r="LB152" s="141">
        <f t="shared" si="59"/>
        <v>1</v>
      </c>
      <c r="LC152" s="141">
        <f t="shared" si="60"/>
        <v>0</v>
      </c>
      <c r="LD152" s="141">
        <f t="shared" si="61"/>
        <v>0</v>
      </c>
      <c r="LE152" s="141" t="e">
        <f>((N(AU152)&gt;0)*(AX152&lt;&gt;"")+(N(AY152)&gt;0)*(BB152&lt;&gt;"")+(N(BC152)&gt;0)*(BF152&lt;&gt;"")+(N(BG152)&gt;0)*(BJ152&lt;&gt;"")+(N(BK152)&gt;0)*(BN152&lt;&gt;"")+(N(BO152)&gt;0)*(BR152&lt;&gt;"")+(N(BS152)&gt;0)*(BV152&lt;&gt;"")+(N(BW152)&gt;0)*(BZ152&lt;&gt;"")+(N(CA152)&gt;0)*(CD152&lt;&gt;"")+(N(CE152)&gt;0)*(CH152&lt;&gt;"")+(N(CI152)&gt;0)*(CL152&lt;&gt;"")+(N(CM152)&gt;0)*(CP152&lt;&gt;"")+(N(CQ152)&gt;0)*(CT152&lt;&gt;"")+(N(CU152)&gt;0)*(CX152&lt;&gt;"")+(N(CY152)&gt;0)*(DB152&lt;&gt;"")+(N(DC152)&gt;0)*(DF152&lt;&gt;"")+(N(DG152)&gt;0)*(DJ152&lt;&gt;"")+(N(DS152)&gt;0)*(DV152&lt;&gt;"")+(N(DW152)&gt;0)*(DZ152&lt;&gt;"")+(N(EA152)&gt;0)*(ED152&lt;&gt;"")+(N(EE152)&gt;0)*(EH152&lt;&gt;"")+(N(EI152)&gt;0)*(EL152&lt;&gt;"")+(N(EM152)&gt;0)*(EP152&lt;&gt;"")+(N(EQ152)&gt;0)*(ET152&lt;&gt;"")+(N(EU152)&gt;0)*(EX152&lt;&gt;"")+(N(#REF!)&gt;0)*(#REF!&lt;&gt;"")+(N(#REF!)&gt;0)*(#REF!&lt;&gt;"")+(N(FJ152)&gt;0)*(FM152&lt;&gt;"")+(N(FN152)&gt;0)*(FQ152&lt;&gt;"")+(N(#REF!)&gt;0)*(#REF!&lt;&gt;"")+(N(#REF!)&gt;0)*(#REF!&lt;&gt;"")+(N(HF152)&gt;0)*(HI152&lt;&gt;"")+(N(#REF!)&gt;0)*(#REF!&lt;&gt;"")+(N(HJ152)&gt;0)*(HM152&lt;&gt;"")+(N(HN152)&gt;0)*(HQ152&lt;&gt;"")+(N(HZ152)&gt;0)*(IC152&lt;&gt;"")+(N(ID152)&gt;0)*(IG152&lt;&gt;"")+(N(IH152)&gt;0)*(IK152&lt;&gt;"")+(N(IL152)&gt;0)*(IO152&lt;&gt;"")+(N(IX152)&gt;0)*(JA152&lt;&gt;"")+(N(JB152)&gt;0)*(JE152&lt;&gt;"")+(N(JF152)&gt;0)*(JH152&lt;&gt;"")+(N(JI152)&gt;0)*(JK152&lt;&gt;"")+(N(JL152)&gt;0)*(JN152&lt;&gt;"")+(N(JO152)&gt;0)*(JQ152&lt;&gt;""))</f>
        <v>#REF!</v>
      </c>
      <c r="LF152" s="141">
        <f t="shared" si="48"/>
        <v>0</v>
      </c>
      <c r="LG152" s="141">
        <f t="shared" si="62"/>
        <v>0</v>
      </c>
    </row>
    <row r="153" spans="2:319" ht="38.25" customHeight="1" x14ac:dyDescent="0.55000000000000004">
      <c r="B153" s="314" t="s">
        <v>449</v>
      </c>
      <c r="C153" s="218"/>
      <c r="D153" s="218"/>
      <c r="E153" s="218"/>
      <c r="F153" s="218"/>
      <c r="G153" s="218"/>
      <c r="H153" s="218"/>
      <c r="I153" s="162" cm="1">
        <f t="array" ref="I153">SUMPRODUCT(($AI$2:$KV$2&lt;&gt;"")*($AI153:$KV153&lt;&gt;""))</f>
        <v>1</v>
      </c>
      <c r="J153" s="142">
        <f t="shared" si="43"/>
        <v>0</v>
      </c>
      <c r="K153" s="142">
        <f t="shared" si="44"/>
        <v>0</v>
      </c>
      <c r="L153" s="268">
        <f t="shared" si="49"/>
        <v>7000</v>
      </c>
      <c r="M153" s="164">
        <f t="shared" si="45"/>
        <v>196</v>
      </c>
      <c r="N153" s="397"/>
      <c r="O153" s="165">
        <f t="shared" si="46"/>
        <v>0</v>
      </c>
      <c r="P153" s="165"/>
      <c r="Q153" s="165"/>
      <c r="R153" s="165">
        <f>(IFERROR(AM153/AN153,0)+IFERROR(AU153/AV153,0)+IFERROR(AY153/AZ153,0)+IFERROR(BC153/BD153,0)+IFERROR(BG153/BH153,0)+IFERROR(BK153/BL153,0)+IFERROR(BO153/BP153,0)+IFERROR(BS153/BT153,0)+IFERROR(BW153/BX153,0)+IFERROR(CA153/CB153,0)+IFERROR(CE153/CF153,0)+IFERROR(CI153/CJ153,0)+IFERROR(CM153/CN153,0)+IFERROR(CQ153/CR153,0)+IFERROR(CU153/CV153,0)+IFERROR(CY153/CZ153,0)+IFERROR(DC153/DD153,0)+IFERROR(DG153/DH153,0)+IFERROR(DS153/DT153,0)+IFERROR(DW153/DX153,0)+IFERROR(EA153/EB153,0)+IFERROR(EE153/EF153,0)+IFERROR(EI153/EJ153,0)+IFERROR(EM153/EN153,0)+IFERROR(EQ153/ER153,0)+IFERROR(EU153/EV153,0)+IFERROR(#REF!/#REF!,0)+IFERROR(#REF!/#REF!,0)+IFERROR(FJ153/FK153,0)+IFERROR(FN153/FO153,0)+IFERROR(#REF!/#REF!,0)+IFERROR(#REF!/#REF!,0)+IFERROR(HF153/HG153,0)+IFERROR(#REF!/#REF!,0)+IFERROR(HJ153/HK153,0)+IFERROR(HN153/HO153,0)+IFERROR(HZ153/IA153,0)+IFERROR(ID153/IE153,0)+IFERROR(IH153/II153,0)+IFERROR(IL153/IM153,0)+IFERROR(IX153/IY153,0)+IFERROR(JB153/JC153,0)+IFERROR(JF153/JG153,0)+IFERROR(JI153/JJ153,0)+IFERROR(JL153/JM153,0)+IFERROR(JO153/JP153,0))*L153*(C153+D153+E153+I153)</f>
        <v>0</v>
      </c>
      <c r="S153" s="165"/>
      <c r="T153" s="165">
        <f t="shared" si="55"/>
        <v>0</v>
      </c>
      <c r="U153" s="165"/>
      <c r="V153" s="165"/>
      <c r="W153" s="165"/>
      <c r="X153" s="165">
        <f>(IFERROR(FF153/FG153,0)+IFERROR(FC153/FD153,0)+IFERROR(#REF!/#REF!,0)+IFERROR(KP153/KQ153,0))*L153*(C153+D153+E153+I153)</f>
        <v>0</v>
      </c>
      <c r="Y153" s="484"/>
      <c r="Z153" s="484"/>
      <c r="AA153" s="484"/>
      <c r="AB153" s="484"/>
      <c r="AC153" s="150">
        <f t="shared" si="47"/>
        <v>0</v>
      </c>
      <c r="AD153" s="150"/>
      <c r="AE153" s="150">
        <f t="shared" si="56"/>
        <v>0</v>
      </c>
      <c r="AF153" s="161"/>
      <c r="AG153" s="143"/>
      <c r="AH153" s="154"/>
      <c r="AI153" s="342">
        <v>7</v>
      </c>
      <c r="AJ153" s="342">
        <v>250</v>
      </c>
      <c r="AK153" s="342"/>
      <c r="AL153" s="343" t="s">
        <v>760</v>
      </c>
      <c r="AM153" s="140"/>
      <c r="AN153" s="154"/>
      <c r="AO153" s="154"/>
      <c r="AP153" s="220"/>
      <c r="AQ153" s="145"/>
      <c r="AR153" s="154"/>
      <c r="AS153" s="154"/>
      <c r="AT153" s="220"/>
      <c r="AU153" s="140"/>
      <c r="AV153" s="277"/>
      <c r="AW153" s="277"/>
      <c r="AX153" s="277"/>
      <c r="AY153" s="140"/>
      <c r="AZ153" s="277"/>
      <c r="BA153" s="277"/>
      <c r="BB153" s="277"/>
      <c r="BC153" s="140"/>
      <c r="BD153" s="277"/>
      <c r="BE153" s="277"/>
      <c r="BF153" s="277"/>
      <c r="BG153" s="140"/>
      <c r="BH153" s="277"/>
      <c r="BI153" s="277"/>
      <c r="BJ153" s="277"/>
      <c r="BK153" s="140"/>
      <c r="BL153" s="277"/>
      <c r="BM153" s="277"/>
      <c r="BN153" s="277"/>
      <c r="BO153" s="140"/>
      <c r="BP153" s="277"/>
      <c r="BQ153" s="277"/>
      <c r="BR153" s="277"/>
      <c r="BS153" s="140"/>
      <c r="BT153" s="277"/>
      <c r="BU153" s="277"/>
      <c r="BV153" s="277"/>
      <c r="BW153" s="140"/>
      <c r="BX153" s="154"/>
      <c r="BY153" s="154"/>
      <c r="BZ153" s="220"/>
      <c r="CA153" s="140"/>
      <c r="CB153" s="154"/>
      <c r="CC153" s="154"/>
      <c r="CD153" s="220"/>
      <c r="CE153" s="140"/>
      <c r="CF153" s="271"/>
      <c r="CG153" s="271"/>
      <c r="CH153" s="271"/>
      <c r="CI153" s="140"/>
      <c r="CJ153" s="154"/>
      <c r="CK153" s="154"/>
      <c r="CL153" s="154"/>
      <c r="CM153" s="140"/>
      <c r="CN153" s="271"/>
      <c r="CO153" s="271"/>
      <c r="CP153" s="271"/>
      <c r="CQ153" s="140"/>
      <c r="CR153" s="154"/>
      <c r="CS153" s="154"/>
      <c r="CT153" s="154"/>
      <c r="CU153" s="140"/>
      <c r="CV153" s="154"/>
      <c r="CW153" s="154"/>
      <c r="CX153" s="220"/>
      <c r="CY153" s="140"/>
      <c r="CZ153" s="154"/>
      <c r="DA153" s="154"/>
      <c r="DB153" s="220"/>
      <c r="DC153" s="140"/>
      <c r="DD153" s="146"/>
      <c r="DE153" s="146"/>
      <c r="DF153" s="146"/>
      <c r="DG153" s="140"/>
      <c r="DH153" s="146"/>
      <c r="DI153" s="146"/>
      <c r="DJ153" s="146"/>
      <c r="DK153" s="146"/>
      <c r="DL153" s="146"/>
      <c r="DM153" s="146"/>
      <c r="DN153" s="146"/>
      <c r="DO153" s="146"/>
      <c r="DP153" s="146"/>
      <c r="DQ153" s="146"/>
      <c r="DR153" s="146"/>
      <c r="DS153" s="140"/>
      <c r="DT153" s="154"/>
      <c r="DU153" s="154"/>
      <c r="DV153" s="154"/>
      <c r="DW153" s="140"/>
      <c r="DX153" s="220"/>
      <c r="DY153" s="220"/>
      <c r="DZ153" s="220"/>
      <c r="EA153" s="140"/>
      <c r="EB153" s="220"/>
      <c r="EC153" s="220"/>
      <c r="ED153" s="220"/>
      <c r="EE153" s="140"/>
      <c r="EF153" s="154"/>
      <c r="EG153" s="154"/>
      <c r="EH153" s="154"/>
      <c r="EI153" s="140"/>
      <c r="EJ153" s="154"/>
      <c r="EK153" s="154"/>
      <c r="EL153" s="154"/>
      <c r="EM153" s="140"/>
      <c r="EN153" s="222"/>
      <c r="EO153" s="222"/>
      <c r="EP153" s="222"/>
      <c r="EQ153" s="140"/>
      <c r="ER153" s="222"/>
      <c r="ES153" s="222"/>
      <c r="ET153" s="222"/>
      <c r="EU153" s="140"/>
      <c r="EV153" s="222"/>
      <c r="EW153" s="222"/>
      <c r="EX153" s="222"/>
      <c r="EY153" s="344"/>
      <c r="EZ153" s="222"/>
      <c r="FA153" s="222"/>
      <c r="FB153" s="222"/>
      <c r="FC153" s="273"/>
      <c r="FD153" s="223"/>
      <c r="FE153" s="223"/>
      <c r="FF153" s="276"/>
      <c r="FG153" s="156"/>
      <c r="FH153" s="156"/>
      <c r="FI153" s="156"/>
      <c r="FJ153" s="140"/>
      <c r="FK153" s="277"/>
      <c r="FL153" s="277"/>
      <c r="FM153" s="277"/>
      <c r="FN153" s="140"/>
      <c r="FO153" s="277"/>
      <c r="FP153" s="277"/>
      <c r="FQ153" s="277"/>
      <c r="FR153" s="280"/>
      <c r="FS153" s="277"/>
      <c r="FT153" s="277"/>
      <c r="FU153" s="277"/>
      <c r="FV153" s="277"/>
      <c r="FW153" s="277"/>
      <c r="FX153" s="277"/>
      <c r="FY153" s="277"/>
      <c r="FZ153" s="277"/>
      <c r="GA153" s="277"/>
      <c r="GB153" s="277"/>
      <c r="GC153" s="277"/>
      <c r="GD153" s="277"/>
      <c r="GE153" s="277"/>
      <c r="GF153" s="277"/>
      <c r="GG153" s="277"/>
      <c r="GH153" s="277"/>
      <c r="GI153" s="277"/>
      <c r="GJ153" s="277"/>
      <c r="GK153" s="277"/>
      <c r="GL153" s="277"/>
      <c r="GM153" s="277"/>
      <c r="GN153" s="277"/>
      <c r="GO153" s="277"/>
      <c r="GP153" s="277"/>
      <c r="GQ153" s="277"/>
      <c r="GR153" s="277"/>
      <c r="GS153" s="277"/>
      <c r="GT153" s="277"/>
      <c r="GU153" s="277"/>
      <c r="GV153" s="277"/>
      <c r="GW153" s="277"/>
      <c r="GX153" s="277"/>
      <c r="GY153" s="277"/>
      <c r="GZ153" s="277"/>
      <c r="HA153" s="277"/>
      <c r="HB153" s="277"/>
      <c r="HC153" s="277"/>
      <c r="HD153" s="277"/>
      <c r="HE153" s="277"/>
      <c r="HF153" s="140"/>
      <c r="HG153" s="277"/>
      <c r="HH153" s="277"/>
      <c r="HI153" s="277"/>
      <c r="HJ153" s="140"/>
      <c r="HK153" s="277"/>
      <c r="HL153" s="277"/>
      <c r="HM153" s="277"/>
      <c r="HN153" s="140"/>
      <c r="HO153" s="277"/>
      <c r="HP153" s="277"/>
      <c r="HQ153" s="277"/>
      <c r="HR153" s="277"/>
      <c r="HS153" s="277"/>
      <c r="HT153" s="277"/>
      <c r="HU153" s="277"/>
      <c r="HV153" s="277"/>
      <c r="HW153" s="277"/>
      <c r="HX153" s="277"/>
      <c r="HY153" s="277"/>
      <c r="HZ153" s="140"/>
      <c r="IA153" s="277"/>
      <c r="IB153" s="277"/>
      <c r="IC153" s="277"/>
      <c r="ID153" s="140"/>
      <c r="IE153" s="277"/>
      <c r="IF153" s="277"/>
      <c r="IG153" s="277"/>
      <c r="IH153" s="140"/>
      <c r="II153" s="277"/>
      <c r="IJ153" s="277"/>
      <c r="IK153" s="277"/>
      <c r="IL153" s="140"/>
      <c r="IM153" s="277"/>
      <c r="IN153" s="277"/>
      <c r="IO153" s="277"/>
      <c r="IP153" s="277"/>
      <c r="IQ153" s="277"/>
      <c r="IR153" s="277"/>
      <c r="IS153" s="277"/>
      <c r="IT153" s="277"/>
      <c r="IU153" s="277"/>
      <c r="IV153" s="277"/>
      <c r="IW153" s="277"/>
      <c r="IX153" s="140"/>
      <c r="IY153" s="277"/>
      <c r="IZ153" s="277"/>
      <c r="JA153" s="277"/>
      <c r="JB153" s="140"/>
      <c r="JC153" s="277"/>
      <c r="JD153" s="277"/>
      <c r="JE153" s="277"/>
      <c r="JF153" s="140"/>
      <c r="JG153" s="277"/>
      <c r="JH153" s="277"/>
      <c r="JI153" s="140"/>
      <c r="JJ153" s="277"/>
      <c r="JK153" s="277"/>
      <c r="JL153" s="140"/>
      <c r="JM153" s="277"/>
      <c r="JN153" s="277"/>
      <c r="JO153" s="140"/>
      <c r="JP153" s="277"/>
      <c r="JQ153" s="277"/>
      <c r="JR153" s="277"/>
      <c r="JS153" s="277"/>
      <c r="JT153" s="277"/>
      <c r="JU153" s="277"/>
      <c r="JV153" s="277"/>
      <c r="JW153" s="277"/>
      <c r="JX153" s="277"/>
      <c r="JY153" s="277"/>
      <c r="JZ153" s="277"/>
      <c r="KA153" s="277"/>
      <c r="KB153" s="277"/>
      <c r="KC153" s="277"/>
      <c r="KD153" s="277"/>
      <c r="KE153" s="277"/>
      <c r="KF153" s="277"/>
      <c r="KG153" s="277"/>
      <c r="KH153" s="277"/>
      <c r="KI153" s="277"/>
      <c r="KJ153" s="277"/>
      <c r="KK153" s="277"/>
      <c r="KL153" s="277"/>
      <c r="KM153" s="277"/>
      <c r="KN153" s="277"/>
      <c r="KO153" s="277"/>
      <c r="KP153" s="274"/>
      <c r="KQ153" s="253"/>
      <c r="KR153" s="253"/>
      <c r="KY153" s="141">
        <f t="shared" si="57"/>
        <v>0</v>
      </c>
      <c r="KZ153" s="141">
        <f t="shared" si="58"/>
        <v>0</v>
      </c>
      <c r="LB153" s="141">
        <f t="shared" si="59"/>
        <v>1</v>
      </c>
      <c r="LC153" s="141">
        <f t="shared" si="60"/>
        <v>0</v>
      </c>
      <c r="LD153" s="141">
        <f t="shared" si="61"/>
        <v>0</v>
      </c>
      <c r="LE153" s="141" t="e">
        <f>((N(AU153)&gt;0)*(AX153&lt;&gt;"")+(N(AY153)&gt;0)*(BB153&lt;&gt;"")+(N(BC153)&gt;0)*(BF153&lt;&gt;"")+(N(BG153)&gt;0)*(BJ153&lt;&gt;"")+(N(BK153)&gt;0)*(BN153&lt;&gt;"")+(N(BO153)&gt;0)*(BR153&lt;&gt;"")+(N(BS153)&gt;0)*(BV153&lt;&gt;"")+(N(BW153)&gt;0)*(BZ153&lt;&gt;"")+(N(CA153)&gt;0)*(CD153&lt;&gt;"")+(N(CE153)&gt;0)*(CH153&lt;&gt;"")+(N(CI153)&gt;0)*(CL153&lt;&gt;"")+(N(CM153)&gt;0)*(CP153&lt;&gt;"")+(N(CQ153)&gt;0)*(CT153&lt;&gt;"")+(N(CU153)&gt;0)*(CX153&lt;&gt;"")+(N(CY153)&gt;0)*(DB153&lt;&gt;"")+(N(DC153)&gt;0)*(DF153&lt;&gt;"")+(N(DG153)&gt;0)*(DJ153&lt;&gt;"")+(N(DS153)&gt;0)*(DV153&lt;&gt;"")+(N(DW153)&gt;0)*(DZ153&lt;&gt;"")+(N(EA153)&gt;0)*(ED153&lt;&gt;"")+(N(EE153)&gt;0)*(EH153&lt;&gt;"")+(N(EI153)&gt;0)*(EL153&lt;&gt;"")+(N(EM153)&gt;0)*(EP153&lt;&gt;"")+(N(EQ153)&gt;0)*(ET153&lt;&gt;"")+(N(EU153)&gt;0)*(EX153&lt;&gt;"")+(N(#REF!)&gt;0)*(#REF!&lt;&gt;"")+(N(#REF!)&gt;0)*(#REF!&lt;&gt;"")+(N(FJ153)&gt;0)*(FM153&lt;&gt;"")+(N(FN153)&gt;0)*(FQ153&lt;&gt;"")+(N(#REF!)&gt;0)*(#REF!&lt;&gt;"")+(N(#REF!)&gt;0)*(#REF!&lt;&gt;"")+(N(HF153)&gt;0)*(HI153&lt;&gt;"")+(N(#REF!)&gt;0)*(#REF!&lt;&gt;"")+(N(HJ153)&gt;0)*(HM153&lt;&gt;"")+(N(HN153)&gt;0)*(HQ153&lt;&gt;"")+(N(HZ153)&gt;0)*(IC153&lt;&gt;"")+(N(ID153)&gt;0)*(IG153&lt;&gt;"")+(N(IH153)&gt;0)*(IK153&lt;&gt;"")+(N(IL153)&gt;0)*(IO153&lt;&gt;"")+(N(IX153)&gt;0)*(JA153&lt;&gt;"")+(N(JB153)&gt;0)*(JE153&lt;&gt;"")+(N(JF153)&gt;0)*(JH153&lt;&gt;"")+(N(JI153)&gt;0)*(JK153&lt;&gt;"")+(N(JL153)&gt;0)*(JN153&lt;&gt;"")+(N(JO153)&gt;0)*(JQ153&lt;&gt;""))</f>
        <v>#REF!</v>
      </c>
      <c r="LF153" s="141">
        <f t="shared" si="48"/>
        <v>0</v>
      </c>
      <c r="LG153" s="141">
        <f t="shared" si="62"/>
        <v>0</v>
      </c>
    </row>
    <row r="154" spans="2:319" ht="38.25" customHeight="1" x14ac:dyDescent="0.55000000000000004">
      <c r="B154" s="314" t="s">
        <v>450</v>
      </c>
      <c r="C154" s="218"/>
      <c r="D154" s="218"/>
      <c r="E154" s="218"/>
      <c r="F154" s="218"/>
      <c r="G154" s="218"/>
      <c r="H154" s="218"/>
      <c r="I154" s="162" cm="1">
        <f t="array" ref="I154">SUMPRODUCT(($AI$2:$KV$2&lt;&gt;"")*($AI154:$KV154&lt;&gt;""))</f>
        <v>1</v>
      </c>
      <c r="J154" s="142">
        <f t="shared" si="43"/>
        <v>0</v>
      </c>
      <c r="K154" s="142">
        <f t="shared" si="44"/>
        <v>0</v>
      </c>
      <c r="L154" s="268">
        <f t="shared" si="49"/>
        <v>7000</v>
      </c>
      <c r="M154" s="164">
        <f t="shared" si="45"/>
        <v>196</v>
      </c>
      <c r="N154" s="397"/>
      <c r="O154" s="165">
        <f t="shared" si="46"/>
        <v>0</v>
      </c>
      <c r="P154" s="165"/>
      <c r="Q154" s="165"/>
      <c r="R154" s="165">
        <f>(IFERROR(AM154/AN154,0)+IFERROR(AU154/AV154,0)+IFERROR(AY154/AZ154,0)+IFERROR(BC154/BD154,0)+IFERROR(BG154/BH154,0)+IFERROR(BK154/BL154,0)+IFERROR(BO154/BP154,0)+IFERROR(BS154/BT154,0)+IFERROR(BW154/BX154,0)+IFERROR(CA154/CB154,0)+IFERROR(CE154/CF154,0)+IFERROR(CI154/CJ154,0)+IFERROR(CM154/CN154,0)+IFERROR(CQ154/CR154,0)+IFERROR(CU154/CV154,0)+IFERROR(CY154/CZ154,0)+IFERROR(DC154/DD154,0)+IFERROR(DG154/DH154,0)+IFERROR(DS154/DT154,0)+IFERROR(DW154/DX154,0)+IFERROR(EA154/EB154,0)+IFERROR(EE154/EF154,0)+IFERROR(EI154/EJ154,0)+IFERROR(EM154/EN154,0)+IFERROR(EQ154/ER154,0)+IFERROR(EU154/EV154,0)+IFERROR(#REF!/#REF!,0)+IFERROR(#REF!/#REF!,0)+IFERROR(FJ154/FK154,0)+IFERROR(FN154/FO154,0)+IFERROR(#REF!/#REF!,0)+IFERROR(#REF!/#REF!,0)+IFERROR(HF154/HG154,0)+IFERROR(#REF!/#REF!,0)+IFERROR(HJ154/HK154,0)+IFERROR(HN154/HO154,0)+IFERROR(HZ154/IA154,0)+IFERROR(ID154/IE154,0)+IFERROR(IH154/II154,0)+IFERROR(IL154/IM154,0)+IFERROR(IX154/IY154,0)+IFERROR(JB154/JC154,0)+IFERROR(JF154/JG154,0)+IFERROR(JI154/JJ154,0)+IFERROR(JL154/JM154,0)+IFERROR(JO154/JP154,0))*L154*(C154+D154+E154+I154)</f>
        <v>0</v>
      </c>
      <c r="S154" s="165"/>
      <c r="T154" s="165">
        <f t="shared" si="55"/>
        <v>0</v>
      </c>
      <c r="U154" s="165"/>
      <c r="V154" s="165"/>
      <c r="W154" s="165"/>
      <c r="X154" s="165">
        <f>(IFERROR(FF154/FG154,0)+IFERROR(FC154/FD154,0)+IFERROR(#REF!/#REF!,0)+IFERROR(KP154/KQ154,0))*L154*(C154+D154+E154+I154)</f>
        <v>0</v>
      </c>
      <c r="Y154" s="484"/>
      <c r="Z154" s="484"/>
      <c r="AA154" s="484"/>
      <c r="AB154" s="484"/>
      <c r="AC154" s="150">
        <f t="shared" si="47"/>
        <v>0</v>
      </c>
      <c r="AD154" s="150"/>
      <c r="AE154" s="150">
        <f t="shared" si="56"/>
        <v>0</v>
      </c>
      <c r="AF154" s="161"/>
      <c r="AG154" s="143"/>
      <c r="AH154" s="154"/>
      <c r="AI154" s="342">
        <v>7</v>
      </c>
      <c r="AJ154" s="342">
        <v>250</v>
      </c>
      <c r="AK154" s="342"/>
      <c r="AL154" s="343" t="s">
        <v>760</v>
      </c>
      <c r="AM154" s="140"/>
      <c r="AN154" s="154"/>
      <c r="AO154" s="154"/>
      <c r="AP154" s="220"/>
      <c r="AQ154" s="145"/>
      <c r="AR154" s="154"/>
      <c r="AS154" s="154"/>
      <c r="AT154" s="220"/>
      <c r="AU154" s="140"/>
      <c r="AV154" s="277"/>
      <c r="AW154" s="277"/>
      <c r="AX154" s="277"/>
      <c r="AY154" s="140"/>
      <c r="AZ154" s="277"/>
      <c r="BA154" s="277"/>
      <c r="BB154" s="277"/>
      <c r="BC154" s="140"/>
      <c r="BD154" s="277"/>
      <c r="BE154" s="277"/>
      <c r="BF154" s="277"/>
      <c r="BG154" s="140"/>
      <c r="BH154" s="277"/>
      <c r="BI154" s="277"/>
      <c r="BJ154" s="277"/>
      <c r="BK154" s="140"/>
      <c r="BL154" s="277"/>
      <c r="BM154" s="277"/>
      <c r="BN154" s="277"/>
      <c r="BO154" s="140"/>
      <c r="BP154" s="277"/>
      <c r="BQ154" s="277"/>
      <c r="BR154" s="277"/>
      <c r="BS154" s="140"/>
      <c r="BT154" s="277"/>
      <c r="BU154" s="277"/>
      <c r="BV154" s="277"/>
      <c r="BW154" s="140"/>
      <c r="BX154" s="154"/>
      <c r="BY154" s="154"/>
      <c r="BZ154" s="220"/>
      <c r="CA154" s="140"/>
      <c r="CB154" s="154"/>
      <c r="CC154" s="154"/>
      <c r="CD154" s="220"/>
      <c r="CE154" s="140"/>
      <c r="CF154" s="271"/>
      <c r="CG154" s="271"/>
      <c r="CH154" s="271"/>
      <c r="CI154" s="140"/>
      <c r="CJ154" s="154"/>
      <c r="CK154" s="154"/>
      <c r="CL154" s="154"/>
      <c r="CM154" s="140"/>
      <c r="CN154" s="271"/>
      <c r="CO154" s="271"/>
      <c r="CP154" s="271"/>
      <c r="CQ154" s="140"/>
      <c r="CR154" s="154"/>
      <c r="CS154" s="154"/>
      <c r="CT154" s="154"/>
      <c r="CU154" s="140"/>
      <c r="CV154" s="154"/>
      <c r="CW154" s="154"/>
      <c r="CX154" s="220"/>
      <c r="CY154" s="140"/>
      <c r="CZ154" s="154"/>
      <c r="DA154" s="154"/>
      <c r="DB154" s="220"/>
      <c r="DC154" s="140"/>
      <c r="DD154" s="146"/>
      <c r="DE154" s="146"/>
      <c r="DF154" s="146"/>
      <c r="DG154" s="140"/>
      <c r="DH154" s="146"/>
      <c r="DI154" s="146"/>
      <c r="DJ154" s="146"/>
      <c r="DK154" s="146"/>
      <c r="DL154" s="146"/>
      <c r="DM154" s="146"/>
      <c r="DN154" s="146"/>
      <c r="DO154" s="146"/>
      <c r="DP154" s="146"/>
      <c r="DQ154" s="146"/>
      <c r="DR154" s="146"/>
      <c r="DS154" s="140"/>
      <c r="DT154" s="154"/>
      <c r="DU154" s="154"/>
      <c r="DV154" s="154"/>
      <c r="DW154" s="140"/>
      <c r="DX154" s="220"/>
      <c r="DY154" s="220"/>
      <c r="DZ154" s="220"/>
      <c r="EA154" s="140"/>
      <c r="EB154" s="220"/>
      <c r="EC154" s="220"/>
      <c r="ED154" s="220"/>
      <c r="EE154" s="140"/>
      <c r="EF154" s="154"/>
      <c r="EG154" s="154"/>
      <c r="EH154" s="154"/>
      <c r="EI154" s="140"/>
      <c r="EJ154" s="154"/>
      <c r="EK154" s="154"/>
      <c r="EL154" s="154"/>
      <c r="EM154" s="140"/>
      <c r="EN154" s="222"/>
      <c r="EO154" s="222"/>
      <c r="EP154" s="222"/>
      <c r="EQ154" s="140"/>
      <c r="ER154" s="222"/>
      <c r="ES154" s="222"/>
      <c r="ET154" s="222"/>
      <c r="EU154" s="140"/>
      <c r="EV154" s="222"/>
      <c r="EW154" s="222"/>
      <c r="EX154" s="222"/>
      <c r="EY154" s="344"/>
      <c r="EZ154" s="222"/>
      <c r="FA154" s="222"/>
      <c r="FB154" s="222"/>
      <c r="FC154" s="273"/>
      <c r="FD154" s="223"/>
      <c r="FE154" s="223"/>
      <c r="FF154" s="276"/>
      <c r="FG154" s="156"/>
      <c r="FH154" s="156"/>
      <c r="FI154" s="156"/>
      <c r="FJ154" s="140"/>
      <c r="FK154" s="277"/>
      <c r="FL154" s="277"/>
      <c r="FM154" s="277"/>
      <c r="FN154" s="140"/>
      <c r="FO154" s="277"/>
      <c r="FP154" s="277"/>
      <c r="FQ154" s="277"/>
      <c r="FR154" s="280"/>
      <c r="FS154" s="277"/>
      <c r="FT154" s="277"/>
      <c r="FU154" s="277"/>
      <c r="FV154" s="277"/>
      <c r="FW154" s="277"/>
      <c r="FX154" s="277"/>
      <c r="FY154" s="277"/>
      <c r="FZ154" s="277"/>
      <c r="GA154" s="277"/>
      <c r="GB154" s="277"/>
      <c r="GC154" s="277"/>
      <c r="GD154" s="277"/>
      <c r="GE154" s="277"/>
      <c r="GF154" s="277"/>
      <c r="GG154" s="277"/>
      <c r="GH154" s="277"/>
      <c r="GI154" s="277"/>
      <c r="GJ154" s="277"/>
      <c r="GK154" s="277"/>
      <c r="GL154" s="277"/>
      <c r="GM154" s="277"/>
      <c r="GN154" s="277"/>
      <c r="GO154" s="277"/>
      <c r="GP154" s="277"/>
      <c r="GQ154" s="277"/>
      <c r="GR154" s="277"/>
      <c r="GS154" s="277"/>
      <c r="GT154" s="277"/>
      <c r="GU154" s="277"/>
      <c r="GV154" s="277"/>
      <c r="GW154" s="277"/>
      <c r="GX154" s="277"/>
      <c r="GY154" s="277"/>
      <c r="GZ154" s="277"/>
      <c r="HA154" s="277"/>
      <c r="HB154" s="277"/>
      <c r="HC154" s="277"/>
      <c r="HD154" s="277"/>
      <c r="HE154" s="277"/>
      <c r="HF154" s="140"/>
      <c r="HG154" s="277"/>
      <c r="HH154" s="277"/>
      <c r="HI154" s="277"/>
      <c r="HJ154" s="140"/>
      <c r="HK154" s="277"/>
      <c r="HL154" s="277"/>
      <c r="HM154" s="277"/>
      <c r="HN154" s="140"/>
      <c r="HO154" s="277"/>
      <c r="HP154" s="277"/>
      <c r="HQ154" s="277"/>
      <c r="HR154" s="277"/>
      <c r="HS154" s="277"/>
      <c r="HT154" s="277"/>
      <c r="HU154" s="277"/>
      <c r="HV154" s="277"/>
      <c r="HW154" s="277"/>
      <c r="HX154" s="277"/>
      <c r="HY154" s="277"/>
      <c r="HZ154" s="140"/>
      <c r="IA154" s="277"/>
      <c r="IB154" s="277"/>
      <c r="IC154" s="277"/>
      <c r="ID154" s="140"/>
      <c r="IE154" s="277"/>
      <c r="IF154" s="277"/>
      <c r="IG154" s="277"/>
      <c r="IH154" s="140"/>
      <c r="II154" s="277"/>
      <c r="IJ154" s="277"/>
      <c r="IK154" s="277"/>
      <c r="IL154" s="140"/>
      <c r="IM154" s="277"/>
      <c r="IN154" s="277"/>
      <c r="IO154" s="277"/>
      <c r="IP154" s="277"/>
      <c r="IQ154" s="277"/>
      <c r="IR154" s="277"/>
      <c r="IS154" s="277"/>
      <c r="IT154" s="277"/>
      <c r="IU154" s="277"/>
      <c r="IV154" s="277"/>
      <c r="IW154" s="277"/>
      <c r="IX154" s="140"/>
      <c r="IY154" s="277"/>
      <c r="IZ154" s="277"/>
      <c r="JA154" s="277"/>
      <c r="JB154" s="140"/>
      <c r="JC154" s="277"/>
      <c r="JD154" s="277"/>
      <c r="JE154" s="277"/>
      <c r="JF154" s="140"/>
      <c r="JG154" s="277"/>
      <c r="JH154" s="277"/>
      <c r="JI154" s="140"/>
      <c r="JJ154" s="277"/>
      <c r="JK154" s="277"/>
      <c r="JL154" s="140"/>
      <c r="JM154" s="277"/>
      <c r="JN154" s="277"/>
      <c r="JO154" s="140"/>
      <c r="JP154" s="277"/>
      <c r="JQ154" s="277"/>
      <c r="JR154" s="277"/>
      <c r="JS154" s="277"/>
      <c r="JT154" s="277"/>
      <c r="JU154" s="277"/>
      <c r="JV154" s="277"/>
      <c r="JW154" s="277"/>
      <c r="JX154" s="277"/>
      <c r="JY154" s="277"/>
      <c r="JZ154" s="277"/>
      <c r="KA154" s="277"/>
      <c r="KB154" s="277"/>
      <c r="KC154" s="277"/>
      <c r="KD154" s="277"/>
      <c r="KE154" s="277"/>
      <c r="KF154" s="277"/>
      <c r="KG154" s="277"/>
      <c r="KH154" s="277"/>
      <c r="KI154" s="277"/>
      <c r="KJ154" s="277"/>
      <c r="KK154" s="277"/>
      <c r="KL154" s="277"/>
      <c r="KM154" s="277"/>
      <c r="KN154" s="277"/>
      <c r="KO154" s="277"/>
      <c r="KP154" s="274"/>
      <c r="KQ154" s="253"/>
      <c r="KR154" s="253"/>
      <c r="KY154" s="141">
        <f t="shared" si="57"/>
        <v>0</v>
      </c>
      <c r="KZ154" s="141">
        <f t="shared" si="58"/>
        <v>0</v>
      </c>
      <c r="LB154" s="141">
        <f t="shared" si="59"/>
        <v>1</v>
      </c>
      <c r="LC154" s="141">
        <f t="shared" si="60"/>
        <v>0</v>
      </c>
      <c r="LD154" s="141">
        <f t="shared" si="61"/>
        <v>0</v>
      </c>
      <c r="LE154" s="141" t="e">
        <f>((N(AU154)&gt;0)*(AX154&lt;&gt;"")+(N(AY154)&gt;0)*(BB154&lt;&gt;"")+(N(BC154)&gt;0)*(BF154&lt;&gt;"")+(N(BG154)&gt;0)*(BJ154&lt;&gt;"")+(N(BK154)&gt;0)*(BN154&lt;&gt;"")+(N(BO154)&gt;0)*(BR154&lt;&gt;"")+(N(BS154)&gt;0)*(BV154&lt;&gt;"")+(N(BW154)&gt;0)*(BZ154&lt;&gt;"")+(N(CA154)&gt;0)*(CD154&lt;&gt;"")+(N(CE154)&gt;0)*(CH154&lt;&gt;"")+(N(CI154)&gt;0)*(CL154&lt;&gt;"")+(N(CM154)&gt;0)*(CP154&lt;&gt;"")+(N(CQ154)&gt;0)*(CT154&lt;&gt;"")+(N(CU154)&gt;0)*(CX154&lt;&gt;"")+(N(CY154)&gt;0)*(DB154&lt;&gt;"")+(N(DC154)&gt;0)*(DF154&lt;&gt;"")+(N(DG154)&gt;0)*(DJ154&lt;&gt;"")+(N(DS154)&gt;0)*(DV154&lt;&gt;"")+(N(DW154)&gt;0)*(DZ154&lt;&gt;"")+(N(EA154)&gt;0)*(ED154&lt;&gt;"")+(N(EE154)&gt;0)*(EH154&lt;&gt;"")+(N(EI154)&gt;0)*(EL154&lt;&gt;"")+(N(EM154)&gt;0)*(EP154&lt;&gt;"")+(N(EQ154)&gt;0)*(ET154&lt;&gt;"")+(N(EU154)&gt;0)*(EX154&lt;&gt;"")+(N(#REF!)&gt;0)*(#REF!&lt;&gt;"")+(N(#REF!)&gt;0)*(#REF!&lt;&gt;"")+(N(FJ154)&gt;0)*(FM154&lt;&gt;"")+(N(FN154)&gt;0)*(FQ154&lt;&gt;"")+(N(#REF!)&gt;0)*(#REF!&lt;&gt;"")+(N(#REF!)&gt;0)*(#REF!&lt;&gt;"")+(N(HF154)&gt;0)*(HI154&lt;&gt;"")+(N(#REF!)&gt;0)*(#REF!&lt;&gt;"")+(N(HJ154)&gt;0)*(HM154&lt;&gt;"")+(N(HN154)&gt;0)*(HQ154&lt;&gt;"")+(N(HZ154)&gt;0)*(IC154&lt;&gt;"")+(N(ID154)&gt;0)*(IG154&lt;&gt;"")+(N(IH154)&gt;0)*(IK154&lt;&gt;"")+(N(IL154)&gt;0)*(IO154&lt;&gt;"")+(N(IX154)&gt;0)*(JA154&lt;&gt;"")+(N(JB154)&gt;0)*(JE154&lt;&gt;"")+(N(JF154)&gt;0)*(JH154&lt;&gt;"")+(N(JI154)&gt;0)*(JK154&lt;&gt;"")+(N(JL154)&gt;0)*(JN154&lt;&gt;"")+(N(JO154)&gt;0)*(JQ154&lt;&gt;""))</f>
        <v>#REF!</v>
      </c>
      <c r="LF154" s="141">
        <f t="shared" si="48"/>
        <v>0</v>
      </c>
      <c r="LG154" s="141">
        <f t="shared" si="62"/>
        <v>0</v>
      </c>
    </row>
    <row r="155" spans="2:319" ht="38.25" customHeight="1" x14ac:dyDescent="0.55000000000000004">
      <c r="B155" s="314" t="s">
        <v>452</v>
      </c>
      <c r="C155" s="218"/>
      <c r="D155" s="218"/>
      <c r="E155" s="218"/>
      <c r="F155" s="218"/>
      <c r="G155" s="218"/>
      <c r="H155" s="218"/>
      <c r="I155" s="162" cm="1">
        <f t="array" ref="I155">SUMPRODUCT(($AI$2:$KV$2&lt;&gt;"")*($AI155:$KV155&lt;&gt;""))</f>
        <v>1</v>
      </c>
      <c r="J155" s="142">
        <f t="shared" si="43"/>
        <v>0</v>
      </c>
      <c r="K155" s="142">
        <f t="shared" si="44"/>
        <v>0</v>
      </c>
      <c r="L155" s="268">
        <f t="shared" si="49"/>
        <v>7000</v>
      </c>
      <c r="M155" s="164">
        <f t="shared" si="45"/>
        <v>168</v>
      </c>
      <c r="N155" s="397"/>
      <c r="O155" s="165">
        <f t="shared" si="46"/>
        <v>0</v>
      </c>
      <c r="P155" s="165"/>
      <c r="Q155" s="165"/>
      <c r="R155" s="165">
        <f>(IFERROR(AM155/AN155,0)+IFERROR(AU155/AV155,0)+IFERROR(AY155/AZ155,0)+IFERROR(BC155/BD155,0)+IFERROR(BG155/BH155,0)+IFERROR(BK155/BL155,0)+IFERROR(BO155/BP155,0)+IFERROR(BS155/BT155,0)+IFERROR(BW155/BX155,0)+IFERROR(CA155/CB155,0)+IFERROR(CE155/CF155,0)+IFERROR(CI155/CJ155,0)+IFERROR(CM155/CN155,0)+IFERROR(CQ155/CR155,0)+IFERROR(CU155/CV155,0)+IFERROR(CY155/CZ155,0)+IFERROR(DC155/DD155,0)+IFERROR(DG155/DH155,0)+IFERROR(DS155/DT155,0)+IFERROR(DW155/DX155,0)+IFERROR(EA155/EB155,0)+IFERROR(EE155/EF155,0)+IFERROR(EI155/EJ155,0)+IFERROR(EM155/EN155,0)+IFERROR(EQ155/ER155,0)+IFERROR(EU155/EV155,0)+IFERROR(#REF!/#REF!,0)+IFERROR(#REF!/#REF!,0)+IFERROR(FJ155/FK155,0)+IFERROR(FN155/FO155,0)+IFERROR(#REF!/#REF!,0)+IFERROR(#REF!/#REF!,0)+IFERROR(HF155/HG155,0)+IFERROR(#REF!/#REF!,0)+IFERROR(HJ155/HK155,0)+IFERROR(HN155/HO155,0)+IFERROR(HZ155/IA155,0)+IFERROR(ID155/IE155,0)+IFERROR(IH155/II155,0)+IFERROR(IL155/IM155,0)+IFERROR(IX155/IY155,0)+IFERROR(JB155/JC155,0)+IFERROR(JF155/JG155,0)+IFERROR(JI155/JJ155,0)+IFERROR(JL155/JM155,0)+IFERROR(JO155/JP155,0))*L155*(C155+D155+E155+I155)</f>
        <v>0</v>
      </c>
      <c r="S155" s="165"/>
      <c r="T155" s="165">
        <f t="shared" si="55"/>
        <v>0</v>
      </c>
      <c r="U155" s="165"/>
      <c r="V155" s="165"/>
      <c r="W155" s="165"/>
      <c r="X155" s="165">
        <f>(IFERROR(FF155/FG155,0)+IFERROR(FC155/FD155,0)+IFERROR(#REF!/#REF!,0)+IFERROR(KP155/KQ155,0))*L155*(C155+D155+E155+I155)</f>
        <v>0</v>
      </c>
      <c r="Y155" s="484"/>
      <c r="Z155" s="484"/>
      <c r="AA155" s="484"/>
      <c r="AB155" s="484"/>
      <c r="AC155" s="150">
        <f t="shared" si="47"/>
        <v>0</v>
      </c>
      <c r="AD155" s="150"/>
      <c r="AE155" s="150">
        <f t="shared" si="56"/>
        <v>0</v>
      </c>
      <c r="AF155" s="161"/>
      <c r="AG155" s="143"/>
      <c r="AH155" s="154"/>
      <c r="AI155" s="342">
        <v>6</v>
      </c>
      <c r="AJ155" s="342">
        <v>250</v>
      </c>
      <c r="AK155" s="342"/>
      <c r="AL155" s="343" t="s">
        <v>761</v>
      </c>
      <c r="AM155" s="140"/>
      <c r="AN155" s="154"/>
      <c r="AO155" s="154"/>
      <c r="AP155" s="220"/>
      <c r="AQ155" s="145"/>
      <c r="AR155" s="154"/>
      <c r="AS155" s="154"/>
      <c r="AT155" s="220"/>
      <c r="AU155" s="140"/>
      <c r="AV155" s="277"/>
      <c r="AW155" s="277"/>
      <c r="AX155" s="277"/>
      <c r="AY155" s="140"/>
      <c r="AZ155" s="277"/>
      <c r="BA155" s="277"/>
      <c r="BB155" s="277"/>
      <c r="BC155" s="140"/>
      <c r="BD155" s="277"/>
      <c r="BE155" s="277"/>
      <c r="BF155" s="277"/>
      <c r="BG155" s="140"/>
      <c r="BH155" s="277"/>
      <c r="BI155" s="277"/>
      <c r="BJ155" s="277"/>
      <c r="BK155" s="140"/>
      <c r="BL155" s="277"/>
      <c r="BM155" s="277"/>
      <c r="BN155" s="277"/>
      <c r="BO155" s="140"/>
      <c r="BP155" s="277"/>
      <c r="BQ155" s="277"/>
      <c r="BR155" s="277"/>
      <c r="BS155" s="140"/>
      <c r="BT155" s="277"/>
      <c r="BU155" s="277"/>
      <c r="BV155" s="277"/>
      <c r="BW155" s="140"/>
      <c r="BX155" s="154"/>
      <c r="BY155" s="154"/>
      <c r="BZ155" s="220"/>
      <c r="CA155" s="140"/>
      <c r="CB155" s="154"/>
      <c r="CC155" s="154"/>
      <c r="CD155" s="220"/>
      <c r="CE155" s="140"/>
      <c r="CF155" s="271"/>
      <c r="CG155" s="271"/>
      <c r="CH155" s="271"/>
      <c r="CI155" s="140"/>
      <c r="CJ155" s="154"/>
      <c r="CK155" s="154"/>
      <c r="CL155" s="154"/>
      <c r="CM155" s="140"/>
      <c r="CN155" s="271"/>
      <c r="CO155" s="271"/>
      <c r="CP155" s="271"/>
      <c r="CQ155" s="140"/>
      <c r="CR155" s="154"/>
      <c r="CS155" s="154"/>
      <c r="CT155" s="154"/>
      <c r="CU155" s="140"/>
      <c r="CV155" s="154"/>
      <c r="CW155" s="154"/>
      <c r="CX155" s="220"/>
      <c r="CY155" s="140"/>
      <c r="CZ155" s="154"/>
      <c r="DA155" s="154"/>
      <c r="DB155" s="220"/>
      <c r="DC155" s="140"/>
      <c r="DD155" s="146"/>
      <c r="DE155" s="146"/>
      <c r="DF155" s="146"/>
      <c r="DG155" s="140"/>
      <c r="DH155" s="146"/>
      <c r="DI155" s="146"/>
      <c r="DJ155" s="146"/>
      <c r="DK155" s="146"/>
      <c r="DL155" s="146"/>
      <c r="DM155" s="146"/>
      <c r="DN155" s="146"/>
      <c r="DO155" s="146"/>
      <c r="DP155" s="146"/>
      <c r="DQ155" s="146"/>
      <c r="DR155" s="146"/>
      <c r="DS155" s="140"/>
      <c r="DT155" s="154"/>
      <c r="DU155" s="154"/>
      <c r="DV155" s="154"/>
      <c r="DW155" s="140"/>
      <c r="DX155" s="220"/>
      <c r="DY155" s="220"/>
      <c r="DZ155" s="220"/>
      <c r="EA155" s="140"/>
      <c r="EB155" s="220"/>
      <c r="EC155" s="220"/>
      <c r="ED155" s="220"/>
      <c r="EE155" s="140"/>
      <c r="EF155" s="154"/>
      <c r="EG155" s="154"/>
      <c r="EH155" s="154"/>
      <c r="EI155" s="140"/>
      <c r="EJ155" s="154"/>
      <c r="EK155" s="154"/>
      <c r="EL155" s="154"/>
      <c r="EM155" s="140"/>
      <c r="EN155" s="222"/>
      <c r="EO155" s="222"/>
      <c r="EP155" s="222"/>
      <c r="EQ155" s="140"/>
      <c r="ER155" s="222"/>
      <c r="ES155" s="222"/>
      <c r="ET155" s="222"/>
      <c r="EU155" s="140"/>
      <c r="EV155" s="222"/>
      <c r="EW155" s="222"/>
      <c r="EX155" s="222"/>
      <c r="EY155" s="344"/>
      <c r="EZ155" s="222"/>
      <c r="FA155" s="222"/>
      <c r="FB155" s="222"/>
      <c r="FC155" s="273"/>
      <c r="FD155" s="223"/>
      <c r="FE155" s="223"/>
      <c r="FF155" s="276"/>
      <c r="FG155" s="156"/>
      <c r="FH155" s="156"/>
      <c r="FI155" s="156"/>
      <c r="FJ155" s="140"/>
      <c r="FK155" s="277"/>
      <c r="FL155" s="277"/>
      <c r="FM155" s="277"/>
      <c r="FN155" s="140"/>
      <c r="FO155" s="277"/>
      <c r="FP155" s="277"/>
      <c r="FQ155" s="277"/>
      <c r="FR155" s="280"/>
      <c r="FS155" s="277"/>
      <c r="FT155" s="277"/>
      <c r="FU155" s="277"/>
      <c r="FV155" s="277"/>
      <c r="FW155" s="277"/>
      <c r="FX155" s="277"/>
      <c r="FY155" s="277"/>
      <c r="FZ155" s="277"/>
      <c r="GA155" s="277"/>
      <c r="GB155" s="277"/>
      <c r="GC155" s="277"/>
      <c r="GD155" s="277"/>
      <c r="GE155" s="277"/>
      <c r="GF155" s="277"/>
      <c r="GG155" s="277"/>
      <c r="GH155" s="277"/>
      <c r="GI155" s="277"/>
      <c r="GJ155" s="277"/>
      <c r="GK155" s="277"/>
      <c r="GL155" s="277"/>
      <c r="GM155" s="277"/>
      <c r="GN155" s="277"/>
      <c r="GO155" s="277"/>
      <c r="GP155" s="277"/>
      <c r="GQ155" s="277"/>
      <c r="GR155" s="277"/>
      <c r="GS155" s="277"/>
      <c r="GT155" s="277"/>
      <c r="GU155" s="277"/>
      <c r="GV155" s="277"/>
      <c r="GW155" s="277"/>
      <c r="GX155" s="277"/>
      <c r="GY155" s="277"/>
      <c r="GZ155" s="277"/>
      <c r="HA155" s="277"/>
      <c r="HB155" s="277"/>
      <c r="HC155" s="277"/>
      <c r="HD155" s="277"/>
      <c r="HE155" s="277"/>
      <c r="HF155" s="140"/>
      <c r="HG155" s="277"/>
      <c r="HH155" s="277"/>
      <c r="HI155" s="277"/>
      <c r="HJ155" s="140"/>
      <c r="HK155" s="277"/>
      <c r="HL155" s="277"/>
      <c r="HM155" s="277"/>
      <c r="HN155" s="140"/>
      <c r="HO155" s="277"/>
      <c r="HP155" s="277"/>
      <c r="HQ155" s="277"/>
      <c r="HR155" s="277"/>
      <c r="HS155" s="277"/>
      <c r="HT155" s="277"/>
      <c r="HU155" s="277"/>
      <c r="HV155" s="277"/>
      <c r="HW155" s="277"/>
      <c r="HX155" s="277"/>
      <c r="HY155" s="277"/>
      <c r="HZ155" s="140"/>
      <c r="IA155" s="277"/>
      <c r="IB155" s="277"/>
      <c r="IC155" s="277"/>
      <c r="ID155" s="140"/>
      <c r="IE155" s="277"/>
      <c r="IF155" s="277"/>
      <c r="IG155" s="277"/>
      <c r="IH155" s="140"/>
      <c r="II155" s="277"/>
      <c r="IJ155" s="277"/>
      <c r="IK155" s="277"/>
      <c r="IL155" s="140"/>
      <c r="IM155" s="277"/>
      <c r="IN155" s="277"/>
      <c r="IO155" s="277"/>
      <c r="IP155" s="277"/>
      <c r="IQ155" s="277"/>
      <c r="IR155" s="277"/>
      <c r="IS155" s="277"/>
      <c r="IT155" s="277"/>
      <c r="IU155" s="277"/>
      <c r="IV155" s="277"/>
      <c r="IW155" s="277"/>
      <c r="IX155" s="140"/>
      <c r="IY155" s="277"/>
      <c r="IZ155" s="277"/>
      <c r="JA155" s="277"/>
      <c r="JB155" s="140"/>
      <c r="JC155" s="277"/>
      <c r="JD155" s="277"/>
      <c r="JE155" s="277"/>
      <c r="JF155" s="140"/>
      <c r="JG155" s="277"/>
      <c r="JH155" s="277"/>
      <c r="JI155" s="140"/>
      <c r="JJ155" s="277"/>
      <c r="JK155" s="277"/>
      <c r="JL155" s="140"/>
      <c r="JM155" s="277"/>
      <c r="JN155" s="277"/>
      <c r="JO155" s="140"/>
      <c r="JP155" s="277"/>
      <c r="JQ155" s="277"/>
      <c r="JR155" s="277"/>
      <c r="JS155" s="277"/>
      <c r="JT155" s="277"/>
      <c r="JU155" s="277"/>
      <c r="JV155" s="277"/>
      <c r="JW155" s="277"/>
      <c r="JX155" s="277"/>
      <c r="JY155" s="277"/>
      <c r="JZ155" s="277"/>
      <c r="KA155" s="277"/>
      <c r="KB155" s="277"/>
      <c r="KC155" s="277"/>
      <c r="KD155" s="277"/>
      <c r="KE155" s="277"/>
      <c r="KF155" s="277"/>
      <c r="KG155" s="277"/>
      <c r="KH155" s="277"/>
      <c r="KI155" s="277"/>
      <c r="KJ155" s="277"/>
      <c r="KK155" s="277"/>
      <c r="KL155" s="277"/>
      <c r="KM155" s="277"/>
      <c r="KN155" s="277"/>
      <c r="KO155" s="277"/>
      <c r="KP155" s="274"/>
      <c r="KQ155" s="253"/>
      <c r="KR155" s="253"/>
      <c r="KY155" s="141">
        <f t="shared" si="57"/>
        <v>0</v>
      </c>
      <c r="KZ155" s="141">
        <f t="shared" si="58"/>
        <v>0</v>
      </c>
      <c r="LB155" s="141">
        <f t="shared" si="59"/>
        <v>1</v>
      </c>
      <c r="LC155" s="141">
        <f t="shared" si="60"/>
        <v>0</v>
      </c>
      <c r="LD155" s="141">
        <f t="shared" si="61"/>
        <v>0</v>
      </c>
      <c r="LE155" s="141" t="e">
        <f>((N(AU155)&gt;0)*(AX155&lt;&gt;"")+(N(AY155)&gt;0)*(BB155&lt;&gt;"")+(N(BC155)&gt;0)*(BF155&lt;&gt;"")+(N(BG155)&gt;0)*(BJ155&lt;&gt;"")+(N(BK155)&gt;0)*(BN155&lt;&gt;"")+(N(BO155)&gt;0)*(BR155&lt;&gt;"")+(N(BS155)&gt;0)*(BV155&lt;&gt;"")+(N(BW155)&gt;0)*(BZ155&lt;&gt;"")+(N(CA155)&gt;0)*(CD155&lt;&gt;"")+(N(CE155)&gt;0)*(CH155&lt;&gt;"")+(N(CI155)&gt;0)*(CL155&lt;&gt;"")+(N(CM155)&gt;0)*(CP155&lt;&gt;"")+(N(CQ155)&gt;0)*(CT155&lt;&gt;"")+(N(CU155)&gt;0)*(CX155&lt;&gt;"")+(N(CY155)&gt;0)*(DB155&lt;&gt;"")+(N(DC155)&gt;0)*(DF155&lt;&gt;"")+(N(DG155)&gt;0)*(DJ155&lt;&gt;"")+(N(DS155)&gt;0)*(DV155&lt;&gt;"")+(N(DW155)&gt;0)*(DZ155&lt;&gt;"")+(N(EA155)&gt;0)*(ED155&lt;&gt;"")+(N(EE155)&gt;0)*(EH155&lt;&gt;"")+(N(EI155)&gt;0)*(EL155&lt;&gt;"")+(N(EM155)&gt;0)*(EP155&lt;&gt;"")+(N(EQ155)&gt;0)*(ET155&lt;&gt;"")+(N(EU155)&gt;0)*(EX155&lt;&gt;"")+(N(#REF!)&gt;0)*(#REF!&lt;&gt;"")+(N(#REF!)&gt;0)*(#REF!&lt;&gt;"")+(N(FJ155)&gt;0)*(FM155&lt;&gt;"")+(N(FN155)&gt;0)*(FQ155&lt;&gt;"")+(N(#REF!)&gt;0)*(#REF!&lt;&gt;"")+(N(#REF!)&gt;0)*(#REF!&lt;&gt;"")+(N(HF155)&gt;0)*(HI155&lt;&gt;"")+(N(#REF!)&gt;0)*(#REF!&lt;&gt;"")+(N(HJ155)&gt;0)*(HM155&lt;&gt;"")+(N(HN155)&gt;0)*(HQ155&lt;&gt;"")+(N(HZ155)&gt;0)*(IC155&lt;&gt;"")+(N(ID155)&gt;0)*(IG155&lt;&gt;"")+(N(IH155)&gt;0)*(IK155&lt;&gt;"")+(N(IL155)&gt;0)*(IO155&lt;&gt;"")+(N(IX155)&gt;0)*(JA155&lt;&gt;"")+(N(JB155)&gt;0)*(JE155&lt;&gt;"")+(N(JF155)&gt;0)*(JH155&lt;&gt;"")+(N(JI155)&gt;0)*(JK155&lt;&gt;"")+(N(JL155)&gt;0)*(JN155&lt;&gt;"")+(N(JO155)&gt;0)*(JQ155&lt;&gt;""))</f>
        <v>#REF!</v>
      </c>
      <c r="LF155" s="141">
        <f t="shared" si="48"/>
        <v>0</v>
      </c>
      <c r="LG155" s="141">
        <f t="shared" si="62"/>
        <v>0</v>
      </c>
    </row>
    <row r="156" spans="2:319" ht="38.25" customHeight="1" x14ac:dyDescent="0.55000000000000004">
      <c r="B156" s="314" t="s">
        <v>453</v>
      </c>
      <c r="C156" s="396">
        <v>7</v>
      </c>
      <c r="D156" s="396">
        <v>7</v>
      </c>
      <c r="E156" s="396">
        <v>7</v>
      </c>
      <c r="F156" s="218"/>
      <c r="G156" s="218"/>
      <c r="H156" s="218"/>
      <c r="I156" s="162" cm="1">
        <f t="array" ref="I156">SUMPRODUCT(($AI$2:$KV$2&lt;&gt;"")*($AI156:$KV156&lt;&gt;""))</f>
        <v>2</v>
      </c>
      <c r="J156" s="142">
        <f t="shared" si="43"/>
        <v>14</v>
      </c>
      <c r="K156" s="142">
        <f t="shared" si="44"/>
        <v>196</v>
      </c>
      <c r="L156" s="268">
        <f t="shared" si="49"/>
        <v>7000</v>
      </c>
      <c r="M156" s="164">
        <f t="shared" si="45"/>
        <v>18032</v>
      </c>
      <c r="N156" s="397"/>
      <c r="O156" s="165">
        <f t="shared" si="46"/>
        <v>0</v>
      </c>
      <c r="P156" s="165"/>
      <c r="Q156" s="165"/>
      <c r="R156" s="165">
        <f>(IFERROR(AM156/AN156,0)+IFERROR(AU156/AV156,0)+IFERROR(AY156/AZ156,0)+IFERROR(BC156/BD156,0)+IFERROR(BG156/BH156,0)+IFERROR(BK156/BL156,0)+IFERROR(BO156/BP156,0)+IFERROR(BS156/BT156,0)+IFERROR(BW156/BX156,0)+IFERROR(CA156/CB156,0)+IFERROR(CE156/CF156,0)+IFERROR(CI156/CJ156,0)+IFERROR(CM156/CN156,0)+IFERROR(CQ156/CR156,0)+IFERROR(CU156/CV156,0)+IFERROR(CY156/CZ156,0)+IFERROR(DC156/DD156,0)+IFERROR(DG156/DH156,0)+IFERROR(DS156/DT156,0)+IFERROR(DW156/DX156,0)+IFERROR(EA156/EB156,0)+IFERROR(EE156/EF156,0)+IFERROR(EI156/EJ156,0)+IFERROR(EM156/EN156,0)+IFERROR(EQ156/ER156,0)+IFERROR(EU156/EV156,0)+IFERROR(#REF!/#REF!,0)+IFERROR(#REF!/#REF!,0)+IFERROR(FJ156/FK156,0)+IFERROR(FN156/FO156,0)+IFERROR(#REF!/#REF!,0)+IFERROR(#REF!/#REF!,0)+IFERROR(HF156/HG156,0)+IFERROR(#REF!/#REF!,0)+IFERROR(HJ156/HK156,0)+IFERROR(HN156/HO156,0)+IFERROR(HZ156/IA156,0)+IFERROR(ID156/IE156,0)+IFERROR(IH156/II156,0)+IFERROR(IL156/IM156,0)+IFERROR(IX156/IY156,0)+IFERROR(JB156/JC156,0)+IFERROR(JF156/JG156,0)+IFERROR(JI156/JJ156,0)+IFERROR(JL156/JM156,0)+IFERROR(JO156/JP156,0))*L156*(C156+D156+E156+I156)</f>
        <v>0</v>
      </c>
      <c r="S156" s="165"/>
      <c r="T156" s="165">
        <f t="shared" si="55"/>
        <v>0</v>
      </c>
      <c r="U156" s="165"/>
      <c r="V156" s="165"/>
      <c r="W156" s="165"/>
      <c r="X156" s="165">
        <f>(IFERROR(FF156/FG156,0)+IFERROR(FC156/FD156,0)+IFERROR(#REF!/#REF!,0)+IFERROR(KP156/KQ156,0))*L156*(C156+D156+E156+I156)</f>
        <v>0</v>
      </c>
      <c r="Y156" s="484"/>
      <c r="Z156" s="484"/>
      <c r="AA156" s="484"/>
      <c r="AB156" s="484"/>
      <c r="AC156" s="150">
        <f t="shared" si="47"/>
        <v>0</v>
      </c>
      <c r="AD156" s="150"/>
      <c r="AE156" s="150">
        <f t="shared" si="56"/>
        <v>0</v>
      </c>
      <c r="AF156" s="161"/>
      <c r="AG156" s="143"/>
      <c r="AH156" s="154"/>
      <c r="AI156" s="342">
        <v>28</v>
      </c>
      <c r="AJ156" s="342">
        <v>250</v>
      </c>
      <c r="AK156" s="342"/>
      <c r="AL156" s="343" t="s">
        <v>545</v>
      </c>
      <c r="AM156" s="140"/>
      <c r="AN156" s="154"/>
      <c r="AO156" s="154"/>
      <c r="AP156" s="220"/>
      <c r="AQ156" s="145"/>
      <c r="AR156" s="154"/>
      <c r="AS156" s="154"/>
      <c r="AT156" s="220"/>
      <c r="AU156" s="140"/>
      <c r="AV156" s="277"/>
      <c r="AW156" s="277"/>
      <c r="AX156" s="277"/>
      <c r="AY156" s="140"/>
      <c r="AZ156" s="277"/>
      <c r="BA156" s="277"/>
      <c r="BB156" s="277"/>
      <c r="BC156" s="140"/>
      <c r="BD156" s="277"/>
      <c r="BE156" s="277"/>
      <c r="BF156" s="277"/>
      <c r="BG156" s="140"/>
      <c r="BH156" s="277"/>
      <c r="BI156" s="277"/>
      <c r="BJ156" s="277"/>
      <c r="BK156" s="140"/>
      <c r="BL156" s="277"/>
      <c r="BM156" s="277"/>
      <c r="BN156" s="277"/>
      <c r="BO156" s="140"/>
      <c r="BP156" s="277"/>
      <c r="BQ156" s="277"/>
      <c r="BR156" s="277"/>
      <c r="BS156" s="140"/>
      <c r="BT156" s="277"/>
      <c r="BU156" s="277"/>
      <c r="BV156" s="277"/>
      <c r="BW156" s="140"/>
      <c r="BX156" s="154"/>
      <c r="BY156" s="154"/>
      <c r="BZ156" s="220"/>
      <c r="CA156" s="140"/>
      <c r="CB156" s="154"/>
      <c r="CC156" s="154"/>
      <c r="CD156" s="220"/>
      <c r="CE156" s="140"/>
      <c r="CF156" s="271"/>
      <c r="CG156" s="271"/>
      <c r="CH156" s="271"/>
      <c r="CI156" s="140"/>
      <c r="CJ156" s="154"/>
      <c r="CK156" s="154"/>
      <c r="CL156" s="154"/>
      <c r="CM156" s="140"/>
      <c r="CN156" s="271"/>
      <c r="CO156" s="271"/>
      <c r="CP156" s="271"/>
      <c r="CQ156" s="140"/>
      <c r="CR156" s="154"/>
      <c r="CS156" s="154"/>
      <c r="CT156" s="154"/>
      <c r="CU156" s="140"/>
      <c r="CV156" s="154"/>
      <c r="CW156" s="154"/>
      <c r="CX156" s="220"/>
      <c r="CY156" s="140"/>
      <c r="CZ156" s="154"/>
      <c r="DA156" s="154"/>
      <c r="DB156" s="220"/>
      <c r="DC156" s="140"/>
      <c r="DD156" s="146"/>
      <c r="DE156" s="146"/>
      <c r="DF156" s="146"/>
      <c r="DG156" s="140"/>
      <c r="DH156" s="146"/>
      <c r="DI156" s="146"/>
      <c r="DJ156" s="146"/>
      <c r="DK156" s="146"/>
      <c r="DL156" s="146"/>
      <c r="DM156" s="146"/>
      <c r="DN156" s="146"/>
      <c r="DO156" s="146"/>
      <c r="DP156" s="146"/>
      <c r="DQ156" s="146"/>
      <c r="DR156" s="146"/>
      <c r="DS156" s="140"/>
      <c r="DT156" s="154"/>
      <c r="DU156" s="154"/>
      <c r="DV156" s="154"/>
      <c r="DW156" s="140"/>
      <c r="DX156" s="220"/>
      <c r="DY156" s="220"/>
      <c r="DZ156" s="220"/>
      <c r="EA156" s="140"/>
      <c r="EB156" s="220"/>
      <c r="EC156" s="220"/>
      <c r="ED156" s="220"/>
      <c r="EE156" s="140"/>
      <c r="EF156" s="154"/>
      <c r="EG156" s="154"/>
      <c r="EH156" s="154"/>
      <c r="EI156" s="140"/>
      <c r="EJ156" s="154"/>
      <c r="EK156" s="154"/>
      <c r="EL156" s="154"/>
      <c r="EM156" s="140"/>
      <c r="EN156" s="222"/>
      <c r="EO156" s="222"/>
      <c r="EP156" s="222"/>
      <c r="EQ156" s="140"/>
      <c r="ER156" s="222"/>
      <c r="ES156" s="222"/>
      <c r="ET156" s="222"/>
      <c r="EU156" s="140"/>
      <c r="EV156" s="222"/>
      <c r="EW156" s="222"/>
      <c r="EX156" s="222"/>
      <c r="EY156" s="344"/>
      <c r="EZ156" s="222"/>
      <c r="FA156" s="222"/>
      <c r="FB156" s="222"/>
      <c r="FC156" s="273"/>
      <c r="FD156" s="223"/>
      <c r="FE156" s="223"/>
      <c r="FF156" s="276"/>
      <c r="FG156" s="156"/>
      <c r="FH156" s="156"/>
      <c r="FI156" s="156"/>
      <c r="FJ156" s="140"/>
      <c r="FK156" s="277"/>
      <c r="FL156" s="277"/>
      <c r="FM156" s="277"/>
      <c r="FN156" s="140"/>
      <c r="FO156" s="277"/>
      <c r="FP156" s="277"/>
      <c r="FQ156" s="277"/>
      <c r="FR156" s="280"/>
      <c r="FS156" s="277"/>
      <c r="FT156" s="277"/>
      <c r="FU156" s="277"/>
      <c r="FV156" s="277"/>
      <c r="FW156" s="277"/>
      <c r="FX156" s="277"/>
      <c r="FY156" s="277"/>
      <c r="FZ156" s="277"/>
      <c r="GA156" s="277"/>
      <c r="GB156" s="277"/>
      <c r="GC156" s="277"/>
      <c r="GD156" s="277"/>
      <c r="GE156" s="277"/>
      <c r="GF156" s="277"/>
      <c r="GG156" s="277"/>
      <c r="GH156" s="277"/>
      <c r="GI156" s="277"/>
      <c r="GJ156" s="277"/>
      <c r="GK156" s="277"/>
      <c r="GL156" s="277"/>
      <c r="GM156" s="277"/>
      <c r="GN156" s="277"/>
      <c r="GO156" s="277"/>
      <c r="GP156" s="277"/>
      <c r="GQ156" s="277"/>
      <c r="GR156" s="277"/>
      <c r="GS156" s="277"/>
      <c r="GT156" s="277"/>
      <c r="GU156" s="277"/>
      <c r="GV156" s="277"/>
      <c r="GW156" s="277"/>
      <c r="GX156" s="277"/>
      <c r="GY156" s="277"/>
      <c r="GZ156" s="277"/>
      <c r="HA156" s="277"/>
      <c r="HB156" s="277"/>
      <c r="HC156" s="277"/>
      <c r="HD156" s="277"/>
      <c r="HE156" s="277"/>
      <c r="HF156" s="140"/>
      <c r="HG156" s="277"/>
      <c r="HH156" s="277"/>
      <c r="HI156" s="277"/>
      <c r="HJ156" s="140"/>
      <c r="HK156" s="277"/>
      <c r="HL156" s="277"/>
      <c r="HM156" s="277"/>
      <c r="HN156" s="140"/>
      <c r="HO156" s="277"/>
      <c r="HP156" s="277"/>
      <c r="HQ156" s="277"/>
      <c r="HR156" s="277"/>
      <c r="HS156" s="277"/>
      <c r="HT156" s="277"/>
      <c r="HU156" s="277"/>
      <c r="HV156" s="277"/>
      <c r="HW156" s="277"/>
      <c r="HX156" s="277"/>
      <c r="HY156" s="277"/>
      <c r="HZ156" s="140"/>
      <c r="IA156" s="277"/>
      <c r="IB156" s="277"/>
      <c r="IC156" s="277"/>
      <c r="ID156" s="140"/>
      <c r="IE156" s="277"/>
      <c r="IF156" s="277"/>
      <c r="IG156" s="277"/>
      <c r="IH156" s="140"/>
      <c r="II156" s="277"/>
      <c r="IJ156" s="277"/>
      <c r="IK156" s="277"/>
      <c r="IL156" s="140"/>
      <c r="IM156" s="277"/>
      <c r="IN156" s="277"/>
      <c r="IO156" s="277"/>
      <c r="IP156" s="277"/>
      <c r="IQ156" s="277"/>
      <c r="IR156" s="277"/>
      <c r="IS156" s="277"/>
      <c r="IT156" s="277"/>
      <c r="IU156" s="277"/>
      <c r="IV156" s="277"/>
      <c r="IW156" s="277"/>
      <c r="IX156" s="140"/>
      <c r="IY156" s="277"/>
      <c r="IZ156" s="277"/>
      <c r="JA156" s="277"/>
      <c r="JB156" s="140"/>
      <c r="JC156" s="277"/>
      <c r="JD156" s="277"/>
      <c r="JE156" s="277"/>
      <c r="JF156" s="140"/>
      <c r="JG156" s="277"/>
      <c r="JH156" s="277"/>
      <c r="JI156" s="140"/>
      <c r="JJ156" s="277"/>
      <c r="JK156" s="277"/>
      <c r="JL156" s="140"/>
      <c r="JM156" s="277"/>
      <c r="JN156" s="277"/>
      <c r="JO156" s="140"/>
      <c r="JP156" s="277"/>
      <c r="JQ156" s="277"/>
      <c r="JR156" s="277"/>
      <c r="JS156" s="277"/>
      <c r="JT156" s="277"/>
      <c r="JU156" s="277"/>
      <c r="JV156" s="277"/>
      <c r="JW156" s="277"/>
      <c r="JX156" s="277"/>
      <c r="JY156" s="277"/>
      <c r="JZ156" s="277"/>
      <c r="KA156" s="277"/>
      <c r="KB156" s="277"/>
      <c r="KC156" s="277"/>
      <c r="KD156" s="277"/>
      <c r="KE156" s="277"/>
      <c r="KF156" s="277"/>
      <c r="KG156" s="277"/>
      <c r="KH156" s="277"/>
      <c r="KI156" s="277"/>
      <c r="KJ156" s="277"/>
      <c r="KK156" s="277"/>
      <c r="KL156" s="277"/>
      <c r="KM156" s="277"/>
      <c r="KN156" s="277"/>
      <c r="KO156" s="277"/>
      <c r="KP156" s="274"/>
      <c r="KQ156" s="253"/>
      <c r="KR156" s="253"/>
      <c r="KS156" s="346">
        <v>40</v>
      </c>
      <c r="KT156" s="346">
        <v>1000</v>
      </c>
      <c r="KU156" s="346" t="s">
        <v>759</v>
      </c>
      <c r="KY156" s="141">
        <f t="shared" si="57"/>
        <v>6440</v>
      </c>
      <c r="KZ156" s="141">
        <f t="shared" si="58"/>
        <v>0</v>
      </c>
      <c r="LB156" s="141">
        <f t="shared" si="59"/>
        <v>1</v>
      </c>
      <c r="LC156" s="141">
        <f t="shared" si="60"/>
        <v>0</v>
      </c>
      <c r="LD156" s="141">
        <f t="shared" si="61"/>
        <v>0</v>
      </c>
      <c r="LE156" s="141" t="e">
        <f>((N(AU156)&gt;0)*(AX156&lt;&gt;"")+(N(AY156)&gt;0)*(BB156&lt;&gt;"")+(N(BC156)&gt;0)*(BF156&lt;&gt;"")+(N(BG156)&gt;0)*(BJ156&lt;&gt;"")+(N(BK156)&gt;0)*(BN156&lt;&gt;"")+(N(BO156)&gt;0)*(BR156&lt;&gt;"")+(N(BS156)&gt;0)*(BV156&lt;&gt;"")+(N(BW156)&gt;0)*(BZ156&lt;&gt;"")+(N(CA156)&gt;0)*(CD156&lt;&gt;"")+(N(CE156)&gt;0)*(CH156&lt;&gt;"")+(N(CI156)&gt;0)*(CL156&lt;&gt;"")+(N(CM156)&gt;0)*(CP156&lt;&gt;"")+(N(CQ156)&gt;0)*(CT156&lt;&gt;"")+(N(CU156)&gt;0)*(CX156&lt;&gt;"")+(N(CY156)&gt;0)*(DB156&lt;&gt;"")+(N(DC156)&gt;0)*(DF156&lt;&gt;"")+(N(DG156)&gt;0)*(DJ156&lt;&gt;"")+(N(DS156)&gt;0)*(DV156&lt;&gt;"")+(N(DW156)&gt;0)*(DZ156&lt;&gt;"")+(N(EA156)&gt;0)*(ED156&lt;&gt;"")+(N(EE156)&gt;0)*(EH156&lt;&gt;"")+(N(EI156)&gt;0)*(EL156&lt;&gt;"")+(N(EM156)&gt;0)*(EP156&lt;&gt;"")+(N(EQ156)&gt;0)*(ET156&lt;&gt;"")+(N(EU156)&gt;0)*(EX156&lt;&gt;"")+(N(#REF!)&gt;0)*(#REF!&lt;&gt;"")+(N(#REF!)&gt;0)*(#REF!&lt;&gt;"")+(N(FJ156)&gt;0)*(FM156&lt;&gt;"")+(N(FN156)&gt;0)*(FQ156&lt;&gt;"")+(N(#REF!)&gt;0)*(#REF!&lt;&gt;"")+(N(#REF!)&gt;0)*(#REF!&lt;&gt;"")+(N(HF156)&gt;0)*(HI156&lt;&gt;"")+(N(#REF!)&gt;0)*(#REF!&lt;&gt;"")+(N(HJ156)&gt;0)*(HM156&lt;&gt;"")+(N(HN156)&gt;0)*(HQ156&lt;&gt;"")+(N(HZ156)&gt;0)*(IC156&lt;&gt;"")+(N(ID156)&gt;0)*(IG156&lt;&gt;"")+(N(IH156)&gt;0)*(IK156&lt;&gt;"")+(N(IL156)&gt;0)*(IO156&lt;&gt;"")+(N(IX156)&gt;0)*(JA156&lt;&gt;"")+(N(JB156)&gt;0)*(JE156&lt;&gt;"")+(N(JF156)&gt;0)*(JH156&lt;&gt;"")+(N(JI156)&gt;0)*(JK156&lt;&gt;"")+(N(JL156)&gt;0)*(JN156&lt;&gt;"")+(N(JO156)&gt;0)*(JQ156&lt;&gt;""))</f>
        <v>#REF!</v>
      </c>
      <c r="LF156" s="141">
        <f t="shared" si="48"/>
        <v>0</v>
      </c>
      <c r="LG156" s="141">
        <f t="shared" si="62"/>
        <v>0</v>
      </c>
    </row>
    <row r="157" spans="2:319" ht="38.25" customHeight="1" x14ac:dyDescent="0.55000000000000004">
      <c r="B157" s="314" t="s">
        <v>454</v>
      </c>
      <c r="C157" s="218"/>
      <c r="D157" s="218"/>
      <c r="E157" s="218"/>
      <c r="F157" s="218"/>
      <c r="G157" s="218"/>
      <c r="H157" s="218"/>
      <c r="I157" s="162" cm="1">
        <f t="array" ref="I157">SUMPRODUCT(($AI$2:$KV$2&lt;&gt;"")*($AI157:$KV157&lt;&gt;""))</f>
        <v>1</v>
      </c>
      <c r="J157" s="142">
        <f t="shared" si="43"/>
        <v>0</v>
      </c>
      <c r="K157" s="142">
        <f t="shared" si="44"/>
        <v>0</v>
      </c>
      <c r="L157" s="268">
        <f t="shared" si="49"/>
        <v>7000</v>
      </c>
      <c r="M157" s="164">
        <f t="shared" si="45"/>
        <v>784</v>
      </c>
      <c r="N157" s="397"/>
      <c r="O157" s="165">
        <f t="shared" si="46"/>
        <v>0</v>
      </c>
      <c r="P157" s="165"/>
      <c r="Q157" s="165"/>
      <c r="R157" s="165">
        <f>(IFERROR(AM157/AN157,0)+IFERROR(AU157/AV157,0)+IFERROR(AY157/AZ157,0)+IFERROR(BC157/BD157,0)+IFERROR(BG157/BH157,0)+IFERROR(BK157/BL157,0)+IFERROR(BO157/BP157,0)+IFERROR(BS157/BT157,0)+IFERROR(BW157/BX157,0)+IFERROR(CA157/CB157,0)+IFERROR(CE157/CF157,0)+IFERROR(CI157/CJ157,0)+IFERROR(CM157/CN157,0)+IFERROR(CQ157/CR157,0)+IFERROR(CU157/CV157,0)+IFERROR(CY157/CZ157,0)+IFERROR(DC157/DD157,0)+IFERROR(DG157/DH157,0)+IFERROR(DS157/DT157,0)+IFERROR(DW157/DX157,0)+IFERROR(EA157/EB157,0)+IFERROR(EE157/EF157,0)+IFERROR(EI157/EJ157,0)+IFERROR(EM157/EN157,0)+IFERROR(EQ157/ER157,0)+IFERROR(EU157/EV157,0)+IFERROR(#REF!/#REF!,0)+IFERROR(#REF!/#REF!,0)+IFERROR(FJ157/FK157,0)+IFERROR(FN157/FO157,0)+IFERROR(#REF!/#REF!,0)+IFERROR(#REF!/#REF!,0)+IFERROR(HF157/HG157,0)+IFERROR(#REF!/#REF!,0)+IFERROR(HJ157/HK157,0)+IFERROR(HN157/HO157,0)+IFERROR(HZ157/IA157,0)+IFERROR(ID157/IE157,0)+IFERROR(IH157/II157,0)+IFERROR(IL157/IM157,0)+IFERROR(IX157/IY157,0)+IFERROR(JB157/JC157,0)+IFERROR(JF157/JG157,0)+IFERROR(JI157/JJ157,0)+IFERROR(JL157/JM157,0)+IFERROR(JO157/JP157,0))*L157*(C157+D157+E157+I157)</f>
        <v>0</v>
      </c>
      <c r="S157" s="165"/>
      <c r="T157" s="165">
        <f t="shared" si="55"/>
        <v>0</v>
      </c>
      <c r="U157" s="165"/>
      <c r="V157" s="165"/>
      <c r="W157" s="165"/>
      <c r="X157" s="165">
        <f>(IFERROR(FF157/FG157,0)+IFERROR(FC157/FD157,0)+IFERROR(#REF!/#REF!,0)+IFERROR(KP157/KQ157,0))*L157*(C157+D157+E157+I157)</f>
        <v>0</v>
      </c>
      <c r="Y157" s="484"/>
      <c r="Z157" s="484"/>
      <c r="AA157" s="484"/>
      <c r="AB157" s="484"/>
      <c r="AC157" s="150">
        <f t="shared" si="47"/>
        <v>0</v>
      </c>
      <c r="AD157" s="150"/>
      <c r="AE157" s="150">
        <f t="shared" si="56"/>
        <v>0</v>
      </c>
      <c r="AF157" s="161"/>
      <c r="AG157" s="143"/>
      <c r="AH157" s="154"/>
      <c r="AI157" s="342">
        <v>28</v>
      </c>
      <c r="AJ157" s="342">
        <v>250</v>
      </c>
      <c r="AK157" s="342"/>
      <c r="AL157" s="343" t="s">
        <v>545</v>
      </c>
      <c r="AM157" s="140"/>
      <c r="AN157" s="154"/>
      <c r="AO157" s="154"/>
      <c r="AP157" s="220"/>
      <c r="AQ157" s="145"/>
      <c r="AR157" s="154"/>
      <c r="AS157" s="154"/>
      <c r="AT157" s="220"/>
      <c r="AU157" s="140"/>
      <c r="AV157" s="277"/>
      <c r="AW157" s="277"/>
      <c r="AX157" s="277"/>
      <c r="AY157" s="140"/>
      <c r="AZ157" s="277"/>
      <c r="BA157" s="277"/>
      <c r="BB157" s="277"/>
      <c r="BC157" s="140"/>
      <c r="BD157" s="277"/>
      <c r="BE157" s="277"/>
      <c r="BF157" s="277"/>
      <c r="BG157" s="140"/>
      <c r="BH157" s="277"/>
      <c r="BI157" s="277"/>
      <c r="BJ157" s="277"/>
      <c r="BK157" s="140"/>
      <c r="BL157" s="277"/>
      <c r="BM157" s="277"/>
      <c r="BN157" s="277"/>
      <c r="BO157" s="140"/>
      <c r="BP157" s="277"/>
      <c r="BQ157" s="277"/>
      <c r="BR157" s="277"/>
      <c r="BS157" s="140"/>
      <c r="BT157" s="277"/>
      <c r="BU157" s="277"/>
      <c r="BV157" s="277"/>
      <c r="BW157" s="140"/>
      <c r="BX157" s="154"/>
      <c r="BY157" s="154"/>
      <c r="BZ157" s="220"/>
      <c r="CA157" s="140"/>
      <c r="CB157" s="154"/>
      <c r="CC157" s="154"/>
      <c r="CD157" s="220"/>
      <c r="CE157" s="140"/>
      <c r="CF157" s="271"/>
      <c r="CG157" s="271"/>
      <c r="CH157" s="271"/>
      <c r="CI157" s="140"/>
      <c r="CJ157" s="154"/>
      <c r="CK157" s="154"/>
      <c r="CL157" s="154"/>
      <c r="CM157" s="140"/>
      <c r="CN157" s="271"/>
      <c r="CO157" s="271"/>
      <c r="CP157" s="271"/>
      <c r="CQ157" s="140"/>
      <c r="CR157" s="154"/>
      <c r="CS157" s="154"/>
      <c r="CT157" s="154"/>
      <c r="CU157" s="140"/>
      <c r="CV157" s="154"/>
      <c r="CW157" s="154"/>
      <c r="CX157" s="220"/>
      <c r="CY157" s="140"/>
      <c r="CZ157" s="154"/>
      <c r="DA157" s="154"/>
      <c r="DB157" s="220"/>
      <c r="DC157" s="140"/>
      <c r="DD157" s="146"/>
      <c r="DE157" s="146"/>
      <c r="DF157" s="146"/>
      <c r="DG157" s="140"/>
      <c r="DH157" s="146"/>
      <c r="DI157" s="146"/>
      <c r="DJ157" s="146"/>
      <c r="DK157" s="146"/>
      <c r="DL157" s="146"/>
      <c r="DM157" s="146"/>
      <c r="DN157" s="146"/>
      <c r="DO157" s="146"/>
      <c r="DP157" s="146"/>
      <c r="DQ157" s="146"/>
      <c r="DR157" s="146"/>
      <c r="DS157" s="140"/>
      <c r="DT157" s="154"/>
      <c r="DU157" s="154"/>
      <c r="DV157" s="154"/>
      <c r="DW157" s="140"/>
      <c r="DX157" s="220"/>
      <c r="DY157" s="220"/>
      <c r="DZ157" s="220"/>
      <c r="EA157" s="140"/>
      <c r="EB157" s="220"/>
      <c r="EC157" s="220"/>
      <c r="ED157" s="220"/>
      <c r="EE157" s="140"/>
      <c r="EF157" s="154"/>
      <c r="EG157" s="154"/>
      <c r="EH157" s="154"/>
      <c r="EI157" s="140"/>
      <c r="EJ157" s="154"/>
      <c r="EK157" s="154"/>
      <c r="EL157" s="154"/>
      <c r="EM157" s="140"/>
      <c r="EN157" s="222"/>
      <c r="EO157" s="222"/>
      <c r="EP157" s="222"/>
      <c r="EQ157" s="140"/>
      <c r="ER157" s="222"/>
      <c r="ES157" s="222"/>
      <c r="ET157" s="222"/>
      <c r="EU157" s="140"/>
      <c r="EV157" s="222"/>
      <c r="EW157" s="222"/>
      <c r="EX157" s="222"/>
      <c r="EY157" s="344"/>
      <c r="EZ157" s="222"/>
      <c r="FA157" s="222"/>
      <c r="FB157" s="222"/>
      <c r="FC157" s="273"/>
      <c r="FD157" s="223"/>
      <c r="FE157" s="223"/>
      <c r="FF157" s="276"/>
      <c r="FG157" s="156"/>
      <c r="FH157" s="156"/>
      <c r="FI157" s="156"/>
      <c r="FJ157" s="140"/>
      <c r="FK157" s="277"/>
      <c r="FL157" s="277"/>
      <c r="FM157" s="277"/>
      <c r="FN157" s="140"/>
      <c r="FO157" s="277"/>
      <c r="FP157" s="277"/>
      <c r="FQ157" s="277"/>
      <c r="FR157" s="280"/>
      <c r="FS157" s="277"/>
      <c r="FT157" s="277"/>
      <c r="FU157" s="277"/>
      <c r="FV157" s="277"/>
      <c r="FW157" s="277"/>
      <c r="FX157" s="277"/>
      <c r="FY157" s="277"/>
      <c r="FZ157" s="277"/>
      <c r="GA157" s="277"/>
      <c r="GB157" s="277"/>
      <c r="GC157" s="277"/>
      <c r="GD157" s="277"/>
      <c r="GE157" s="277"/>
      <c r="GF157" s="277"/>
      <c r="GG157" s="277"/>
      <c r="GH157" s="277"/>
      <c r="GI157" s="277"/>
      <c r="GJ157" s="277"/>
      <c r="GK157" s="277"/>
      <c r="GL157" s="277"/>
      <c r="GM157" s="277"/>
      <c r="GN157" s="277"/>
      <c r="GO157" s="277"/>
      <c r="GP157" s="277"/>
      <c r="GQ157" s="277"/>
      <c r="GR157" s="277"/>
      <c r="GS157" s="277"/>
      <c r="GT157" s="277"/>
      <c r="GU157" s="277"/>
      <c r="GV157" s="277"/>
      <c r="GW157" s="277"/>
      <c r="GX157" s="277"/>
      <c r="GY157" s="277"/>
      <c r="GZ157" s="277"/>
      <c r="HA157" s="277"/>
      <c r="HB157" s="277"/>
      <c r="HC157" s="277"/>
      <c r="HD157" s="277"/>
      <c r="HE157" s="277"/>
      <c r="HF157" s="140"/>
      <c r="HG157" s="277"/>
      <c r="HH157" s="277"/>
      <c r="HI157" s="277"/>
      <c r="HJ157" s="140"/>
      <c r="HK157" s="277"/>
      <c r="HL157" s="277"/>
      <c r="HM157" s="277"/>
      <c r="HN157" s="140"/>
      <c r="HO157" s="277"/>
      <c r="HP157" s="277"/>
      <c r="HQ157" s="277"/>
      <c r="HR157" s="277"/>
      <c r="HS157" s="277"/>
      <c r="HT157" s="277"/>
      <c r="HU157" s="277"/>
      <c r="HV157" s="277"/>
      <c r="HW157" s="277"/>
      <c r="HX157" s="277"/>
      <c r="HY157" s="277"/>
      <c r="HZ157" s="140"/>
      <c r="IA157" s="277"/>
      <c r="IB157" s="277"/>
      <c r="IC157" s="277"/>
      <c r="ID157" s="140"/>
      <c r="IE157" s="277"/>
      <c r="IF157" s="277"/>
      <c r="IG157" s="277"/>
      <c r="IH157" s="140"/>
      <c r="II157" s="277"/>
      <c r="IJ157" s="277"/>
      <c r="IK157" s="277"/>
      <c r="IL157" s="140"/>
      <c r="IM157" s="277"/>
      <c r="IN157" s="277"/>
      <c r="IO157" s="277"/>
      <c r="IP157" s="277"/>
      <c r="IQ157" s="277"/>
      <c r="IR157" s="277"/>
      <c r="IS157" s="277"/>
      <c r="IT157" s="277"/>
      <c r="IU157" s="277"/>
      <c r="IV157" s="277"/>
      <c r="IW157" s="277"/>
      <c r="IX157" s="140"/>
      <c r="IY157" s="277"/>
      <c r="IZ157" s="277"/>
      <c r="JA157" s="277"/>
      <c r="JB157" s="140"/>
      <c r="JC157" s="277"/>
      <c r="JD157" s="277"/>
      <c r="JE157" s="277"/>
      <c r="JF157" s="140"/>
      <c r="JG157" s="277"/>
      <c r="JH157" s="277"/>
      <c r="JI157" s="140"/>
      <c r="JJ157" s="277"/>
      <c r="JK157" s="277"/>
      <c r="JL157" s="140"/>
      <c r="JM157" s="277"/>
      <c r="JN157" s="277"/>
      <c r="JO157" s="140"/>
      <c r="JP157" s="277"/>
      <c r="JQ157" s="277"/>
      <c r="JR157" s="277"/>
      <c r="JS157" s="277"/>
      <c r="JT157" s="277"/>
      <c r="JU157" s="277"/>
      <c r="JV157" s="277"/>
      <c r="JW157" s="277"/>
      <c r="JX157" s="277"/>
      <c r="JY157" s="277"/>
      <c r="JZ157" s="277"/>
      <c r="KA157" s="277"/>
      <c r="KB157" s="277"/>
      <c r="KC157" s="277"/>
      <c r="KD157" s="277"/>
      <c r="KE157" s="277"/>
      <c r="KF157" s="277"/>
      <c r="KG157" s="277"/>
      <c r="KH157" s="277"/>
      <c r="KI157" s="277"/>
      <c r="KJ157" s="277"/>
      <c r="KK157" s="277"/>
      <c r="KL157" s="277"/>
      <c r="KM157" s="277"/>
      <c r="KN157" s="277"/>
      <c r="KO157" s="277"/>
      <c r="KP157" s="274"/>
      <c r="KQ157" s="253"/>
      <c r="KR157" s="253"/>
      <c r="KY157" s="141">
        <f t="shared" si="57"/>
        <v>0</v>
      </c>
      <c r="KZ157" s="141">
        <f t="shared" si="58"/>
        <v>0</v>
      </c>
      <c r="LB157" s="141">
        <f t="shared" si="59"/>
        <v>1</v>
      </c>
      <c r="LC157" s="141">
        <f t="shared" si="60"/>
        <v>0</v>
      </c>
      <c r="LD157" s="141">
        <f t="shared" si="61"/>
        <v>0</v>
      </c>
      <c r="LE157" s="141" t="e">
        <f>((N(AU157)&gt;0)*(AX157&lt;&gt;"")+(N(AY157)&gt;0)*(BB157&lt;&gt;"")+(N(BC157)&gt;0)*(BF157&lt;&gt;"")+(N(BG157)&gt;0)*(BJ157&lt;&gt;"")+(N(BK157)&gt;0)*(BN157&lt;&gt;"")+(N(BO157)&gt;0)*(BR157&lt;&gt;"")+(N(BS157)&gt;0)*(BV157&lt;&gt;"")+(N(BW157)&gt;0)*(BZ157&lt;&gt;"")+(N(CA157)&gt;0)*(CD157&lt;&gt;"")+(N(CE157)&gt;0)*(CH157&lt;&gt;"")+(N(CI157)&gt;0)*(CL157&lt;&gt;"")+(N(CM157)&gt;0)*(CP157&lt;&gt;"")+(N(CQ157)&gt;0)*(CT157&lt;&gt;"")+(N(CU157)&gt;0)*(CX157&lt;&gt;"")+(N(CY157)&gt;0)*(DB157&lt;&gt;"")+(N(DC157)&gt;0)*(DF157&lt;&gt;"")+(N(DG157)&gt;0)*(DJ157&lt;&gt;"")+(N(DS157)&gt;0)*(DV157&lt;&gt;"")+(N(DW157)&gt;0)*(DZ157&lt;&gt;"")+(N(EA157)&gt;0)*(ED157&lt;&gt;"")+(N(EE157)&gt;0)*(EH157&lt;&gt;"")+(N(EI157)&gt;0)*(EL157&lt;&gt;"")+(N(EM157)&gt;0)*(EP157&lt;&gt;"")+(N(EQ157)&gt;0)*(ET157&lt;&gt;"")+(N(EU157)&gt;0)*(EX157&lt;&gt;"")+(N(#REF!)&gt;0)*(#REF!&lt;&gt;"")+(N(#REF!)&gt;0)*(#REF!&lt;&gt;"")+(N(FJ157)&gt;0)*(FM157&lt;&gt;"")+(N(FN157)&gt;0)*(FQ157&lt;&gt;"")+(N(#REF!)&gt;0)*(#REF!&lt;&gt;"")+(N(#REF!)&gt;0)*(#REF!&lt;&gt;"")+(N(HF157)&gt;0)*(HI157&lt;&gt;"")+(N(#REF!)&gt;0)*(#REF!&lt;&gt;"")+(N(HJ157)&gt;0)*(HM157&lt;&gt;"")+(N(HN157)&gt;0)*(HQ157&lt;&gt;"")+(N(HZ157)&gt;0)*(IC157&lt;&gt;"")+(N(ID157)&gt;0)*(IG157&lt;&gt;"")+(N(IH157)&gt;0)*(IK157&lt;&gt;"")+(N(IL157)&gt;0)*(IO157&lt;&gt;"")+(N(IX157)&gt;0)*(JA157&lt;&gt;"")+(N(JB157)&gt;0)*(JE157&lt;&gt;"")+(N(JF157)&gt;0)*(JH157&lt;&gt;"")+(N(JI157)&gt;0)*(JK157&lt;&gt;"")+(N(JL157)&gt;0)*(JN157&lt;&gt;"")+(N(JO157)&gt;0)*(JQ157&lt;&gt;""))</f>
        <v>#REF!</v>
      </c>
      <c r="LF157" s="141">
        <f t="shared" si="48"/>
        <v>0</v>
      </c>
      <c r="LG157" s="141">
        <f t="shared" si="62"/>
        <v>0</v>
      </c>
    </row>
    <row r="158" spans="2:319" ht="38.25" customHeight="1" x14ac:dyDescent="0.55000000000000004">
      <c r="B158" s="314" t="s">
        <v>456</v>
      </c>
      <c r="C158" s="396">
        <v>4</v>
      </c>
      <c r="D158" s="396">
        <v>4</v>
      </c>
      <c r="E158" s="396">
        <v>4</v>
      </c>
      <c r="F158" s="218"/>
      <c r="G158" s="218"/>
      <c r="H158" s="218"/>
      <c r="I158" s="162" cm="1">
        <f t="array" ref="I158">SUMPRODUCT(($AI$2:$KV$2&lt;&gt;"")*($AI158:$KV158&lt;&gt;""))</f>
        <v>1</v>
      </c>
      <c r="J158" s="142">
        <f>I158*C158</f>
        <v>4</v>
      </c>
      <c r="K158" s="142">
        <f t="shared" si="44"/>
        <v>56</v>
      </c>
      <c r="L158" s="268">
        <f t="shared" si="49"/>
        <v>7000</v>
      </c>
      <c r="M158" s="164">
        <f>IFERROR(IF(N(AJ158)=0,0,(AI158/AJ158)*L158*(C158+D158+E158+I158)),0)</f>
        <v>10192</v>
      </c>
      <c r="N158" s="397"/>
      <c r="O158" s="165">
        <f>IFERROR(IF(N(AR158)=0,0,(AQ158/AR158)*L158*(C158+D158+E158+I158)),0)</f>
        <v>0</v>
      </c>
      <c r="P158" s="165"/>
      <c r="Q158" s="165"/>
      <c r="R158" s="165">
        <f>(IFERROR(AM158/AN158,0)+IFERROR(AU158/AV158,0)+IFERROR(AY158/AZ158,0)+IFERROR(BC158/BD158,0)+IFERROR(BG158/BH158,0)+IFERROR(BK158/BL158,0)+IFERROR(BO158/BP158,0)+IFERROR(BS158/BT158,0)+IFERROR(BW158/BX158,0)+IFERROR(CA158/CB158,0)+IFERROR(CE158/CF158,0)+IFERROR(CI158/CJ158,0)+IFERROR(CM158/CN158,0)+IFERROR(CQ158/CR158,0)+IFERROR(CU158/CV158,0)+IFERROR(CY158/CZ158,0)+IFERROR(DC158/DD158,0)+IFERROR(DG158/DH158,0)+IFERROR(DS158/DT158,0)+IFERROR(DW158/DX158,0)+IFERROR(EA158/EB158,0)+IFERROR(EE158/EF158,0)+IFERROR(EI158/EJ158,0)+IFERROR(EM158/EN158,0)+IFERROR(EQ158/ER158,0)+IFERROR(EU158/EV158,0)+IFERROR(#REF!/#REF!,0)+IFERROR(#REF!/#REF!,0)+IFERROR(FJ158/FK158,0)+IFERROR(FN158/FO158,0)+IFERROR(#REF!/#REF!,0)+IFERROR(#REF!/#REF!,0)+IFERROR(HF158/HG158,0)+IFERROR(#REF!/#REF!,0)+IFERROR(HJ158/HK158,0)+IFERROR(HN158/HO158,0)+IFERROR(HZ158/IA158,0)+IFERROR(ID158/IE158,0)+IFERROR(IH158/II158,0)+IFERROR(IL158/IM158,0)+IFERROR(IX158/IY158,0)+IFERROR(JB158/JC158,0)+IFERROR(JF158/JG158,0)+IFERROR(JI158/JJ158,0)+IFERROR(JL158/JM158,0)+IFERROR(JO158/JP158,0))*L158*(C158+D158+E158+I158)</f>
        <v>0</v>
      </c>
      <c r="S158" s="165"/>
      <c r="T158" s="165">
        <f t="shared" si="55"/>
        <v>0</v>
      </c>
      <c r="U158" s="165"/>
      <c r="V158" s="165"/>
      <c r="W158" s="165"/>
      <c r="X158" s="165">
        <f>(IFERROR(FF158/FG158,0)+IFERROR(FC158/FD158,0)+IFERROR(#REF!/#REF!,0)+IFERROR(KP158/KQ158,0))*L158*(C158+D158+E158+I158)</f>
        <v>0</v>
      </c>
      <c r="Y158" s="484"/>
      <c r="Z158" s="484"/>
      <c r="AA158" s="484"/>
      <c r="AB158" s="484"/>
      <c r="AC158" s="150">
        <f>IFERROR(IF(N(AH158)=0,0,(AG158/AH158)*L158*(C158+D158+E158+I158)),0)</f>
        <v>0</v>
      </c>
      <c r="AD158" s="150"/>
      <c r="AE158" s="150">
        <f t="shared" si="56"/>
        <v>0</v>
      </c>
      <c r="AF158" s="161"/>
      <c r="AG158" s="143"/>
      <c r="AH158" s="154"/>
      <c r="AI158" s="342">
        <v>28</v>
      </c>
      <c r="AJ158" s="342">
        <v>250</v>
      </c>
      <c r="AK158" s="342"/>
      <c r="AL158" s="343" t="s">
        <v>545</v>
      </c>
      <c r="AM158" s="140"/>
      <c r="AN158" s="154"/>
      <c r="AO158" s="154"/>
      <c r="AP158" s="220"/>
      <c r="AQ158" s="145"/>
      <c r="AR158" s="154"/>
      <c r="AS158" s="154"/>
      <c r="AT158" s="220"/>
      <c r="AU158" s="140"/>
      <c r="AV158" s="277"/>
      <c r="AW158" s="277"/>
      <c r="AX158" s="277"/>
      <c r="AY158" s="140"/>
      <c r="AZ158" s="277"/>
      <c r="BA158" s="277"/>
      <c r="BB158" s="277"/>
      <c r="BC158" s="140"/>
      <c r="BD158" s="277"/>
      <c r="BE158" s="277"/>
      <c r="BF158" s="277"/>
      <c r="BG158" s="140"/>
      <c r="BH158" s="277"/>
      <c r="BI158" s="277"/>
      <c r="BJ158" s="277"/>
      <c r="BK158" s="140"/>
      <c r="BL158" s="277"/>
      <c r="BM158" s="277"/>
      <c r="BN158" s="277"/>
      <c r="BO158" s="140"/>
      <c r="BP158" s="277"/>
      <c r="BQ158" s="277"/>
      <c r="BR158" s="277"/>
      <c r="BS158" s="140"/>
      <c r="BT158" s="277"/>
      <c r="BU158" s="277"/>
      <c r="BV158" s="277"/>
      <c r="BW158" s="140"/>
      <c r="BX158" s="154"/>
      <c r="BY158" s="154"/>
      <c r="BZ158" s="220"/>
      <c r="CA158" s="140"/>
      <c r="CB158" s="154"/>
      <c r="CC158" s="154"/>
      <c r="CD158" s="220"/>
      <c r="CE158" s="140"/>
      <c r="CF158" s="271"/>
      <c r="CG158" s="271"/>
      <c r="CH158" s="271"/>
      <c r="CI158" s="140"/>
      <c r="CJ158" s="154"/>
      <c r="CK158" s="154"/>
      <c r="CL158" s="154"/>
      <c r="CM158" s="140"/>
      <c r="CN158" s="271"/>
      <c r="CO158" s="271"/>
      <c r="CP158" s="271"/>
      <c r="CQ158" s="140"/>
      <c r="CR158" s="154"/>
      <c r="CS158" s="154"/>
      <c r="CT158" s="154"/>
      <c r="CU158" s="140"/>
      <c r="CV158" s="154"/>
      <c r="CW158" s="154"/>
      <c r="CX158" s="220"/>
      <c r="CY158" s="140"/>
      <c r="CZ158" s="154"/>
      <c r="DA158" s="154"/>
      <c r="DB158" s="220"/>
      <c r="DC158" s="140"/>
      <c r="DD158" s="146"/>
      <c r="DE158" s="146"/>
      <c r="DF158" s="146"/>
      <c r="DG158" s="140"/>
      <c r="DH158" s="146"/>
      <c r="DI158" s="146"/>
      <c r="DJ158" s="146"/>
      <c r="DK158" s="146"/>
      <c r="DL158" s="146"/>
      <c r="DM158" s="146"/>
      <c r="DN158" s="146"/>
      <c r="DO158" s="146"/>
      <c r="DP158" s="146"/>
      <c r="DQ158" s="146"/>
      <c r="DR158" s="146"/>
      <c r="DS158" s="140"/>
      <c r="DT158" s="154"/>
      <c r="DU158" s="154"/>
      <c r="DV158" s="154"/>
      <c r="DW158" s="140"/>
      <c r="DX158" s="220"/>
      <c r="DY158" s="220"/>
      <c r="DZ158" s="220"/>
      <c r="EA158" s="140"/>
      <c r="EB158" s="220"/>
      <c r="EC158" s="220"/>
      <c r="ED158" s="220"/>
      <c r="EE158" s="140"/>
      <c r="EF158" s="154"/>
      <c r="EG158" s="154"/>
      <c r="EH158" s="154"/>
      <c r="EI158" s="140"/>
      <c r="EJ158" s="154"/>
      <c r="EK158" s="154"/>
      <c r="EL158" s="154"/>
      <c r="EM158" s="140"/>
      <c r="EN158" s="222"/>
      <c r="EO158" s="222"/>
      <c r="EP158" s="222"/>
      <c r="EQ158" s="140"/>
      <c r="ER158" s="222"/>
      <c r="ES158" s="222"/>
      <c r="ET158" s="222"/>
      <c r="EU158" s="140"/>
      <c r="EV158" s="222"/>
      <c r="EW158" s="222"/>
      <c r="EX158" s="222"/>
      <c r="EY158" s="344"/>
      <c r="EZ158" s="222"/>
      <c r="FA158" s="222"/>
      <c r="FB158" s="222"/>
      <c r="FC158" s="273"/>
      <c r="FD158" s="223"/>
      <c r="FE158" s="223"/>
      <c r="FF158" s="276"/>
      <c r="FG158" s="156"/>
      <c r="FH158" s="156"/>
      <c r="FI158" s="156"/>
      <c r="FJ158" s="140"/>
      <c r="FK158" s="277"/>
      <c r="FL158" s="277"/>
      <c r="FM158" s="277"/>
      <c r="FN158" s="140"/>
      <c r="FO158" s="277"/>
      <c r="FP158" s="277"/>
      <c r="FQ158" s="277"/>
      <c r="FR158" s="280"/>
      <c r="FS158" s="277"/>
      <c r="FT158" s="277"/>
      <c r="FU158" s="277"/>
      <c r="FV158" s="277"/>
      <c r="FW158" s="277"/>
      <c r="FX158" s="277"/>
      <c r="FY158" s="277"/>
      <c r="FZ158" s="277"/>
      <c r="GA158" s="277"/>
      <c r="GB158" s="277"/>
      <c r="GC158" s="277"/>
      <c r="GD158" s="277"/>
      <c r="GE158" s="277"/>
      <c r="GF158" s="277"/>
      <c r="GG158" s="277"/>
      <c r="GH158" s="277"/>
      <c r="GI158" s="277"/>
      <c r="GJ158" s="277"/>
      <c r="GK158" s="277"/>
      <c r="GL158" s="277"/>
      <c r="GM158" s="277"/>
      <c r="GN158" s="277"/>
      <c r="GO158" s="277"/>
      <c r="GP158" s="277"/>
      <c r="GQ158" s="277"/>
      <c r="GR158" s="277"/>
      <c r="GS158" s="277"/>
      <c r="GT158" s="277"/>
      <c r="GU158" s="277"/>
      <c r="GV158" s="277"/>
      <c r="GW158" s="277"/>
      <c r="GX158" s="277"/>
      <c r="GY158" s="277"/>
      <c r="GZ158" s="277"/>
      <c r="HA158" s="277"/>
      <c r="HB158" s="277"/>
      <c r="HC158" s="277"/>
      <c r="HD158" s="277"/>
      <c r="HE158" s="277"/>
      <c r="HF158" s="140"/>
      <c r="HG158" s="277"/>
      <c r="HH158" s="277"/>
      <c r="HI158" s="277"/>
      <c r="HJ158" s="140"/>
      <c r="HK158" s="277"/>
      <c r="HL158" s="277"/>
      <c r="HM158" s="277"/>
      <c r="HN158" s="140"/>
      <c r="HO158" s="277"/>
      <c r="HP158" s="277"/>
      <c r="HQ158" s="277"/>
      <c r="HR158" s="277"/>
      <c r="HS158" s="277"/>
      <c r="HT158" s="277"/>
      <c r="HU158" s="277"/>
      <c r="HV158" s="277"/>
      <c r="HW158" s="277"/>
      <c r="HX158" s="277"/>
      <c r="HY158" s="277"/>
      <c r="HZ158" s="140"/>
      <c r="IA158" s="277"/>
      <c r="IB158" s="277"/>
      <c r="IC158" s="277"/>
      <c r="ID158" s="140"/>
      <c r="IE158" s="277"/>
      <c r="IF158" s="277"/>
      <c r="IG158" s="277"/>
      <c r="IH158" s="140"/>
      <c r="II158" s="277"/>
      <c r="IJ158" s="277"/>
      <c r="IK158" s="277"/>
      <c r="IL158" s="140"/>
      <c r="IM158" s="277"/>
      <c r="IN158" s="277"/>
      <c r="IO158" s="277"/>
      <c r="IP158" s="277"/>
      <c r="IQ158" s="277"/>
      <c r="IR158" s="277"/>
      <c r="IS158" s="277"/>
      <c r="IT158" s="277"/>
      <c r="IU158" s="277"/>
      <c r="IV158" s="277"/>
      <c r="IW158" s="277"/>
      <c r="IX158" s="140"/>
      <c r="IY158" s="277"/>
      <c r="IZ158" s="277"/>
      <c r="JA158" s="277"/>
      <c r="JB158" s="140"/>
      <c r="JC158" s="277"/>
      <c r="JD158" s="277"/>
      <c r="JE158" s="277"/>
      <c r="JF158" s="140"/>
      <c r="JG158" s="277"/>
      <c r="JH158" s="277"/>
      <c r="JI158" s="140"/>
      <c r="JJ158" s="277"/>
      <c r="JK158" s="277"/>
      <c r="JL158" s="140"/>
      <c r="JM158" s="277"/>
      <c r="JN158" s="277"/>
      <c r="JO158" s="140"/>
      <c r="JP158" s="277"/>
      <c r="JQ158" s="277"/>
      <c r="JR158" s="277"/>
      <c r="JS158" s="277"/>
      <c r="JT158" s="277"/>
      <c r="JU158" s="277"/>
      <c r="JV158" s="277"/>
      <c r="JW158" s="277"/>
      <c r="JX158" s="277"/>
      <c r="JY158" s="277"/>
      <c r="JZ158" s="277"/>
      <c r="KA158" s="277"/>
      <c r="KB158" s="277"/>
      <c r="KC158" s="277"/>
      <c r="KD158" s="277"/>
      <c r="KE158" s="277"/>
      <c r="KF158" s="277"/>
      <c r="KG158" s="277"/>
      <c r="KH158" s="277"/>
      <c r="KI158" s="277"/>
      <c r="KJ158" s="277"/>
      <c r="KK158" s="277"/>
      <c r="KL158" s="277"/>
      <c r="KM158" s="277"/>
      <c r="KN158" s="277"/>
      <c r="KO158" s="277"/>
      <c r="KP158" s="274"/>
      <c r="KQ158" s="253"/>
      <c r="KR158" s="253"/>
      <c r="KY158" s="141">
        <f t="shared" si="57"/>
        <v>0</v>
      </c>
      <c r="KZ158" s="141">
        <f t="shared" si="58"/>
        <v>0</v>
      </c>
      <c r="LB158" s="141">
        <f t="shared" si="59"/>
        <v>1</v>
      </c>
      <c r="LC158" s="141">
        <f t="shared" si="60"/>
        <v>0</v>
      </c>
      <c r="LD158" s="141">
        <f t="shared" si="61"/>
        <v>0</v>
      </c>
      <c r="LE158" s="141" t="e">
        <f>((N(AU158)&gt;0)*(AX158&lt;&gt;"")+(N(AY158)&gt;0)*(BB158&lt;&gt;"")+(N(BC158)&gt;0)*(BF158&lt;&gt;"")+(N(BG158)&gt;0)*(BJ158&lt;&gt;"")+(N(BK158)&gt;0)*(BN158&lt;&gt;"")+(N(BO158)&gt;0)*(BR158&lt;&gt;"")+(N(BS158)&gt;0)*(BV158&lt;&gt;"")+(N(BW158)&gt;0)*(BZ158&lt;&gt;"")+(N(CA158)&gt;0)*(CD158&lt;&gt;"")+(N(CE158)&gt;0)*(CH158&lt;&gt;"")+(N(CI158)&gt;0)*(CL158&lt;&gt;"")+(N(CM158)&gt;0)*(CP158&lt;&gt;"")+(N(CQ158)&gt;0)*(CT158&lt;&gt;"")+(N(CU158)&gt;0)*(CX158&lt;&gt;"")+(N(CY158)&gt;0)*(DB158&lt;&gt;"")+(N(DC158)&gt;0)*(DF158&lt;&gt;"")+(N(DG158)&gt;0)*(DJ158&lt;&gt;"")+(N(DS158)&gt;0)*(DV158&lt;&gt;"")+(N(DW158)&gt;0)*(DZ158&lt;&gt;"")+(N(EA158)&gt;0)*(ED158&lt;&gt;"")+(N(EE158)&gt;0)*(EH158&lt;&gt;"")+(N(EI158)&gt;0)*(EL158&lt;&gt;"")+(N(EM158)&gt;0)*(EP158&lt;&gt;"")+(N(EQ158)&gt;0)*(ET158&lt;&gt;"")+(N(EU158)&gt;0)*(EX158&lt;&gt;"")+(N(#REF!)&gt;0)*(#REF!&lt;&gt;"")+(N(#REF!)&gt;0)*(#REF!&lt;&gt;"")+(N(FJ158)&gt;0)*(FM158&lt;&gt;"")+(N(FN158)&gt;0)*(FQ158&lt;&gt;"")+(N(#REF!)&gt;0)*(#REF!&lt;&gt;"")+(N(#REF!)&gt;0)*(#REF!&lt;&gt;"")+(N(HF158)&gt;0)*(HI158&lt;&gt;"")+(N(#REF!)&gt;0)*(#REF!&lt;&gt;"")+(N(HJ158)&gt;0)*(HM158&lt;&gt;"")+(N(HN158)&gt;0)*(HQ158&lt;&gt;"")+(N(HZ158)&gt;0)*(IC158&lt;&gt;"")+(N(ID158)&gt;0)*(IG158&lt;&gt;"")+(N(IH158)&gt;0)*(IK158&lt;&gt;"")+(N(IL158)&gt;0)*(IO158&lt;&gt;"")+(N(IX158)&gt;0)*(JA158&lt;&gt;"")+(N(JB158)&gt;0)*(JE158&lt;&gt;"")+(N(JF158)&gt;0)*(JH158&lt;&gt;"")+(N(JI158)&gt;0)*(JK158&lt;&gt;"")+(N(JL158)&gt;0)*(JN158&lt;&gt;"")+(N(JO158)&gt;0)*(JQ158&lt;&gt;""))</f>
        <v>#REF!</v>
      </c>
      <c r="LF158" s="141">
        <f t="shared" si="48"/>
        <v>0</v>
      </c>
      <c r="LG158" s="141">
        <f t="shared" si="62"/>
        <v>0</v>
      </c>
    </row>
    <row r="159" spans="2:319" ht="38.25" customHeight="1" x14ac:dyDescent="0.55000000000000004">
      <c r="B159" s="314" t="s">
        <v>455</v>
      </c>
      <c r="C159" s="218"/>
      <c r="D159" s="218"/>
      <c r="E159" s="218"/>
      <c r="F159" s="218"/>
      <c r="G159" s="218"/>
      <c r="H159" s="218"/>
      <c r="I159" s="162" cm="1">
        <f t="array" ref="I159">SUMPRODUCT(($AI$2:$KV$2&lt;&gt;"")*($AI159:$KV159&lt;&gt;""))</f>
        <v>1</v>
      </c>
      <c r="J159" s="142">
        <f t="shared" si="43"/>
        <v>0</v>
      </c>
      <c r="K159" s="142">
        <f t="shared" si="44"/>
        <v>0</v>
      </c>
      <c r="L159" s="268">
        <f t="shared" si="49"/>
        <v>7000</v>
      </c>
      <c r="M159" s="164">
        <f t="shared" si="45"/>
        <v>784</v>
      </c>
      <c r="N159" s="397"/>
      <c r="O159" s="165">
        <f t="shared" si="46"/>
        <v>0</v>
      </c>
      <c r="P159" s="165"/>
      <c r="Q159" s="165"/>
      <c r="R159" s="165">
        <f>(IFERROR(AM159/AN159,0)+IFERROR(AU159/AV159,0)+IFERROR(AY159/AZ159,0)+IFERROR(BC159/BD159,0)+IFERROR(BG159/BH159,0)+IFERROR(BK159/BL159,0)+IFERROR(BO159/BP159,0)+IFERROR(BS159/BT159,0)+IFERROR(BW159/BX159,0)+IFERROR(CA159/CB159,0)+IFERROR(CE159/CF159,0)+IFERROR(CI159/CJ159,0)+IFERROR(CM159/CN159,0)+IFERROR(CQ159/CR159,0)+IFERROR(CU159/CV159,0)+IFERROR(CY159/CZ159,0)+IFERROR(DC159/DD159,0)+IFERROR(DG159/DH159,0)+IFERROR(DS159/DT159,0)+IFERROR(DW159/DX159,0)+IFERROR(EA159/EB159,0)+IFERROR(EE159/EF159,0)+IFERROR(EI159/EJ159,0)+IFERROR(EM159/EN159,0)+IFERROR(EQ159/ER159,0)+IFERROR(EU159/EV159,0)+IFERROR(#REF!/#REF!,0)+IFERROR(#REF!/#REF!,0)+IFERROR(FJ159/FK159,0)+IFERROR(FN159/FO159,0)+IFERROR(#REF!/#REF!,0)+IFERROR(#REF!/#REF!,0)+IFERROR(HF159/HG159,0)+IFERROR(#REF!/#REF!,0)+IFERROR(HJ159/HK159,0)+IFERROR(HN159/HO159,0)+IFERROR(HZ159/IA159,0)+IFERROR(ID159/IE159,0)+IFERROR(IH159/II159,0)+IFERROR(IL159/IM159,0)+IFERROR(IX159/IY159,0)+IFERROR(JB159/JC159,0)+IFERROR(JF159/JG159,0)+IFERROR(JI159/JJ159,0)+IFERROR(JL159/JM159,0)+IFERROR(JO159/JP159,0))*L159*(C159+D159+E159+I159)</f>
        <v>0</v>
      </c>
      <c r="S159" s="165"/>
      <c r="T159" s="165">
        <f t="shared" ref="T159:T187" si="63">IFERROR(IF(N(FS159)=0,0,(FR159/FS159)*L159*(C159+D159+E159+I159)),0)</f>
        <v>0</v>
      </c>
      <c r="U159" s="165"/>
      <c r="V159" s="165"/>
      <c r="W159" s="165"/>
      <c r="X159" s="165">
        <f>(IFERROR(FF159/FG159,0)+IFERROR(FC159/FD159,0)+IFERROR(#REF!/#REF!,0)+IFERROR(KP159/KQ159,0))*L159*(C159+D159+E159+I159)</f>
        <v>0</v>
      </c>
      <c r="Y159" s="484"/>
      <c r="Z159" s="484"/>
      <c r="AA159" s="484"/>
      <c r="AB159" s="484"/>
      <c r="AC159" s="150">
        <f t="shared" si="47"/>
        <v>0</v>
      </c>
      <c r="AD159" s="150"/>
      <c r="AE159" s="150">
        <f t="shared" ref="AE159:AE187" si="64">IFERROR(IF(N(EZ159)=0,0,(EY159/EZ159)*L159*(C159+D159+E159+I159)),0)</f>
        <v>0</v>
      </c>
      <c r="AF159" s="161"/>
      <c r="AG159" s="143"/>
      <c r="AH159" s="154"/>
      <c r="AI159" s="342">
        <v>28</v>
      </c>
      <c r="AJ159" s="342">
        <v>250</v>
      </c>
      <c r="AK159" s="342"/>
      <c r="AL159" s="343" t="s">
        <v>545</v>
      </c>
      <c r="AM159" s="140"/>
      <c r="AN159" s="154"/>
      <c r="AO159" s="154"/>
      <c r="AP159" s="220"/>
      <c r="AQ159" s="145"/>
      <c r="AR159" s="154"/>
      <c r="AS159" s="154"/>
      <c r="AT159" s="220"/>
      <c r="AU159" s="140"/>
      <c r="AV159" s="277"/>
      <c r="AW159" s="277"/>
      <c r="AX159" s="277"/>
      <c r="AY159" s="140"/>
      <c r="AZ159" s="277"/>
      <c r="BA159" s="277"/>
      <c r="BB159" s="277"/>
      <c r="BC159" s="140"/>
      <c r="BD159" s="277"/>
      <c r="BE159" s="277"/>
      <c r="BF159" s="277"/>
      <c r="BG159" s="140"/>
      <c r="BH159" s="277"/>
      <c r="BI159" s="277"/>
      <c r="BJ159" s="277"/>
      <c r="BK159" s="140"/>
      <c r="BL159" s="277"/>
      <c r="BM159" s="277"/>
      <c r="BN159" s="277"/>
      <c r="BO159" s="140"/>
      <c r="BP159" s="277"/>
      <c r="BQ159" s="277"/>
      <c r="BR159" s="277"/>
      <c r="BS159" s="140"/>
      <c r="BT159" s="277"/>
      <c r="BU159" s="277"/>
      <c r="BV159" s="277"/>
      <c r="BW159" s="140"/>
      <c r="BX159" s="154"/>
      <c r="BY159" s="154"/>
      <c r="BZ159" s="220"/>
      <c r="CA159" s="140"/>
      <c r="CB159" s="154"/>
      <c r="CC159" s="154"/>
      <c r="CD159" s="220"/>
      <c r="CE159" s="140"/>
      <c r="CF159" s="271"/>
      <c r="CG159" s="271"/>
      <c r="CH159" s="271"/>
      <c r="CI159" s="140"/>
      <c r="CJ159" s="154"/>
      <c r="CK159" s="154"/>
      <c r="CL159" s="154"/>
      <c r="CM159" s="140"/>
      <c r="CN159" s="271"/>
      <c r="CO159" s="271"/>
      <c r="CP159" s="271"/>
      <c r="CQ159" s="140"/>
      <c r="CR159" s="154"/>
      <c r="CS159" s="154"/>
      <c r="CT159" s="154"/>
      <c r="CU159" s="140"/>
      <c r="CV159" s="154"/>
      <c r="CW159" s="154"/>
      <c r="CX159" s="220"/>
      <c r="CY159" s="140"/>
      <c r="CZ159" s="154"/>
      <c r="DA159" s="154"/>
      <c r="DB159" s="220"/>
      <c r="DC159" s="140"/>
      <c r="DD159" s="146"/>
      <c r="DE159" s="146"/>
      <c r="DF159" s="146"/>
      <c r="DG159" s="140"/>
      <c r="DH159" s="146"/>
      <c r="DI159" s="146"/>
      <c r="DJ159" s="146"/>
      <c r="DK159" s="146"/>
      <c r="DL159" s="146"/>
      <c r="DM159" s="146"/>
      <c r="DN159" s="146"/>
      <c r="DO159" s="146"/>
      <c r="DP159" s="146"/>
      <c r="DQ159" s="146"/>
      <c r="DR159" s="146"/>
      <c r="DS159" s="140"/>
      <c r="DT159" s="154"/>
      <c r="DU159" s="154"/>
      <c r="DV159" s="154"/>
      <c r="DW159" s="140"/>
      <c r="DX159" s="220"/>
      <c r="DY159" s="220"/>
      <c r="DZ159" s="220"/>
      <c r="EA159" s="140"/>
      <c r="EB159" s="220"/>
      <c r="EC159" s="220"/>
      <c r="ED159" s="220"/>
      <c r="EE159" s="140"/>
      <c r="EF159" s="154"/>
      <c r="EG159" s="154"/>
      <c r="EH159" s="154"/>
      <c r="EI159" s="140"/>
      <c r="EJ159" s="154"/>
      <c r="EK159" s="154"/>
      <c r="EL159" s="154"/>
      <c r="EM159" s="140"/>
      <c r="EN159" s="222"/>
      <c r="EO159" s="222"/>
      <c r="EP159" s="222"/>
      <c r="EQ159" s="140"/>
      <c r="ER159" s="222"/>
      <c r="ES159" s="222"/>
      <c r="ET159" s="222"/>
      <c r="EU159" s="140"/>
      <c r="EV159" s="222"/>
      <c r="EW159" s="222"/>
      <c r="EX159" s="222"/>
      <c r="EY159" s="344"/>
      <c r="EZ159" s="222"/>
      <c r="FA159" s="222"/>
      <c r="FB159" s="222"/>
      <c r="FC159" s="273"/>
      <c r="FD159" s="223"/>
      <c r="FE159" s="223"/>
      <c r="FF159" s="276"/>
      <c r="FG159" s="156"/>
      <c r="FH159" s="156"/>
      <c r="FI159" s="156"/>
      <c r="FJ159" s="140"/>
      <c r="FK159" s="277"/>
      <c r="FL159" s="277"/>
      <c r="FM159" s="277"/>
      <c r="FN159" s="140"/>
      <c r="FO159" s="277"/>
      <c r="FP159" s="277"/>
      <c r="FQ159" s="277"/>
      <c r="FR159" s="280"/>
      <c r="FS159" s="277"/>
      <c r="FT159" s="277"/>
      <c r="FU159" s="277"/>
      <c r="FV159" s="277"/>
      <c r="FW159" s="277"/>
      <c r="FX159" s="277"/>
      <c r="FY159" s="277"/>
      <c r="FZ159" s="277"/>
      <c r="GA159" s="277"/>
      <c r="GB159" s="277"/>
      <c r="GC159" s="277"/>
      <c r="GD159" s="277"/>
      <c r="GE159" s="277"/>
      <c r="GF159" s="277"/>
      <c r="GG159" s="277"/>
      <c r="GH159" s="277"/>
      <c r="GI159" s="277"/>
      <c r="GJ159" s="277"/>
      <c r="GK159" s="277"/>
      <c r="GL159" s="277"/>
      <c r="GM159" s="277"/>
      <c r="GN159" s="277"/>
      <c r="GO159" s="277"/>
      <c r="GP159" s="277"/>
      <c r="GQ159" s="277"/>
      <c r="GR159" s="277"/>
      <c r="GS159" s="277"/>
      <c r="GT159" s="277"/>
      <c r="GU159" s="277"/>
      <c r="GV159" s="277"/>
      <c r="GW159" s="277"/>
      <c r="GX159" s="277"/>
      <c r="GY159" s="277"/>
      <c r="GZ159" s="277"/>
      <c r="HA159" s="277"/>
      <c r="HB159" s="277"/>
      <c r="HC159" s="277"/>
      <c r="HD159" s="277"/>
      <c r="HE159" s="277"/>
      <c r="HF159" s="140"/>
      <c r="HG159" s="277"/>
      <c r="HH159" s="277"/>
      <c r="HI159" s="277"/>
      <c r="HJ159" s="140"/>
      <c r="HK159" s="277"/>
      <c r="HL159" s="277"/>
      <c r="HM159" s="277"/>
      <c r="HN159" s="140"/>
      <c r="HO159" s="277"/>
      <c r="HP159" s="277"/>
      <c r="HQ159" s="277"/>
      <c r="HR159" s="277"/>
      <c r="HS159" s="277"/>
      <c r="HT159" s="277"/>
      <c r="HU159" s="277"/>
      <c r="HV159" s="277"/>
      <c r="HW159" s="277"/>
      <c r="HX159" s="277"/>
      <c r="HY159" s="277"/>
      <c r="HZ159" s="140"/>
      <c r="IA159" s="277"/>
      <c r="IB159" s="277"/>
      <c r="IC159" s="277"/>
      <c r="ID159" s="140"/>
      <c r="IE159" s="277"/>
      <c r="IF159" s="277"/>
      <c r="IG159" s="277"/>
      <c r="IH159" s="140"/>
      <c r="II159" s="277"/>
      <c r="IJ159" s="277"/>
      <c r="IK159" s="277"/>
      <c r="IL159" s="140"/>
      <c r="IM159" s="277"/>
      <c r="IN159" s="277"/>
      <c r="IO159" s="277"/>
      <c r="IP159" s="277"/>
      <c r="IQ159" s="277"/>
      <c r="IR159" s="277"/>
      <c r="IS159" s="277"/>
      <c r="IT159" s="277"/>
      <c r="IU159" s="277"/>
      <c r="IV159" s="277"/>
      <c r="IW159" s="277"/>
      <c r="IX159" s="140"/>
      <c r="IY159" s="277"/>
      <c r="IZ159" s="277"/>
      <c r="JA159" s="277"/>
      <c r="JB159" s="140"/>
      <c r="JC159" s="277"/>
      <c r="JD159" s="277"/>
      <c r="JE159" s="277"/>
      <c r="JF159" s="140"/>
      <c r="JG159" s="277"/>
      <c r="JH159" s="277"/>
      <c r="JI159" s="140"/>
      <c r="JJ159" s="277"/>
      <c r="JK159" s="277"/>
      <c r="JL159" s="140"/>
      <c r="JM159" s="277"/>
      <c r="JN159" s="277"/>
      <c r="JO159" s="140"/>
      <c r="JP159" s="277"/>
      <c r="JQ159" s="277"/>
      <c r="JR159" s="277"/>
      <c r="JS159" s="277"/>
      <c r="JT159" s="277"/>
      <c r="JU159" s="277"/>
      <c r="JV159" s="277"/>
      <c r="JW159" s="277"/>
      <c r="JX159" s="277"/>
      <c r="JY159" s="277"/>
      <c r="JZ159" s="277"/>
      <c r="KA159" s="277"/>
      <c r="KB159" s="277"/>
      <c r="KC159" s="277"/>
      <c r="KD159" s="277"/>
      <c r="KE159" s="277"/>
      <c r="KF159" s="277"/>
      <c r="KG159" s="277"/>
      <c r="KH159" s="277"/>
      <c r="KI159" s="277"/>
      <c r="KJ159" s="277"/>
      <c r="KK159" s="277"/>
      <c r="KL159" s="277"/>
      <c r="KM159" s="277"/>
      <c r="KN159" s="277"/>
      <c r="KO159" s="277"/>
      <c r="KP159" s="274"/>
      <c r="KQ159" s="253"/>
      <c r="KR159" s="253"/>
      <c r="KY159" s="141">
        <f t="shared" ref="KY159:KY186" si="65">IFERROR(IF(N(KT159)=0,0,(KS159/KT159)*L159*(C159+D159+E159+I159)),0)</f>
        <v>0</v>
      </c>
      <c r="KZ159" s="141">
        <f t="shared" ref="KZ159:KZ186" si="66">IFERROR(IF(N(KW159)=0,0,(KV159/KW159)*L159*(C159+D159+E159+I159)),0)</f>
        <v>0</v>
      </c>
      <c r="LB159" s="141">
        <f t="shared" ref="LB159:LB186" si="67">(N(AI159)&gt;0)*(AL159&lt;&gt;"")</f>
        <v>1</v>
      </c>
      <c r="LC159" s="141">
        <f t="shared" ref="LC159:LC186" si="68">(N(AM159)&gt;0)*(AP159&lt;&gt;"")</f>
        <v>0</v>
      </c>
      <c r="LD159" s="141">
        <f t="shared" ref="LD159:LD186" si="69">(N(AQ159)&gt;0)*(AT159&lt;&gt;"")</f>
        <v>0</v>
      </c>
      <c r="LE159" s="141" t="e">
        <f>((N(AU159)&gt;0)*(AX159&lt;&gt;"")+(N(AY159)&gt;0)*(BB159&lt;&gt;"")+(N(BC159)&gt;0)*(BF159&lt;&gt;"")+(N(BG159)&gt;0)*(BJ159&lt;&gt;"")+(N(BK159)&gt;0)*(BN159&lt;&gt;"")+(N(BO159)&gt;0)*(BR159&lt;&gt;"")+(N(BS159)&gt;0)*(BV159&lt;&gt;"")+(N(BW159)&gt;0)*(BZ159&lt;&gt;"")+(N(CA159)&gt;0)*(CD159&lt;&gt;"")+(N(CE159)&gt;0)*(CH159&lt;&gt;"")+(N(CI159)&gt;0)*(CL159&lt;&gt;"")+(N(CM159)&gt;0)*(CP159&lt;&gt;"")+(N(CQ159)&gt;0)*(CT159&lt;&gt;"")+(N(CU159)&gt;0)*(CX159&lt;&gt;"")+(N(CY159)&gt;0)*(DB159&lt;&gt;"")+(N(DC159)&gt;0)*(DF159&lt;&gt;"")+(N(DG159)&gt;0)*(DJ159&lt;&gt;"")+(N(DS159)&gt;0)*(DV159&lt;&gt;"")+(N(DW159)&gt;0)*(DZ159&lt;&gt;"")+(N(EA159)&gt;0)*(ED159&lt;&gt;"")+(N(EE159)&gt;0)*(EH159&lt;&gt;"")+(N(EI159)&gt;0)*(EL159&lt;&gt;"")+(N(EM159)&gt;0)*(EP159&lt;&gt;"")+(N(EQ159)&gt;0)*(ET159&lt;&gt;"")+(N(EU159)&gt;0)*(EX159&lt;&gt;"")+(N(#REF!)&gt;0)*(#REF!&lt;&gt;"")+(N(#REF!)&gt;0)*(#REF!&lt;&gt;"")+(N(FJ159)&gt;0)*(FM159&lt;&gt;"")+(N(FN159)&gt;0)*(FQ159&lt;&gt;"")+(N(#REF!)&gt;0)*(#REF!&lt;&gt;"")+(N(#REF!)&gt;0)*(#REF!&lt;&gt;"")+(N(HF159)&gt;0)*(HI159&lt;&gt;"")+(N(#REF!)&gt;0)*(#REF!&lt;&gt;"")+(N(HJ159)&gt;0)*(HM159&lt;&gt;"")+(N(HN159)&gt;0)*(HQ159&lt;&gt;"")+(N(HZ159)&gt;0)*(IC159&lt;&gt;"")+(N(ID159)&gt;0)*(IG159&lt;&gt;"")+(N(IH159)&gt;0)*(IK159&lt;&gt;"")+(N(IL159)&gt;0)*(IO159&lt;&gt;"")+(N(IX159)&gt;0)*(JA159&lt;&gt;"")+(N(JB159)&gt;0)*(JE159&lt;&gt;"")+(N(JF159)&gt;0)*(JH159&lt;&gt;"")+(N(JI159)&gt;0)*(JK159&lt;&gt;"")+(N(JL159)&gt;0)*(JN159&lt;&gt;"")+(N(JO159)&gt;0)*(JQ159&lt;&gt;""))</f>
        <v>#REF!</v>
      </c>
      <c r="LF159" s="141">
        <f t="shared" si="48"/>
        <v>0</v>
      </c>
      <c r="LG159" s="141">
        <f t="shared" ref="LG159:LG186" si="70">(N(AG159)&gt;0)*(N(AH159)&gt;0)</f>
        <v>0</v>
      </c>
    </row>
    <row r="160" spans="2:319" ht="38.25" customHeight="1" x14ac:dyDescent="0.55000000000000004">
      <c r="B160" s="314" t="s">
        <v>457</v>
      </c>
      <c r="C160" s="218"/>
      <c r="D160" s="218"/>
      <c r="E160" s="218"/>
      <c r="F160" s="218"/>
      <c r="G160" s="218"/>
      <c r="H160" s="218"/>
      <c r="I160" s="162" cm="1">
        <f t="array" ref="I160">SUMPRODUCT(($AI$2:$KV$2&lt;&gt;"")*($AI160:$KV160&lt;&gt;""))</f>
        <v>1</v>
      </c>
      <c r="J160" s="142">
        <f t="shared" ref="J160:J186" si="71">I160*C160</f>
        <v>0</v>
      </c>
      <c r="K160" s="142">
        <f t="shared" ref="K160:K186" si="72">($L$1/$K$2)*J160</f>
        <v>0</v>
      </c>
      <c r="L160" s="268">
        <f t="shared" si="49"/>
        <v>7000</v>
      </c>
      <c r="M160" s="164">
        <f t="shared" ref="M160:M186" si="73">IFERROR(IF(N(AJ160)=0,0,(AI160/AJ160)*L160*(C160+D160+E160+I160)),0)</f>
        <v>784</v>
      </c>
      <c r="N160" s="397"/>
      <c r="O160" s="165">
        <f t="shared" ref="O160:O186" si="74">IFERROR(IF(N(AR160)=0,0,(AQ160/AR160)*L160*(C160+D160+E160+I160)),0)</f>
        <v>0</v>
      </c>
      <c r="P160" s="165"/>
      <c r="Q160" s="165"/>
      <c r="R160" s="165">
        <f>(IFERROR(AM160/AN160,0)+IFERROR(AU160/AV160,0)+IFERROR(AY160/AZ160,0)+IFERROR(BC160/BD160,0)+IFERROR(BG160/BH160,0)+IFERROR(BK160/BL160,0)+IFERROR(BO160/BP160,0)+IFERROR(BS160/BT160,0)+IFERROR(BW160/BX160,0)+IFERROR(CA160/CB160,0)+IFERROR(CE160/CF160,0)+IFERROR(CI160/CJ160,0)+IFERROR(CM160/CN160,0)+IFERROR(CQ160/CR160,0)+IFERROR(CU160/CV160,0)+IFERROR(CY160/CZ160,0)+IFERROR(DC160/DD160,0)+IFERROR(DG160/DH160,0)+IFERROR(DS160/DT160,0)+IFERROR(DW160/DX160,0)+IFERROR(EA160/EB160,0)+IFERROR(EE160/EF160,0)+IFERROR(EI160/EJ160,0)+IFERROR(EM160/EN160,0)+IFERROR(EQ160/ER160,0)+IFERROR(EU160/EV160,0)+IFERROR(#REF!/#REF!,0)+IFERROR(#REF!/#REF!,0)+IFERROR(FJ160/FK160,0)+IFERROR(FN160/FO160,0)+IFERROR(#REF!/#REF!,0)+IFERROR(#REF!/#REF!,0)+IFERROR(HF160/HG160,0)+IFERROR(#REF!/#REF!,0)+IFERROR(HJ160/HK160,0)+IFERROR(HN160/HO160,0)+IFERROR(HZ160/IA160,0)+IFERROR(ID160/IE160,0)+IFERROR(IH160/II160,0)+IFERROR(IL160/IM160,0)+IFERROR(IX160/IY160,0)+IFERROR(JB160/JC160,0)+IFERROR(JF160/JG160,0)+IFERROR(JI160/JJ160,0)+IFERROR(JL160/JM160,0)+IFERROR(JO160/JP160,0))*L160*(C160+D160+E160+I160)</f>
        <v>0</v>
      </c>
      <c r="S160" s="165"/>
      <c r="T160" s="165">
        <f t="shared" si="63"/>
        <v>0</v>
      </c>
      <c r="U160" s="165"/>
      <c r="V160" s="165"/>
      <c r="W160" s="165"/>
      <c r="X160" s="165">
        <f>(IFERROR(FF160/FG160,0)+IFERROR(FC160/FD160,0)+IFERROR(#REF!/#REF!,0)+IFERROR(KP160/KQ160,0))*L160*(C160+D160+E160+I160)</f>
        <v>0</v>
      </c>
      <c r="Y160" s="484"/>
      <c r="Z160" s="484"/>
      <c r="AA160" s="484"/>
      <c r="AB160" s="484"/>
      <c r="AC160" s="150">
        <f t="shared" ref="AC160:AC186" si="75">IFERROR(IF(N(AH160)=0,0,(AG160/AH160)*L160*(C160+D160+E160+I160)),0)</f>
        <v>0</v>
      </c>
      <c r="AD160" s="150"/>
      <c r="AE160" s="150">
        <f t="shared" si="64"/>
        <v>0</v>
      </c>
      <c r="AF160" s="161"/>
      <c r="AG160" s="143"/>
      <c r="AH160" s="154"/>
      <c r="AI160" s="342">
        <v>28</v>
      </c>
      <c r="AJ160" s="342">
        <v>250</v>
      </c>
      <c r="AK160" s="342"/>
      <c r="AL160" s="343" t="s">
        <v>545</v>
      </c>
      <c r="AM160" s="140"/>
      <c r="AN160" s="154"/>
      <c r="AO160" s="154"/>
      <c r="AP160" s="220"/>
      <c r="AQ160" s="145"/>
      <c r="AR160" s="154"/>
      <c r="AS160" s="154"/>
      <c r="AT160" s="220"/>
      <c r="AU160" s="140"/>
      <c r="AV160" s="277"/>
      <c r="AW160" s="277"/>
      <c r="AX160" s="277"/>
      <c r="AY160" s="140"/>
      <c r="AZ160" s="277"/>
      <c r="BA160" s="277"/>
      <c r="BB160" s="277"/>
      <c r="BC160" s="140"/>
      <c r="BD160" s="277"/>
      <c r="BE160" s="277"/>
      <c r="BF160" s="277"/>
      <c r="BG160" s="140"/>
      <c r="BH160" s="277"/>
      <c r="BI160" s="277"/>
      <c r="BJ160" s="277"/>
      <c r="BK160" s="140"/>
      <c r="BL160" s="277"/>
      <c r="BM160" s="277"/>
      <c r="BN160" s="277"/>
      <c r="BO160" s="140"/>
      <c r="BP160" s="277"/>
      <c r="BQ160" s="277"/>
      <c r="BR160" s="277"/>
      <c r="BS160" s="140"/>
      <c r="BT160" s="277"/>
      <c r="BU160" s="277"/>
      <c r="BV160" s="277"/>
      <c r="BW160" s="140"/>
      <c r="BX160" s="154"/>
      <c r="BY160" s="154"/>
      <c r="BZ160" s="220"/>
      <c r="CA160" s="140"/>
      <c r="CB160" s="154"/>
      <c r="CC160" s="154"/>
      <c r="CD160" s="220"/>
      <c r="CE160" s="140"/>
      <c r="CF160" s="271"/>
      <c r="CG160" s="271"/>
      <c r="CH160" s="271"/>
      <c r="CI160" s="140"/>
      <c r="CJ160" s="154"/>
      <c r="CK160" s="154"/>
      <c r="CL160" s="154"/>
      <c r="CM160" s="140"/>
      <c r="CN160" s="271"/>
      <c r="CO160" s="271"/>
      <c r="CP160" s="271"/>
      <c r="CQ160" s="140"/>
      <c r="CR160" s="154"/>
      <c r="CS160" s="154"/>
      <c r="CT160" s="154"/>
      <c r="CU160" s="140"/>
      <c r="CV160" s="154"/>
      <c r="CW160" s="154"/>
      <c r="CX160" s="220"/>
      <c r="CY160" s="140"/>
      <c r="CZ160" s="154"/>
      <c r="DA160" s="154"/>
      <c r="DB160" s="220"/>
      <c r="DC160" s="140"/>
      <c r="DD160" s="146"/>
      <c r="DE160" s="146"/>
      <c r="DF160" s="146"/>
      <c r="DG160" s="140"/>
      <c r="DH160" s="146"/>
      <c r="DI160" s="146"/>
      <c r="DJ160" s="146"/>
      <c r="DK160" s="146"/>
      <c r="DL160" s="146"/>
      <c r="DM160" s="146"/>
      <c r="DN160" s="146"/>
      <c r="DO160" s="146"/>
      <c r="DP160" s="146"/>
      <c r="DQ160" s="146"/>
      <c r="DR160" s="146"/>
      <c r="DS160" s="140"/>
      <c r="DT160" s="154"/>
      <c r="DU160" s="154"/>
      <c r="DV160" s="154"/>
      <c r="DW160" s="140"/>
      <c r="DX160" s="220"/>
      <c r="DY160" s="220"/>
      <c r="DZ160" s="220"/>
      <c r="EA160" s="140"/>
      <c r="EB160" s="220"/>
      <c r="EC160" s="220"/>
      <c r="ED160" s="220"/>
      <c r="EE160" s="140"/>
      <c r="EF160" s="154"/>
      <c r="EG160" s="154"/>
      <c r="EH160" s="154"/>
      <c r="EI160" s="140"/>
      <c r="EJ160" s="154"/>
      <c r="EK160" s="154"/>
      <c r="EL160" s="154"/>
      <c r="EM160" s="140"/>
      <c r="EN160" s="222"/>
      <c r="EO160" s="222"/>
      <c r="EP160" s="222"/>
      <c r="EQ160" s="140"/>
      <c r="ER160" s="222"/>
      <c r="ES160" s="222"/>
      <c r="ET160" s="222"/>
      <c r="EU160" s="140"/>
      <c r="EV160" s="222"/>
      <c r="EW160" s="222"/>
      <c r="EX160" s="222"/>
      <c r="EY160" s="344"/>
      <c r="EZ160" s="222"/>
      <c r="FA160" s="222"/>
      <c r="FB160" s="222"/>
      <c r="FC160" s="273"/>
      <c r="FD160" s="223"/>
      <c r="FE160" s="223"/>
      <c r="FF160" s="276"/>
      <c r="FG160" s="156"/>
      <c r="FH160" s="156"/>
      <c r="FI160" s="156"/>
      <c r="FJ160" s="140"/>
      <c r="FK160" s="277"/>
      <c r="FL160" s="277"/>
      <c r="FM160" s="277"/>
      <c r="FN160" s="140"/>
      <c r="FO160" s="277"/>
      <c r="FP160" s="277"/>
      <c r="FQ160" s="277"/>
      <c r="FR160" s="280"/>
      <c r="FS160" s="277"/>
      <c r="FT160" s="277"/>
      <c r="FU160" s="277"/>
      <c r="FV160" s="277"/>
      <c r="FW160" s="277"/>
      <c r="FX160" s="277"/>
      <c r="FY160" s="277"/>
      <c r="FZ160" s="277"/>
      <c r="GA160" s="277"/>
      <c r="GB160" s="277"/>
      <c r="GC160" s="277"/>
      <c r="GD160" s="277"/>
      <c r="GE160" s="277"/>
      <c r="GF160" s="277"/>
      <c r="GG160" s="277"/>
      <c r="GH160" s="277"/>
      <c r="GI160" s="277"/>
      <c r="GJ160" s="277"/>
      <c r="GK160" s="277"/>
      <c r="GL160" s="277"/>
      <c r="GM160" s="277"/>
      <c r="GN160" s="277"/>
      <c r="GO160" s="277"/>
      <c r="GP160" s="277"/>
      <c r="GQ160" s="277"/>
      <c r="GR160" s="277"/>
      <c r="GS160" s="277"/>
      <c r="GT160" s="277"/>
      <c r="GU160" s="277"/>
      <c r="GV160" s="277"/>
      <c r="GW160" s="277"/>
      <c r="GX160" s="277"/>
      <c r="GY160" s="277"/>
      <c r="GZ160" s="277"/>
      <c r="HA160" s="277"/>
      <c r="HB160" s="277"/>
      <c r="HC160" s="277"/>
      <c r="HD160" s="277"/>
      <c r="HE160" s="277"/>
      <c r="HF160" s="140"/>
      <c r="HG160" s="277"/>
      <c r="HH160" s="277"/>
      <c r="HI160" s="277"/>
      <c r="HJ160" s="140"/>
      <c r="HK160" s="277"/>
      <c r="HL160" s="277"/>
      <c r="HM160" s="277"/>
      <c r="HN160" s="140"/>
      <c r="HO160" s="277"/>
      <c r="HP160" s="277"/>
      <c r="HQ160" s="277"/>
      <c r="HR160" s="277"/>
      <c r="HS160" s="277"/>
      <c r="HT160" s="277"/>
      <c r="HU160" s="277"/>
      <c r="HV160" s="277"/>
      <c r="HW160" s="277"/>
      <c r="HX160" s="277"/>
      <c r="HY160" s="277"/>
      <c r="HZ160" s="140"/>
      <c r="IA160" s="277"/>
      <c r="IB160" s="277"/>
      <c r="IC160" s="277"/>
      <c r="ID160" s="140"/>
      <c r="IE160" s="277"/>
      <c r="IF160" s="277"/>
      <c r="IG160" s="277"/>
      <c r="IH160" s="140"/>
      <c r="II160" s="277"/>
      <c r="IJ160" s="277"/>
      <c r="IK160" s="277"/>
      <c r="IL160" s="140"/>
      <c r="IM160" s="277"/>
      <c r="IN160" s="277"/>
      <c r="IO160" s="277"/>
      <c r="IP160" s="277"/>
      <c r="IQ160" s="277"/>
      <c r="IR160" s="277"/>
      <c r="IS160" s="277"/>
      <c r="IT160" s="277"/>
      <c r="IU160" s="277"/>
      <c r="IV160" s="277"/>
      <c r="IW160" s="277"/>
      <c r="IX160" s="140"/>
      <c r="IY160" s="277"/>
      <c r="IZ160" s="277"/>
      <c r="JA160" s="277"/>
      <c r="JB160" s="140"/>
      <c r="JC160" s="277"/>
      <c r="JD160" s="277"/>
      <c r="JE160" s="277"/>
      <c r="JF160" s="140"/>
      <c r="JG160" s="277"/>
      <c r="JH160" s="277"/>
      <c r="JI160" s="140"/>
      <c r="JJ160" s="277"/>
      <c r="JK160" s="277"/>
      <c r="JL160" s="140"/>
      <c r="JM160" s="277"/>
      <c r="JN160" s="277"/>
      <c r="JO160" s="140"/>
      <c r="JP160" s="277"/>
      <c r="JQ160" s="277"/>
      <c r="JR160" s="277"/>
      <c r="JS160" s="277"/>
      <c r="JT160" s="277"/>
      <c r="JU160" s="277"/>
      <c r="JV160" s="277"/>
      <c r="JW160" s="277"/>
      <c r="JX160" s="277"/>
      <c r="JY160" s="277"/>
      <c r="JZ160" s="277"/>
      <c r="KA160" s="277"/>
      <c r="KB160" s="277"/>
      <c r="KC160" s="277"/>
      <c r="KD160" s="277"/>
      <c r="KE160" s="277"/>
      <c r="KF160" s="277"/>
      <c r="KG160" s="277"/>
      <c r="KH160" s="277"/>
      <c r="KI160" s="277"/>
      <c r="KJ160" s="277"/>
      <c r="KK160" s="277"/>
      <c r="KL160" s="277"/>
      <c r="KM160" s="277"/>
      <c r="KN160" s="277"/>
      <c r="KO160" s="277"/>
      <c r="KP160" s="274"/>
      <c r="KQ160" s="253"/>
      <c r="KR160" s="253"/>
      <c r="KY160" s="141">
        <f t="shared" si="65"/>
        <v>0</v>
      </c>
      <c r="KZ160" s="141">
        <f t="shared" si="66"/>
        <v>0</v>
      </c>
      <c r="LB160" s="141">
        <f t="shared" si="67"/>
        <v>1</v>
      </c>
      <c r="LC160" s="141">
        <f t="shared" si="68"/>
        <v>0</v>
      </c>
      <c r="LD160" s="141">
        <f t="shared" si="69"/>
        <v>0</v>
      </c>
      <c r="LE160" s="141" t="e">
        <f>((N(AU160)&gt;0)*(AX160&lt;&gt;"")+(N(AY160)&gt;0)*(BB160&lt;&gt;"")+(N(BC160)&gt;0)*(BF160&lt;&gt;"")+(N(BG160)&gt;0)*(BJ160&lt;&gt;"")+(N(BK160)&gt;0)*(BN160&lt;&gt;"")+(N(BO160)&gt;0)*(BR160&lt;&gt;"")+(N(BS160)&gt;0)*(BV160&lt;&gt;"")+(N(BW160)&gt;0)*(BZ160&lt;&gt;"")+(N(CA160)&gt;0)*(CD160&lt;&gt;"")+(N(CE160)&gt;0)*(CH160&lt;&gt;"")+(N(CI160)&gt;0)*(CL160&lt;&gt;"")+(N(CM160)&gt;0)*(CP160&lt;&gt;"")+(N(CQ160)&gt;0)*(CT160&lt;&gt;"")+(N(CU160)&gt;0)*(CX160&lt;&gt;"")+(N(CY160)&gt;0)*(DB160&lt;&gt;"")+(N(DC160)&gt;0)*(DF160&lt;&gt;"")+(N(DG160)&gt;0)*(DJ160&lt;&gt;"")+(N(DS160)&gt;0)*(DV160&lt;&gt;"")+(N(DW160)&gt;0)*(DZ160&lt;&gt;"")+(N(EA160)&gt;0)*(ED160&lt;&gt;"")+(N(EE160)&gt;0)*(EH160&lt;&gt;"")+(N(EI160)&gt;0)*(EL160&lt;&gt;"")+(N(EM160)&gt;0)*(EP160&lt;&gt;"")+(N(EQ160)&gt;0)*(ET160&lt;&gt;"")+(N(EU160)&gt;0)*(EX160&lt;&gt;"")+(N(#REF!)&gt;0)*(#REF!&lt;&gt;"")+(N(#REF!)&gt;0)*(#REF!&lt;&gt;"")+(N(FJ160)&gt;0)*(FM160&lt;&gt;"")+(N(FN160)&gt;0)*(FQ160&lt;&gt;"")+(N(#REF!)&gt;0)*(#REF!&lt;&gt;"")+(N(#REF!)&gt;0)*(#REF!&lt;&gt;"")+(N(HF160)&gt;0)*(HI160&lt;&gt;"")+(N(#REF!)&gt;0)*(#REF!&lt;&gt;"")+(N(HJ160)&gt;0)*(HM160&lt;&gt;"")+(N(HN160)&gt;0)*(HQ160&lt;&gt;"")+(N(HZ160)&gt;0)*(IC160&lt;&gt;"")+(N(ID160)&gt;0)*(IG160&lt;&gt;"")+(N(IH160)&gt;0)*(IK160&lt;&gt;"")+(N(IL160)&gt;0)*(IO160&lt;&gt;"")+(N(IX160)&gt;0)*(JA160&lt;&gt;"")+(N(JB160)&gt;0)*(JE160&lt;&gt;"")+(N(JF160)&gt;0)*(JH160&lt;&gt;"")+(N(JI160)&gt;0)*(JK160&lt;&gt;"")+(N(JL160)&gt;0)*(JN160&lt;&gt;"")+(N(JO160)&gt;0)*(JQ160&lt;&gt;""))</f>
        <v>#REF!</v>
      </c>
      <c r="LF160" s="141">
        <f t="shared" ref="LF160:LF186" si="76">(N(EY160)&gt;0)*(FB160&lt;&gt;"")</f>
        <v>0</v>
      </c>
      <c r="LG160" s="141">
        <f t="shared" si="70"/>
        <v>0</v>
      </c>
    </row>
    <row r="161" spans="2:319" ht="38.25" customHeight="1" x14ac:dyDescent="0.55000000000000004">
      <c r="B161" s="314" t="s">
        <v>458</v>
      </c>
      <c r="C161" s="218"/>
      <c r="D161" s="218"/>
      <c r="E161" s="218"/>
      <c r="F161" s="218"/>
      <c r="G161" s="218"/>
      <c r="H161" s="218"/>
      <c r="I161" s="162" cm="1">
        <f t="array" ref="I161">SUMPRODUCT(($AI$2:$KV$2&lt;&gt;"")*($AI161:$KV161&lt;&gt;""))</f>
        <v>1</v>
      </c>
      <c r="J161" s="142">
        <f t="shared" si="71"/>
        <v>0</v>
      </c>
      <c r="K161" s="142">
        <f t="shared" si="72"/>
        <v>0</v>
      </c>
      <c r="L161" s="268">
        <f t="shared" si="49"/>
        <v>7000</v>
      </c>
      <c r="M161" s="164">
        <f t="shared" si="73"/>
        <v>784</v>
      </c>
      <c r="N161" s="397"/>
      <c r="O161" s="165">
        <f t="shared" si="74"/>
        <v>0</v>
      </c>
      <c r="P161" s="165"/>
      <c r="Q161" s="165"/>
      <c r="R161" s="165">
        <f>(IFERROR(AM161/AN161,0)+IFERROR(AU161/AV161,0)+IFERROR(AY161/AZ161,0)+IFERROR(BC161/BD161,0)+IFERROR(BG161/BH161,0)+IFERROR(BK161/BL161,0)+IFERROR(BO161/BP161,0)+IFERROR(BS161/BT161,0)+IFERROR(BW161/BX161,0)+IFERROR(CA161/CB161,0)+IFERROR(CE161/CF161,0)+IFERROR(CI161/CJ161,0)+IFERROR(CM161/CN161,0)+IFERROR(CQ161/CR161,0)+IFERROR(CU161/CV161,0)+IFERROR(CY161/CZ161,0)+IFERROR(DC161/DD161,0)+IFERROR(DG161/DH161,0)+IFERROR(DS161/DT161,0)+IFERROR(DW161/DX161,0)+IFERROR(EA161/EB161,0)+IFERROR(EE161/EF161,0)+IFERROR(EI161/EJ161,0)+IFERROR(EM161/EN161,0)+IFERROR(EQ161/ER161,0)+IFERROR(EU161/EV161,0)+IFERROR(#REF!/#REF!,0)+IFERROR(#REF!/#REF!,0)+IFERROR(FJ161/FK161,0)+IFERROR(FN161/FO161,0)+IFERROR(#REF!/#REF!,0)+IFERROR(#REF!/#REF!,0)+IFERROR(HF161/HG161,0)+IFERROR(#REF!/#REF!,0)+IFERROR(HJ161/HK161,0)+IFERROR(HN161/HO161,0)+IFERROR(HZ161/IA161,0)+IFERROR(ID161/IE161,0)+IFERROR(IH161/II161,0)+IFERROR(IL161/IM161,0)+IFERROR(IX161/IY161,0)+IFERROR(JB161/JC161,0)+IFERROR(JF161/JG161,0)+IFERROR(JI161/JJ161,0)+IFERROR(JL161/JM161,0)+IFERROR(JO161/JP161,0))*L161*(C161+D161+E161+I161)</f>
        <v>0</v>
      </c>
      <c r="S161" s="165"/>
      <c r="T161" s="165">
        <f t="shared" si="63"/>
        <v>0</v>
      </c>
      <c r="U161" s="165"/>
      <c r="V161" s="165"/>
      <c r="W161" s="165"/>
      <c r="X161" s="165">
        <f>(IFERROR(FF161/FG161,0)+IFERROR(FC161/FD161,0)+IFERROR(#REF!/#REF!,0)+IFERROR(KP161/KQ161,0))*L161*(C161+D161+E161+I161)</f>
        <v>0</v>
      </c>
      <c r="Y161" s="484"/>
      <c r="Z161" s="484"/>
      <c r="AA161" s="484"/>
      <c r="AB161" s="484"/>
      <c r="AC161" s="150">
        <f t="shared" si="75"/>
        <v>0</v>
      </c>
      <c r="AD161" s="150"/>
      <c r="AE161" s="150">
        <f t="shared" si="64"/>
        <v>0</v>
      </c>
      <c r="AF161" s="161"/>
      <c r="AG161" s="143"/>
      <c r="AH161" s="154"/>
      <c r="AI161" s="342">
        <v>28</v>
      </c>
      <c r="AJ161" s="342">
        <v>250</v>
      </c>
      <c r="AK161" s="342"/>
      <c r="AL161" s="343" t="s">
        <v>545</v>
      </c>
      <c r="AM161" s="140"/>
      <c r="AN161" s="154"/>
      <c r="AO161" s="154"/>
      <c r="AP161" s="220"/>
      <c r="AQ161" s="145"/>
      <c r="AR161" s="154"/>
      <c r="AS161" s="154"/>
      <c r="AT161" s="220"/>
      <c r="AU161" s="140"/>
      <c r="AV161" s="277"/>
      <c r="AW161" s="277"/>
      <c r="AX161" s="277"/>
      <c r="AY161" s="140"/>
      <c r="AZ161" s="277"/>
      <c r="BA161" s="277"/>
      <c r="BB161" s="277"/>
      <c r="BC161" s="140"/>
      <c r="BD161" s="277"/>
      <c r="BE161" s="277"/>
      <c r="BF161" s="277"/>
      <c r="BG161" s="140"/>
      <c r="BH161" s="277"/>
      <c r="BI161" s="277"/>
      <c r="BJ161" s="277"/>
      <c r="BK161" s="140"/>
      <c r="BL161" s="277"/>
      <c r="BM161" s="277"/>
      <c r="BN161" s="277"/>
      <c r="BO161" s="140"/>
      <c r="BP161" s="277"/>
      <c r="BQ161" s="277"/>
      <c r="BR161" s="277"/>
      <c r="BS161" s="140"/>
      <c r="BT161" s="277"/>
      <c r="BU161" s="277"/>
      <c r="BV161" s="277"/>
      <c r="BW161" s="140"/>
      <c r="BX161" s="154"/>
      <c r="BY161" s="154"/>
      <c r="BZ161" s="220"/>
      <c r="CA161" s="140"/>
      <c r="CB161" s="154"/>
      <c r="CC161" s="154"/>
      <c r="CD161" s="220"/>
      <c r="CE161" s="140"/>
      <c r="CF161" s="271"/>
      <c r="CG161" s="271"/>
      <c r="CH161" s="271"/>
      <c r="CI161" s="140"/>
      <c r="CJ161" s="154"/>
      <c r="CK161" s="154"/>
      <c r="CL161" s="154"/>
      <c r="CM161" s="140"/>
      <c r="CN161" s="271"/>
      <c r="CO161" s="271"/>
      <c r="CP161" s="271"/>
      <c r="CQ161" s="140"/>
      <c r="CR161" s="154"/>
      <c r="CS161" s="154"/>
      <c r="CT161" s="154"/>
      <c r="CU161" s="140"/>
      <c r="CV161" s="154"/>
      <c r="CW161" s="154"/>
      <c r="CX161" s="220"/>
      <c r="CY161" s="140"/>
      <c r="CZ161" s="154"/>
      <c r="DA161" s="154"/>
      <c r="DB161" s="220"/>
      <c r="DC161" s="140"/>
      <c r="DD161" s="146"/>
      <c r="DE161" s="146"/>
      <c r="DF161" s="146"/>
      <c r="DG161" s="140"/>
      <c r="DH161" s="146"/>
      <c r="DI161" s="146"/>
      <c r="DJ161" s="146"/>
      <c r="DK161" s="146"/>
      <c r="DL161" s="146"/>
      <c r="DM161" s="146"/>
      <c r="DN161" s="146"/>
      <c r="DO161" s="146"/>
      <c r="DP161" s="146"/>
      <c r="DQ161" s="146"/>
      <c r="DR161" s="146"/>
      <c r="DS161" s="140"/>
      <c r="DT161" s="154"/>
      <c r="DU161" s="154"/>
      <c r="DV161" s="154"/>
      <c r="DW161" s="140"/>
      <c r="DX161" s="220"/>
      <c r="DY161" s="220"/>
      <c r="DZ161" s="220"/>
      <c r="EA161" s="140"/>
      <c r="EB161" s="220"/>
      <c r="EC161" s="220"/>
      <c r="ED161" s="220"/>
      <c r="EE161" s="140"/>
      <c r="EF161" s="154"/>
      <c r="EG161" s="154"/>
      <c r="EH161" s="154"/>
      <c r="EI161" s="140"/>
      <c r="EJ161" s="154"/>
      <c r="EK161" s="154"/>
      <c r="EL161" s="154"/>
      <c r="EM161" s="140"/>
      <c r="EN161" s="222"/>
      <c r="EO161" s="222"/>
      <c r="EP161" s="222"/>
      <c r="EQ161" s="140"/>
      <c r="ER161" s="222"/>
      <c r="ES161" s="222"/>
      <c r="ET161" s="222"/>
      <c r="EU161" s="140"/>
      <c r="EV161" s="222"/>
      <c r="EW161" s="222"/>
      <c r="EX161" s="222"/>
      <c r="EY161" s="344"/>
      <c r="EZ161" s="222"/>
      <c r="FA161" s="222"/>
      <c r="FB161" s="222"/>
      <c r="FC161" s="273"/>
      <c r="FD161" s="223"/>
      <c r="FE161" s="223"/>
      <c r="FF161" s="276"/>
      <c r="FG161" s="156"/>
      <c r="FH161" s="156"/>
      <c r="FI161" s="156"/>
      <c r="FJ161" s="140"/>
      <c r="FK161" s="277"/>
      <c r="FL161" s="277"/>
      <c r="FM161" s="277"/>
      <c r="FN161" s="140"/>
      <c r="FO161" s="277"/>
      <c r="FP161" s="277"/>
      <c r="FQ161" s="277"/>
      <c r="FR161" s="280"/>
      <c r="FS161" s="277"/>
      <c r="FT161" s="277"/>
      <c r="FU161" s="277"/>
      <c r="FV161" s="277"/>
      <c r="FW161" s="277"/>
      <c r="FX161" s="277"/>
      <c r="FY161" s="277"/>
      <c r="FZ161" s="277"/>
      <c r="GA161" s="277"/>
      <c r="GB161" s="277"/>
      <c r="GC161" s="277"/>
      <c r="GD161" s="277"/>
      <c r="GE161" s="277"/>
      <c r="GF161" s="277"/>
      <c r="GG161" s="277"/>
      <c r="GH161" s="277"/>
      <c r="GI161" s="277"/>
      <c r="GJ161" s="277"/>
      <c r="GK161" s="277"/>
      <c r="GL161" s="277"/>
      <c r="GM161" s="277"/>
      <c r="GN161" s="277"/>
      <c r="GO161" s="277"/>
      <c r="GP161" s="277"/>
      <c r="GQ161" s="277"/>
      <c r="GR161" s="277"/>
      <c r="GS161" s="277"/>
      <c r="GT161" s="277"/>
      <c r="GU161" s="277"/>
      <c r="GV161" s="277"/>
      <c r="GW161" s="277"/>
      <c r="GX161" s="277"/>
      <c r="GY161" s="277"/>
      <c r="GZ161" s="277"/>
      <c r="HA161" s="277"/>
      <c r="HB161" s="277"/>
      <c r="HC161" s="277"/>
      <c r="HD161" s="277"/>
      <c r="HE161" s="277"/>
      <c r="HF161" s="140"/>
      <c r="HG161" s="277"/>
      <c r="HH161" s="277"/>
      <c r="HI161" s="277"/>
      <c r="HJ161" s="140"/>
      <c r="HK161" s="277"/>
      <c r="HL161" s="277"/>
      <c r="HM161" s="277"/>
      <c r="HN161" s="140"/>
      <c r="HO161" s="277"/>
      <c r="HP161" s="277"/>
      <c r="HQ161" s="277"/>
      <c r="HR161" s="277"/>
      <c r="HS161" s="277"/>
      <c r="HT161" s="277"/>
      <c r="HU161" s="277"/>
      <c r="HV161" s="277"/>
      <c r="HW161" s="277"/>
      <c r="HX161" s="277"/>
      <c r="HY161" s="277"/>
      <c r="HZ161" s="140"/>
      <c r="IA161" s="277"/>
      <c r="IB161" s="277"/>
      <c r="IC161" s="277"/>
      <c r="ID161" s="140"/>
      <c r="IE161" s="277"/>
      <c r="IF161" s="277"/>
      <c r="IG161" s="277"/>
      <c r="IH161" s="140"/>
      <c r="II161" s="277"/>
      <c r="IJ161" s="277"/>
      <c r="IK161" s="277"/>
      <c r="IL161" s="140"/>
      <c r="IM161" s="277"/>
      <c r="IN161" s="277"/>
      <c r="IO161" s="277"/>
      <c r="IP161" s="277"/>
      <c r="IQ161" s="277"/>
      <c r="IR161" s="277"/>
      <c r="IS161" s="277"/>
      <c r="IT161" s="277"/>
      <c r="IU161" s="277"/>
      <c r="IV161" s="277"/>
      <c r="IW161" s="277"/>
      <c r="IX161" s="140"/>
      <c r="IY161" s="277"/>
      <c r="IZ161" s="277"/>
      <c r="JA161" s="277"/>
      <c r="JB161" s="140"/>
      <c r="JC161" s="277"/>
      <c r="JD161" s="277"/>
      <c r="JE161" s="277"/>
      <c r="JF161" s="140"/>
      <c r="JG161" s="277"/>
      <c r="JH161" s="277"/>
      <c r="JI161" s="140"/>
      <c r="JJ161" s="277"/>
      <c r="JK161" s="277"/>
      <c r="JL161" s="140"/>
      <c r="JM161" s="277"/>
      <c r="JN161" s="277"/>
      <c r="JO161" s="140"/>
      <c r="JP161" s="277"/>
      <c r="JQ161" s="277"/>
      <c r="JR161" s="277"/>
      <c r="JS161" s="277"/>
      <c r="JT161" s="277"/>
      <c r="JU161" s="277"/>
      <c r="JV161" s="277"/>
      <c r="JW161" s="277"/>
      <c r="JX161" s="277"/>
      <c r="JY161" s="277"/>
      <c r="JZ161" s="277"/>
      <c r="KA161" s="277"/>
      <c r="KB161" s="277"/>
      <c r="KC161" s="277"/>
      <c r="KD161" s="277"/>
      <c r="KE161" s="277"/>
      <c r="KF161" s="277"/>
      <c r="KG161" s="277"/>
      <c r="KH161" s="277"/>
      <c r="KI161" s="277"/>
      <c r="KJ161" s="277"/>
      <c r="KK161" s="277"/>
      <c r="KL161" s="277"/>
      <c r="KM161" s="277"/>
      <c r="KN161" s="277"/>
      <c r="KO161" s="277"/>
      <c r="KP161" s="274"/>
      <c r="KQ161" s="253"/>
      <c r="KR161" s="253"/>
      <c r="KY161" s="141">
        <f t="shared" si="65"/>
        <v>0</v>
      </c>
      <c r="KZ161" s="141">
        <f t="shared" si="66"/>
        <v>0</v>
      </c>
      <c r="LB161" s="141">
        <f t="shared" si="67"/>
        <v>1</v>
      </c>
      <c r="LC161" s="141">
        <f t="shared" si="68"/>
        <v>0</v>
      </c>
      <c r="LD161" s="141">
        <f t="shared" si="69"/>
        <v>0</v>
      </c>
      <c r="LE161" s="141" t="e">
        <f>((N(AU161)&gt;0)*(AX161&lt;&gt;"")+(N(AY161)&gt;0)*(BB161&lt;&gt;"")+(N(BC161)&gt;0)*(BF161&lt;&gt;"")+(N(BG161)&gt;0)*(BJ161&lt;&gt;"")+(N(BK161)&gt;0)*(BN161&lt;&gt;"")+(N(BO161)&gt;0)*(BR161&lt;&gt;"")+(N(BS161)&gt;0)*(BV161&lt;&gt;"")+(N(BW161)&gt;0)*(BZ161&lt;&gt;"")+(N(CA161)&gt;0)*(CD161&lt;&gt;"")+(N(CE161)&gt;0)*(CH161&lt;&gt;"")+(N(CI161)&gt;0)*(CL161&lt;&gt;"")+(N(CM161)&gt;0)*(CP161&lt;&gt;"")+(N(CQ161)&gt;0)*(CT161&lt;&gt;"")+(N(CU161)&gt;0)*(CX161&lt;&gt;"")+(N(CY161)&gt;0)*(DB161&lt;&gt;"")+(N(DC161)&gt;0)*(DF161&lt;&gt;"")+(N(DG161)&gt;0)*(DJ161&lt;&gt;"")+(N(DS161)&gt;0)*(DV161&lt;&gt;"")+(N(DW161)&gt;0)*(DZ161&lt;&gt;"")+(N(EA161)&gt;0)*(ED161&lt;&gt;"")+(N(EE161)&gt;0)*(EH161&lt;&gt;"")+(N(EI161)&gt;0)*(EL161&lt;&gt;"")+(N(EM161)&gt;0)*(EP161&lt;&gt;"")+(N(EQ161)&gt;0)*(ET161&lt;&gt;"")+(N(EU161)&gt;0)*(EX161&lt;&gt;"")+(N(#REF!)&gt;0)*(#REF!&lt;&gt;"")+(N(#REF!)&gt;0)*(#REF!&lt;&gt;"")+(N(FJ161)&gt;0)*(FM161&lt;&gt;"")+(N(FN161)&gt;0)*(FQ161&lt;&gt;"")+(N(#REF!)&gt;0)*(#REF!&lt;&gt;"")+(N(#REF!)&gt;0)*(#REF!&lt;&gt;"")+(N(HF161)&gt;0)*(HI161&lt;&gt;"")+(N(#REF!)&gt;0)*(#REF!&lt;&gt;"")+(N(HJ161)&gt;0)*(HM161&lt;&gt;"")+(N(HN161)&gt;0)*(HQ161&lt;&gt;"")+(N(HZ161)&gt;0)*(IC161&lt;&gt;"")+(N(ID161)&gt;0)*(IG161&lt;&gt;"")+(N(IH161)&gt;0)*(IK161&lt;&gt;"")+(N(IL161)&gt;0)*(IO161&lt;&gt;"")+(N(IX161)&gt;0)*(JA161&lt;&gt;"")+(N(JB161)&gt;0)*(JE161&lt;&gt;"")+(N(JF161)&gt;0)*(JH161&lt;&gt;"")+(N(JI161)&gt;0)*(JK161&lt;&gt;"")+(N(JL161)&gt;0)*(JN161&lt;&gt;"")+(N(JO161)&gt;0)*(JQ161&lt;&gt;""))</f>
        <v>#REF!</v>
      </c>
      <c r="LF161" s="141">
        <f t="shared" si="76"/>
        <v>0</v>
      </c>
      <c r="LG161" s="141">
        <f t="shared" si="70"/>
        <v>0</v>
      </c>
    </row>
    <row r="162" spans="2:319" ht="38.25" customHeight="1" x14ac:dyDescent="0.55000000000000004">
      <c r="B162" s="314" t="s">
        <v>459</v>
      </c>
      <c r="C162" s="218"/>
      <c r="D162" s="218"/>
      <c r="E162" s="218"/>
      <c r="F162" s="218"/>
      <c r="G162" s="218"/>
      <c r="H162" s="218"/>
      <c r="I162" s="162" cm="1">
        <f t="array" ref="I162">SUMPRODUCT(($AI$2:$KV$2&lt;&gt;"")*($AI162:$KV162&lt;&gt;""))</f>
        <v>1</v>
      </c>
      <c r="J162" s="142">
        <f t="shared" si="71"/>
        <v>0</v>
      </c>
      <c r="K162" s="142">
        <f t="shared" si="72"/>
        <v>0</v>
      </c>
      <c r="L162" s="268">
        <f t="shared" si="49"/>
        <v>7000</v>
      </c>
      <c r="M162" s="164">
        <f t="shared" si="73"/>
        <v>784</v>
      </c>
      <c r="N162" s="397"/>
      <c r="O162" s="165">
        <f t="shared" si="74"/>
        <v>0</v>
      </c>
      <c r="P162" s="165"/>
      <c r="Q162" s="165"/>
      <c r="R162" s="165">
        <f>(IFERROR(AM162/AN162,0)+IFERROR(AU162/AV162,0)+IFERROR(AY162/AZ162,0)+IFERROR(BC162/BD162,0)+IFERROR(BG162/BH162,0)+IFERROR(BK162/BL162,0)+IFERROR(BO162/BP162,0)+IFERROR(BS162/BT162,0)+IFERROR(BW162/BX162,0)+IFERROR(CA162/CB162,0)+IFERROR(CE162/CF162,0)+IFERROR(CI162/CJ162,0)+IFERROR(CM162/CN162,0)+IFERROR(CQ162/CR162,0)+IFERROR(CU162/CV162,0)+IFERROR(CY162/CZ162,0)+IFERROR(DC162/DD162,0)+IFERROR(DG162/DH162,0)+IFERROR(DS162/DT162,0)+IFERROR(DW162/DX162,0)+IFERROR(EA162/EB162,0)+IFERROR(EE162/EF162,0)+IFERROR(EI162/EJ162,0)+IFERROR(EM162/EN162,0)+IFERROR(EQ162/ER162,0)+IFERROR(EU162/EV162,0)+IFERROR(#REF!/#REF!,0)+IFERROR(#REF!/#REF!,0)+IFERROR(FJ162/FK162,0)+IFERROR(FN162/FO162,0)+IFERROR(#REF!/#REF!,0)+IFERROR(#REF!/#REF!,0)+IFERROR(HF162/HG162,0)+IFERROR(#REF!/#REF!,0)+IFERROR(HJ162/HK162,0)+IFERROR(HN162/HO162,0)+IFERROR(HZ162/IA162,0)+IFERROR(ID162/IE162,0)+IFERROR(IH162/II162,0)+IFERROR(IL162/IM162,0)+IFERROR(IX162/IY162,0)+IFERROR(JB162/JC162,0)+IFERROR(JF162/JG162,0)+IFERROR(JI162/JJ162,0)+IFERROR(JL162/JM162,0)+IFERROR(JO162/JP162,0))*L162*(C162+D162+E162+I162)</f>
        <v>0</v>
      </c>
      <c r="S162" s="165"/>
      <c r="T162" s="165">
        <f t="shared" si="63"/>
        <v>0</v>
      </c>
      <c r="U162" s="165"/>
      <c r="V162" s="165"/>
      <c r="W162" s="165"/>
      <c r="X162" s="165">
        <f>(IFERROR(FF162/FG162,0)+IFERROR(FC162/FD162,0)+IFERROR(#REF!/#REF!,0)+IFERROR(KP162/KQ162,0))*L162*(C162+D162+E162+I162)</f>
        <v>0</v>
      </c>
      <c r="Y162" s="484"/>
      <c r="Z162" s="484"/>
      <c r="AA162" s="484"/>
      <c r="AB162" s="484"/>
      <c r="AC162" s="150">
        <f t="shared" si="75"/>
        <v>0</v>
      </c>
      <c r="AD162" s="150"/>
      <c r="AE162" s="150">
        <f t="shared" si="64"/>
        <v>0</v>
      </c>
      <c r="AF162" s="161"/>
      <c r="AG162" s="143"/>
      <c r="AH162" s="154"/>
      <c r="AI162" s="342">
        <v>28</v>
      </c>
      <c r="AJ162" s="342">
        <v>250</v>
      </c>
      <c r="AK162" s="342"/>
      <c r="AL162" s="343" t="s">
        <v>545</v>
      </c>
      <c r="AM162" s="140"/>
      <c r="AN162" s="154"/>
      <c r="AO162" s="154"/>
      <c r="AP162" s="220"/>
      <c r="AQ162" s="145"/>
      <c r="AR162" s="154"/>
      <c r="AS162" s="154"/>
      <c r="AT162" s="220"/>
      <c r="AU162" s="140"/>
      <c r="AV162" s="277"/>
      <c r="AW162" s="277"/>
      <c r="AX162" s="277"/>
      <c r="AY162" s="140"/>
      <c r="AZ162" s="277"/>
      <c r="BA162" s="277"/>
      <c r="BB162" s="277"/>
      <c r="BC162" s="140"/>
      <c r="BD162" s="277"/>
      <c r="BE162" s="277"/>
      <c r="BF162" s="277"/>
      <c r="BG162" s="140"/>
      <c r="BH162" s="277"/>
      <c r="BI162" s="277"/>
      <c r="BJ162" s="277"/>
      <c r="BK162" s="140"/>
      <c r="BL162" s="277"/>
      <c r="BM162" s="277"/>
      <c r="BN162" s="277"/>
      <c r="BO162" s="140"/>
      <c r="BP162" s="277"/>
      <c r="BQ162" s="277"/>
      <c r="BR162" s="277"/>
      <c r="BS162" s="140"/>
      <c r="BT162" s="277"/>
      <c r="BU162" s="277"/>
      <c r="BV162" s="277"/>
      <c r="BW162" s="140"/>
      <c r="BX162" s="154"/>
      <c r="BY162" s="154"/>
      <c r="BZ162" s="220"/>
      <c r="CA162" s="140"/>
      <c r="CB162" s="154"/>
      <c r="CC162" s="154"/>
      <c r="CD162" s="220"/>
      <c r="CE162" s="140"/>
      <c r="CF162" s="271"/>
      <c r="CG162" s="271"/>
      <c r="CH162" s="271"/>
      <c r="CI162" s="140"/>
      <c r="CJ162" s="154"/>
      <c r="CK162" s="154"/>
      <c r="CL162" s="154"/>
      <c r="CM162" s="140"/>
      <c r="CN162" s="271"/>
      <c r="CO162" s="271"/>
      <c r="CP162" s="271"/>
      <c r="CQ162" s="140"/>
      <c r="CR162" s="154"/>
      <c r="CS162" s="154"/>
      <c r="CT162" s="154"/>
      <c r="CU162" s="140"/>
      <c r="CV162" s="154"/>
      <c r="CW162" s="154"/>
      <c r="CX162" s="220"/>
      <c r="CY162" s="140"/>
      <c r="CZ162" s="154"/>
      <c r="DA162" s="154"/>
      <c r="DB162" s="220"/>
      <c r="DC162" s="140"/>
      <c r="DD162" s="146"/>
      <c r="DE162" s="146"/>
      <c r="DF162" s="146"/>
      <c r="DG162" s="140"/>
      <c r="DH162" s="146"/>
      <c r="DI162" s="146"/>
      <c r="DJ162" s="146"/>
      <c r="DK162" s="146"/>
      <c r="DL162" s="146"/>
      <c r="DM162" s="146"/>
      <c r="DN162" s="146"/>
      <c r="DO162" s="146"/>
      <c r="DP162" s="146"/>
      <c r="DQ162" s="146"/>
      <c r="DR162" s="146"/>
      <c r="DS162" s="140"/>
      <c r="DT162" s="154"/>
      <c r="DU162" s="154"/>
      <c r="DV162" s="154"/>
      <c r="DW162" s="140"/>
      <c r="DX162" s="220"/>
      <c r="DY162" s="220"/>
      <c r="DZ162" s="220"/>
      <c r="EA162" s="140"/>
      <c r="EB162" s="220"/>
      <c r="EC162" s="220"/>
      <c r="ED162" s="220"/>
      <c r="EE162" s="140"/>
      <c r="EF162" s="154"/>
      <c r="EG162" s="154"/>
      <c r="EH162" s="154"/>
      <c r="EI162" s="140"/>
      <c r="EJ162" s="154"/>
      <c r="EK162" s="154"/>
      <c r="EL162" s="154"/>
      <c r="EM162" s="140"/>
      <c r="EN162" s="222"/>
      <c r="EO162" s="222"/>
      <c r="EP162" s="222"/>
      <c r="EQ162" s="140"/>
      <c r="ER162" s="222"/>
      <c r="ES162" s="222"/>
      <c r="ET162" s="222"/>
      <c r="EU162" s="140"/>
      <c r="EV162" s="222"/>
      <c r="EW162" s="222"/>
      <c r="EX162" s="222"/>
      <c r="EY162" s="344"/>
      <c r="EZ162" s="222"/>
      <c r="FA162" s="222"/>
      <c r="FB162" s="222"/>
      <c r="FC162" s="273"/>
      <c r="FD162" s="223"/>
      <c r="FE162" s="223"/>
      <c r="FF162" s="276"/>
      <c r="FG162" s="156"/>
      <c r="FH162" s="156"/>
      <c r="FI162" s="156"/>
      <c r="FJ162" s="140"/>
      <c r="FK162" s="277"/>
      <c r="FL162" s="277"/>
      <c r="FM162" s="277"/>
      <c r="FN162" s="140"/>
      <c r="FO162" s="277"/>
      <c r="FP162" s="277"/>
      <c r="FQ162" s="277"/>
      <c r="FR162" s="280"/>
      <c r="FS162" s="277"/>
      <c r="FT162" s="277"/>
      <c r="FU162" s="277"/>
      <c r="FV162" s="277"/>
      <c r="FW162" s="277"/>
      <c r="FX162" s="277"/>
      <c r="FY162" s="277"/>
      <c r="FZ162" s="277"/>
      <c r="GA162" s="277"/>
      <c r="GB162" s="277"/>
      <c r="GC162" s="277"/>
      <c r="GD162" s="277"/>
      <c r="GE162" s="277"/>
      <c r="GF162" s="277"/>
      <c r="GG162" s="277"/>
      <c r="GH162" s="277"/>
      <c r="GI162" s="277"/>
      <c r="GJ162" s="277"/>
      <c r="GK162" s="277"/>
      <c r="GL162" s="277"/>
      <c r="GM162" s="277"/>
      <c r="GN162" s="277"/>
      <c r="GO162" s="277"/>
      <c r="GP162" s="277"/>
      <c r="GQ162" s="277"/>
      <c r="GR162" s="277"/>
      <c r="GS162" s="277"/>
      <c r="GT162" s="277"/>
      <c r="GU162" s="277"/>
      <c r="GV162" s="277"/>
      <c r="GW162" s="277"/>
      <c r="GX162" s="277"/>
      <c r="GY162" s="277"/>
      <c r="GZ162" s="277"/>
      <c r="HA162" s="277"/>
      <c r="HB162" s="277"/>
      <c r="HC162" s="277"/>
      <c r="HD162" s="277"/>
      <c r="HE162" s="277"/>
      <c r="HF162" s="140"/>
      <c r="HG162" s="277"/>
      <c r="HH162" s="277"/>
      <c r="HI162" s="277"/>
      <c r="HJ162" s="140"/>
      <c r="HK162" s="277"/>
      <c r="HL162" s="277"/>
      <c r="HM162" s="277"/>
      <c r="HN162" s="140"/>
      <c r="HO162" s="277"/>
      <c r="HP162" s="277"/>
      <c r="HQ162" s="277"/>
      <c r="HR162" s="277"/>
      <c r="HS162" s="277"/>
      <c r="HT162" s="277"/>
      <c r="HU162" s="277"/>
      <c r="HV162" s="277"/>
      <c r="HW162" s="277"/>
      <c r="HX162" s="277"/>
      <c r="HY162" s="277"/>
      <c r="HZ162" s="140"/>
      <c r="IA162" s="277"/>
      <c r="IB162" s="277"/>
      <c r="IC162" s="277"/>
      <c r="ID162" s="140"/>
      <c r="IE162" s="277"/>
      <c r="IF162" s="277"/>
      <c r="IG162" s="277"/>
      <c r="IH162" s="140"/>
      <c r="II162" s="277"/>
      <c r="IJ162" s="277"/>
      <c r="IK162" s="277"/>
      <c r="IL162" s="140"/>
      <c r="IM162" s="277"/>
      <c r="IN162" s="277"/>
      <c r="IO162" s="277"/>
      <c r="IP162" s="277"/>
      <c r="IQ162" s="277"/>
      <c r="IR162" s="277"/>
      <c r="IS162" s="277"/>
      <c r="IT162" s="277"/>
      <c r="IU162" s="277"/>
      <c r="IV162" s="277"/>
      <c r="IW162" s="277"/>
      <c r="IX162" s="140"/>
      <c r="IY162" s="277"/>
      <c r="IZ162" s="277"/>
      <c r="JA162" s="277"/>
      <c r="JB162" s="140"/>
      <c r="JC162" s="277"/>
      <c r="JD162" s="277"/>
      <c r="JE162" s="277"/>
      <c r="JF162" s="140"/>
      <c r="JG162" s="277"/>
      <c r="JH162" s="277"/>
      <c r="JI162" s="140"/>
      <c r="JJ162" s="277"/>
      <c r="JK162" s="277"/>
      <c r="JL162" s="140"/>
      <c r="JM162" s="277"/>
      <c r="JN162" s="277"/>
      <c r="JO162" s="140"/>
      <c r="JP162" s="277"/>
      <c r="JQ162" s="277"/>
      <c r="JR162" s="277"/>
      <c r="JS162" s="277"/>
      <c r="JT162" s="277"/>
      <c r="JU162" s="277"/>
      <c r="JV162" s="277"/>
      <c r="JW162" s="277"/>
      <c r="JX162" s="277"/>
      <c r="JY162" s="277"/>
      <c r="JZ162" s="277"/>
      <c r="KA162" s="277"/>
      <c r="KB162" s="277"/>
      <c r="KC162" s="277"/>
      <c r="KD162" s="277"/>
      <c r="KE162" s="277"/>
      <c r="KF162" s="277"/>
      <c r="KG162" s="277"/>
      <c r="KH162" s="277"/>
      <c r="KI162" s="277"/>
      <c r="KJ162" s="277"/>
      <c r="KK162" s="277"/>
      <c r="KL162" s="277"/>
      <c r="KM162" s="277"/>
      <c r="KN162" s="277"/>
      <c r="KO162" s="277"/>
      <c r="KP162" s="274"/>
      <c r="KQ162" s="253"/>
      <c r="KR162" s="253"/>
      <c r="KY162" s="141">
        <f t="shared" si="65"/>
        <v>0</v>
      </c>
      <c r="KZ162" s="141">
        <f t="shared" si="66"/>
        <v>0</v>
      </c>
      <c r="LB162" s="141">
        <f t="shared" si="67"/>
        <v>1</v>
      </c>
      <c r="LC162" s="141">
        <f t="shared" si="68"/>
        <v>0</v>
      </c>
      <c r="LD162" s="141">
        <f t="shared" si="69"/>
        <v>0</v>
      </c>
      <c r="LE162" s="141" t="e">
        <f>((N(AU162)&gt;0)*(AX162&lt;&gt;"")+(N(AY162)&gt;0)*(BB162&lt;&gt;"")+(N(BC162)&gt;0)*(BF162&lt;&gt;"")+(N(BG162)&gt;0)*(BJ162&lt;&gt;"")+(N(BK162)&gt;0)*(BN162&lt;&gt;"")+(N(BO162)&gt;0)*(BR162&lt;&gt;"")+(N(BS162)&gt;0)*(BV162&lt;&gt;"")+(N(BW162)&gt;0)*(BZ162&lt;&gt;"")+(N(CA162)&gt;0)*(CD162&lt;&gt;"")+(N(CE162)&gt;0)*(CH162&lt;&gt;"")+(N(CI162)&gt;0)*(CL162&lt;&gt;"")+(N(CM162)&gt;0)*(CP162&lt;&gt;"")+(N(CQ162)&gt;0)*(CT162&lt;&gt;"")+(N(CU162)&gt;0)*(CX162&lt;&gt;"")+(N(CY162)&gt;0)*(DB162&lt;&gt;"")+(N(DC162)&gt;0)*(DF162&lt;&gt;"")+(N(DG162)&gt;0)*(DJ162&lt;&gt;"")+(N(DS162)&gt;0)*(DV162&lt;&gt;"")+(N(DW162)&gt;0)*(DZ162&lt;&gt;"")+(N(EA162)&gt;0)*(ED162&lt;&gt;"")+(N(EE162)&gt;0)*(EH162&lt;&gt;"")+(N(EI162)&gt;0)*(EL162&lt;&gt;"")+(N(EM162)&gt;0)*(EP162&lt;&gt;"")+(N(EQ162)&gt;0)*(ET162&lt;&gt;"")+(N(EU162)&gt;0)*(EX162&lt;&gt;"")+(N(#REF!)&gt;0)*(#REF!&lt;&gt;"")+(N(#REF!)&gt;0)*(#REF!&lt;&gt;"")+(N(FJ162)&gt;0)*(FM162&lt;&gt;"")+(N(FN162)&gt;0)*(FQ162&lt;&gt;"")+(N(#REF!)&gt;0)*(#REF!&lt;&gt;"")+(N(#REF!)&gt;0)*(#REF!&lt;&gt;"")+(N(HF162)&gt;0)*(HI162&lt;&gt;"")+(N(#REF!)&gt;0)*(#REF!&lt;&gt;"")+(N(HJ162)&gt;0)*(HM162&lt;&gt;"")+(N(HN162)&gt;0)*(HQ162&lt;&gt;"")+(N(HZ162)&gt;0)*(IC162&lt;&gt;"")+(N(ID162)&gt;0)*(IG162&lt;&gt;"")+(N(IH162)&gt;0)*(IK162&lt;&gt;"")+(N(IL162)&gt;0)*(IO162&lt;&gt;"")+(N(IX162)&gt;0)*(JA162&lt;&gt;"")+(N(JB162)&gt;0)*(JE162&lt;&gt;"")+(N(JF162)&gt;0)*(JH162&lt;&gt;"")+(N(JI162)&gt;0)*(JK162&lt;&gt;"")+(N(JL162)&gt;0)*(JN162&lt;&gt;"")+(N(JO162)&gt;0)*(JQ162&lt;&gt;""))</f>
        <v>#REF!</v>
      </c>
      <c r="LF162" s="141">
        <f t="shared" si="76"/>
        <v>0</v>
      </c>
      <c r="LG162" s="141">
        <f t="shared" si="70"/>
        <v>0</v>
      </c>
    </row>
    <row r="163" spans="2:319" ht="38.25" customHeight="1" x14ac:dyDescent="0.55000000000000004">
      <c r="B163" s="314" t="s">
        <v>460</v>
      </c>
      <c r="C163" s="218"/>
      <c r="D163" s="218"/>
      <c r="E163" s="218"/>
      <c r="F163" s="218"/>
      <c r="G163" s="218"/>
      <c r="H163" s="218"/>
      <c r="I163" s="162" cm="1">
        <f t="array" ref="I163">SUMPRODUCT(($AI$2:$KV$2&lt;&gt;"")*($AI163:$KV163&lt;&gt;""))</f>
        <v>1</v>
      </c>
      <c r="J163" s="142">
        <f t="shared" si="71"/>
        <v>0</v>
      </c>
      <c r="K163" s="142">
        <f t="shared" si="72"/>
        <v>0</v>
      </c>
      <c r="L163" s="268">
        <f t="shared" si="49"/>
        <v>7000</v>
      </c>
      <c r="M163" s="164">
        <f t="shared" si="73"/>
        <v>784</v>
      </c>
      <c r="N163" s="397"/>
      <c r="O163" s="165">
        <f t="shared" si="74"/>
        <v>0</v>
      </c>
      <c r="P163" s="165"/>
      <c r="Q163" s="165"/>
      <c r="R163" s="165">
        <f>(IFERROR(AM163/AN163,0)+IFERROR(AU163/AV163,0)+IFERROR(AY163/AZ163,0)+IFERROR(BC163/BD163,0)+IFERROR(BG163/BH163,0)+IFERROR(BK163/BL163,0)+IFERROR(BO163/BP163,0)+IFERROR(BS163/BT163,0)+IFERROR(BW163/BX163,0)+IFERROR(CA163/CB163,0)+IFERROR(CE163/CF163,0)+IFERROR(CI163/CJ163,0)+IFERROR(CM163/CN163,0)+IFERROR(CQ163/CR163,0)+IFERROR(CU163/CV163,0)+IFERROR(CY163/CZ163,0)+IFERROR(DC163/DD163,0)+IFERROR(DG163/DH163,0)+IFERROR(DS163/DT163,0)+IFERROR(DW163/DX163,0)+IFERROR(EA163/EB163,0)+IFERROR(EE163/EF163,0)+IFERROR(EI163/EJ163,0)+IFERROR(EM163/EN163,0)+IFERROR(EQ163/ER163,0)+IFERROR(EU163/EV163,0)+IFERROR(#REF!/#REF!,0)+IFERROR(#REF!/#REF!,0)+IFERROR(FJ163/FK163,0)+IFERROR(FN163/FO163,0)+IFERROR(#REF!/#REF!,0)+IFERROR(#REF!/#REF!,0)+IFERROR(HF163/HG163,0)+IFERROR(#REF!/#REF!,0)+IFERROR(HJ163/HK163,0)+IFERROR(HN163/HO163,0)+IFERROR(HZ163/IA163,0)+IFERROR(ID163/IE163,0)+IFERROR(IH163/II163,0)+IFERROR(IL163/IM163,0)+IFERROR(IX163/IY163,0)+IFERROR(JB163/JC163,0)+IFERROR(JF163/JG163,0)+IFERROR(JI163/JJ163,0)+IFERROR(JL163/JM163,0)+IFERROR(JO163/JP163,0))*L163*(C163+D163+E163+I163)</f>
        <v>0</v>
      </c>
      <c r="S163" s="165"/>
      <c r="T163" s="165">
        <f t="shared" si="63"/>
        <v>0</v>
      </c>
      <c r="U163" s="165"/>
      <c r="V163" s="165"/>
      <c r="W163" s="165"/>
      <c r="X163" s="165">
        <f>(IFERROR(FF163/FG163,0)+IFERROR(FC163/FD163,0)+IFERROR(#REF!/#REF!,0)+IFERROR(KP163/KQ163,0))*L163*(C163+D163+E163+I163)</f>
        <v>0</v>
      </c>
      <c r="Y163" s="484"/>
      <c r="Z163" s="484"/>
      <c r="AA163" s="484"/>
      <c r="AB163" s="484"/>
      <c r="AC163" s="150">
        <f t="shared" si="75"/>
        <v>0</v>
      </c>
      <c r="AD163" s="150"/>
      <c r="AE163" s="150">
        <f t="shared" si="64"/>
        <v>0</v>
      </c>
      <c r="AF163" s="161"/>
      <c r="AG163" s="143"/>
      <c r="AH163" s="154"/>
      <c r="AI163" s="342">
        <v>28</v>
      </c>
      <c r="AJ163" s="342">
        <v>250</v>
      </c>
      <c r="AK163" s="342"/>
      <c r="AL163" s="343" t="s">
        <v>545</v>
      </c>
      <c r="AM163" s="140"/>
      <c r="AN163" s="154"/>
      <c r="AO163" s="154"/>
      <c r="AP163" s="220"/>
      <c r="AQ163" s="145"/>
      <c r="AR163" s="154"/>
      <c r="AS163" s="154"/>
      <c r="AT163" s="220"/>
      <c r="AU163" s="140"/>
      <c r="AV163" s="277"/>
      <c r="AW163" s="277"/>
      <c r="AX163" s="277"/>
      <c r="AY163" s="140"/>
      <c r="AZ163" s="277"/>
      <c r="BA163" s="277"/>
      <c r="BB163" s="277"/>
      <c r="BC163" s="140"/>
      <c r="BD163" s="277"/>
      <c r="BE163" s="277"/>
      <c r="BF163" s="277"/>
      <c r="BG163" s="140"/>
      <c r="BH163" s="277"/>
      <c r="BI163" s="277"/>
      <c r="BJ163" s="277"/>
      <c r="BK163" s="140"/>
      <c r="BL163" s="277"/>
      <c r="BM163" s="277"/>
      <c r="BN163" s="277"/>
      <c r="BO163" s="140"/>
      <c r="BP163" s="277"/>
      <c r="BQ163" s="277"/>
      <c r="BR163" s="277"/>
      <c r="BS163" s="140"/>
      <c r="BT163" s="277"/>
      <c r="BU163" s="277"/>
      <c r="BV163" s="277"/>
      <c r="BW163" s="140"/>
      <c r="BX163" s="154"/>
      <c r="BY163" s="154"/>
      <c r="BZ163" s="220"/>
      <c r="CA163" s="140"/>
      <c r="CB163" s="154"/>
      <c r="CC163" s="154"/>
      <c r="CD163" s="220"/>
      <c r="CE163" s="140"/>
      <c r="CF163" s="271"/>
      <c r="CG163" s="271"/>
      <c r="CH163" s="271"/>
      <c r="CI163" s="140"/>
      <c r="CJ163" s="154"/>
      <c r="CK163" s="154"/>
      <c r="CL163" s="154"/>
      <c r="CM163" s="140"/>
      <c r="CN163" s="271"/>
      <c r="CO163" s="271"/>
      <c r="CP163" s="271"/>
      <c r="CQ163" s="140"/>
      <c r="CR163" s="154"/>
      <c r="CS163" s="154"/>
      <c r="CT163" s="154"/>
      <c r="CU163" s="140"/>
      <c r="CV163" s="154"/>
      <c r="CW163" s="154"/>
      <c r="CX163" s="220"/>
      <c r="CY163" s="140"/>
      <c r="CZ163" s="154"/>
      <c r="DA163" s="154"/>
      <c r="DB163" s="220"/>
      <c r="DC163" s="140"/>
      <c r="DD163" s="146"/>
      <c r="DE163" s="146"/>
      <c r="DF163" s="146"/>
      <c r="DG163" s="140"/>
      <c r="DH163" s="146"/>
      <c r="DI163" s="146"/>
      <c r="DJ163" s="146"/>
      <c r="DK163" s="146"/>
      <c r="DL163" s="146"/>
      <c r="DM163" s="146"/>
      <c r="DN163" s="146"/>
      <c r="DO163" s="146"/>
      <c r="DP163" s="146"/>
      <c r="DQ163" s="146"/>
      <c r="DR163" s="146"/>
      <c r="DS163" s="140"/>
      <c r="DT163" s="154"/>
      <c r="DU163" s="154"/>
      <c r="DV163" s="154"/>
      <c r="DW163" s="140"/>
      <c r="DX163" s="220"/>
      <c r="DY163" s="220"/>
      <c r="DZ163" s="220"/>
      <c r="EA163" s="140"/>
      <c r="EB163" s="220"/>
      <c r="EC163" s="220"/>
      <c r="ED163" s="220"/>
      <c r="EE163" s="140"/>
      <c r="EF163" s="154"/>
      <c r="EG163" s="154"/>
      <c r="EH163" s="154"/>
      <c r="EI163" s="140"/>
      <c r="EJ163" s="154"/>
      <c r="EK163" s="154"/>
      <c r="EL163" s="154"/>
      <c r="EM163" s="140"/>
      <c r="EN163" s="222"/>
      <c r="EO163" s="222"/>
      <c r="EP163" s="222"/>
      <c r="EQ163" s="140"/>
      <c r="ER163" s="222"/>
      <c r="ES163" s="222"/>
      <c r="ET163" s="222"/>
      <c r="EU163" s="140"/>
      <c r="EV163" s="222"/>
      <c r="EW163" s="222"/>
      <c r="EX163" s="222"/>
      <c r="EY163" s="344"/>
      <c r="EZ163" s="222"/>
      <c r="FA163" s="222"/>
      <c r="FB163" s="222"/>
      <c r="FC163" s="273"/>
      <c r="FD163" s="223"/>
      <c r="FE163" s="223"/>
      <c r="FF163" s="276"/>
      <c r="FG163" s="156"/>
      <c r="FH163" s="156"/>
      <c r="FI163" s="156"/>
      <c r="FJ163" s="140"/>
      <c r="FK163" s="277"/>
      <c r="FL163" s="277"/>
      <c r="FM163" s="277"/>
      <c r="FN163" s="140"/>
      <c r="FO163" s="277"/>
      <c r="FP163" s="277"/>
      <c r="FQ163" s="277"/>
      <c r="FR163" s="280"/>
      <c r="FS163" s="277"/>
      <c r="FT163" s="277"/>
      <c r="FU163" s="277"/>
      <c r="FV163" s="277"/>
      <c r="FW163" s="277"/>
      <c r="FX163" s="277"/>
      <c r="FY163" s="277"/>
      <c r="FZ163" s="277"/>
      <c r="GA163" s="277"/>
      <c r="GB163" s="277"/>
      <c r="GC163" s="277"/>
      <c r="GD163" s="277"/>
      <c r="GE163" s="277"/>
      <c r="GF163" s="277"/>
      <c r="GG163" s="277"/>
      <c r="GH163" s="277"/>
      <c r="GI163" s="277"/>
      <c r="GJ163" s="277"/>
      <c r="GK163" s="277"/>
      <c r="GL163" s="277"/>
      <c r="GM163" s="277"/>
      <c r="GN163" s="277"/>
      <c r="GO163" s="277"/>
      <c r="GP163" s="277"/>
      <c r="GQ163" s="277"/>
      <c r="GR163" s="277"/>
      <c r="GS163" s="277"/>
      <c r="GT163" s="277"/>
      <c r="GU163" s="277"/>
      <c r="GV163" s="277"/>
      <c r="GW163" s="277"/>
      <c r="GX163" s="277"/>
      <c r="GY163" s="277"/>
      <c r="GZ163" s="277"/>
      <c r="HA163" s="277"/>
      <c r="HB163" s="277"/>
      <c r="HC163" s="277"/>
      <c r="HD163" s="277"/>
      <c r="HE163" s="277"/>
      <c r="HF163" s="140"/>
      <c r="HG163" s="277"/>
      <c r="HH163" s="277"/>
      <c r="HI163" s="277"/>
      <c r="HJ163" s="140"/>
      <c r="HK163" s="277"/>
      <c r="HL163" s="277"/>
      <c r="HM163" s="277"/>
      <c r="HN163" s="140"/>
      <c r="HO163" s="277"/>
      <c r="HP163" s="277"/>
      <c r="HQ163" s="277"/>
      <c r="HR163" s="277"/>
      <c r="HS163" s="277"/>
      <c r="HT163" s="277"/>
      <c r="HU163" s="277"/>
      <c r="HV163" s="277"/>
      <c r="HW163" s="277"/>
      <c r="HX163" s="277"/>
      <c r="HY163" s="277"/>
      <c r="HZ163" s="140"/>
      <c r="IA163" s="277"/>
      <c r="IB163" s="277"/>
      <c r="IC163" s="277"/>
      <c r="ID163" s="140"/>
      <c r="IE163" s="277"/>
      <c r="IF163" s="277"/>
      <c r="IG163" s="277"/>
      <c r="IH163" s="140"/>
      <c r="II163" s="277"/>
      <c r="IJ163" s="277"/>
      <c r="IK163" s="277"/>
      <c r="IL163" s="140"/>
      <c r="IM163" s="277"/>
      <c r="IN163" s="277"/>
      <c r="IO163" s="277"/>
      <c r="IP163" s="277"/>
      <c r="IQ163" s="277"/>
      <c r="IR163" s="277"/>
      <c r="IS163" s="277"/>
      <c r="IT163" s="277"/>
      <c r="IU163" s="277"/>
      <c r="IV163" s="277"/>
      <c r="IW163" s="277"/>
      <c r="IX163" s="140"/>
      <c r="IY163" s="277"/>
      <c r="IZ163" s="277"/>
      <c r="JA163" s="277"/>
      <c r="JB163" s="140"/>
      <c r="JC163" s="277"/>
      <c r="JD163" s="277"/>
      <c r="JE163" s="277"/>
      <c r="JF163" s="140"/>
      <c r="JG163" s="277"/>
      <c r="JH163" s="277"/>
      <c r="JI163" s="140"/>
      <c r="JJ163" s="277"/>
      <c r="JK163" s="277"/>
      <c r="JL163" s="140"/>
      <c r="JM163" s="277"/>
      <c r="JN163" s="277"/>
      <c r="JO163" s="140"/>
      <c r="JP163" s="277"/>
      <c r="JQ163" s="277"/>
      <c r="JR163" s="277"/>
      <c r="JS163" s="277"/>
      <c r="JT163" s="277"/>
      <c r="JU163" s="277"/>
      <c r="JV163" s="277"/>
      <c r="JW163" s="277"/>
      <c r="JX163" s="277"/>
      <c r="JY163" s="277"/>
      <c r="JZ163" s="277"/>
      <c r="KA163" s="277"/>
      <c r="KB163" s="277"/>
      <c r="KC163" s="277"/>
      <c r="KD163" s="277"/>
      <c r="KE163" s="277"/>
      <c r="KF163" s="277"/>
      <c r="KG163" s="277"/>
      <c r="KH163" s="277"/>
      <c r="KI163" s="277"/>
      <c r="KJ163" s="277"/>
      <c r="KK163" s="277"/>
      <c r="KL163" s="277"/>
      <c r="KM163" s="277"/>
      <c r="KN163" s="277"/>
      <c r="KO163" s="277"/>
      <c r="KP163" s="274"/>
      <c r="KQ163" s="253"/>
      <c r="KR163" s="253"/>
      <c r="KY163" s="141">
        <f t="shared" si="65"/>
        <v>0</v>
      </c>
      <c r="KZ163" s="141">
        <f t="shared" si="66"/>
        <v>0</v>
      </c>
      <c r="LB163" s="141">
        <f t="shared" si="67"/>
        <v>1</v>
      </c>
      <c r="LC163" s="141">
        <f t="shared" si="68"/>
        <v>0</v>
      </c>
      <c r="LD163" s="141">
        <f t="shared" si="69"/>
        <v>0</v>
      </c>
      <c r="LE163" s="141" t="e">
        <f>((N(AU163)&gt;0)*(AX163&lt;&gt;"")+(N(AY163)&gt;0)*(BB163&lt;&gt;"")+(N(BC163)&gt;0)*(BF163&lt;&gt;"")+(N(BG163)&gt;0)*(BJ163&lt;&gt;"")+(N(BK163)&gt;0)*(BN163&lt;&gt;"")+(N(BO163)&gt;0)*(BR163&lt;&gt;"")+(N(BS163)&gt;0)*(BV163&lt;&gt;"")+(N(BW163)&gt;0)*(BZ163&lt;&gt;"")+(N(CA163)&gt;0)*(CD163&lt;&gt;"")+(N(CE163)&gt;0)*(CH163&lt;&gt;"")+(N(CI163)&gt;0)*(CL163&lt;&gt;"")+(N(CM163)&gt;0)*(CP163&lt;&gt;"")+(N(CQ163)&gt;0)*(CT163&lt;&gt;"")+(N(CU163)&gt;0)*(CX163&lt;&gt;"")+(N(CY163)&gt;0)*(DB163&lt;&gt;"")+(N(DC163)&gt;0)*(DF163&lt;&gt;"")+(N(DG163)&gt;0)*(DJ163&lt;&gt;"")+(N(DS163)&gt;0)*(DV163&lt;&gt;"")+(N(DW163)&gt;0)*(DZ163&lt;&gt;"")+(N(EA163)&gt;0)*(ED163&lt;&gt;"")+(N(EE163)&gt;0)*(EH163&lt;&gt;"")+(N(EI163)&gt;0)*(EL163&lt;&gt;"")+(N(EM163)&gt;0)*(EP163&lt;&gt;"")+(N(EQ163)&gt;0)*(ET163&lt;&gt;"")+(N(EU163)&gt;0)*(EX163&lt;&gt;"")+(N(#REF!)&gt;0)*(#REF!&lt;&gt;"")+(N(#REF!)&gt;0)*(#REF!&lt;&gt;"")+(N(FJ163)&gt;0)*(FM163&lt;&gt;"")+(N(FN163)&gt;0)*(FQ163&lt;&gt;"")+(N(#REF!)&gt;0)*(#REF!&lt;&gt;"")+(N(#REF!)&gt;0)*(#REF!&lt;&gt;"")+(N(HF163)&gt;0)*(HI163&lt;&gt;"")+(N(#REF!)&gt;0)*(#REF!&lt;&gt;"")+(N(HJ163)&gt;0)*(HM163&lt;&gt;"")+(N(HN163)&gt;0)*(HQ163&lt;&gt;"")+(N(HZ163)&gt;0)*(IC163&lt;&gt;"")+(N(ID163)&gt;0)*(IG163&lt;&gt;"")+(N(IH163)&gt;0)*(IK163&lt;&gt;"")+(N(IL163)&gt;0)*(IO163&lt;&gt;"")+(N(IX163)&gt;0)*(JA163&lt;&gt;"")+(N(JB163)&gt;0)*(JE163&lt;&gt;"")+(N(JF163)&gt;0)*(JH163&lt;&gt;"")+(N(JI163)&gt;0)*(JK163&lt;&gt;"")+(N(JL163)&gt;0)*(JN163&lt;&gt;"")+(N(JO163)&gt;0)*(JQ163&lt;&gt;""))</f>
        <v>#REF!</v>
      </c>
      <c r="LF163" s="141">
        <f t="shared" si="76"/>
        <v>0</v>
      </c>
      <c r="LG163" s="141">
        <f t="shared" si="70"/>
        <v>0</v>
      </c>
    </row>
    <row r="164" spans="2:319" ht="38.25" customHeight="1" x14ac:dyDescent="0.55000000000000004">
      <c r="B164" s="314" t="s">
        <v>462</v>
      </c>
      <c r="C164" s="218"/>
      <c r="D164" s="218"/>
      <c r="E164" s="218"/>
      <c r="F164" s="218"/>
      <c r="G164" s="218"/>
      <c r="H164" s="218"/>
      <c r="I164" s="162" cm="1">
        <f t="array" ref="I164">SUMPRODUCT(($AI$2:$KV$2&lt;&gt;"")*($AI164:$KV164&lt;&gt;""))</f>
        <v>1</v>
      </c>
      <c r="J164" s="142">
        <f t="shared" si="71"/>
        <v>0</v>
      </c>
      <c r="K164" s="142">
        <f t="shared" si="72"/>
        <v>0</v>
      </c>
      <c r="L164" s="268">
        <f t="shared" si="49"/>
        <v>7000</v>
      </c>
      <c r="M164" s="164">
        <f t="shared" si="73"/>
        <v>784</v>
      </c>
      <c r="N164" s="397"/>
      <c r="O164" s="165">
        <f t="shared" si="74"/>
        <v>0</v>
      </c>
      <c r="P164" s="165"/>
      <c r="Q164" s="165"/>
      <c r="R164" s="165">
        <f>(IFERROR(AM164/AN164,0)+IFERROR(AU164/AV164,0)+IFERROR(AY164/AZ164,0)+IFERROR(BC164/BD164,0)+IFERROR(BG164/BH164,0)+IFERROR(BK164/BL164,0)+IFERROR(BO164/BP164,0)+IFERROR(BS164/BT164,0)+IFERROR(BW164/BX164,0)+IFERROR(CA164/CB164,0)+IFERROR(CE164/CF164,0)+IFERROR(CI164/CJ164,0)+IFERROR(CM164/CN164,0)+IFERROR(CQ164/CR164,0)+IFERROR(CU164/CV164,0)+IFERROR(CY164/CZ164,0)+IFERROR(DC164/DD164,0)+IFERROR(DG164/DH164,0)+IFERROR(DS164/DT164,0)+IFERROR(DW164/DX164,0)+IFERROR(EA164/EB164,0)+IFERROR(EE164/EF164,0)+IFERROR(EI164/EJ164,0)+IFERROR(EM164/EN164,0)+IFERROR(EQ164/ER164,0)+IFERROR(EU164/EV164,0)+IFERROR(#REF!/#REF!,0)+IFERROR(#REF!/#REF!,0)+IFERROR(FJ164/FK164,0)+IFERROR(FN164/FO164,0)+IFERROR(#REF!/#REF!,0)+IFERROR(#REF!/#REF!,0)+IFERROR(HF164/HG164,0)+IFERROR(#REF!/#REF!,0)+IFERROR(HJ164/HK164,0)+IFERROR(HN164/HO164,0)+IFERROR(HZ164/IA164,0)+IFERROR(ID164/IE164,0)+IFERROR(IH164/II164,0)+IFERROR(IL164/IM164,0)+IFERROR(IX164/IY164,0)+IFERROR(JB164/JC164,0)+IFERROR(JF164/JG164,0)+IFERROR(JI164/JJ164,0)+IFERROR(JL164/JM164,0)+IFERROR(JO164/JP164,0))*L164*(C164+D164+E164+I164)</f>
        <v>0</v>
      </c>
      <c r="S164" s="165"/>
      <c r="T164" s="165">
        <f t="shared" si="63"/>
        <v>0</v>
      </c>
      <c r="U164" s="165"/>
      <c r="V164" s="165"/>
      <c r="W164" s="165"/>
      <c r="X164" s="165">
        <f>(IFERROR(FF164/FG164,0)+IFERROR(FC164/FD164,0)+IFERROR(#REF!/#REF!,0)+IFERROR(KP164/KQ164,0))*L164*(C164+D164+E164+I164)</f>
        <v>0</v>
      </c>
      <c r="Y164" s="484"/>
      <c r="Z164" s="484"/>
      <c r="AA164" s="484"/>
      <c r="AB164" s="484"/>
      <c r="AC164" s="150">
        <f t="shared" si="75"/>
        <v>0</v>
      </c>
      <c r="AD164" s="150"/>
      <c r="AE164" s="150">
        <f t="shared" si="64"/>
        <v>0</v>
      </c>
      <c r="AF164" s="161"/>
      <c r="AG164" s="143"/>
      <c r="AH164" s="154"/>
      <c r="AI164" s="342">
        <v>28</v>
      </c>
      <c r="AJ164" s="342">
        <v>250</v>
      </c>
      <c r="AK164" s="342"/>
      <c r="AL164" s="343" t="s">
        <v>545</v>
      </c>
      <c r="AM164" s="140"/>
      <c r="AN164" s="154"/>
      <c r="AO164" s="154"/>
      <c r="AP164" s="220"/>
      <c r="AQ164" s="145"/>
      <c r="AR164" s="154"/>
      <c r="AS164" s="154"/>
      <c r="AT164" s="220"/>
      <c r="AU164" s="140"/>
      <c r="AV164" s="277"/>
      <c r="AW164" s="277"/>
      <c r="AX164" s="277"/>
      <c r="AY164" s="140"/>
      <c r="AZ164" s="277"/>
      <c r="BA164" s="277"/>
      <c r="BB164" s="277"/>
      <c r="BC164" s="140"/>
      <c r="BD164" s="277"/>
      <c r="BE164" s="277"/>
      <c r="BF164" s="277"/>
      <c r="BG164" s="140"/>
      <c r="BH164" s="277"/>
      <c r="BI164" s="277"/>
      <c r="BJ164" s="277"/>
      <c r="BK164" s="140"/>
      <c r="BL164" s="277"/>
      <c r="BM164" s="277"/>
      <c r="BN164" s="277"/>
      <c r="BO164" s="140"/>
      <c r="BP164" s="277"/>
      <c r="BQ164" s="277"/>
      <c r="BR164" s="277"/>
      <c r="BS164" s="140"/>
      <c r="BT164" s="277"/>
      <c r="BU164" s="277"/>
      <c r="BV164" s="277"/>
      <c r="BW164" s="140"/>
      <c r="BX164" s="154"/>
      <c r="BY164" s="154"/>
      <c r="BZ164" s="220"/>
      <c r="CA164" s="140"/>
      <c r="CB164" s="154"/>
      <c r="CC164" s="154"/>
      <c r="CD164" s="220"/>
      <c r="CE164" s="140"/>
      <c r="CF164" s="271"/>
      <c r="CG164" s="271"/>
      <c r="CH164" s="271"/>
      <c r="CI164" s="140"/>
      <c r="CJ164" s="154"/>
      <c r="CK164" s="154"/>
      <c r="CL164" s="154"/>
      <c r="CM164" s="140"/>
      <c r="CN164" s="271"/>
      <c r="CO164" s="271"/>
      <c r="CP164" s="271"/>
      <c r="CQ164" s="140"/>
      <c r="CR164" s="154"/>
      <c r="CS164" s="154"/>
      <c r="CT164" s="154"/>
      <c r="CU164" s="140"/>
      <c r="CV164" s="154"/>
      <c r="CW164" s="154"/>
      <c r="CX164" s="220"/>
      <c r="CY164" s="140"/>
      <c r="CZ164" s="154"/>
      <c r="DA164" s="154"/>
      <c r="DB164" s="220"/>
      <c r="DC164" s="140"/>
      <c r="DD164" s="146"/>
      <c r="DE164" s="146"/>
      <c r="DF164" s="146"/>
      <c r="DG164" s="140"/>
      <c r="DH164" s="146"/>
      <c r="DI164" s="146"/>
      <c r="DJ164" s="146"/>
      <c r="DK164" s="146"/>
      <c r="DL164" s="146"/>
      <c r="DM164" s="146"/>
      <c r="DN164" s="146"/>
      <c r="DO164" s="146"/>
      <c r="DP164" s="146"/>
      <c r="DQ164" s="146"/>
      <c r="DR164" s="146"/>
      <c r="DS164" s="140"/>
      <c r="DT164" s="154"/>
      <c r="DU164" s="154"/>
      <c r="DV164" s="154"/>
      <c r="DW164" s="140"/>
      <c r="DX164" s="220"/>
      <c r="DY164" s="220"/>
      <c r="DZ164" s="220"/>
      <c r="EA164" s="140"/>
      <c r="EB164" s="220"/>
      <c r="EC164" s="220"/>
      <c r="ED164" s="220"/>
      <c r="EE164" s="140"/>
      <c r="EF164" s="154"/>
      <c r="EG164" s="154"/>
      <c r="EH164" s="154"/>
      <c r="EI164" s="140"/>
      <c r="EJ164" s="154"/>
      <c r="EK164" s="154"/>
      <c r="EL164" s="154"/>
      <c r="EM164" s="140"/>
      <c r="EN164" s="222"/>
      <c r="EO164" s="222"/>
      <c r="EP164" s="222"/>
      <c r="EQ164" s="140"/>
      <c r="ER164" s="222"/>
      <c r="ES164" s="222"/>
      <c r="ET164" s="222"/>
      <c r="EU164" s="140"/>
      <c r="EV164" s="222"/>
      <c r="EW164" s="222"/>
      <c r="EX164" s="222"/>
      <c r="EY164" s="344"/>
      <c r="EZ164" s="222"/>
      <c r="FA164" s="222"/>
      <c r="FB164" s="222"/>
      <c r="FC164" s="273"/>
      <c r="FD164" s="223"/>
      <c r="FE164" s="223"/>
      <c r="FF164" s="276"/>
      <c r="FG164" s="156"/>
      <c r="FH164" s="156"/>
      <c r="FI164" s="156"/>
      <c r="FJ164" s="140"/>
      <c r="FK164" s="277"/>
      <c r="FL164" s="277"/>
      <c r="FM164" s="277"/>
      <c r="FN164" s="140"/>
      <c r="FO164" s="277"/>
      <c r="FP164" s="277"/>
      <c r="FQ164" s="277"/>
      <c r="FR164" s="280"/>
      <c r="FS164" s="277"/>
      <c r="FT164" s="277"/>
      <c r="FU164" s="277"/>
      <c r="FV164" s="277"/>
      <c r="FW164" s="277"/>
      <c r="FX164" s="277"/>
      <c r="FY164" s="277"/>
      <c r="FZ164" s="277"/>
      <c r="GA164" s="277"/>
      <c r="GB164" s="277"/>
      <c r="GC164" s="277"/>
      <c r="GD164" s="277"/>
      <c r="GE164" s="277"/>
      <c r="GF164" s="277"/>
      <c r="GG164" s="277"/>
      <c r="GH164" s="277"/>
      <c r="GI164" s="277"/>
      <c r="GJ164" s="277"/>
      <c r="GK164" s="277"/>
      <c r="GL164" s="277"/>
      <c r="GM164" s="277"/>
      <c r="GN164" s="277"/>
      <c r="GO164" s="277"/>
      <c r="GP164" s="277"/>
      <c r="GQ164" s="277"/>
      <c r="GR164" s="277"/>
      <c r="GS164" s="277"/>
      <c r="GT164" s="277"/>
      <c r="GU164" s="277"/>
      <c r="GV164" s="277"/>
      <c r="GW164" s="277"/>
      <c r="GX164" s="277"/>
      <c r="GY164" s="277"/>
      <c r="GZ164" s="277"/>
      <c r="HA164" s="277"/>
      <c r="HB164" s="277"/>
      <c r="HC164" s="277"/>
      <c r="HD164" s="277"/>
      <c r="HE164" s="277"/>
      <c r="HF164" s="140"/>
      <c r="HG164" s="277"/>
      <c r="HH164" s="277"/>
      <c r="HI164" s="277"/>
      <c r="HJ164" s="140"/>
      <c r="HK164" s="277"/>
      <c r="HL164" s="277"/>
      <c r="HM164" s="277"/>
      <c r="HN164" s="140"/>
      <c r="HO164" s="277"/>
      <c r="HP164" s="277"/>
      <c r="HQ164" s="277"/>
      <c r="HR164" s="277"/>
      <c r="HS164" s="277"/>
      <c r="HT164" s="277"/>
      <c r="HU164" s="277"/>
      <c r="HV164" s="277"/>
      <c r="HW164" s="277"/>
      <c r="HX164" s="277"/>
      <c r="HY164" s="277"/>
      <c r="HZ164" s="140"/>
      <c r="IA164" s="277"/>
      <c r="IB164" s="277"/>
      <c r="IC164" s="277"/>
      <c r="ID164" s="140"/>
      <c r="IE164" s="277"/>
      <c r="IF164" s="277"/>
      <c r="IG164" s="277"/>
      <c r="IH164" s="140"/>
      <c r="II164" s="277"/>
      <c r="IJ164" s="277"/>
      <c r="IK164" s="277"/>
      <c r="IL164" s="140"/>
      <c r="IM164" s="277"/>
      <c r="IN164" s="277"/>
      <c r="IO164" s="277"/>
      <c r="IP164" s="277"/>
      <c r="IQ164" s="277"/>
      <c r="IR164" s="277"/>
      <c r="IS164" s="277"/>
      <c r="IT164" s="277"/>
      <c r="IU164" s="277"/>
      <c r="IV164" s="277"/>
      <c r="IW164" s="277"/>
      <c r="IX164" s="140"/>
      <c r="IY164" s="277"/>
      <c r="IZ164" s="277"/>
      <c r="JA164" s="277"/>
      <c r="JB164" s="140"/>
      <c r="JC164" s="277"/>
      <c r="JD164" s="277"/>
      <c r="JE164" s="277"/>
      <c r="JF164" s="140"/>
      <c r="JG164" s="277"/>
      <c r="JH164" s="277"/>
      <c r="JI164" s="140"/>
      <c r="JJ164" s="277"/>
      <c r="JK164" s="277"/>
      <c r="JL164" s="140"/>
      <c r="JM164" s="277"/>
      <c r="JN164" s="277"/>
      <c r="JO164" s="140"/>
      <c r="JP164" s="277"/>
      <c r="JQ164" s="277"/>
      <c r="JR164" s="277"/>
      <c r="JS164" s="277"/>
      <c r="JT164" s="277"/>
      <c r="JU164" s="277"/>
      <c r="JV164" s="277"/>
      <c r="JW164" s="277"/>
      <c r="JX164" s="277"/>
      <c r="JY164" s="277"/>
      <c r="JZ164" s="277"/>
      <c r="KA164" s="277"/>
      <c r="KB164" s="277"/>
      <c r="KC164" s="277"/>
      <c r="KD164" s="277"/>
      <c r="KE164" s="277"/>
      <c r="KF164" s="277"/>
      <c r="KG164" s="277"/>
      <c r="KH164" s="277"/>
      <c r="KI164" s="277"/>
      <c r="KJ164" s="277"/>
      <c r="KK164" s="277"/>
      <c r="KL164" s="277"/>
      <c r="KM164" s="277"/>
      <c r="KN164" s="277"/>
      <c r="KO164" s="277"/>
      <c r="KP164" s="274"/>
      <c r="KQ164" s="253"/>
      <c r="KR164" s="253"/>
      <c r="KY164" s="141">
        <f t="shared" si="65"/>
        <v>0</v>
      </c>
      <c r="KZ164" s="141">
        <f t="shared" si="66"/>
        <v>0</v>
      </c>
      <c r="LB164" s="141">
        <f t="shared" si="67"/>
        <v>1</v>
      </c>
      <c r="LC164" s="141">
        <f t="shared" si="68"/>
        <v>0</v>
      </c>
      <c r="LD164" s="141">
        <f t="shared" si="69"/>
        <v>0</v>
      </c>
      <c r="LE164" s="141" t="e">
        <f>((N(AU164)&gt;0)*(AX164&lt;&gt;"")+(N(AY164)&gt;0)*(BB164&lt;&gt;"")+(N(BC164)&gt;0)*(BF164&lt;&gt;"")+(N(BG164)&gt;0)*(BJ164&lt;&gt;"")+(N(BK164)&gt;0)*(BN164&lt;&gt;"")+(N(BO164)&gt;0)*(BR164&lt;&gt;"")+(N(BS164)&gt;0)*(BV164&lt;&gt;"")+(N(BW164)&gt;0)*(BZ164&lt;&gt;"")+(N(CA164)&gt;0)*(CD164&lt;&gt;"")+(N(CE164)&gt;0)*(CH164&lt;&gt;"")+(N(CI164)&gt;0)*(CL164&lt;&gt;"")+(N(CM164)&gt;0)*(CP164&lt;&gt;"")+(N(CQ164)&gt;0)*(CT164&lt;&gt;"")+(N(CU164)&gt;0)*(CX164&lt;&gt;"")+(N(CY164)&gt;0)*(DB164&lt;&gt;"")+(N(DC164)&gt;0)*(DF164&lt;&gt;"")+(N(DG164)&gt;0)*(DJ164&lt;&gt;"")+(N(DS164)&gt;0)*(DV164&lt;&gt;"")+(N(DW164)&gt;0)*(DZ164&lt;&gt;"")+(N(EA164)&gt;0)*(ED164&lt;&gt;"")+(N(EE164)&gt;0)*(EH164&lt;&gt;"")+(N(EI164)&gt;0)*(EL164&lt;&gt;"")+(N(EM164)&gt;0)*(EP164&lt;&gt;"")+(N(EQ164)&gt;0)*(ET164&lt;&gt;"")+(N(EU164)&gt;0)*(EX164&lt;&gt;"")+(N(#REF!)&gt;0)*(#REF!&lt;&gt;"")+(N(#REF!)&gt;0)*(#REF!&lt;&gt;"")+(N(FJ164)&gt;0)*(FM164&lt;&gt;"")+(N(FN164)&gt;0)*(FQ164&lt;&gt;"")+(N(#REF!)&gt;0)*(#REF!&lt;&gt;"")+(N(#REF!)&gt;0)*(#REF!&lt;&gt;"")+(N(HF164)&gt;0)*(HI164&lt;&gt;"")+(N(#REF!)&gt;0)*(#REF!&lt;&gt;"")+(N(HJ164)&gt;0)*(HM164&lt;&gt;"")+(N(HN164)&gt;0)*(HQ164&lt;&gt;"")+(N(HZ164)&gt;0)*(IC164&lt;&gt;"")+(N(ID164)&gt;0)*(IG164&lt;&gt;"")+(N(IH164)&gt;0)*(IK164&lt;&gt;"")+(N(IL164)&gt;0)*(IO164&lt;&gt;"")+(N(IX164)&gt;0)*(JA164&lt;&gt;"")+(N(JB164)&gt;0)*(JE164&lt;&gt;"")+(N(JF164)&gt;0)*(JH164&lt;&gt;"")+(N(JI164)&gt;0)*(JK164&lt;&gt;"")+(N(JL164)&gt;0)*(JN164&lt;&gt;"")+(N(JO164)&gt;0)*(JQ164&lt;&gt;""))</f>
        <v>#REF!</v>
      </c>
      <c r="LF164" s="141">
        <f t="shared" si="76"/>
        <v>0</v>
      </c>
      <c r="LG164" s="141">
        <f t="shared" si="70"/>
        <v>0</v>
      </c>
    </row>
    <row r="165" spans="2:319" ht="38.25" customHeight="1" x14ac:dyDescent="0.55000000000000004">
      <c r="B165" s="314" t="s">
        <v>463</v>
      </c>
      <c r="C165" s="218"/>
      <c r="D165" s="218"/>
      <c r="E165" s="218"/>
      <c r="F165" s="218"/>
      <c r="G165" s="218"/>
      <c r="H165" s="218"/>
      <c r="I165" s="162" cm="1">
        <f t="array" ref="I165">SUMPRODUCT(($AI$2:$KV$2&lt;&gt;"")*($AI165:$KV165&lt;&gt;""))</f>
        <v>1</v>
      </c>
      <c r="J165" s="142">
        <f t="shared" si="71"/>
        <v>0</v>
      </c>
      <c r="K165" s="142">
        <f t="shared" si="72"/>
        <v>0</v>
      </c>
      <c r="L165" s="268">
        <f t="shared" si="49"/>
        <v>7000</v>
      </c>
      <c r="M165" s="164">
        <f t="shared" si="73"/>
        <v>784</v>
      </c>
      <c r="N165" s="397"/>
      <c r="O165" s="165">
        <f t="shared" si="74"/>
        <v>0</v>
      </c>
      <c r="P165" s="165"/>
      <c r="Q165" s="165"/>
      <c r="R165" s="165">
        <f>(IFERROR(AM165/AN165,0)+IFERROR(AU165/AV165,0)+IFERROR(AY165/AZ165,0)+IFERROR(BC165/BD165,0)+IFERROR(BG165/BH165,0)+IFERROR(BK165/BL165,0)+IFERROR(BO165/BP165,0)+IFERROR(BS165/BT165,0)+IFERROR(BW165/BX165,0)+IFERROR(CA165/CB165,0)+IFERROR(CE165/CF165,0)+IFERROR(CI165/CJ165,0)+IFERROR(CM165/CN165,0)+IFERROR(CQ165/CR165,0)+IFERROR(CU165/CV165,0)+IFERROR(CY165/CZ165,0)+IFERROR(DC165/DD165,0)+IFERROR(DG165/DH165,0)+IFERROR(DS165/DT165,0)+IFERROR(DW165/DX165,0)+IFERROR(EA165/EB165,0)+IFERROR(EE165/EF165,0)+IFERROR(EI165/EJ165,0)+IFERROR(EM165/EN165,0)+IFERROR(EQ165/ER165,0)+IFERROR(EU165/EV165,0)+IFERROR(#REF!/#REF!,0)+IFERROR(#REF!/#REF!,0)+IFERROR(FJ165/FK165,0)+IFERROR(FN165/FO165,0)+IFERROR(#REF!/#REF!,0)+IFERROR(#REF!/#REF!,0)+IFERROR(HF165/HG165,0)+IFERROR(#REF!/#REF!,0)+IFERROR(HJ165/HK165,0)+IFERROR(HN165/HO165,0)+IFERROR(HZ165/IA165,0)+IFERROR(ID165/IE165,0)+IFERROR(IH165/II165,0)+IFERROR(IL165/IM165,0)+IFERROR(IX165/IY165,0)+IFERROR(JB165/JC165,0)+IFERROR(JF165/JG165,0)+IFERROR(JI165/JJ165,0)+IFERROR(JL165/JM165,0)+IFERROR(JO165/JP165,0))*L165*(C165+D165+E165+I165)</f>
        <v>0</v>
      </c>
      <c r="S165" s="165"/>
      <c r="T165" s="165">
        <f t="shared" si="63"/>
        <v>0</v>
      </c>
      <c r="U165" s="165"/>
      <c r="V165" s="165"/>
      <c r="W165" s="165"/>
      <c r="X165" s="165">
        <f>(IFERROR(FF165/FG165,0)+IFERROR(FC165/FD165,0)+IFERROR(#REF!/#REF!,0)+IFERROR(KP165/KQ165,0))*L165*(C165+D165+E165+I165)</f>
        <v>0</v>
      </c>
      <c r="Y165" s="484"/>
      <c r="Z165" s="484"/>
      <c r="AA165" s="484"/>
      <c r="AB165" s="484"/>
      <c r="AC165" s="150">
        <f t="shared" si="75"/>
        <v>0</v>
      </c>
      <c r="AD165" s="150"/>
      <c r="AE165" s="150">
        <f t="shared" si="64"/>
        <v>0</v>
      </c>
      <c r="AF165" s="161"/>
      <c r="AG165" s="143"/>
      <c r="AH165" s="154"/>
      <c r="AI165" s="342">
        <v>28</v>
      </c>
      <c r="AJ165" s="342">
        <v>250</v>
      </c>
      <c r="AK165" s="342"/>
      <c r="AL165" s="343" t="s">
        <v>545</v>
      </c>
      <c r="AM165" s="140"/>
      <c r="AN165" s="154"/>
      <c r="AO165" s="154"/>
      <c r="AP165" s="220"/>
      <c r="AQ165" s="145"/>
      <c r="AR165" s="154"/>
      <c r="AS165" s="154"/>
      <c r="AT165" s="220"/>
      <c r="AU165" s="140"/>
      <c r="AV165" s="277"/>
      <c r="AW165" s="277"/>
      <c r="AX165" s="277"/>
      <c r="AY165" s="140"/>
      <c r="AZ165" s="277"/>
      <c r="BA165" s="277"/>
      <c r="BB165" s="277"/>
      <c r="BC165" s="140"/>
      <c r="BD165" s="277"/>
      <c r="BE165" s="277"/>
      <c r="BF165" s="277"/>
      <c r="BG165" s="140"/>
      <c r="BH165" s="277"/>
      <c r="BI165" s="277"/>
      <c r="BJ165" s="277"/>
      <c r="BK165" s="140"/>
      <c r="BL165" s="277"/>
      <c r="BM165" s="277"/>
      <c r="BN165" s="277"/>
      <c r="BO165" s="140"/>
      <c r="BP165" s="277"/>
      <c r="BQ165" s="277"/>
      <c r="BR165" s="277"/>
      <c r="BS165" s="140"/>
      <c r="BT165" s="277"/>
      <c r="BU165" s="277"/>
      <c r="BV165" s="277"/>
      <c r="BW165" s="140"/>
      <c r="BX165" s="154"/>
      <c r="BY165" s="154"/>
      <c r="BZ165" s="220"/>
      <c r="CA165" s="140"/>
      <c r="CB165" s="154"/>
      <c r="CC165" s="154"/>
      <c r="CD165" s="220"/>
      <c r="CE165" s="140"/>
      <c r="CF165" s="271"/>
      <c r="CG165" s="271"/>
      <c r="CH165" s="271"/>
      <c r="CI165" s="140"/>
      <c r="CJ165" s="154"/>
      <c r="CK165" s="154"/>
      <c r="CL165" s="154"/>
      <c r="CM165" s="140"/>
      <c r="CN165" s="271"/>
      <c r="CO165" s="271"/>
      <c r="CP165" s="271"/>
      <c r="CQ165" s="140"/>
      <c r="CR165" s="154"/>
      <c r="CS165" s="154"/>
      <c r="CT165" s="154"/>
      <c r="CU165" s="140"/>
      <c r="CV165" s="154"/>
      <c r="CW165" s="154"/>
      <c r="CX165" s="220"/>
      <c r="CY165" s="140"/>
      <c r="CZ165" s="154"/>
      <c r="DA165" s="154"/>
      <c r="DB165" s="220"/>
      <c r="DC165" s="140"/>
      <c r="DD165" s="146"/>
      <c r="DE165" s="146"/>
      <c r="DF165" s="146"/>
      <c r="DG165" s="140"/>
      <c r="DH165" s="146"/>
      <c r="DI165" s="146"/>
      <c r="DJ165" s="146"/>
      <c r="DK165" s="146"/>
      <c r="DL165" s="146"/>
      <c r="DM165" s="146"/>
      <c r="DN165" s="146"/>
      <c r="DO165" s="146"/>
      <c r="DP165" s="146"/>
      <c r="DQ165" s="146"/>
      <c r="DR165" s="146"/>
      <c r="DS165" s="140"/>
      <c r="DT165" s="154"/>
      <c r="DU165" s="154"/>
      <c r="DV165" s="154"/>
      <c r="DW165" s="140"/>
      <c r="DX165" s="220"/>
      <c r="DY165" s="220"/>
      <c r="DZ165" s="220"/>
      <c r="EA165" s="140"/>
      <c r="EB165" s="220"/>
      <c r="EC165" s="220"/>
      <c r="ED165" s="220"/>
      <c r="EE165" s="140"/>
      <c r="EF165" s="154"/>
      <c r="EG165" s="154"/>
      <c r="EH165" s="154"/>
      <c r="EI165" s="140"/>
      <c r="EJ165" s="154"/>
      <c r="EK165" s="154"/>
      <c r="EL165" s="154"/>
      <c r="EM165" s="140"/>
      <c r="EN165" s="222"/>
      <c r="EO165" s="222"/>
      <c r="EP165" s="222"/>
      <c r="EQ165" s="140"/>
      <c r="ER165" s="222"/>
      <c r="ES165" s="222"/>
      <c r="ET165" s="222"/>
      <c r="EU165" s="140"/>
      <c r="EV165" s="222"/>
      <c r="EW165" s="222"/>
      <c r="EX165" s="222"/>
      <c r="EY165" s="344"/>
      <c r="EZ165" s="222"/>
      <c r="FA165" s="222"/>
      <c r="FB165" s="222"/>
      <c r="FC165" s="273"/>
      <c r="FD165" s="223"/>
      <c r="FE165" s="223"/>
      <c r="FF165" s="276"/>
      <c r="FG165" s="156"/>
      <c r="FH165" s="156"/>
      <c r="FI165" s="156"/>
      <c r="FJ165" s="140"/>
      <c r="FK165" s="277"/>
      <c r="FL165" s="277"/>
      <c r="FM165" s="277"/>
      <c r="FN165" s="140"/>
      <c r="FO165" s="277"/>
      <c r="FP165" s="277"/>
      <c r="FQ165" s="277"/>
      <c r="FR165" s="280"/>
      <c r="FS165" s="277"/>
      <c r="FT165" s="277"/>
      <c r="FU165" s="277"/>
      <c r="FV165" s="277"/>
      <c r="FW165" s="277"/>
      <c r="FX165" s="277"/>
      <c r="FY165" s="277"/>
      <c r="FZ165" s="277"/>
      <c r="GA165" s="277"/>
      <c r="GB165" s="277"/>
      <c r="GC165" s="277"/>
      <c r="GD165" s="277"/>
      <c r="GE165" s="277"/>
      <c r="GF165" s="277"/>
      <c r="GG165" s="277"/>
      <c r="GH165" s="277"/>
      <c r="GI165" s="277"/>
      <c r="GJ165" s="277"/>
      <c r="GK165" s="277"/>
      <c r="GL165" s="277"/>
      <c r="GM165" s="277"/>
      <c r="GN165" s="277"/>
      <c r="GO165" s="277"/>
      <c r="GP165" s="277"/>
      <c r="GQ165" s="277"/>
      <c r="GR165" s="277"/>
      <c r="GS165" s="277"/>
      <c r="GT165" s="277"/>
      <c r="GU165" s="277"/>
      <c r="GV165" s="277"/>
      <c r="GW165" s="277"/>
      <c r="GX165" s="277"/>
      <c r="GY165" s="277"/>
      <c r="GZ165" s="277"/>
      <c r="HA165" s="277"/>
      <c r="HB165" s="277"/>
      <c r="HC165" s="277"/>
      <c r="HD165" s="277"/>
      <c r="HE165" s="277"/>
      <c r="HF165" s="140"/>
      <c r="HG165" s="277"/>
      <c r="HH165" s="277"/>
      <c r="HI165" s="277"/>
      <c r="HJ165" s="140"/>
      <c r="HK165" s="277"/>
      <c r="HL165" s="277"/>
      <c r="HM165" s="277"/>
      <c r="HN165" s="140"/>
      <c r="HO165" s="277"/>
      <c r="HP165" s="277"/>
      <c r="HQ165" s="277"/>
      <c r="HR165" s="277"/>
      <c r="HS165" s="277"/>
      <c r="HT165" s="277"/>
      <c r="HU165" s="277"/>
      <c r="HV165" s="277"/>
      <c r="HW165" s="277"/>
      <c r="HX165" s="277"/>
      <c r="HY165" s="277"/>
      <c r="HZ165" s="140"/>
      <c r="IA165" s="277"/>
      <c r="IB165" s="277"/>
      <c r="IC165" s="277"/>
      <c r="ID165" s="140"/>
      <c r="IE165" s="277"/>
      <c r="IF165" s="277"/>
      <c r="IG165" s="277"/>
      <c r="IH165" s="140"/>
      <c r="II165" s="277"/>
      <c r="IJ165" s="277"/>
      <c r="IK165" s="277"/>
      <c r="IL165" s="140"/>
      <c r="IM165" s="277"/>
      <c r="IN165" s="277"/>
      <c r="IO165" s="277"/>
      <c r="IP165" s="277"/>
      <c r="IQ165" s="277"/>
      <c r="IR165" s="277"/>
      <c r="IS165" s="277"/>
      <c r="IT165" s="277"/>
      <c r="IU165" s="277"/>
      <c r="IV165" s="277"/>
      <c r="IW165" s="277"/>
      <c r="IX165" s="140"/>
      <c r="IY165" s="277"/>
      <c r="IZ165" s="277"/>
      <c r="JA165" s="277"/>
      <c r="JB165" s="140"/>
      <c r="JC165" s="277"/>
      <c r="JD165" s="277"/>
      <c r="JE165" s="277"/>
      <c r="JF165" s="140"/>
      <c r="JG165" s="277"/>
      <c r="JH165" s="277"/>
      <c r="JI165" s="140"/>
      <c r="JJ165" s="277"/>
      <c r="JK165" s="277"/>
      <c r="JL165" s="140"/>
      <c r="JM165" s="277"/>
      <c r="JN165" s="277"/>
      <c r="JO165" s="140"/>
      <c r="JP165" s="277"/>
      <c r="JQ165" s="277"/>
      <c r="JR165" s="277"/>
      <c r="JS165" s="277"/>
      <c r="JT165" s="277"/>
      <c r="JU165" s="277"/>
      <c r="JV165" s="277"/>
      <c r="JW165" s="277"/>
      <c r="JX165" s="277"/>
      <c r="JY165" s="277"/>
      <c r="JZ165" s="277"/>
      <c r="KA165" s="277"/>
      <c r="KB165" s="277"/>
      <c r="KC165" s="277"/>
      <c r="KD165" s="277"/>
      <c r="KE165" s="277"/>
      <c r="KF165" s="277"/>
      <c r="KG165" s="277"/>
      <c r="KH165" s="277"/>
      <c r="KI165" s="277"/>
      <c r="KJ165" s="277"/>
      <c r="KK165" s="277"/>
      <c r="KL165" s="277"/>
      <c r="KM165" s="277"/>
      <c r="KN165" s="277"/>
      <c r="KO165" s="277"/>
      <c r="KP165" s="274"/>
      <c r="KQ165" s="253"/>
      <c r="KR165" s="253"/>
      <c r="KY165" s="141">
        <f t="shared" si="65"/>
        <v>0</v>
      </c>
      <c r="KZ165" s="141">
        <f t="shared" si="66"/>
        <v>0</v>
      </c>
      <c r="LB165" s="141">
        <f t="shared" si="67"/>
        <v>1</v>
      </c>
      <c r="LC165" s="141">
        <f t="shared" si="68"/>
        <v>0</v>
      </c>
      <c r="LD165" s="141">
        <f t="shared" si="69"/>
        <v>0</v>
      </c>
      <c r="LE165" s="141" t="e">
        <f>((N(AU165)&gt;0)*(AX165&lt;&gt;"")+(N(AY165)&gt;0)*(BB165&lt;&gt;"")+(N(BC165)&gt;0)*(BF165&lt;&gt;"")+(N(BG165)&gt;0)*(BJ165&lt;&gt;"")+(N(BK165)&gt;0)*(BN165&lt;&gt;"")+(N(BO165)&gt;0)*(BR165&lt;&gt;"")+(N(BS165)&gt;0)*(BV165&lt;&gt;"")+(N(BW165)&gt;0)*(BZ165&lt;&gt;"")+(N(CA165)&gt;0)*(CD165&lt;&gt;"")+(N(CE165)&gt;0)*(CH165&lt;&gt;"")+(N(CI165)&gt;0)*(CL165&lt;&gt;"")+(N(CM165)&gt;0)*(CP165&lt;&gt;"")+(N(CQ165)&gt;0)*(CT165&lt;&gt;"")+(N(CU165)&gt;0)*(CX165&lt;&gt;"")+(N(CY165)&gt;0)*(DB165&lt;&gt;"")+(N(DC165)&gt;0)*(DF165&lt;&gt;"")+(N(DG165)&gt;0)*(DJ165&lt;&gt;"")+(N(DS165)&gt;0)*(DV165&lt;&gt;"")+(N(DW165)&gt;0)*(DZ165&lt;&gt;"")+(N(EA165)&gt;0)*(ED165&lt;&gt;"")+(N(EE165)&gt;0)*(EH165&lt;&gt;"")+(N(EI165)&gt;0)*(EL165&lt;&gt;"")+(N(EM165)&gt;0)*(EP165&lt;&gt;"")+(N(EQ165)&gt;0)*(ET165&lt;&gt;"")+(N(EU165)&gt;0)*(EX165&lt;&gt;"")+(N(#REF!)&gt;0)*(#REF!&lt;&gt;"")+(N(#REF!)&gt;0)*(#REF!&lt;&gt;"")+(N(FJ165)&gt;0)*(FM165&lt;&gt;"")+(N(FN165)&gt;0)*(FQ165&lt;&gt;"")+(N(#REF!)&gt;0)*(#REF!&lt;&gt;"")+(N(#REF!)&gt;0)*(#REF!&lt;&gt;"")+(N(HF165)&gt;0)*(HI165&lt;&gt;"")+(N(#REF!)&gt;0)*(#REF!&lt;&gt;"")+(N(HJ165)&gt;0)*(HM165&lt;&gt;"")+(N(HN165)&gt;0)*(HQ165&lt;&gt;"")+(N(HZ165)&gt;0)*(IC165&lt;&gt;"")+(N(ID165)&gt;0)*(IG165&lt;&gt;"")+(N(IH165)&gt;0)*(IK165&lt;&gt;"")+(N(IL165)&gt;0)*(IO165&lt;&gt;"")+(N(IX165)&gt;0)*(JA165&lt;&gt;"")+(N(JB165)&gt;0)*(JE165&lt;&gt;"")+(N(JF165)&gt;0)*(JH165&lt;&gt;"")+(N(JI165)&gt;0)*(JK165&lt;&gt;"")+(N(JL165)&gt;0)*(JN165&lt;&gt;"")+(N(JO165)&gt;0)*(JQ165&lt;&gt;""))</f>
        <v>#REF!</v>
      </c>
      <c r="LF165" s="141">
        <f t="shared" si="76"/>
        <v>0</v>
      </c>
      <c r="LG165" s="141">
        <f t="shared" si="70"/>
        <v>0</v>
      </c>
    </row>
    <row r="166" spans="2:319" ht="38.25" customHeight="1" x14ac:dyDescent="0.55000000000000004">
      <c r="B166" s="314" t="s">
        <v>461</v>
      </c>
      <c r="C166" s="396">
        <v>20</v>
      </c>
      <c r="D166" s="396">
        <v>20</v>
      </c>
      <c r="E166" s="396">
        <v>20</v>
      </c>
      <c r="F166" s="218"/>
      <c r="G166" s="218"/>
      <c r="H166" s="218"/>
      <c r="I166" s="162" cm="1">
        <f t="array" ref="I166">SUMPRODUCT(($AI$2:$KV$2&lt;&gt;"")*($AI166:$KV166&lt;&gt;""))</f>
        <v>1</v>
      </c>
      <c r="J166" s="142">
        <f t="shared" si="71"/>
        <v>20</v>
      </c>
      <c r="K166" s="142">
        <f t="shared" si="72"/>
        <v>280</v>
      </c>
      <c r="L166" s="268">
        <f t="shared" ref="L166:L186" si="77">$L$1</f>
        <v>7000</v>
      </c>
      <c r="M166" s="164">
        <f t="shared" si="73"/>
        <v>47824</v>
      </c>
      <c r="N166" s="397"/>
      <c r="O166" s="165">
        <f t="shared" si="74"/>
        <v>0</v>
      </c>
      <c r="P166" s="165"/>
      <c r="Q166" s="165"/>
      <c r="R166" s="165">
        <f>(IFERROR(AM166/AN166,0)+IFERROR(AU166/AV166,0)+IFERROR(AY166/AZ166,0)+IFERROR(BC166/BD166,0)+IFERROR(BG166/BH166,0)+IFERROR(BK166/BL166,0)+IFERROR(BO166/BP166,0)+IFERROR(BS166/BT166,0)+IFERROR(BW166/BX166,0)+IFERROR(CA166/CB166,0)+IFERROR(CE166/CF166,0)+IFERROR(CI166/CJ166,0)+IFERROR(CM166/CN166,0)+IFERROR(CQ166/CR166,0)+IFERROR(CU166/CV166,0)+IFERROR(CY166/CZ166,0)+IFERROR(DC166/DD166,0)+IFERROR(DG166/DH166,0)+IFERROR(DS166/DT166,0)+IFERROR(DW166/DX166,0)+IFERROR(EA166/EB166,0)+IFERROR(EE166/EF166,0)+IFERROR(EI166/EJ166,0)+IFERROR(EM166/EN166,0)+IFERROR(EQ166/ER166,0)+IFERROR(EU166/EV166,0)+IFERROR(#REF!/#REF!,0)+IFERROR(#REF!/#REF!,0)+IFERROR(FJ166/FK166,0)+IFERROR(FN166/FO166,0)+IFERROR(#REF!/#REF!,0)+IFERROR(#REF!/#REF!,0)+IFERROR(HF166/HG166,0)+IFERROR(#REF!/#REF!,0)+IFERROR(HJ166/HK166,0)+IFERROR(HN166/HO166,0)+IFERROR(HZ166/IA166,0)+IFERROR(ID166/IE166,0)+IFERROR(IH166/II166,0)+IFERROR(IL166/IM166,0)+IFERROR(IX166/IY166,0)+IFERROR(JB166/JC166,0)+IFERROR(JF166/JG166,0)+IFERROR(JI166/JJ166,0)+IFERROR(JL166/JM166,0)+IFERROR(JO166/JP166,0))*L166*(C166+D166+E166+I166)</f>
        <v>0</v>
      </c>
      <c r="S166" s="165"/>
      <c r="T166" s="165">
        <f t="shared" si="63"/>
        <v>0</v>
      </c>
      <c r="U166" s="165"/>
      <c r="V166" s="165"/>
      <c r="W166" s="165"/>
      <c r="X166" s="165">
        <f>(IFERROR(FF166/FG166,0)+IFERROR(FC166/FD166,0)+IFERROR(#REF!/#REF!,0)+IFERROR(KP166/KQ166,0))*L166*(C166+D166+E166+I166)</f>
        <v>0</v>
      </c>
      <c r="Y166" s="484"/>
      <c r="Z166" s="484"/>
      <c r="AA166" s="484"/>
      <c r="AB166" s="484"/>
      <c r="AC166" s="150">
        <f t="shared" si="75"/>
        <v>0</v>
      </c>
      <c r="AD166" s="150"/>
      <c r="AE166" s="150">
        <f t="shared" si="64"/>
        <v>0</v>
      </c>
      <c r="AF166" s="161"/>
      <c r="AG166" s="143"/>
      <c r="AH166" s="154"/>
      <c r="AI166" s="342">
        <v>28</v>
      </c>
      <c r="AJ166" s="342">
        <v>250</v>
      </c>
      <c r="AK166" s="342"/>
      <c r="AL166" s="343" t="s">
        <v>545</v>
      </c>
      <c r="AM166" s="140"/>
      <c r="AN166" s="154"/>
      <c r="AO166" s="154"/>
      <c r="AP166" s="220"/>
      <c r="AQ166" s="145"/>
      <c r="AR166" s="154"/>
      <c r="AS166" s="154"/>
      <c r="AT166" s="220"/>
      <c r="AU166" s="140"/>
      <c r="AV166" s="277"/>
      <c r="AW166" s="277"/>
      <c r="AX166" s="277"/>
      <c r="AY166" s="140"/>
      <c r="AZ166" s="277"/>
      <c r="BA166" s="277"/>
      <c r="BB166" s="277"/>
      <c r="BC166" s="140"/>
      <c r="BD166" s="277"/>
      <c r="BE166" s="277"/>
      <c r="BF166" s="277"/>
      <c r="BG166" s="140"/>
      <c r="BH166" s="277"/>
      <c r="BI166" s="277"/>
      <c r="BJ166" s="277"/>
      <c r="BK166" s="140"/>
      <c r="BL166" s="277"/>
      <c r="BM166" s="277"/>
      <c r="BN166" s="277"/>
      <c r="BO166" s="140"/>
      <c r="BP166" s="277"/>
      <c r="BQ166" s="277"/>
      <c r="BR166" s="277"/>
      <c r="BS166" s="140"/>
      <c r="BT166" s="277"/>
      <c r="BU166" s="277"/>
      <c r="BV166" s="277"/>
      <c r="BW166" s="140"/>
      <c r="BX166" s="154"/>
      <c r="BY166" s="154"/>
      <c r="BZ166" s="220"/>
      <c r="CA166" s="140"/>
      <c r="CB166" s="154"/>
      <c r="CC166" s="154"/>
      <c r="CD166" s="220"/>
      <c r="CE166" s="140"/>
      <c r="CF166" s="271"/>
      <c r="CG166" s="271"/>
      <c r="CH166" s="271"/>
      <c r="CI166" s="140"/>
      <c r="CJ166" s="154"/>
      <c r="CK166" s="154"/>
      <c r="CL166" s="154"/>
      <c r="CM166" s="140"/>
      <c r="CN166" s="271"/>
      <c r="CO166" s="271"/>
      <c r="CP166" s="271"/>
      <c r="CQ166" s="140"/>
      <c r="CR166" s="154"/>
      <c r="CS166" s="154"/>
      <c r="CT166" s="154"/>
      <c r="CU166" s="140"/>
      <c r="CV166" s="154"/>
      <c r="CW166" s="154"/>
      <c r="CX166" s="220"/>
      <c r="CY166" s="140"/>
      <c r="CZ166" s="154"/>
      <c r="DA166" s="154"/>
      <c r="DB166" s="220"/>
      <c r="DC166" s="140"/>
      <c r="DD166" s="146"/>
      <c r="DE166" s="146"/>
      <c r="DF166" s="146"/>
      <c r="DG166" s="140"/>
      <c r="DH166" s="146"/>
      <c r="DI166" s="146"/>
      <c r="DJ166" s="146"/>
      <c r="DK166" s="146"/>
      <c r="DL166" s="146"/>
      <c r="DM166" s="146"/>
      <c r="DN166" s="146"/>
      <c r="DO166" s="146"/>
      <c r="DP166" s="146"/>
      <c r="DQ166" s="146"/>
      <c r="DR166" s="146"/>
      <c r="DS166" s="140"/>
      <c r="DT166" s="154"/>
      <c r="DU166" s="154"/>
      <c r="DV166" s="154"/>
      <c r="DW166" s="140"/>
      <c r="DX166" s="220"/>
      <c r="DY166" s="220"/>
      <c r="DZ166" s="220"/>
      <c r="EA166" s="140"/>
      <c r="EB166" s="220"/>
      <c r="EC166" s="220"/>
      <c r="ED166" s="220"/>
      <c r="EE166" s="140"/>
      <c r="EF166" s="154"/>
      <c r="EG166" s="154"/>
      <c r="EH166" s="154"/>
      <c r="EI166" s="140"/>
      <c r="EJ166" s="154"/>
      <c r="EK166" s="154"/>
      <c r="EL166" s="154"/>
      <c r="EM166" s="140"/>
      <c r="EN166" s="222"/>
      <c r="EO166" s="222"/>
      <c r="EP166" s="222"/>
      <c r="EQ166" s="140"/>
      <c r="ER166" s="222"/>
      <c r="ES166" s="222"/>
      <c r="ET166" s="222"/>
      <c r="EU166" s="140"/>
      <c r="EV166" s="222"/>
      <c r="EW166" s="222"/>
      <c r="EX166" s="222"/>
      <c r="EY166" s="344"/>
      <c r="EZ166" s="222"/>
      <c r="FA166" s="222"/>
      <c r="FB166" s="222"/>
      <c r="FC166" s="273"/>
      <c r="FD166" s="223"/>
      <c r="FE166" s="223"/>
      <c r="FF166" s="276"/>
      <c r="FG166" s="156"/>
      <c r="FH166" s="156"/>
      <c r="FI166" s="156"/>
      <c r="FJ166" s="140"/>
      <c r="FK166" s="277"/>
      <c r="FL166" s="277"/>
      <c r="FM166" s="277"/>
      <c r="FN166" s="140"/>
      <c r="FO166" s="277"/>
      <c r="FP166" s="277"/>
      <c r="FQ166" s="277"/>
      <c r="FR166" s="280"/>
      <c r="FS166" s="277"/>
      <c r="FT166" s="277"/>
      <c r="FU166" s="277"/>
      <c r="FV166" s="277"/>
      <c r="FW166" s="277"/>
      <c r="FX166" s="277"/>
      <c r="FY166" s="277"/>
      <c r="FZ166" s="277"/>
      <c r="GA166" s="277"/>
      <c r="GB166" s="277"/>
      <c r="GC166" s="277"/>
      <c r="GD166" s="277"/>
      <c r="GE166" s="277"/>
      <c r="GF166" s="277"/>
      <c r="GG166" s="277"/>
      <c r="GH166" s="277"/>
      <c r="GI166" s="277"/>
      <c r="GJ166" s="277"/>
      <c r="GK166" s="277"/>
      <c r="GL166" s="277"/>
      <c r="GM166" s="277"/>
      <c r="GN166" s="277"/>
      <c r="GO166" s="277"/>
      <c r="GP166" s="277"/>
      <c r="GQ166" s="277"/>
      <c r="GR166" s="277"/>
      <c r="GS166" s="277"/>
      <c r="GT166" s="277"/>
      <c r="GU166" s="277"/>
      <c r="GV166" s="277"/>
      <c r="GW166" s="277"/>
      <c r="GX166" s="277"/>
      <c r="GY166" s="277"/>
      <c r="GZ166" s="277"/>
      <c r="HA166" s="277"/>
      <c r="HB166" s="277"/>
      <c r="HC166" s="277"/>
      <c r="HD166" s="277"/>
      <c r="HE166" s="277"/>
      <c r="HF166" s="140"/>
      <c r="HG166" s="277"/>
      <c r="HH166" s="277"/>
      <c r="HI166" s="277"/>
      <c r="HJ166" s="140"/>
      <c r="HK166" s="277"/>
      <c r="HL166" s="277"/>
      <c r="HM166" s="277"/>
      <c r="HN166" s="140"/>
      <c r="HO166" s="277"/>
      <c r="HP166" s="277"/>
      <c r="HQ166" s="277"/>
      <c r="HR166" s="277"/>
      <c r="HS166" s="277"/>
      <c r="HT166" s="277"/>
      <c r="HU166" s="277"/>
      <c r="HV166" s="277"/>
      <c r="HW166" s="277"/>
      <c r="HX166" s="277"/>
      <c r="HY166" s="277"/>
      <c r="HZ166" s="140"/>
      <c r="IA166" s="277"/>
      <c r="IB166" s="277"/>
      <c r="IC166" s="277"/>
      <c r="ID166" s="140"/>
      <c r="IE166" s="277"/>
      <c r="IF166" s="277"/>
      <c r="IG166" s="277"/>
      <c r="IH166" s="140"/>
      <c r="II166" s="277"/>
      <c r="IJ166" s="277"/>
      <c r="IK166" s="277"/>
      <c r="IL166" s="140"/>
      <c r="IM166" s="277"/>
      <c r="IN166" s="277"/>
      <c r="IO166" s="277"/>
      <c r="IP166" s="277"/>
      <c r="IQ166" s="277"/>
      <c r="IR166" s="277"/>
      <c r="IS166" s="277"/>
      <c r="IT166" s="277"/>
      <c r="IU166" s="277"/>
      <c r="IV166" s="277"/>
      <c r="IW166" s="277"/>
      <c r="IX166" s="140"/>
      <c r="IY166" s="277"/>
      <c r="IZ166" s="277"/>
      <c r="JA166" s="277"/>
      <c r="JB166" s="140"/>
      <c r="JC166" s="277"/>
      <c r="JD166" s="277"/>
      <c r="JE166" s="277"/>
      <c r="JF166" s="140"/>
      <c r="JG166" s="277"/>
      <c r="JH166" s="277"/>
      <c r="JI166" s="140"/>
      <c r="JJ166" s="277"/>
      <c r="JK166" s="277"/>
      <c r="JL166" s="140"/>
      <c r="JM166" s="277"/>
      <c r="JN166" s="277"/>
      <c r="JO166" s="140"/>
      <c r="JP166" s="277"/>
      <c r="JQ166" s="277"/>
      <c r="JR166" s="277"/>
      <c r="JS166" s="277"/>
      <c r="JT166" s="277"/>
      <c r="JU166" s="277"/>
      <c r="JV166" s="277"/>
      <c r="JW166" s="277"/>
      <c r="JX166" s="277"/>
      <c r="JY166" s="277"/>
      <c r="JZ166" s="277"/>
      <c r="KA166" s="277"/>
      <c r="KB166" s="277"/>
      <c r="KC166" s="277"/>
      <c r="KD166" s="277"/>
      <c r="KE166" s="277"/>
      <c r="KF166" s="277"/>
      <c r="KG166" s="277"/>
      <c r="KH166" s="277"/>
      <c r="KI166" s="277"/>
      <c r="KJ166" s="277"/>
      <c r="KK166" s="277"/>
      <c r="KL166" s="277"/>
      <c r="KM166" s="277"/>
      <c r="KN166" s="277"/>
      <c r="KO166" s="277"/>
      <c r="KP166" s="274"/>
      <c r="KQ166" s="253"/>
      <c r="KR166" s="253"/>
      <c r="KY166" s="141">
        <f t="shared" si="65"/>
        <v>0</v>
      </c>
      <c r="KZ166" s="141">
        <f t="shared" si="66"/>
        <v>0</v>
      </c>
      <c r="LB166" s="141">
        <f t="shared" si="67"/>
        <v>1</v>
      </c>
      <c r="LC166" s="141">
        <f t="shared" si="68"/>
        <v>0</v>
      </c>
      <c r="LD166" s="141">
        <f t="shared" si="69"/>
        <v>0</v>
      </c>
      <c r="LE166" s="141" t="e">
        <f>((N(AU166)&gt;0)*(AX166&lt;&gt;"")+(N(AY166)&gt;0)*(BB166&lt;&gt;"")+(N(BC166)&gt;0)*(BF166&lt;&gt;"")+(N(BG166)&gt;0)*(BJ166&lt;&gt;"")+(N(BK166)&gt;0)*(BN166&lt;&gt;"")+(N(BO166)&gt;0)*(BR166&lt;&gt;"")+(N(BS166)&gt;0)*(BV166&lt;&gt;"")+(N(BW166)&gt;0)*(BZ166&lt;&gt;"")+(N(CA166)&gt;0)*(CD166&lt;&gt;"")+(N(CE166)&gt;0)*(CH166&lt;&gt;"")+(N(CI166)&gt;0)*(CL166&lt;&gt;"")+(N(CM166)&gt;0)*(CP166&lt;&gt;"")+(N(CQ166)&gt;0)*(CT166&lt;&gt;"")+(N(CU166)&gt;0)*(CX166&lt;&gt;"")+(N(CY166)&gt;0)*(DB166&lt;&gt;"")+(N(DC166)&gt;0)*(DF166&lt;&gt;"")+(N(DG166)&gt;0)*(DJ166&lt;&gt;"")+(N(DS166)&gt;0)*(DV166&lt;&gt;"")+(N(DW166)&gt;0)*(DZ166&lt;&gt;"")+(N(EA166)&gt;0)*(ED166&lt;&gt;"")+(N(EE166)&gt;0)*(EH166&lt;&gt;"")+(N(EI166)&gt;0)*(EL166&lt;&gt;"")+(N(EM166)&gt;0)*(EP166&lt;&gt;"")+(N(EQ166)&gt;0)*(ET166&lt;&gt;"")+(N(EU166)&gt;0)*(EX166&lt;&gt;"")+(N(#REF!)&gt;0)*(#REF!&lt;&gt;"")+(N(#REF!)&gt;0)*(#REF!&lt;&gt;"")+(N(FJ166)&gt;0)*(FM166&lt;&gt;"")+(N(FN166)&gt;0)*(FQ166&lt;&gt;"")+(N(#REF!)&gt;0)*(#REF!&lt;&gt;"")+(N(#REF!)&gt;0)*(#REF!&lt;&gt;"")+(N(HF166)&gt;0)*(HI166&lt;&gt;"")+(N(#REF!)&gt;0)*(#REF!&lt;&gt;"")+(N(HJ166)&gt;0)*(HM166&lt;&gt;"")+(N(HN166)&gt;0)*(HQ166&lt;&gt;"")+(N(HZ166)&gt;0)*(IC166&lt;&gt;"")+(N(ID166)&gt;0)*(IG166&lt;&gt;"")+(N(IH166)&gt;0)*(IK166&lt;&gt;"")+(N(IL166)&gt;0)*(IO166&lt;&gt;"")+(N(IX166)&gt;0)*(JA166&lt;&gt;"")+(N(JB166)&gt;0)*(JE166&lt;&gt;"")+(N(JF166)&gt;0)*(JH166&lt;&gt;"")+(N(JI166)&gt;0)*(JK166&lt;&gt;"")+(N(JL166)&gt;0)*(JN166&lt;&gt;"")+(N(JO166)&gt;0)*(JQ166&lt;&gt;""))</f>
        <v>#REF!</v>
      </c>
      <c r="LF166" s="141">
        <f t="shared" si="76"/>
        <v>0</v>
      </c>
      <c r="LG166" s="141">
        <f t="shared" si="70"/>
        <v>0</v>
      </c>
    </row>
    <row r="167" spans="2:319" ht="38.25" customHeight="1" x14ac:dyDescent="0.55000000000000004">
      <c r="B167" s="314" t="s">
        <v>477</v>
      </c>
      <c r="C167" s="218"/>
      <c r="D167" s="218"/>
      <c r="E167" s="218"/>
      <c r="F167" s="218"/>
      <c r="G167" s="218"/>
      <c r="H167" s="218"/>
      <c r="I167" s="162" cm="1">
        <f t="array" ref="I167">SUMPRODUCT(($AI$2:$KV$2&lt;&gt;"")*($AI167:$KV167&lt;&gt;""))</f>
        <v>3</v>
      </c>
      <c r="J167" s="142">
        <f t="shared" si="71"/>
        <v>0</v>
      </c>
      <c r="K167" s="142">
        <f t="shared" si="72"/>
        <v>0</v>
      </c>
      <c r="L167" s="268">
        <f t="shared" si="77"/>
        <v>7000</v>
      </c>
      <c r="M167" s="164">
        <f t="shared" si="73"/>
        <v>3360</v>
      </c>
      <c r="N167" s="397"/>
      <c r="O167" s="165">
        <f t="shared" si="74"/>
        <v>0</v>
      </c>
      <c r="P167" s="165"/>
      <c r="Q167" s="165"/>
      <c r="R167" s="165">
        <f>(IFERROR(AM167/AN167,0)+IFERROR(AU167/AV167,0)+IFERROR(AY167/AZ167,0)+IFERROR(BC167/BD167,0)+IFERROR(BG167/BH167,0)+IFERROR(BK167/BL167,0)+IFERROR(BO167/BP167,0)+IFERROR(BS167/BT167,0)+IFERROR(BW167/BX167,0)+IFERROR(CA167/CB167,0)+IFERROR(CE167/CF167,0)+IFERROR(CI167/CJ167,0)+IFERROR(CM167/CN167,0)+IFERROR(CQ167/CR167,0)+IFERROR(CU167/CV167,0)+IFERROR(CY167/CZ167,0)+IFERROR(DC167/DD167,0)+IFERROR(DG167/DH167,0)+IFERROR(DS167/DT167,0)+IFERROR(DW167/DX167,0)+IFERROR(EA167/EB167,0)+IFERROR(EE167/EF167,0)+IFERROR(EI167/EJ167,0)+IFERROR(EM167/EN167,0)+IFERROR(EQ167/ER167,0)+IFERROR(EU167/EV167,0)+IFERROR(#REF!/#REF!,0)+IFERROR(#REF!/#REF!,0)+IFERROR(FJ167/FK167,0)+IFERROR(FN167/FO167,0)+IFERROR(#REF!/#REF!,0)+IFERROR(#REF!/#REF!,0)+IFERROR(HF167/HG167,0)+IFERROR(#REF!/#REF!,0)+IFERROR(HJ167/HK167,0)+IFERROR(HN167/HO167,0)+IFERROR(HZ167/IA167,0)+IFERROR(ID167/IE167,0)+IFERROR(IH167/II167,0)+IFERROR(IL167/IM167,0)+IFERROR(IX167/IY167,0)+IFERROR(JB167/JC167,0)+IFERROR(JF167/JG167,0)+IFERROR(JI167/JJ167,0)+IFERROR(JL167/JM167,0)+IFERROR(JO167/JP167,0))*L167*(C167+D167+E167+I167)</f>
        <v>0</v>
      </c>
      <c r="S167" s="165"/>
      <c r="T167" s="165">
        <f t="shared" si="63"/>
        <v>0</v>
      </c>
      <c r="U167" s="165"/>
      <c r="V167" s="165"/>
      <c r="W167" s="165"/>
      <c r="X167" s="165">
        <f>(IFERROR(FF167/FG167,0)+IFERROR(FC167/FD167,0)+IFERROR(#REF!/#REF!,0)+IFERROR(KP167/KQ167,0))*L167*(C167+D167+E167+I167)</f>
        <v>0</v>
      </c>
      <c r="Y167" s="484"/>
      <c r="Z167" s="484"/>
      <c r="AA167" s="484"/>
      <c r="AB167" s="484"/>
      <c r="AC167" s="150">
        <f t="shared" si="75"/>
        <v>0</v>
      </c>
      <c r="AD167" s="150"/>
      <c r="AE167" s="150">
        <f t="shared" si="64"/>
        <v>0</v>
      </c>
      <c r="AF167" s="161"/>
      <c r="AG167" s="143"/>
      <c r="AH167" s="154"/>
      <c r="AI167" s="342">
        <v>40</v>
      </c>
      <c r="AJ167" s="342">
        <v>250</v>
      </c>
      <c r="AK167" s="342"/>
      <c r="AL167" s="343" t="s">
        <v>545</v>
      </c>
      <c r="AM167" s="140"/>
      <c r="AN167" s="154"/>
      <c r="AO167" s="154"/>
      <c r="AP167" s="220"/>
      <c r="AQ167" s="145"/>
      <c r="AR167" s="154"/>
      <c r="AS167" s="154"/>
      <c r="AT167" s="220"/>
      <c r="AU167" s="140"/>
      <c r="AV167" s="277"/>
      <c r="AW167" s="277"/>
      <c r="AX167" s="277"/>
      <c r="AY167" s="140"/>
      <c r="AZ167" s="277"/>
      <c r="BA167" s="277"/>
      <c r="BB167" s="277"/>
      <c r="BC167" s="140"/>
      <c r="BD167" s="277"/>
      <c r="BE167" s="277"/>
      <c r="BF167" s="277"/>
      <c r="BG167" s="140"/>
      <c r="BH167" s="277"/>
      <c r="BI167" s="277"/>
      <c r="BJ167" s="277"/>
      <c r="BK167" s="140"/>
      <c r="BL167" s="277"/>
      <c r="BM167" s="277"/>
      <c r="BN167" s="277"/>
      <c r="BO167" s="140"/>
      <c r="BP167" s="277"/>
      <c r="BQ167" s="277"/>
      <c r="BR167" s="277"/>
      <c r="BS167" s="140"/>
      <c r="BT167" s="277"/>
      <c r="BU167" s="277"/>
      <c r="BV167" s="277"/>
      <c r="BW167" s="140"/>
      <c r="BX167" s="154"/>
      <c r="BY167" s="154"/>
      <c r="BZ167" s="220"/>
      <c r="CA167" s="140"/>
      <c r="CB167" s="154"/>
      <c r="CC167" s="154"/>
      <c r="CD167" s="220"/>
      <c r="CE167" s="140"/>
      <c r="CF167" s="271"/>
      <c r="CG167" s="271"/>
      <c r="CH167" s="271"/>
      <c r="CI167" s="140"/>
      <c r="CJ167" s="154"/>
      <c r="CK167" s="154"/>
      <c r="CL167" s="154"/>
      <c r="CM167" s="140"/>
      <c r="CN167" s="271"/>
      <c r="CO167" s="271"/>
      <c r="CP167" s="271"/>
      <c r="CQ167" s="140"/>
      <c r="CR167" s="154"/>
      <c r="CS167" s="154"/>
      <c r="CT167" s="154"/>
      <c r="CU167" s="140"/>
      <c r="CV167" s="154"/>
      <c r="CW167" s="154"/>
      <c r="CX167" s="220"/>
      <c r="CY167" s="140"/>
      <c r="CZ167" s="154"/>
      <c r="DA167" s="154"/>
      <c r="DB167" s="220"/>
      <c r="DC167" s="140"/>
      <c r="DD167" s="146"/>
      <c r="DE167" s="146"/>
      <c r="DF167" s="146"/>
      <c r="DG167" s="140"/>
      <c r="DH167" s="146"/>
      <c r="DI167" s="146"/>
      <c r="DJ167" s="146"/>
      <c r="DK167" s="146"/>
      <c r="DL167" s="146"/>
      <c r="DM167" s="146"/>
      <c r="DN167" s="146"/>
      <c r="DO167" s="146"/>
      <c r="DP167" s="146"/>
      <c r="DQ167" s="146"/>
      <c r="DR167" s="146"/>
      <c r="DS167" s="140"/>
      <c r="DT167" s="154"/>
      <c r="DU167" s="154"/>
      <c r="DV167" s="154"/>
      <c r="DW167" s="140"/>
      <c r="DX167" s="220"/>
      <c r="DY167" s="220"/>
      <c r="DZ167" s="220"/>
      <c r="EA167" s="140"/>
      <c r="EB167" s="220"/>
      <c r="EC167" s="220"/>
      <c r="ED167" s="220"/>
      <c r="EE167" s="140"/>
      <c r="EF167" s="154"/>
      <c r="EG167" s="154"/>
      <c r="EH167" s="154"/>
      <c r="EI167" s="140"/>
      <c r="EJ167" s="154"/>
      <c r="EK167" s="154"/>
      <c r="EL167" s="154"/>
      <c r="EM167" s="140"/>
      <c r="EN167" s="222"/>
      <c r="EO167" s="222"/>
      <c r="EP167" s="222"/>
      <c r="EQ167" s="140"/>
      <c r="ER167" s="222"/>
      <c r="ES167" s="222"/>
      <c r="ET167" s="222"/>
      <c r="EU167" s="140"/>
      <c r="EV167" s="222"/>
      <c r="EW167" s="222"/>
      <c r="EX167" s="222"/>
      <c r="EY167" s="344"/>
      <c r="EZ167" s="222"/>
      <c r="FA167" s="222"/>
      <c r="FB167" s="222"/>
      <c r="FC167" s="273"/>
      <c r="FD167" s="223"/>
      <c r="FE167" s="223"/>
      <c r="FF167" s="276"/>
      <c r="FG167" s="156"/>
      <c r="FH167" s="156"/>
      <c r="FI167" s="156"/>
      <c r="FJ167" s="140"/>
      <c r="FK167" s="277"/>
      <c r="FL167" s="277"/>
      <c r="FM167" s="277"/>
      <c r="FN167" s="140"/>
      <c r="FO167" s="277"/>
      <c r="FP167" s="277"/>
      <c r="FQ167" s="277"/>
      <c r="FR167" s="280"/>
      <c r="FS167" s="277"/>
      <c r="FT167" s="277"/>
      <c r="FU167" s="277"/>
      <c r="FV167" s="277"/>
      <c r="FW167" s="277"/>
      <c r="FX167" s="277"/>
      <c r="FY167" s="277"/>
      <c r="FZ167" s="277"/>
      <c r="GA167" s="277"/>
      <c r="GB167" s="277"/>
      <c r="GC167" s="277"/>
      <c r="GD167" s="277"/>
      <c r="GE167" s="277"/>
      <c r="GF167" s="277"/>
      <c r="GG167" s="277"/>
      <c r="GH167" s="277"/>
      <c r="GI167" s="277"/>
      <c r="GJ167" s="277"/>
      <c r="GK167" s="277"/>
      <c r="GL167" s="277"/>
      <c r="GM167" s="277"/>
      <c r="GN167" s="277"/>
      <c r="GO167" s="277"/>
      <c r="GP167" s="277"/>
      <c r="GQ167" s="277"/>
      <c r="GR167" s="277"/>
      <c r="GS167" s="277"/>
      <c r="GT167" s="277"/>
      <c r="GU167" s="277"/>
      <c r="GV167" s="277"/>
      <c r="GW167" s="277"/>
      <c r="GX167" s="277"/>
      <c r="GY167" s="277"/>
      <c r="GZ167" s="277"/>
      <c r="HA167" s="277"/>
      <c r="HB167" s="277"/>
      <c r="HC167" s="277"/>
      <c r="HD167" s="277"/>
      <c r="HE167" s="277"/>
      <c r="HF167" s="140"/>
      <c r="HG167" s="277"/>
      <c r="HH167" s="277"/>
      <c r="HI167" s="277"/>
      <c r="HJ167" s="140"/>
      <c r="HK167" s="277"/>
      <c r="HL167" s="277"/>
      <c r="HM167" s="277"/>
      <c r="HN167" s="140"/>
      <c r="HO167" s="277"/>
      <c r="HP167" s="277"/>
      <c r="HQ167" s="277"/>
      <c r="HR167" s="277"/>
      <c r="HS167" s="277"/>
      <c r="HT167" s="277"/>
      <c r="HU167" s="277"/>
      <c r="HV167" s="277"/>
      <c r="HW167" s="277"/>
      <c r="HX167" s="277"/>
      <c r="HY167" s="277"/>
      <c r="HZ167" s="140"/>
      <c r="IA167" s="277"/>
      <c r="IB167" s="277"/>
      <c r="IC167" s="277"/>
      <c r="ID167" s="140"/>
      <c r="IE167" s="277"/>
      <c r="IF167" s="277"/>
      <c r="IG167" s="277"/>
      <c r="IH167" s="140"/>
      <c r="II167" s="277"/>
      <c r="IJ167" s="277"/>
      <c r="IK167" s="277"/>
      <c r="IL167" s="140"/>
      <c r="IM167" s="277"/>
      <c r="IN167" s="277"/>
      <c r="IO167" s="277"/>
      <c r="IP167" s="277"/>
      <c r="IQ167" s="277"/>
      <c r="IR167" s="277"/>
      <c r="IS167" s="277"/>
      <c r="IT167" s="277"/>
      <c r="IU167" s="277"/>
      <c r="IV167" s="277"/>
      <c r="IW167" s="277"/>
      <c r="IX167" s="140"/>
      <c r="IY167" s="277"/>
      <c r="IZ167" s="277"/>
      <c r="JA167" s="277"/>
      <c r="JB167" s="140"/>
      <c r="JC167" s="277"/>
      <c r="JD167" s="277"/>
      <c r="JE167" s="277"/>
      <c r="JF167" s="140"/>
      <c r="JG167" s="277"/>
      <c r="JH167" s="277"/>
      <c r="JI167" s="140"/>
      <c r="JJ167" s="277"/>
      <c r="JK167" s="277"/>
      <c r="JL167" s="140"/>
      <c r="JM167" s="277"/>
      <c r="JN167" s="277"/>
      <c r="JO167" s="140"/>
      <c r="JP167" s="277"/>
      <c r="JQ167" s="277"/>
      <c r="JR167" s="277"/>
      <c r="JS167" s="277"/>
      <c r="JT167" s="277"/>
      <c r="JU167" s="277"/>
      <c r="JV167" s="277"/>
      <c r="JW167" s="277"/>
      <c r="JX167" s="277"/>
      <c r="JY167" s="277"/>
      <c r="JZ167" s="277"/>
      <c r="KA167" s="277"/>
      <c r="KB167" s="277"/>
      <c r="KC167" s="277"/>
      <c r="KD167" s="277"/>
      <c r="KE167" s="277"/>
      <c r="KF167" s="277"/>
      <c r="KG167" s="277"/>
      <c r="KH167" s="277"/>
      <c r="KI167" s="277"/>
      <c r="KJ167" s="277"/>
      <c r="KK167" s="277"/>
      <c r="KL167" s="277"/>
      <c r="KM167" s="277"/>
      <c r="KN167" s="277"/>
      <c r="KO167" s="277"/>
      <c r="KP167" s="274"/>
      <c r="KQ167" s="253"/>
      <c r="KR167" s="253"/>
      <c r="KS167" s="346">
        <v>40</v>
      </c>
      <c r="KT167" s="346">
        <v>1000</v>
      </c>
      <c r="KU167" s="346" t="s">
        <v>759</v>
      </c>
      <c r="KV167" s="346">
        <v>25</v>
      </c>
      <c r="KW167" s="346">
        <v>500</v>
      </c>
      <c r="KX167" s="346" t="s">
        <v>759</v>
      </c>
      <c r="KY167" s="141">
        <f t="shared" si="65"/>
        <v>840</v>
      </c>
      <c r="KZ167" s="141">
        <f t="shared" si="66"/>
        <v>1050</v>
      </c>
      <c r="LB167" s="141">
        <f t="shared" si="67"/>
        <v>1</v>
      </c>
      <c r="LC167" s="141">
        <f t="shared" si="68"/>
        <v>0</v>
      </c>
      <c r="LD167" s="141">
        <f t="shared" si="69"/>
        <v>0</v>
      </c>
      <c r="LE167" s="141" t="e">
        <f>((N(AU167)&gt;0)*(AX167&lt;&gt;"")+(N(AY167)&gt;0)*(BB167&lt;&gt;"")+(N(BC167)&gt;0)*(BF167&lt;&gt;"")+(N(BG167)&gt;0)*(BJ167&lt;&gt;"")+(N(BK167)&gt;0)*(BN167&lt;&gt;"")+(N(BO167)&gt;0)*(BR167&lt;&gt;"")+(N(BS167)&gt;0)*(BV167&lt;&gt;"")+(N(BW167)&gt;0)*(BZ167&lt;&gt;"")+(N(CA167)&gt;0)*(CD167&lt;&gt;"")+(N(CE167)&gt;0)*(CH167&lt;&gt;"")+(N(CI167)&gt;0)*(CL167&lt;&gt;"")+(N(CM167)&gt;0)*(CP167&lt;&gt;"")+(N(CQ167)&gt;0)*(CT167&lt;&gt;"")+(N(CU167)&gt;0)*(CX167&lt;&gt;"")+(N(CY167)&gt;0)*(DB167&lt;&gt;"")+(N(DC167)&gt;0)*(DF167&lt;&gt;"")+(N(DG167)&gt;0)*(DJ167&lt;&gt;"")+(N(DS167)&gt;0)*(DV167&lt;&gt;"")+(N(DW167)&gt;0)*(DZ167&lt;&gt;"")+(N(EA167)&gt;0)*(ED167&lt;&gt;"")+(N(EE167)&gt;0)*(EH167&lt;&gt;"")+(N(EI167)&gt;0)*(EL167&lt;&gt;"")+(N(EM167)&gt;0)*(EP167&lt;&gt;"")+(N(EQ167)&gt;0)*(ET167&lt;&gt;"")+(N(EU167)&gt;0)*(EX167&lt;&gt;"")+(N(#REF!)&gt;0)*(#REF!&lt;&gt;"")+(N(#REF!)&gt;0)*(#REF!&lt;&gt;"")+(N(FJ167)&gt;0)*(FM167&lt;&gt;"")+(N(FN167)&gt;0)*(FQ167&lt;&gt;"")+(N(#REF!)&gt;0)*(#REF!&lt;&gt;"")+(N(#REF!)&gt;0)*(#REF!&lt;&gt;"")+(N(HF167)&gt;0)*(HI167&lt;&gt;"")+(N(#REF!)&gt;0)*(#REF!&lt;&gt;"")+(N(HJ167)&gt;0)*(HM167&lt;&gt;"")+(N(HN167)&gt;0)*(HQ167&lt;&gt;"")+(N(HZ167)&gt;0)*(IC167&lt;&gt;"")+(N(ID167)&gt;0)*(IG167&lt;&gt;"")+(N(IH167)&gt;0)*(IK167&lt;&gt;"")+(N(IL167)&gt;0)*(IO167&lt;&gt;"")+(N(IX167)&gt;0)*(JA167&lt;&gt;"")+(N(JB167)&gt;0)*(JE167&lt;&gt;"")+(N(JF167)&gt;0)*(JH167&lt;&gt;"")+(N(JI167)&gt;0)*(JK167&lt;&gt;"")+(N(JL167)&gt;0)*(JN167&lt;&gt;"")+(N(JO167)&gt;0)*(JQ167&lt;&gt;""))</f>
        <v>#REF!</v>
      </c>
      <c r="LF167" s="141">
        <f t="shared" si="76"/>
        <v>0</v>
      </c>
      <c r="LG167" s="141">
        <f t="shared" si="70"/>
        <v>0</v>
      </c>
    </row>
    <row r="168" spans="2:319" ht="38.25" customHeight="1" x14ac:dyDescent="0.55000000000000004">
      <c r="B168" s="314" t="s">
        <v>478</v>
      </c>
      <c r="C168" s="218"/>
      <c r="D168" s="218"/>
      <c r="E168" s="218"/>
      <c r="F168" s="218"/>
      <c r="G168" s="218"/>
      <c r="H168" s="218"/>
      <c r="I168" s="162" cm="1">
        <f t="array" ref="I168">SUMPRODUCT(($AI$2:$KV$2&lt;&gt;"")*($AI168:$KV168&lt;&gt;""))</f>
        <v>3</v>
      </c>
      <c r="J168" s="142">
        <f t="shared" si="71"/>
        <v>0</v>
      </c>
      <c r="K168" s="142">
        <f t="shared" si="72"/>
        <v>0</v>
      </c>
      <c r="L168" s="268">
        <f t="shared" si="77"/>
        <v>7000</v>
      </c>
      <c r="M168" s="164">
        <f t="shared" si="73"/>
        <v>3360</v>
      </c>
      <c r="N168" s="397"/>
      <c r="O168" s="165">
        <f t="shared" si="74"/>
        <v>0</v>
      </c>
      <c r="P168" s="165"/>
      <c r="Q168" s="165"/>
      <c r="R168" s="165">
        <f>(IFERROR(AM168/AN168,0)+IFERROR(AU168/AV168,0)+IFERROR(AY168/AZ168,0)+IFERROR(BC168/BD168,0)+IFERROR(BG168/BH168,0)+IFERROR(BK168/BL168,0)+IFERROR(BO168/BP168,0)+IFERROR(BS168/BT168,0)+IFERROR(BW168/BX168,0)+IFERROR(CA168/CB168,0)+IFERROR(CE168/CF168,0)+IFERROR(CI168/CJ168,0)+IFERROR(CM168/CN168,0)+IFERROR(CQ168/CR168,0)+IFERROR(CU168/CV168,0)+IFERROR(CY168/CZ168,0)+IFERROR(DC168/DD168,0)+IFERROR(DG168/DH168,0)+IFERROR(DS168/DT168,0)+IFERROR(DW168/DX168,0)+IFERROR(EA168/EB168,0)+IFERROR(EE168/EF168,0)+IFERROR(EI168/EJ168,0)+IFERROR(EM168/EN168,0)+IFERROR(EQ168/ER168,0)+IFERROR(EU168/EV168,0)+IFERROR(#REF!/#REF!,0)+IFERROR(#REF!/#REF!,0)+IFERROR(FJ168/FK168,0)+IFERROR(FN168/FO168,0)+IFERROR(#REF!/#REF!,0)+IFERROR(#REF!/#REF!,0)+IFERROR(HF168/HG168,0)+IFERROR(#REF!/#REF!,0)+IFERROR(HJ168/HK168,0)+IFERROR(HN168/HO168,0)+IFERROR(HZ168/IA168,0)+IFERROR(ID168/IE168,0)+IFERROR(IH168/II168,0)+IFERROR(IL168/IM168,0)+IFERROR(IX168/IY168,0)+IFERROR(JB168/JC168,0)+IFERROR(JF168/JG168,0)+IFERROR(JI168/JJ168,0)+IFERROR(JL168/JM168,0)+IFERROR(JO168/JP168,0))*L168*(C168+D168+E168+I168)</f>
        <v>0</v>
      </c>
      <c r="S168" s="165"/>
      <c r="T168" s="165">
        <f t="shared" si="63"/>
        <v>0</v>
      </c>
      <c r="U168" s="165"/>
      <c r="V168" s="165"/>
      <c r="W168" s="165"/>
      <c r="X168" s="165">
        <f>(IFERROR(FF168/FG168,0)+IFERROR(FC168/FD168,0)+IFERROR(#REF!/#REF!,0)+IFERROR(KP168/KQ168,0))*L168*(C168+D168+E168+I168)</f>
        <v>0</v>
      </c>
      <c r="Y168" s="484"/>
      <c r="Z168" s="484"/>
      <c r="AA168" s="484"/>
      <c r="AB168" s="484"/>
      <c r="AC168" s="150">
        <f t="shared" si="75"/>
        <v>0</v>
      </c>
      <c r="AD168" s="150"/>
      <c r="AE168" s="150">
        <f t="shared" si="64"/>
        <v>0</v>
      </c>
      <c r="AF168" s="161"/>
      <c r="AG168" s="143"/>
      <c r="AH168" s="154"/>
      <c r="AI168" s="342">
        <v>40</v>
      </c>
      <c r="AJ168" s="342">
        <v>250</v>
      </c>
      <c r="AK168" s="342"/>
      <c r="AL168" s="343" t="s">
        <v>545</v>
      </c>
      <c r="AM168" s="140"/>
      <c r="AN168" s="154"/>
      <c r="AO168" s="154"/>
      <c r="AP168" s="220"/>
      <c r="AQ168" s="145"/>
      <c r="AR168" s="154"/>
      <c r="AS168" s="154"/>
      <c r="AT168" s="220"/>
      <c r="AU168" s="140"/>
      <c r="AV168" s="277"/>
      <c r="AW168" s="277"/>
      <c r="AX168" s="277"/>
      <c r="AY168" s="140"/>
      <c r="AZ168" s="277"/>
      <c r="BA168" s="277"/>
      <c r="BB168" s="277"/>
      <c r="BC168" s="140"/>
      <c r="BD168" s="277"/>
      <c r="BE168" s="277"/>
      <c r="BF168" s="277"/>
      <c r="BG168" s="140"/>
      <c r="BH168" s="277"/>
      <c r="BI168" s="277"/>
      <c r="BJ168" s="277"/>
      <c r="BK168" s="140"/>
      <c r="BL168" s="277"/>
      <c r="BM168" s="277"/>
      <c r="BN168" s="277"/>
      <c r="BO168" s="140"/>
      <c r="BP168" s="277"/>
      <c r="BQ168" s="277"/>
      <c r="BR168" s="277"/>
      <c r="BS168" s="140"/>
      <c r="BT168" s="277"/>
      <c r="BU168" s="277"/>
      <c r="BV168" s="277"/>
      <c r="BW168" s="140"/>
      <c r="BX168" s="154"/>
      <c r="BY168" s="154"/>
      <c r="BZ168" s="220"/>
      <c r="CA168" s="140"/>
      <c r="CB168" s="154"/>
      <c r="CC168" s="154"/>
      <c r="CD168" s="220"/>
      <c r="CE168" s="140"/>
      <c r="CF168" s="271"/>
      <c r="CG168" s="271"/>
      <c r="CH168" s="271"/>
      <c r="CI168" s="140"/>
      <c r="CJ168" s="154"/>
      <c r="CK168" s="154"/>
      <c r="CL168" s="154"/>
      <c r="CM168" s="140"/>
      <c r="CN168" s="271"/>
      <c r="CO168" s="271"/>
      <c r="CP168" s="271"/>
      <c r="CQ168" s="140"/>
      <c r="CR168" s="154"/>
      <c r="CS168" s="154"/>
      <c r="CT168" s="154"/>
      <c r="CU168" s="140"/>
      <c r="CV168" s="154"/>
      <c r="CW168" s="154"/>
      <c r="CX168" s="220"/>
      <c r="CY168" s="140"/>
      <c r="CZ168" s="154"/>
      <c r="DA168" s="154"/>
      <c r="DB168" s="220"/>
      <c r="DC168" s="140"/>
      <c r="DD168" s="146"/>
      <c r="DE168" s="146"/>
      <c r="DF168" s="146"/>
      <c r="DG168" s="140"/>
      <c r="DH168" s="146"/>
      <c r="DI168" s="146"/>
      <c r="DJ168" s="146"/>
      <c r="DK168" s="146"/>
      <c r="DL168" s="146"/>
      <c r="DM168" s="146"/>
      <c r="DN168" s="146"/>
      <c r="DO168" s="146"/>
      <c r="DP168" s="146"/>
      <c r="DQ168" s="146"/>
      <c r="DR168" s="146"/>
      <c r="DS168" s="140"/>
      <c r="DT168" s="154"/>
      <c r="DU168" s="154"/>
      <c r="DV168" s="154"/>
      <c r="DW168" s="140"/>
      <c r="DX168" s="220"/>
      <c r="DY168" s="220"/>
      <c r="DZ168" s="220"/>
      <c r="EA168" s="140"/>
      <c r="EB168" s="220"/>
      <c r="EC168" s="220"/>
      <c r="ED168" s="220"/>
      <c r="EE168" s="140"/>
      <c r="EF168" s="154"/>
      <c r="EG168" s="154"/>
      <c r="EH168" s="154"/>
      <c r="EI168" s="140"/>
      <c r="EJ168" s="154"/>
      <c r="EK168" s="154"/>
      <c r="EL168" s="154"/>
      <c r="EM168" s="140"/>
      <c r="EN168" s="222"/>
      <c r="EO168" s="222"/>
      <c r="EP168" s="222"/>
      <c r="EQ168" s="140"/>
      <c r="ER168" s="222"/>
      <c r="ES168" s="222"/>
      <c r="ET168" s="222"/>
      <c r="EU168" s="140"/>
      <c r="EV168" s="222"/>
      <c r="EW168" s="222"/>
      <c r="EX168" s="222"/>
      <c r="EY168" s="344"/>
      <c r="EZ168" s="222"/>
      <c r="FA168" s="222"/>
      <c r="FB168" s="222"/>
      <c r="FC168" s="273"/>
      <c r="FD168" s="223"/>
      <c r="FE168" s="223"/>
      <c r="FF168" s="276"/>
      <c r="FG168" s="156"/>
      <c r="FH168" s="156"/>
      <c r="FI168" s="156"/>
      <c r="FJ168" s="140"/>
      <c r="FK168" s="277"/>
      <c r="FL168" s="277"/>
      <c r="FM168" s="277"/>
      <c r="FN168" s="140"/>
      <c r="FO168" s="277"/>
      <c r="FP168" s="277"/>
      <c r="FQ168" s="277"/>
      <c r="FR168" s="280"/>
      <c r="FS168" s="277"/>
      <c r="FT168" s="277"/>
      <c r="FU168" s="277"/>
      <c r="FV168" s="277"/>
      <c r="FW168" s="277"/>
      <c r="FX168" s="277"/>
      <c r="FY168" s="277"/>
      <c r="FZ168" s="277"/>
      <c r="GA168" s="277"/>
      <c r="GB168" s="277"/>
      <c r="GC168" s="277"/>
      <c r="GD168" s="277"/>
      <c r="GE168" s="277"/>
      <c r="GF168" s="277"/>
      <c r="GG168" s="277"/>
      <c r="GH168" s="277"/>
      <c r="GI168" s="277"/>
      <c r="GJ168" s="277"/>
      <c r="GK168" s="277"/>
      <c r="GL168" s="277"/>
      <c r="GM168" s="277"/>
      <c r="GN168" s="277"/>
      <c r="GO168" s="277"/>
      <c r="GP168" s="277"/>
      <c r="GQ168" s="277"/>
      <c r="GR168" s="277"/>
      <c r="GS168" s="277"/>
      <c r="GT168" s="277"/>
      <c r="GU168" s="277"/>
      <c r="GV168" s="277"/>
      <c r="GW168" s="277"/>
      <c r="GX168" s="277"/>
      <c r="GY168" s="277"/>
      <c r="GZ168" s="277"/>
      <c r="HA168" s="277"/>
      <c r="HB168" s="277"/>
      <c r="HC168" s="277"/>
      <c r="HD168" s="277"/>
      <c r="HE168" s="277"/>
      <c r="HF168" s="140"/>
      <c r="HG168" s="277"/>
      <c r="HH168" s="277"/>
      <c r="HI168" s="277"/>
      <c r="HJ168" s="140"/>
      <c r="HK168" s="277"/>
      <c r="HL168" s="277"/>
      <c r="HM168" s="277"/>
      <c r="HN168" s="140"/>
      <c r="HO168" s="277"/>
      <c r="HP168" s="277"/>
      <c r="HQ168" s="277"/>
      <c r="HR168" s="277"/>
      <c r="HS168" s="277"/>
      <c r="HT168" s="277"/>
      <c r="HU168" s="277"/>
      <c r="HV168" s="277"/>
      <c r="HW168" s="277"/>
      <c r="HX168" s="277"/>
      <c r="HY168" s="277"/>
      <c r="HZ168" s="140"/>
      <c r="IA168" s="277"/>
      <c r="IB168" s="277"/>
      <c r="IC168" s="277"/>
      <c r="ID168" s="140"/>
      <c r="IE168" s="277"/>
      <c r="IF168" s="277"/>
      <c r="IG168" s="277"/>
      <c r="IH168" s="140"/>
      <c r="II168" s="277"/>
      <c r="IJ168" s="277"/>
      <c r="IK168" s="277"/>
      <c r="IL168" s="140"/>
      <c r="IM168" s="277"/>
      <c r="IN168" s="277"/>
      <c r="IO168" s="277"/>
      <c r="IP168" s="277"/>
      <c r="IQ168" s="277"/>
      <c r="IR168" s="277"/>
      <c r="IS168" s="277"/>
      <c r="IT168" s="277"/>
      <c r="IU168" s="277"/>
      <c r="IV168" s="277"/>
      <c r="IW168" s="277"/>
      <c r="IX168" s="140"/>
      <c r="IY168" s="277"/>
      <c r="IZ168" s="277"/>
      <c r="JA168" s="277"/>
      <c r="JB168" s="140"/>
      <c r="JC168" s="277"/>
      <c r="JD168" s="277"/>
      <c r="JE168" s="277"/>
      <c r="JF168" s="140"/>
      <c r="JG168" s="277"/>
      <c r="JH168" s="277"/>
      <c r="JI168" s="140"/>
      <c r="JJ168" s="277"/>
      <c r="JK168" s="277"/>
      <c r="JL168" s="140"/>
      <c r="JM168" s="277"/>
      <c r="JN168" s="277"/>
      <c r="JO168" s="140"/>
      <c r="JP168" s="277"/>
      <c r="JQ168" s="277"/>
      <c r="JR168" s="277"/>
      <c r="JS168" s="277"/>
      <c r="JT168" s="277"/>
      <c r="JU168" s="277"/>
      <c r="JV168" s="277"/>
      <c r="JW168" s="277"/>
      <c r="JX168" s="277"/>
      <c r="JY168" s="277"/>
      <c r="JZ168" s="277"/>
      <c r="KA168" s="277"/>
      <c r="KB168" s="277"/>
      <c r="KC168" s="277"/>
      <c r="KD168" s="277"/>
      <c r="KE168" s="277"/>
      <c r="KF168" s="277"/>
      <c r="KG168" s="277"/>
      <c r="KH168" s="277"/>
      <c r="KI168" s="277"/>
      <c r="KJ168" s="277"/>
      <c r="KK168" s="277"/>
      <c r="KL168" s="277"/>
      <c r="KM168" s="277"/>
      <c r="KN168" s="277"/>
      <c r="KO168" s="277"/>
      <c r="KP168" s="274"/>
      <c r="KQ168" s="253"/>
      <c r="KR168" s="253"/>
      <c r="KS168" s="346">
        <v>40</v>
      </c>
      <c r="KT168" s="346">
        <v>1000</v>
      </c>
      <c r="KU168" s="346" t="s">
        <v>759</v>
      </c>
      <c r="KV168" s="346">
        <v>25</v>
      </c>
      <c r="KW168" s="346">
        <v>500</v>
      </c>
      <c r="KX168" s="346" t="s">
        <v>759</v>
      </c>
      <c r="KY168" s="141">
        <f t="shared" si="65"/>
        <v>840</v>
      </c>
      <c r="KZ168" s="141">
        <f t="shared" si="66"/>
        <v>1050</v>
      </c>
      <c r="LB168" s="141">
        <f t="shared" si="67"/>
        <v>1</v>
      </c>
      <c r="LC168" s="141">
        <f t="shared" si="68"/>
        <v>0</v>
      </c>
      <c r="LD168" s="141">
        <f t="shared" si="69"/>
        <v>0</v>
      </c>
      <c r="LE168" s="141" t="e">
        <f>((N(AU168)&gt;0)*(AX168&lt;&gt;"")+(N(AY168)&gt;0)*(BB168&lt;&gt;"")+(N(BC168)&gt;0)*(BF168&lt;&gt;"")+(N(BG168)&gt;0)*(BJ168&lt;&gt;"")+(N(BK168)&gt;0)*(BN168&lt;&gt;"")+(N(BO168)&gt;0)*(BR168&lt;&gt;"")+(N(BS168)&gt;0)*(BV168&lt;&gt;"")+(N(BW168)&gt;0)*(BZ168&lt;&gt;"")+(N(CA168)&gt;0)*(CD168&lt;&gt;"")+(N(CE168)&gt;0)*(CH168&lt;&gt;"")+(N(CI168)&gt;0)*(CL168&lt;&gt;"")+(N(CM168)&gt;0)*(CP168&lt;&gt;"")+(N(CQ168)&gt;0)*(CT168&lt;&gt;"")+(N(CU168)&gt;0)*(CX168&lt;&gt;"")+(N(CY168)&gt;0)*(DB168&lt;&gt;"")+(N(DC168)&gt;0)*(DF168&lt;&gt;"")+(N(DG168)&gt;0)*(DJ168&lt;&gt;"")+(N(DS168)&gt;0)*(DV168&lt;&gt;"")+(N(DW168)&gt;0)*(DZ168&lt;&gt;"")+(N(EA168)&gt;0)*(ED168&lt;&gt;"")+(N(EE168)&gt;0)*(EH168&lt;&gt;"")+(N(EI168)&gt;0)*(EL168&lt;&gt;"")+(N(EM168)&gt;0)*(EP168&lt;&gt;"")+(N(EQ168)&gt;0)*(ET168&lt;&gt;"")+(N(EU168)&gt;0)*(EX168&lt;&gt;"")+(N(#REF!)&gt;0)*(#REF!&lt;&gt;"")+(N(#REF!)&gt;0)*(#REF!&lt;&gt;"")+(N(FJ168)&gt;0)*(FM168&lt;&gt;"")+(N(FN168)&gt;0)*(FQ168&lt;&gt;"")+(N(#REF!)&gt;0)*(#REF!&lt;&gt;"")+(N(#REF!)&gt;0)*(#REF!&lt;&gt;"")+(N(HF168)&gt;0)*(HI168&lt;&gt;"")+(N(#REF!)&gt;0)*(#REF!&lt;&gt;"")+(N(HJ168)&gt;0)*(HM168&lt;&gt;"")+(N(HN168)&gt;0)*(HQ168&lt;&gt;"")+(N(HZ168)&gt;0)*(IC168&lt;&gt;"")+(N(ID168)&gt;0)*(IG168&lt;&gt;"")+(N(IH168)&gt;0)*(IK168&lt;&gt;"")+(N(IL168)&gt;0)*(IO168&lt;&gt;"")+(N(IX168)&gt;0)*(JA168&lt;&gt;"")+(N(JB168)&gt;0)*(JE168&lt;&gt;"")+(N(JF168)&gt;0)*(JH168&lt;&gt;"")+(N(JI168)&gt;0)*(JK168&lt;&gt;"")+(N(JL168)&gt;0)*(JN168&lt;&gt;"")+(N(JO168)&gt;0)*(JQ168&lt;&gt;""))</f>
        <v>#REF!</v>
      </c>
      <c r="LF168" s="141">
        <f t="shared" si="76"/>
        <v>0</v>
      </c>
      <c r="LG168" s="141">
        <f t="shared" si="70"/>
        <v>0</v>
      </c>
    </row>
    <row r="169" spans="2:319" ht="38.25" customHeight="1" x14ac:dyDescent="0.55000000000000004">
      <c r="B169" s="314" t="s">
        <v>469</v>
      </c>
      <c r="C169" s="218"/>
      <c r="D169" s="218"/>
      <c r="E169" s="218"/>
      <c r="F169" s="218"/>
      <c r="G169" s="218"/>
      <c r="H169" s="218"/>
      <c r="I169" s="162" cm="1">
        <f t="array" ref="I169">SUMPRODUCT(($AI$2:$KV$2&lt;&gt;"")*($AI169:$KV169&lt;&gt;""))</f>
        <v>1</v>
      </c>
      <c r="J169" s="142">
        <f t="shared" si="71"/>
        <v>0</v>
      </c>
      <c r="K169" s="142">
        <f t="shared" si="72"/>
        <v>0</v>
      </c>
      <c r="L169" s="268">
        <f t="shared" si="77"/>
        <v>7000</v>
      </c>
      <c r="M169" s="164">
        <f t="shared" si="73"/>
        <v>784</v>
      </c>
      <c r="N169" s="397"/>
      <c r="O169" s="165">
        <f t="shared" si="74"/>
        <v>0</v>
      </c>
      <c r="P169" s="165"/>
      <c r="Q169" s="165"/>
      <c r="R169" s="165">
        <f>(IFERROR(AM169/AN169,0)+IFERROR(AU169/AV169,0)+IFERROR(AY169/AZ169,0)+IFERROR(BC169/BD169,0)+IFERROR(BG169/BH169,0)+IFERROR(BK169/BL169,0)+IFERROR(BO169/BP169,0)+IFERROR(BS169/BT169,0)+IFERROR(BW169/BX169,0)+IFERROR(CA169/CB169,0)+IFERROR(CE169/CF169,0)+IFERROR(CI169/CJ169,0)+IFERROR(CM169/CN169,0)+IFERROR(CQ169/CR169,0)+IFERROR(CU169/CV169,0)+IFERROR(CY169/CZ169,0)+IFERROR(DC169/DD169,0)+IFERROR(DG169/DH169,0)+IFERROR(DS169/DT169,0)+IFERROR(DW169/DX169,0)+IFERROR(EA169/EB169,0)+IFERROR(EE169/EF169,0)+IFERROR(EI169/EJ169,0)+IFERROR(EM169/EN169,0)+IFERROR(EQ169/ER169,0)+IFERROR(EU169/EV169,0)+IFERROR(#REF!/#REF!,0)+IFERROR(#REF!/#REF!,0)+IFERROR(FJ169/FK169,0)+IFERROR(FN169/FO169,0)+IFERROR(#REF!/#REF!,0)+IFERROR(#REF!/#REF!,0)+IFERROR(HF169/HG169,0)+IFERROR(#REF!/#REF!,0)+IFERROR(HJ169/HK169,0)+IFERROR(HN169/HO169,0)+IFERROR(HZ169/IA169,0)+IFERROR(ID169/IE169,0)+IFERROR(IH169/II169,0)+IFERROR(IL169/IM169,0)+IFERROR(IX169/IY169,0)+IFERROR(JB169/JC169,0)+IFERROR(JF169/JG169,0)+IFERROR(JI169/JJ169,0)+IFERROR(JL169/JM169,0)+IFERROR(JO169/JP169,0))*L169*(C169+D169+E169+I169)</f>
        <v>0</v>
      </c>
      <c r="S169" s="165"/>
      <c r="T169" s="165">
        <f t="shared" si="63"/>
        <v>0</v>
      </c>
      <c r="U169" s="165"/>
      <c r="V169" s="165"/>
      <c r="W169" s="165"/>
      <c r="X169" s="165">
        <f>(IFERROR(FF169/FG169,0)+IFERROR(FC169/FD169,0)+IFERROR(#REF!/#REF!,0)+IFERROR(KP169/KQ169,0))*L169*(C169+D169+E169+I169)</f>
        <v>0</v>
      </c>
      <c r="Y169" s="484"/>
      <c r="Z169" s="484"/>
      <c r="AA169" s="484"/>
      <c r="AB169" s="484"/>
      <c r="AC169" s="150">
        <f t="shared" si="75"/>
        <v>0</v>
      </c>
      <c r="AD169" s="150"/>
      <c r="AE169" s="150">
        <f t="shared" si="64"/>
        <v>0</v>
      </c>
      <c r="AF169" s="161"/>
      <c r="AG169" s="143"/>
      <c r="AH169" s="154"/>
      <c r="AI169" s="342">
        <v>28</v>
      </c>
      <c r="AJ169" s="342">
        <v>250</v>
      </c>
      <c r="AK169" s="342"/>
      <c r="AL169" s="343" t="s">
        <v>545</v>
      </c>
      <c r="AM169" s="140"/>
      <c r="AN169" s="154"/>
      <c r="AO169" s="154"/>
      <c r="AP169" s="220"/>
      <c r="AQ169" s="145"/>
      <c r="AR169" s="154"/>
      <c r="AS169" s="154"/>
      <c r="AT169" s="220"/>
      <c r="AU169" s="140"/>
      <c r="AV169" s="277"/>
      <c r="AW169" s="277"/>
      <c r="AX169" s="277"/>
      <c r="AY169" s="140"/>
      <c r="AZ169" s="277"/>
      <c r="BA169" s="277"/>
      <c r="BB169" s="277"/>
      <c r="BC169" s="140"/>
      <c r="BD169" s="277"/>
      <c r="BE169" s="277"/>
      <c r="BF169" s="277"/>
      <c r="BG169" s="140"/>
      <c r="BH169" s="277"/>
      <c r="BI169" s="277"/>
      <c r="BJ169" s="277"/>
      <c r="BK169" s="140"/>
      <c r="BL169" s="277"/>
      <c r="BM169" s="277"/>
      <c r="BN169" s="277"/>
      <c r="BO169" s="140"/>
      <c r="BP169" s="277"/>
      <c r="BQ169" s="277"/>
      <c r="BR169" s="277"/>
      <c r="BS169" s="140"/>
      <c r="BT169" s="277"/>
      <c r="BU169" s="277"/>
      <c r="BV169" s="277"/>
      <c r="BW169" s="140"/>
      <c r="BX169" s="154"/>
      <c r="BY169" s="154"/>
      <c r="BZ169" s="220"/>
      <c r="CA169" s="140"/>
      <c r="CB169" s="154"/>
      <c r="CC169" s="154"/>
      <c r="CD169" s="220"/>
      <c r="CE169" s="140"/>
      <c r="CF169" s="271"/>
      <c r="CG169" s="271"/>
      <c r="CH169" s="271"/>
      <c r="CI169" s="140"/>
      <c r="CJ169" s="154"/>
      <c r="CK169" s="154"/>
      <c r="CL169" s="154"/>
      <c r="CM169" s="140"/>
      <c r="CN169" s="271"/>
      <c r="CO169" s="271"/>
      <c r="CP169" s="271"/>
      <c r="CQ169" s="140"/>
      <c r="CR169" s="154"/>
      <c r="CS169" s="154"/>
      <c r="CT169" s="154"/>
      <c r="CU169" s="140"/>
      <c r="CV169" s="154"/>
      <c r="CW169" s="154"/>
      <c r="CX169" s="220"/>
      <c r="CY169" s="140"/>
      <c r="CZ169" s="154"/>
      <c r="DA169" s="154"/>
      <c r="DB169" s="220"/>
      <c r="DC169" s="140"/>
      <c r="DD169" s="146"/>
      <c r="DE169" s="146"/>
      <c r="DF169" s="146"/>
      <c r="DG169" s="140"/>
      <c r="DH169" s="146"/>
      <c r="DI169" s="146"/>
      <c r="DJ169" s="146"/>
      <c r="DK169" s="146"/>
      <c r="DL169" s="146"/>
      <c r="DM169" s="146"/>
      <c r="DN169" s="146"/>
      <c r="DO169" s="146"/>
      <c r="DP169" s="146"/>
      <c r="DQ169" s="146"/>
      <c r="DR169" s="146"/>
      <c r="DS169" s="140"/>
      <c r="DT169" s="154"/>
      <c r="DU169" s="154"/>
      <c r="DV169" s="154"/>
      <c r="DW169" s="140"/>
      <c r="DX169" s="220"/>
      <c r="DY169" s="220"/>
      <c r="DZ169" s="220"/>
      <c r="EA169" s="140"/>
      <c r="EB169" s="220"/>
      <c r="EC169" s="220"/>
      <c r="ED169" s="220"/>
      <c r="EE169" s="140"/>
      <c r="EF169" s="154"/>
      <c r="EG169" s="154"/>
      <c r="EH169" s="154"/>
      <c r="EI169" s="140"/>
      <c r="EJ169" s="154"/>
      <c r="EK169" s="154"/>
      <c r="EL169" s="154"/>
      <c r="EM169" s="140"/>
      <c r="EN169" s="222"/>
      <c r="EO169" s="222"/>
      <c r="EP169" s="222"/>
      <c r="EQ169" s="140"/>
      <c r="ER169" s="222"/>
      <c r="ES169" s="222"/>
      <c r="ET169" s="222"/>
      <c r="EU169" s="140"/>
      <c r="EV169" s="222"/>
      <c r="EW169" s="222"/>
      <c r="EX169" s="222"/>
      <c r="EY169" s="344"/>
      <c r="EZ169" s="222"/>
      <c r="FA169" s="222"/>
      <c r="FB169" s="222"/>
      <c r="FC169" s="273"/>
      <c r="FD169" s="223"/>
      <c r="FE169" s="223"/>
      <c r="FF169" s="276"/>
      <c r="FG169" s="156"/>
      <c r="FH169" s="156"/>
      <c r="FI169" s="156"/>
      <c r="FJ169" s="140"/>
      <c r="FK169" s="277"/>
      <c r="FL169" s="277"/>
      <c r="FM169" s="277"/>
      <c r="FN169" s="140"/>
      <c r="FO169" s="277"/>
      <c r="FP169" s="277"/>
      <c r="FQ169" s="277"/>
      <c r="FR169" s="280"/>
      <c r="FS169" s="277"/>
      <c r="FT169" s="277"/>
      <c r="FU169" s="277"/>
      <c r="FV169" s="277"/>
      <c r="FW169" s="277"/>
      <c r="FX169" s="277"/>
      <c r="FY169" s="277"/>
      <c r="FZ169" s="277"/>
      <c r="GA169" s="277"/>
      <c r="GB169" s="277"/>
      <c r="GC169" s="277"/>
      <c r="GD169" s="277"/>
      <c r="GE169" s="277"/>
      <c r="GF169" s="277"/>
      <c r="GG169" s="277"/>
      <c r="GH169" s="277"/>
      <c r="GI169" s="277"/>
      <c r="GJ169" s="277"/>
      <c r="GK169" s="277"/>
      <c r="GL169" s="277"/>
      <c r="GM169" s="277"/>
      <c r="GN169" s="277"/>
      <c r="GO169" s="277"/>
      <c r="GP169" s="277"/>
      <c r="GQ169" s="277"/>
      <c r="GR169" s="277"/>
      <c r="GS169" s="277"/>
      <c r="GT169" s="277"/>
      <c r="GU169" s="277"/>
      <c r="GV169" s="277"/>
      <c r="GW169" s="277"/>
      <c r="GX169" s="277"/>
      <c r="GY169" s="277"/>
      <c r="GZ169" s="277"/>
      <c r="HA169" s="277"/>
      <c r="HB169" s="277"/>
      <c r="HC169" s="277"/>
      <c r="HD169" s="277"/>
      <c r="HE169" s="277"/>
      <c r="HF169" s="140"/>
      <c r="HG169" s="277"/>
      <c r="HH169" s="277"/>
      <c r="HI169" s="277"/>
      <c r="HJ169" s="140"/>
      <c r="HK169" s="277"/>
      <c r="HL169" s="277"/>
      <c r="HM169" s="277"/>
      <c r="HN169" s="140"/>
      <c r="HO169" s="277"/>
      <c r="HP169" s="277"/>
      <c r="HQ169" s="277"/>
      <c r="HR169" s="277"/>
      <c r="HS169" s="277"/>
      <c r="HT169" s="277"/>
      <c r="HU169" s="277"/>
      <c r="HV169" s="277"/>
      <c r="HW169" s="277"/>
      <c r="HX169" s="277"/>
      <c r="HY169" s="277"/>
      <c r="HZ169" s="140"/>
      <c r="IA169" s="277"/>
      <c r="IB169" s="277"/>
      <c r="IC169" s="277"/>
      <c r="ID169" s="140"/>
      <c r="IE169" s="277"/>
      <c r="IF169" s="277"/>
      <c r="IG169" s="277"/>
      <c r="IH169" s="140"/>
      <c r="II169" s="277"/>
      <c r="IJ169" s="277"/>
      <c r="IK169" s="277"/>
      <c r="IL169" s="140"/>
      <c r="IM169" s="277"/>
      <c r="IN169" s="277"/>
      <c r="IO169" s="277"/>
      <c r="IP169" s="277"/>
      <c r="IQ169" s="277"/>
      <c r="IR169" s="277"/>
      <c r="IS169" s="277"/>
      <c r="IT169" s="277"/>
      <c r="IU169" s="277"/>
      <c r="IV169" s="277"/>
      <c r="IW169" s="277"/>
      <c r="IX169" s="140"/>
      <c r="IY169" s="277"/>
      <c r="IZ169" s="277"/>
      <c r="JA169" s="277"/>
      <c r="JB169" s="140"/>
      <c r="JC169" s="277"/>
      <c r="JD169" s="277"/>
      <c r="JE169" s="277"/>
      <c r="JF169" s="140"/>
      <c r="JG169" s="277"/>
      <c r="JH169" s="277"/>
      <c r="JI169" s="140"/>
      <c r="JJ169" s="277"/>
      <c r="JK169" s="277"/>
      <c r="JL169" s="140"/>
      <c r="JM169" s="277"/>
      <c r="JN169" s="277"/>
      <c r="JO169" s="140"/>
      <c r="JP169" s="277"/>
      <c r="JQ169" s="277"/>
      <c r="JR169" s="277"/>
      <c r="JS169" s="277"/>
      <c r="JT169" s="277"/>
      <c r="JU169" s="277"/>
      <c r="JV169" s="277"/>
      <c r="JW169" s="277"/>
      <c r="JX169" s="277"/>
      <c r="JY169" s="277"/>
      <c r="JZ169" s="277"/>
      <c r="KA169" s="277"/>
      <c r="KB169" s="277"/>
      <c r="KC169" s="277"/>
      <c r="KD169" s="277"/>
      <c r="KE169" s="277"/>
      <c r="KF169" s="277"/>
      <c r="KG169" s="277"/>
      <c r="KH169" s="277"/>
      <c r="KI169" s="277"/>
      <c r="KJ169" s="277"/>
      <c r="KK169" s="277"/>
      <c r="KL169" s="277"/>
      <c r="KM169" s="277"/>
      <c r="KN169" s="277"/>
      <c r="KO169" s="277"/>
      <c r="KP169" s="274"/>
      <c r="KQ169" s="253"/>
      <c r="KR169" s="253"/>
      <c r="KY169" s="141">
        <f t="shared" si="65"/>
        <v>0</v>
      </c>
      <c r="KZ169" s="141">
        <f t="shared" si="66"/>
        <v>0</v>
      </c>
      <c r="LB169" s="141">
        <f t="shared" si="67"/>
        <v>1</v>
      </c>
      <c r="LC169" s="141">
        <f t="shared" si="68"/>
        <v>0</v>
      </c>
      <c r="LD169" s="141">
        <f t="shared" si="69"/>
        <v>0</v>
      </c>
      <c r="LE169" s="141" t="e">
        <f>((N(AU169)&gt;0)*(AX169&lt;&gt;"")+(N(AY169)&gt;0)*(BB169&lt;&gt;"")+(N(BC169)&gt;0)*(BF169&lt;&gt;"")+(N(BG169)&gt;0)*(BJ169&lt;&gt;"")+(N(BK169)&gt;0)*(BN169&lt;&gt;"")+(N(BO169)&gt;0)*(BR169&lt;&gt;"")+(N(BS169)&gt;0)*(BV169&lt;&gt;"")+(N(BW169)&gt;0)*(BZ169&lt;&gt;"")+(N(CA169)&gt;0)*(CD169&lt;&gt;"")+(N(CE169)&gt;0)*(CH169&lt;&gt;"")+(N(CI169)&gt;0)*(CL169&lt;&gt;"")+(N(CM169)&gt;0)*(CP169&lt;&gt;"")+(N(CQ169)&gt;0)*(CT169&lt;&gt;"")+(N(CU169)&gt;0)*(CX169&lt;&gt;"")+(N(CY169)&gt;0)*(DB169&lt;&gt;"")+(N(DC169)&gt;0)*(DF169&lt;&gt;"")+(N(DG169)&gt;0)*(DJ169&lt;&gt;"")+(N(DS169)&gt;0)*(DV169&lt;&gt;"")+(N(DW169)&gt;0)*(DZ169&lt;&gt;"")+(N(EA169)&gt;0)*(ED169&lt;&gt;"")+(N(EE169)&gt;0)*(EH169&lt;&gt;"")+(N(EI169)&gt;0)*(EL169&lt;&gt;"")+(N(EM169)&gt;0)*(EP169&lt;&gt;"")+(N(EQ169)&gt;0)*(ET169&lt;&gt;"")+(N(EU169)&gt;0)*(EX169&lt;&gt;"")+(N(#REF!)&gt;0)*(#REF!&lt;&gt;"")+(N(#REF!)&gt;0)*(#REF!&lt;&gt;"")+(N(FJ169)&gt;0)*(FM169&lt;&gt;"")+(N(FN169)&gt;0)*(FQ169&lt;&gt;"")+(N(#REF!)&gt;0)*(#REF!&lt;&gt;"")+(N(#REF!)&gt;0)*(#REF!&lt;&gt;"")+(N(HF169)&gt;0)*(HI169&lt;&gt;"")+(N(#REF!)&gt;0)*(#REF!&lt;&gt;"")+(N(HJ169)&gt;0)*(HM169&lt;&gt;"")+(N(HN169)&gt;0)*(HQ169&lt;&gt;"")+(N(HZ169)&gt;0)*(IC169&lt;&gt;"")+(N(ID169)&gt;0)*(IG169&lt;&gt;"")+(N(IH169)&gt;0)*(IK169&lt;&gt;"")+(N(IL169)&gt;0)*(IO169&lt;&gt;"")+(N(IX169)&gt;0)*(JA169&lt;&gt;"")+(N(JB169)&gt;0)*(JE169&lt;&gt;"")+(N(JF169)&gt;0)*(JH169&lt;&gt;"")+(N(JI169)&gt;0)*(JK169&lt;&gt;"")+(N(JL169)&gt;0)*(JN169&lt;&gt;"")+(N(JO169)&gt;0)*(JQ169&lt;&gt;""))</f>
        <v>#REF!</v>
      </c>
      <c r="LF169" s="141">
        <f t="shared" si="76"/>
        <v>0</v>
      </c>
      <c r="LG169" s="141">
        <f t="shared" si="70"/>
        <v>0</v>
      </c>
    </row>
    <row r="170" spans="2:319" ht="38.25" customHeight="1" x14ac:dyDescent="0.55000000000000004">
      <c r="B170" s="314" t="s">
        <v>475</v>
      </c>
      <c r="C170" s="218"/>
      <c r="D170" s="218"/>
      <c r="E170" s="218"/>
      <c r="F170" s="218"/>
      <c r="G170" s="218"/>
      <c r="H170" s="218"/>
      <c r="I170" s="162" cm="1">
        <f t="array" ref="I170">SUMPRODUCT(($AI$2:$KV$2&lt;&gt;"")*($AI170:$KV170&lt;&gt;""))</f>
        <v>1</v>
      </c>
      <c r="J170" s="142">
        <f t="shared" si="71"/>
        <v>0</v>
      </c>
      <c r="K170" s="142">
        <f t="shared" si="72"/>
        <v>0</v>
      </c>
      <c r="L170" s="268">
        <f t="shared" si="77"/>
        <v>7000</v>
      </c>
      <c r="M170" s="164">
        <f t="shared" si="73"/>
        <v>784</v>
      </c>
      <c r="N170" s="397"/>
      <c r="O170" s="165">
        <f t="shared" si="74"/>
        <v>0</v>
      </c>
      <c r="P170" s="165"/>
      <c r="Q170" s="165"/>
      <c r="R170" s="165">
        <f>(IFERROR(AM170/AN170,0)+IFERROR(AU170/AV170,0)+IFERROR(AY170/AZ170,0)+IFERROR(BC170/BD170,0)+IFERROR(BG170/BH170,0)+IFERROR(BK170/BL170,0)+IFERROR(BO170/BP170,0)+IFERROR(BS170/BT170,0)+IFERROR(BW170/BX170,0)+IFERROR(CA170/CB170,0)+IFERROR(CE170/CF170,0)+IFERROR(CI170/CJ170,0)+IFERROR(CM170/CN170,0)+IFERROR(CQ170/CR170,0)+IFERROR(CU170/CV170,0)+IFERROR(CY170/CZ170,0)+IFERROR(DC170/DD170,0)+IFERROR(DG170/DH170,0)+IFERROR(DS170/DT170,0)+IFERROR(DW170/DX170,0)+IFERROR(EA170/EB170,0)+IFERROR(EE170/EF170,0)+IFERROR(EI170/EJ170,0)+IFERROR(EM170/EN170,0)+IFERROR(EQ170/ER170,0)+IFERROR(EU170/EV170,0)+IFERROR(#REF!/#REF!,0)+IFERROR(#REF!/#REF!,0)+IFERROR(FJ170/FK170,0)+IFERROR(FN170/FO170,0)+IFERROR(#REF!/#REF!,0)+IFERROR(#REF!/#REF!,0)+IFERROR(HF170/HG170,0)+IFERROR(#REF!/#REF!,0)+IFERROR(HJ170/HK170,0)+IFERROR(HN170/HO170,0)+IFERROR(HZ170/IA170,0)+IFERROR(ID170/IE170,0)+IFERROR(IH170/II170,0)+IFERROR(IL170/IM170,0)+IFERROR(IX170/IY170,0)+IFERROR(JB170/JC170,0)+IFERROR(JF170/JG170,0)+IFERROR(JI170/JJ170,0)+IFERROR(JL170/JM170,0)+IFERROR(JO170/JP170,0))*L170*(C170+D170+E170+I170)</f>
        <v>0</v>
      </c>
      <c r="S170" s="165"/>
      <c r="T170" s="165">
        <f t="shared" si="63"/>
        <v>0</v>
      </c>
      <c r="U170" s="165"/>
      <c r="V170" s="165"/>
      <c r="W170" s="165"/>
      <c r="X170" s="165">
        <f>(IFERROR(FF170/FG170,0)+IFERROR(FC170/FD170,0)+IFERROR(#REF!/#REF!,0)+IFERROR(KP170/KQ170,0))*L170*(C170+D170+E170+I170)</f>
        <v>0</v>
      </c>
      <c r="Y170" s="484"/>
      <c r="Z170" s="484"/>
      <c r="AA170" s="484"/>
      <c r="AB170" s="484"/>
      <c r="AC170" s="150">
        <f t="shared" si="75"/>
        <v>0</v>
      </c>
      <c r="AD170" s="150"/>
      <c r="AE170" s="150">
        <f t="shared" si="64"/>
        <v>0</v>
      </c>
      <c r="AF170" s="161"/>
      <c r="AG170" s="143"/>
      <c r="AH170" s="154"/>
      <c r="AI170" s="342">
        <v>28</v>
      </c>
      <c r="AJ170" s="342">
        <v>250</v>
      </c>
      <c r="AK170" s="342"/>
      <c r="AL170" s="343" t="s">
        <v>545</v>
      </c>
      <c r="AM170" s="140"/>
      <c r="AN170" s="154"/>
      <c r="AO170" s="154"/>
      <c r="AP170" s="220"/>
      <c r="AQ170" s="145"/>
      <c r="AR170" s="154"/>
      <c r="AS170" s="154"/>
      <c r="AT170" s="220"/>
      <c r="AU170" s="140"/>
      <c r="AV170" s="277"/>
      <c r="AW170" s="277"/>
      <c r="AX170" s="277"/>
      <c r="AY170" s="140"/>
      <c r="AZ170" s="277"/>
      <c r="BA170" s="277"/>
      <c r="BB170" s="277"/>
      <c r="BC170" s="140"/>
      <c r="BD170" s="277"/>
      <c r="BE170" s="277"/>
      <c r="BF170" s="277"/>
      <c r="BG170" s="140"/>
      <c r="BH170" s="277"/>
      <c r="BI170" s="277"/>
      <c r="BJ170" s="277"/>
      <c r="BK170" s="140"/>
      <c r="BL170" s="277"/>
      <c r="BM170" s="277"/>
      <c r="BN170" s="277"/>
      <c r="BO170" s="140"/>
      <c r="BP170" s="277"/>
      <c r="BQ170" s="277"/>
      <c r="BR170" s="277"/>
      <c r="BS170" s="140"/>
      <c r="BT170" s="277"/>
      <c r="BU170" s="277"/>
      <c r="BV170" s="277"/>
      <c r="BW170" s="140"/>
      <c r="BX170" s="154"/>
      <c r="BY170" s="154"/>
      <c r="BZ170" s="220"/>
      <c r="CA170" s="140"/>
      <c r="CB170" s="154"/>
      <c r="CC170" s="154"/>
      <c r="CD170" s="220"/>
      <c r="CE170" s="140"/>
      <c r="CF170" s="271"/>
      <c r="CG170" s="271"/>
      <c r="CH170" s="271"/>
      <c r="CI170" s="140"/>
      <c r="CJ170" s="154"/>
      <c r="CK170" s="154"/>
      <c r="CL170" s="154"/>
      <c r="CM170" s="140"/>
      <c r="CN170" s="271"/>
      <c r="CO170" s="271"/>
      <c r="CP170" s="271"/>
      <c r="CQ170" s="140"/>
      <c r="CR170" s="154"/>
      <c r="CS170" s="154"/>
      <c r="CT170" s="154"/>
      <c r="CU170" s="140"/>
      <c r="CV170" s="154"/>
      <c r="CW170" s="154"/>
      <c r="CX170" s="220"/>
      <c r="CY170" s="140"/>
      <c r="CZ170" s="154"/>
      <c r="DA170" s="154"/>
      <c r="DB170" s="220"/>
      <c r="DC170" s="140"/>
      <c r="DD170" s="146"/>
      <c r="DE170" s="146"/>
      <c r="DF170" s="146"/>
      <c r="DG170" s="140"/>
      <c r="DH170" s="146"/>
      <c r="DI170" s="146"/>
      <c r="DJ170" s="146"/>
      <c r="DK170" s="146"/>
      <c r="DL170" s="146"/>
      <c r="DM170" s="146"/>
      <c r="DN170" s="146"/>
      <c r="DO170" s="146"/>
      <c r="DP170" s="146"/>
      <c r="DQ170" s="146"/>
      <c r="DR170" s="146"/>
      <c r="DS170" s="140"/>
      <c r="DT170" s="154"/>
      <c r="DU170" s="154"/>
      <c r="DV170" s="154"/>
      <c r="DW170" s="140"/>
      <c r="DX170" s="220"/>
      <c r="DY170" s="220"/>
      <c r="DZ170" s="220"/>
      <c r="EA170" s="140"/>
      <c r="EB170" s="220"/>
      <c r="EC170" s="220"/>
      <c r="ED170" s="220"/>
      <c r="EE170" s="140"/>
      <c r="EF170" s="154"/>
      <c r="EG170" s="154"/>
      <c r="EH170" s="154"/>
      <c r="EI170" s="140"/>
      <c r="EJ170" s="154"/>
      <c r="EK170" s="154"/>
      <c r="EL170" s="154"/>
      <c r="EM170" s="140"/>
      <c r="EN170" s="222"/>
      <c r="EO170" s="222"/>
      <c r="EP170" s="222"/>
      <c r="EQ170" s="140"/>
      <c r="ER170" s="222"/>
      <c r="ES170" s="222"/>
      <c r="ET170" s="222"/>
      <c r="EU170" s="140"/>
      <c r="EV170" s="222"/>
      <c r="EW170" s="222"/>
      <c r="EX170" s="222"/>
      <c r="EY170" s="344"/>
      <c r="EZ170" s="222"/>
      <c r="FA170" s="222"/>
      <c r="FB170" s="222"/>
      <c r="FC170" s="273"/>
      <c r="FD170" s="223"/>
      <c r="FE170" s="223"/>
      <c r="FF170" s="276"/>
      <c r="FG170" s="156"/>
      <c r="FH170" s="156"/>
      <c r="FI170" s="156"/>
      <c r="FJ170" s="140"/>
      <c r="FK170" s="277"/>
      <c r="FL170" s="277"/>
      <c r="FM170" s="277"/>
      <c r="FN170" s="140"/>
      <c r="FO170" s="277"/>
      <c r="FP170" s="277"/>
      <c r="FQ170" s="277"/>
      <c r="FR170" s="280"/>
      <c r="FS170" s="277"/>
      <c r="FT170" s="277"/>
      <c r="FU170" s="277"/>
      <c r="FV170" s="277"/>
      <c r="FW170" s="277"/>
      <c r="FX170" s="277"/>
      <c r="FY170" s="277"/>
      <c r="FZ170" s="277"/>
      <c r="GA170" s="277"/>
      <c r="GB170" s="277"/>
      <c r="GC170" s="277"/>
      <c r="GD170" s="277"/>
      <c r="GE170" s="277"/>
      <c r="GF170" s="277"/>
      <c r="GG170" s="277"/>
      <c r="GH170" s="277"/>
      <c r="GI170" s="277"/>
      <c r="GJ170" s="277"/>
      <c r="GK170" s="277"/>
      <c r="GL170" s="277"/>
      <c r="GM170" s="277"/>
      <c r="GN170" s="277"/>
      <c r="GO170" s="277"/>
      <c r="GP170" s="277"/>
      <c r="GQ170" s="277"/>
      <c r="GR170" s="277"/>
      <c r="GS170" s="277"/>
      <c r="GT170" s="277"/>
      <c r="GU170" s="277"/>
      <c r="GV170" s="277"/>
      <c r="GW170" s="277"/>
      <c r="GX170" s="277"/>
      <c r="GY170" s="277"/>
      <c r="GZ170" s="277"/>
      <c r="HA170" s="277"/>
      <c r="HB170" s="277"/>
      <c r="HC170" s="277"/>
      <c r="HD170" s="277"/>
      <c r="HE170" s="277"/>
      <c r="HF170" s="140"/>
      <c r="HG170" s="277"/>
      <c r="HH170" s="277"/>
      <c r="HI170" s="277"/>
      <c r="HJ170" s="140"/>
      <c r="HK170" s="277"/>
      <c r="HL170" s="277"/>
      <c r="HM170" s="277"/>
      <c r="HN170" s="140"/>
      <c r="HO170" s="277"/>
      <c r="HP170" s="277"/>
      <c r="HQ170" s="277"/>
      <c r="HR170" s="277"/>
      <c r="HS170" s="277"/>
      <c r="HT170" s="277"/>
      <c r="HU170" s="277"/>
      <c r="HV170" s="277"/>
      <c r="HW170" s="277"/>
      <c r="HX170" s="277"/>
      <c r="HY170" s="277"/>
      <c r="HZ170" s="140"/>
      <c r="IA170" s="277"/>
      <c r="IB170" s="277"/>
      <c r="IC170" s="277"/>
      <c r="ID170" s="140"/>
      <c r="IE170" s="277"/>
      <c r="IF170" s="277"/>
      <c r="IG170" s="277"/>
      <c r="IH170" s="140"/>
      <c r="II170" s="277"/>
      <c r="IJ170" s="277"/>
      <c r="IK170" s="277"/>
      <c r="IL170" s="140"/>
      <c r="IM170" s="277"/>
      <c r="IN170" s="277"/>
      <c r="IO170" s="277"/>
      <c r="IP170" s="277"/>
      <c r="IQ170" s="277"/>
      <c r="IR170" s="277"/>
      <c r="IS170" s="277"/>
      <c r="IT170" s="277"/>
      <c r="IU170" s="277"/>
      <c r="IV170" s="277"/>
      <c r="IW170" s="277"/>
      <c r="IX170" s="140"/>
      <c r="IY170" s="277"/>
      <c r="IZ170" s="277"/>
      <c r="JA170" s="277"/>
      <c r="JB170" s="140"/>
      <c r="JC170" s="277"/>
      <c r="JD170" s="277"/>
      <c r="JE170" s="277"/>
      <c r="JF170" s="140"/>
      <c r="JG170" s="277"/>
      <c r="JH170" s="277"/>
      <c r="JI170" s="140"/>
      <c r="JJ170" s="277"/>
      <c r="JK170" s="277"/>
      <c r="JL170" s="140"/>
      <c r="JM170" s="277"/>
      <c r="JN170" s="277"/>
      <c r="JO170" s="140"/>
      <c r="JP170" s="277"/>
      <c r="JQ170" s="277"/>
      <c r="JR170" s="277"/>
      <c r="JS170" s="277"/>
      <c r="JT170" s="277"/>
      <c r="JU170" s="277"/>
      <c r="JV170" s="277"/>
      <c r="JW170" s="277"/>
      <c r="JX170" s="277"/>
      <c r="JY170" s="277"/>
      <c r="JZ170" s="277"/>
      <c r="KA170" s="277"/>
      <c r="KB170" s="277"/>
      <c r="KC170" s="277"/>
      <c r="KD170" s="277"/>
      <c r="KE170" s="277"/>
      <c r="KF170" s="277"/>
      <c r="KG170" s="277"/>
      <c r="KH170" s="277"/>
      <c r="KI170" s="277"/>
      <c r="KJ170" s="277"/>
      <c r="KK170" s="277"/>
      <c r="KL170" s="277"/>
      <c r="KM170" s="277"/>
      <c r="KN170" s="277"/>
      <c r="KO170" s="277"/>
      <c r="KP170" s="274"/>
      <c r="KQ170" s="253"/>
      <c r="KR170" s="253"/>
      <c r="KY170" s="141">
        <f t="shared" si="65"/>
        <v>0</v>
      </c>
      <c r="KZ170" s="141">
        <f t="shared" si="66"/>
        <v>0</v>
      </c>
      <c r="LB170" s="141">
        <f t="shared" si="67"/>
        <v>1</v>
      </c>
      <c r="LC170" s="141">
        <f t="shared" si="68"/>
        <v>0</v>
      </c>
      <c r="LD170" s="141">
        <f t="shared" si="69"/>
        <v>0</v>
      </c>
      <c r="LE170" s="141" t="e">
        <f>((N(AU170)&gt;0)*(AX170&lt;&gt;"")+(N(AY170)&gt;0)*(BB170&lt;&gt;"")+(N(BC170)&gt;0)*(BF170&lt;&gt;"")+(N(BG170)&gt;0)*(BJ170&lt;&gt;"")+(N(BK170)&gt;0)*(BN170&lt;&gt;"")+(N(BO170)&gt;0)*(BR170&lt;&gt;"")+(N(BS170)&gt;0)*(BV170&lt;&gt;"")+(N(BW170)&gt;0)*(BZ170&lt;&gt;"")+(N(CA170)&gt;0)*(CD170&lt;&gt;"")+(N(CE170)&gt;0)*(CH170&lt;&gt;"")+(N(CI170)&gt;0)*(CL170&lt;&gt;"")+(N(CM170)&gt;0)*(CP170&lt;&gt;"")+(N(CQ170)&gt;0)*(CT170&lt;&gt;"")+(N(CU170)&gt;0)*(CX170&lt;&gt;"")+(N(CY170)&gt;0)*(DB170&lt;&gt;"")+(N(DC170)&gt;0)*(DF170&lt;&gt;"")+(N(DG170)&gt;0)*(DJ170&lt;&gt;"")+(N(DS170)&gt;0)*(DV170&lt;&gt;"")+(N(DW170)&gt;0)*(DZ170&lt;&gt;"")+(N(EA170)&gt;0)*(ED170&lt;&gt;"")+(N(EE170)&gt;0)*(EH170&lt;&gt;"")+(N(EI170)&gt;0)*(EL170&lt;&gt;"")+(N(EM170)&gt;0)*(EP170&lt;&gt;"")+(N(EQ170)&gt;0)*(ET170&lt;&gt;"")+(N(EU170)&gt;0)*(EX170&lt;&gt;"")+(N(#REF!)&gt;0)*(#REF!&lt;&gt;"")+(N(#REF!)&gt;0)*(#REF!&lt;&gt;"")+(N(FJ170)&gt;0)*(FM170&lt;&gt;"")+(N(FN170)&gt;0)*(FQ170&lt;&gt;"")+(N(#REF!)&gt;0)*(#REF!&lt;&gt;"")+(N(#REF!)&gt;0)*(#REF!&lt;&gt;"")+(N(HF170)&gt;0)*(HI170&lt;&gt;"")+(N(#REF!)&gt;0)*(#REF!&lt;&gt;"")+(N(HJ170)&gt;0)*(HM170&lt;&gt;"")+(N(HN170)&gt;0)*(HQ170&lt;&gt;"")+(N(HZ170)&gt;0)*(IC170&lt;&gt;"")+(N(ID170)&gt;0)*(IG170&lt;&gt;"")+(N(IH170)&gt;0)*(IK170&lt;&gt;"")+(N(IL170)&gt;0)*(IO170&lt;&gt;"")+(N(IX170)&gt;0)*(JA170&lt;&gt;"")+(N(JB170)&gt;0)*(JE170&lt;&gt;"")+(N(JF170)&gt;0)*(JH170&lt;&gt;"")+(N(JI170)&gt;0)*(JK170&lt;&gt;"")+(N(JL170)&gt;0)*(JN170&lt;&gt;"")+(N(JO170)&gt;0)*(JQ170&lt;&gt;""))</f>
        <v>#REF!</v>
      </c>
      <c r="LF170" s="141">
        <f t="shared" si="76"/>
        <v>0</v>
      </c>
      <c r="LG170" s="141">
        <f t="shared" si="70"/>
        <v>0</v>
      </c>
    </row>
    <row r="171" spans="2:319" ht="38.25" customHeight="1" x14ac:dyDescent="0.55000000000000004">
      <c r="B171" s="314" t="s">
        <v>471</v>
      </c>
      <c r="C171" s="218"/>
      <c r="D171" s="218"/>
      <c r="E171" s="218"/>
      <c r="F171" s="218"/>
      <c r="G171" s="218"/>
      <c r="H171" s="218"/>
      <c r="I171" s="162" cm="1">
        <f t="array" ref="I171">SUMPRODUCT(($AI$2:$KV$2&lt;&gt;"")*($AI171:$KV171&lt;&gt;""))</f>
        <v>1</v>
      </c>
      <c r="J171" s="142">
        <f t="shared" si="71"/>
        <v>0</v>
      </c>
      <c r="K171" s="142">
        <f t="shared" si="72"/>
        <v>0</v>
      </c>
      <c r="L171" s="268">
        <f t="shared" si="77"/>
        <v>7000</v>
      </c>
      <c r="M171" s="164">
        <f t="shared" si="73"/>
        <v>784</v>
      </c>
      <c r="N171" s="397"/>
      <c r="O171" s="165">
        <f t="shared" si="74"/>
        <v>0</v>
      </c>
      <c r="P171" s="165"/>
      <c r="Q171" s="165"/>
      <c r="R171" s="165">
        <f>(IFERROR(AM171/AN171,0)+IFERROR(AU171/AV171,0)+IFERROR(AY171/AZ171,0)+IFERROR(BC171/BD171,0)+IFERROR(BG171/BH171,0)+IFERROR(BK171/BL171,0)+IFERROR(BO171/BP171,0)+IFERROR(BS171/BT171,0)+IFERROR(BW171/BX171,0)+IFERROR(CA171/CB171,0)+IFERROR(CE171/CF171,0)+IFERROR(CI171/CJ171,0)+IFERROR(CM171/CN171,0)+IFERROR(CQ171/CR171,0)+IFERROR(CU171/CV171,0)+IFERROR(CY171/CZ171,0)+IFERROR(DC171/DD171,0)+IFERROR(DG171/DH171,0)+IFERROR(DS171/DT171,0)+IFERROR(DW171/DX171,0)+IFERROR(EA171/EB171,0)+IFERROR(EE171/EF171,0)+IFERROR(EI171/EJ171,0)+IFERROR(EM171/EN171,0)+IFERROR(EQ171/ER171,0)+IFERROR(EU171/EV171,0)+IFERROR(#REF!/#REF!,0)+IFERROR(#REF!/#REF!,0)+IFERROR(FJ171/FK171,0)+IFERROR(FN171/FO171,0)+IFERROR(#REF!/#REF!,0)+IFERROR(#REF!/#REF!,0)+IFERROR(HF171/HG171,0)+IFERROR(#REF!/#REF!,0)+IFERROR(HJ171/HK171,0)+IFERROR(HN171/HO171,0)+IFERROR(HZ171/IA171,0)+IFERROR(ID171/IE171,0)+IFERROR(IH171/II171,0)+IFERROR(IL171/IM171,0)+IFERROR(IX171/IY171,0)+IFERROR(JB171/JC171,0)+IFERROR(JF171/JG171,0)+IFERROR(JI171/JJ171,0)+IFERROR(JL171/JM171,0)+IFERROR(JO171/JP171,0))*L171*(C171+D171+E171+I171)</f>
        <v>0</v>
      </c>
      <c r="S171" s="165"/>
      <c r="T171" s="165">
        <f t="shared" si="63"/>
        <v>0</v>
      </c>
      <c r="U171" s="165"/>
      <c r="V171" s="165"/>
      <c r="W171" s="165"/>
      <c r="X171" s="165">
        <f>(IFERROR(FF171/FG171,0)+IFERROR(FC171/FD171,0)+IFERROR(#REF!/#REF!,0)+IFERROR(KP171/KQ171,0))*L171*(C171+D171+E171+I171)</f>
        <v>0</v>
      </c>
      <c r="Y171" s="484"/>
      <c r="Z171" s="484"/>
      <c r="AA171" s="484"/>
      <c r="AB171" s="484"/>
      <c r="AC171" s="150">
        <f t="shared" si="75"/>
        <v>0</v>
      </c>
      <c r="AD171" s="150"/>
      <c r="AE171" s="150">
        <f t="shared" si="64"/>
        <v>0</v>
      </c>
      <c r="AF171" s="161"/>
      <c r="AG171" s="143"/>
      <c r="AH171" s="154"/>
      <c r="AI171" s="342">
        <v>28</v>
      </c>
      <c r="AJ171" s="342">
        <v>250</v>
      </c>
      <c r="AK171" s="342"/>
      <c r="AL171" s="343" t="s">
        <v>545</v>
      </c>
      <c r="AM171" s="140"/>
      <c r="AN171" s="154"/>
      <c r="AO171" s="154"/>
      <c r="AP171" s="220"/>
      <c r="AQ171" s="145"/>
      <c r="AR171" s="154"/>
      <c r="AS171" s="154"/>
      <c r="AT171" s="220"/>
      <c r="AU171" s="140"/>
      <c r="AV171" s="277"/>
      <c r="AW171" s="277"/>
      <c r="AX171" s="277"/>
      <c r="AY171" s="140"/>
      <c r="AZ171" s="277"/>
      <c r="BA171" s="277"/>
      <c r="BB171" s="277"/>
      <c r="BC171" s="140"/>
      <c r="BD171" s="277"/>
      <c r="BE171" s="277"/>
      <c r="BF171" s="277"/>
      <c r="BG171" s="140"/>
      <c r="BH171" s="277"/>
      <c r="BI171" s="277"/>
      <c r="BJ171" s="277"/>
      <c r="BK171" s="140"/>
      <c r="BL171" s="277"/>
      <c r="BM171" s="277"/>
      <c r="BN171" s="277"/>
      <c r="BO171" s="140"/>
      <c r="BP171" s="277"/>
      <c r="BQ171" s="277"/>
      <c r="BR171" s="277"/>
      <c r="BS171" s="140"/>
      <c r="BT171" s="277"/>
      <c r="BU171" s="277"/>
      <c r="BV171" s="277"/>
      <c r="BW171" s="140"/>
      <c r="BX171" s="154"/>
      <c r="BY171" s="154"/>
      <c r="BZ171" s="220"/>
      <c r="CA171" s="140"/>
      <c r="CB171" s="154"/>
      <c r="CC171" s="154"/>
      <c r="CD171" s="220"/>
      <c r="CE171" s="140"/>
      <c r="CF171" s="271"/>
      <c r="CG171" s="271"/>
      <c r="CH171" s="271"/>
      <c r="CI171" s="140"/>
      <c r="CJ171" s="154"/>
      <c r="CK171" s="154"/>
      <c r="CL171" s="154"/>
      <c r="CM171" s="140"/>
      <c r="CN171" s="271"/>
      <c r="CO171" s="271"/>
      <c r="CP171" s="271"/>
      <c r="CQ171" s="140"/>
      <c r="CR171" s="154"/>
      <c r="CS171" s="154"/>
      <c r="CT171" s="154"/>
      <c r="CU171" s="140"/>
      <c r="CV171" s="154"/>
      <c r="CW171" s="154"/>
      <c r="CX171" s="220"/>
      <c r="CY171" s="140"/>
      <c r="CZ171" s="154"/>
      <c r="DA171" s="154"/>
      <c r="DB171" s="220"/>
      <c r="DC171" s="140"/>
      <c r="DD171" s="146"/>
      <c r="DE171" s="146"/>
      <c r="DF171" s="146"/>
      <c r="DG171" s="140"/>
      <c r="DH171" s="146"/>
      <c r="DI171" s="146"/>
      <c r="DJ171" s="146"/>
      <c r="DK171" s="146"/>
      <c r="DL171" s="146"/>
      <c r="DM171" s="146"/>
      <c r="DN171" s="146"/>
      <c r="DO171" s="146"/>
      <c r="DP171" s="146"/>
      <c r="DQ171" s="146"/>
      <c r="DR171" s="146"/>
      <c r="DS171" s="140"/>
      <c r="DT171" s="154"/>
      <c r="DU171" s="154"/>
      <c r="DV171" s="154"/>
      <c r="DW171" s="140"/>
      <c r="DX171" s="220"/>
      <c r="DY171" s="220"/>
      <c r="DZ171" s="220"/>
      <c r="EA171" s="140"/>
      <c r="EB171" s="220"/>
      <c r="EC171" s="220"/>
      <c r="ED171" s="220"/>
      <c r="EE171" s="140"/>
      <c r="EF171" s="154"/>
      <c r="EG171" s="154"/>
      <c r="EH171" s="154"/>
      <c r="EI171" s="140"/>
      <c r="EJ171" s="154"/>
      <c r="EK171" s="154"/>
      <c r="EL171" s="154"/>
      <c r="EM171" s="140"/>
      <c r="EN171" s="222"/>
      <c r="EO171" s="222"/>
      <c r="EP171" s="222"/>
      <c r="EQ171" s="140"/>
      <c r="ER171" s="222"/>
      <c r="ES171" s="222"/>
      <c r="ET171" s="222"/>
      <c r="EU171" s="140"/>
      <c r="EV171" s="222"/>
      <c r="EW171" s="222"/>
      <c r="EX171" s="222"/>
      <c r="EY171" s="344"/>
      <c r="EZ171" s="222"/>
      <c r="FA171" s="222"/>
      <c r="FB171" s="222"/>
      <c r="FC171" s="273"/>
      <c r="FD171" s="223"/>
      <c r="FE171" s="223"/>
      <c r="FF171" s="276"/>
      <c r="FG171" s="156"/>
      <c r="FH171" s="156"/>
      <c r="FI171" s="156"/>
      <c r="FJ171" s="140"/>
      <c r="FK171" s="277"/>
      <c r="FL171" s="277"/>
      <c r="FM171" s="277"/>
      <c r="FN171" s="140"/>
      <c r="FO171" s="277"/>
      <c r="FP171" s="277"/>
      <c r="FQ171" s="277"/>
      <c r="FR171" s="280"/>
      <c r="FS171" s="277"/>
      <c r="FT171" s="277"/>
      <c r="FU171" s="277"/>
      <c r="FV171" s="277"/>
      <c r="FW171" s="277"/>
      <c r="FX171" s="277"/>
      <c r="FY171" s="277"/>
      <c r="FZ171" s="277"/>
      <c r="GA171" s="277"/>
      <c r="GB171" s="277"/>
      <c r="GC171" s="277"/>
      <c r="GD171" s="277"/>
      <c r="GE171" s="277"/>
      <c r="GF171" s="277"/>
      <c r="GG171" s="277"/>
      <c r="GH171" s="277"/>
      <c r="GI171" s="277"/>
      <c r="GJ171" s="277"/>
      <c r="GK171" s="277"/>
      <c r="GL171" s="277"/>
      <c r="GM171" s="277"/>
      <c r="GN171" s="277"/>
      <c r="GO171" s="277"/>
      <c r="GP171" s="277"/>
      <c r="GQ171" s="277"/>
      <c r="GR171" s="277"/>
      <c r="GS171" s="277"/>
      <c r="GT171" s="277"/>
      <c r="GU171" s="277"/>
      <c r="GV171" s="277"/>
      <c r="GW171" s="277"/>
      <c r="GX171" s="277"/>
      <c r="GY171" s="277"/>
      <c r="GZ171" s="277"/>
      <c r="HA171" s="277"/>
      <c r="HB171" s="277"/>
      <c r="HC171" s="277"/>
      <c r="HD171" s="277"/>
      <c r="HE171" s="277"/>
      <c r="HF171" s="140"/>
      <c r="HG171" s="277"/>
      <c r="HH171" s="277"/>
      <c r="HI171" s="277"/>
      <c r="HJ171" s="140"/>
      <c r="HK171" s="277"/>
      <c r="HL171" s="277"/>
      <c r="HM171" s="277"/>
      <c r="HN171" s="140"/>
      <c r="HO171" s="277"/>
      <c r="HP171" s="277"/>
      <c r="HQ171" s="277"/>
      <c r="HR171" s="277"/>
      <c r="HS171" s="277"/>
      <c r="HT171" s="277"/>
      <c r="HU171" s="277"/>
      <c r="HV171" s="277"/>
      <c r="HW171" s="277"/>
      <c r="HX171" s="277"/>
      <c r="HY171" s="277"/>
      <c r="HZ171" s="140"/>
      <c r="IA171" s="277"/>
      <c r="IB171" s="277"/>
      <c r="IC171" s="277"/>
      <c r="ID171" s="140"/>
      <c r="IE171" s="277"/>
      <c r="IF171" s="277"/>
      <c r="IG171" s="277"/>
      <c r="IH171" s="140"/>
      <c r="II171" s="277"/>
      <c r="IJ171" s="277"/>
      <c r="IK171" s="277"/>
      <c r="IL171" s="140"/>
      <c r="IM171" s="277"/>
      <c r="IN171" s="277"/>
      <c r="IO171" s="277"/>
      <c r="IP171" s="277"/>
      <c r="IQ171" s="277"/>
      <c r="IR171" s="277"/>
      <c r="IS171" s="277"/>
      <c r="IT171" s="277"/>
      <c r="IU171" s="277"/>
      <c r="IV171" s="277"/>
      <c r="IW171" s="277"/>
      <c r="IX171" s="140"/>
      <c r="IY171" s="277"/>
      <c r="IZ171" s="277"/>
      <c r="JA171" s="277"/>
      <c r="JB171" s="140"/>
      <c r="JC171" s="277"/>
      <c r="JD171" s="277"/>
      <c r="JE171" s="277"/>
      <c r="JF171" s="140"/>
      <c r="JG171" s="277"/>
      <c r="JH171" s="277"/>
      <c r="JI171" s="140"/>
      <c r="JJ171" s="277"/>
      <c r="JK171" s="277"/>
      <c r="JL171" s="140"/>
      <c r="JM171" s="277"/>
      <c r="JN171" s="277"/>
      <c r="JO171" s="140"/>
      <c r="JP171" s="277"/>
      <c r="JQ171" s="277"/>
      <c r="JR171" s="277"/>
      <c r="JS171" s="277"/>
      <c r="JT171" s="277"/>
      <c r="JU171" s="277"/>
      <c r="JV171" s="277"/>
      <c r="JW171" s="277"/>
      <c r="JX171" s="277"/>
      <c r="JY171" s="277"/>
      <c r="JZ171" s="277"/>
      <c r="KA171" s="277"/>
      <c r="KB171" s="277"/>
      <c r="KC171" s="277"/>
      <c r="KD171" s="277"/>
      <c r="KE171" s="277"/>
      <c r="KF171" s="277"/>
      <c r="KG171" s="277"/>
      <c r="KH171" s="277"/>
      <c r="KI171" s="277"/>
      <c r="KJ171" s="277"/>
      <c r="KK171" s="277"/>
      <c r="KL171" s="277"/>
      <c r="KM171" s="277"/>
      <c r="KN171" s="277"/>
      <c r="KO171" s="277"/>
      <c r="KP171" s="274"/>
      <c r="KQ171" s="253"/>
      <c r="KR171" s="253"/>
      <c r="KY171" s="141">
        <f t="shared" si="65"/>
        <v>0</v>
      </c>
      <c r="KZ171" s="141">
        <f t="shared" si="66"/>
        <v>0</v>
      </c>
      <c r="LB171" s="141">
        <f t="shared" si="67"/>
        <v>1</v>
      </c>
      <c r="LC171" s="141">
        <f t="shared" si="68"/>
        <v>0</v>
      </c>
      <c r="LD171" s="141">
        <f t="shared" si="69"/>
        <v>0</v>
      </c>
      <c r="LE171" s="141" t="e">
        <f>((N(AU171)&gt;0)*(AX171&lt;&gt;"")+(N(AY171)&gt;0)*(BB171&lt;&gt;"")+(N(BC171)&gt;0)*(BF171&lt;&gt;"")+(N(BG171)&gt;0)*(BJ171&lt;&gt;"")+(N(BK171)&gt;0)*(BN171&lt;&gt;"")+(N(BO171)&gt;0)*(BR171&lt;&gt;"")+(N(BS171)&gt;0)*(BV171&lt;&gt;"")+(N(BW171)&gt;0)*(BZ171&lt;&gt;"")+(N(CA171)&gt;0)*(CD171&lt;&gt;"")+(N(CE171)&gt;0)*(CH171&lt;&gt;"")+(N(CI171)&gt;0)*(CL171&lt;&gt;"")+(N(CM171)&gt;0)*(CP171&lt;&gt;"")+(N(CQ171)&gt;0)*(CT171&lt;&gt;"")+(N(CU171)&gt;0)*(CX171&lt;&gt;"")+(N(CY171)&gt;0)*(DB171&lt;&gt;"")+(N(DC171)&gt;0)*(DF171&lt;&gt;"")+(N(DG171)&gt;0)*(DJ171&lt;&gt;"")+(N(DS171)&gt;0)*(DV171&lt;&gt;"")+(N(DW171)&gt;0)*(DZ171&lt;&gt;"")+(N(EA171)&gt;0)*(ED171&lt;&gt;"")+(N(EE171)&gt;0)*(EH171&lt;&gt;"")+(N(EI171)&gt;0)*(EL171&lt;&gt;"")+(N(EM171)&gt;0)*(EP171&lt;&gt;"")+(N(EQ171)&gt;0)*(ET171&lt;&gt;"")+(N(EU171)&gt;0)*(EX171&lt;&gt;"")+(N(#REF!)&gt;0)*(#REF!&lt;&gt;"")+(N(#REF!)&gt;0)*(#REF!&lt;&gt;"")+(N(FJ171)&gt;0)*(FM171&lt;&gt;"")+(N(FN171)&gt;0)*(FQ171&lt;&gt;"")+(N(#REF!)&gt;0)*(#REF!&lt;&gt;"")+(N(#REF!)&gt;0)*(#REF!&lt;&gt;"")+(N(HF171)&gt;0)*(HI171&lt;&gt;"")+(N(#REF!)&gt;0)*(#REF!&lt;&gt;"")+(N(HJ171)&gt;0)*(HM171&lt;&gt;"")+(N(HN171)&gt;0)*(HQ171&lt;&gt;"")+(N(HZ171)&gt;0)*(IC171&lt;&gt;"")+(N(ID171)&gt;0)*(IG171&lt;&gt;"")+(N(IH171)&gt;0)*(IK171&lt;&gt;"")+(N(IL171)&gt;0)*(IO171&lt;&gt;"")+(N(IX171)&gt;0)*(JA171&lt;&gt;"")+(N(JB171)&gt;0)*(JE171&lt;&gt;"")+(N(JF171)&gt;0)*(JH171&lt;&gt;"")+(N(JI171)&gt;0)*(JK171&lt;&gt;"")+(N(JL171)&gt;0)*(JN171&lt;&gt;"")+(N(JO171)&gt;0)*(JQ171&lt;&gt;""))</f>
        <v>#REF!</v>
      </c>
      <c r="LF171" s="141">
        <f t="shared" si="76"/>
        <v>0</v>
      </c>
      <c r="LG171" s="141">
        <f t="shared" si="70"/>
        <v>0</v>
      </c>
    </row>
    <row r="172" spans="2:319" ht="38.25" customHeight="1" x14ac:dyDescent="0.55000000000000004">
      <c r="B172" s="314" t="s">
        <v>472</v>
      </c>
      <c r="C172" s="218"/>
      <c r="D172" s="218"/>
      <c r="E172" s="218"/>
      <c r="F172" s="218"/>
      <c r="G172" s="218"/>
      <c r="H172" s="218"/>
      <c r="I172" s="162" cm="1">
        <f t="array" ref="I172">SUMPRODUCT(($AI$2:$KV$2&lt;&gt;"")*($AI172:$KV172&lt;&gt;""))</f>
        <v>1</v>
      </c>
      <c r="J172" s="142">
        <f t="shared" si="71"/>
        <v>0</v>
      </c>
      <c r="K172" s="142">
        <f t="shared" si="72"/>
        <v>0</v>
      </c>
      <c r="L172" s="268">
        <f t="shared" si="77"/>
        <v>7000</v>
      </c>
      <c r="M172" s="164">
        <f t="shared" si="73"/>
        <v>784</v>
      </c>
      <c r="N172" s="397"/>
      <c r="O172" s="165">
        <f t="shared" si="74"/>
        <v>0</v>
      </c>
      <c r="P172" s="165"/>
      <c r="Q172" s="165"/>
      <c r="R172" s="165">
        <f>(IFERROR(AM172/AN172,0)+IFERROR(AU172/AV172,0)+IFERROR(AY172/AZ172,0)+IFERROR(BC172/BD172,0)+IFERROR(BG172/BH172,0)+IFERROR(BK172/BL172,0)+IFERROR(BO172/BP172,0)+IFERROR(BS172/BT172,0)+IFERROR(BW172/BX172,0)+IFERROR(CA172/CB172,0)+IFERROR(CE172/CF172,0)+IFERROR(CI172/CJ172,0)+IFERROR(CM172/CN172,0)+IFERROR(CQ172/CR172,0)+IFERROR(CU172/CV172,0)+IFERROR(CY172/CZ172,0)+IFERROR(DC172/DD172,0)+IFERROR(DG172/DH172,0)+IFERROR(DS172/DT172,0)+IFERROR(DW172/DX172,0)+IFERROR(EA172/EB172,0)+IFERROR(EE172/EF172,0)+IFERROR(EI172/EJ172,0)+IFERROR(EM172/EN172,0)+IFERROR(EQ172/ER172,0)+IFERROR(EU172/EV172,0)+IFERROR(#REF!/#REF!,0)+IFERROR(#REF!/#REF!,0)+IFERROR(FJ172/FK172,0)+IFERROR(FN172/FO172,0)+IFERROR(#REF!/#REF!,0)+IFERROR(#REF!/#REF!,0)+IFERROR(HF172/HG172,0)+IFERROR(#REF!/#REF!,0)+IFERROR(HJ172/HK172,0)+IFERROR(HN172/HO172,0)+IFERROR(HZ172/IA172,0)+IFERROR(ID172/IE172,0)+IFERROR(IH172/II172,0)+IFERROR(IL172/IM172,0)+IFERROR(IX172/IY172,0)+IFERROR(JB172/JC172,0)+IFERROR(JF172/JG172,0)+IFERROR(JI172/JJ172,0)+IFERROR(JL172/JM172,0)+IFERROR(JO172/JP172,0))*L172*(C172+D172+E172+I172)</f>
        <v>0</v>
      </c>
      <c r="S172" s="165"/>
      <c r="T172" s="165">
        <f t="shared" si="63"/>
        <v>0</v>
      </c>
      <c r="U172" s="165"/>
      <c r="V172" s="165"/>
      <c r="W172" s="165"/>
      <c r="X172" s="165">
        <f>(IFERROR(FF172/FG172,0)+IFERROR(FC172/FD172,0)+IFERROR(#REF!/#REF!,0)+IFERROR(KP172/KQ172,0))*L172*(C172+D172+E172+I172)</f>
        <v>0</v>
      </c>
      <c r="Y172" s="484"/>
      <c r="Z172" s="484"/>
      <c r="AA172" s="484"/>
      <c r="AB172" s="484"/>
      <c r="AC172" s="150">
        <f t="shared" si="75"/>
        <v>0</v>
      </c>
      <c r="AD172" s="150"/>
      <c r="AE172" s="150">
        <f t="shared" si="64"/>
        <v>0</v>
      </c>
      <c r="AF172" s="161"/>
      <c r="AG172" s="143"/>
      <c r="AH172" s="154"/>
      <c r="AI172" s="342">
        <v>28</v>
      </c>
      <c r="AJ172" s="342">
        <v>250</v>
      </c>
      <c r="AK172" s="342"/>
      <c r="AL172" s="343" t="s">
        <v>545</v>
      </c>
      <c r="AM172" s="140"/>
      <c r="AN172" s="154"/>
      <c r="AO172" s="154"/>
      <c r="AP172" s="220"/>
      <c r="AQ172" s="145"/>
      <c r="AR172" s="154"/>
      <c r="AS172" s="154"/>
      <c r="AT172" s="220"/>
      <c r="AU172" s="140"/>
      <c r="AV172" s="277"/>
      <c r="AW172" s="277"/>
      <c r="AX172" s="277"/>
      <c r="AY172" s="140"/>
      <c r="AZ172" s="277"/>
      <c r="BA172" s="277"/>
      <c r="BB172" s="277"/>
      <c r="BC172" s="140"/>
      <c r="BD172" s="277"/>
      <c r="BE172" s="277"/>
      <c r="BF172" s="277"/>
      <c r="BG172" s="140"/>
      <c r="BH172" s="277"/>
      <c r="BI172" s="277"/>
      <c r="BJ172" s="277"/>
      <c r="BK172" s="140"/>
      <c r="BL172" s="277"/>
      <c r="BM172" s="277"/>
      <c r="BN172" s="277"/>
      <c r="BO172" s="140"/>
      <c r="BP172" s="277"/>
      <c r="BQ172" s="277"/>
      <c r="BR172" s="277"/>
      <c r="BS172" s="140"/>
      <c r="BT172" s="277"/>
      <c r="BU172" s="277"/>
      <c r="BV172" s="277"/>
      <c r="BW172" s="140"/>
      <c r="BX172" s="154"/>
      <c r="BY172" s="154"/>
      <c r="BZ172" s="220"/>
      <c r="CA172" s="140"/>
      <c r="CB172" s="154"/>
      <c r="CC172" s="154"/>
      <c r="CD172" s="220"/>
      <c r="CE172" s="140"/>
      <c r="CF172" s="271"/>
      <c r="CG172" s="271"/>
      <c r="CH172" s="271"/>
      <c r="CI172" s="140"/>
      <c r="CJ172" s="154"/>
      <c r="CK172" s="154"/>
      <c r="CL172" s="154"/>
      <c r="CM172" s="140"/>
      <c r="CN172" s="271"/>
      <c r="CO172" s="271"/>
      <c r="CP172" s="271"/>
      <c r="CQ172" s="140"/>
      <c r="CR172" s="154"/>
      <c r="CS172" s="154"/>
      <c r="CT172" s="154"/>
      <c r="CU172" s="140"/>
      <c r="CV172" s="154"/>
      <c r="CW172" s="154"/>
      <c r="CX172" s="220"/>
      <c r="CY172" s="140"/>
      <c r="CZ172" s="154"/>
      <c r="DA172" s="154"/>
      <c r="DB172" s="220"/>
      <c r="DC172" s="140"/>
      <c r="DD172" s="146"/>
      <c r="DE172" s="146"/>
      <c r="DF172" s="146"/>
      <c r="DG172" s="140"/>
      <c r="DH172" s="146"/>
      <c r="DI172" s="146"/>
      <c r="DJ172" s="146"/>
      <c r="DK172" s="146"/>
      <c r="DL172" s="146"/>
      <c r="DM172" s="146"/>
      <c r="DN172" s="146"/>
      <c r="DO172" s="146"/>
      <c r="DP172" s="146"/>
      <c r="DQ172" s="146"/>
      <c r="DR172" s="146"/>
      <c r="DS172" s="140"/>
      <c r="DT172" s="154"/>
      <c r="DU172" s="154"/>
      <c r="DV172" s="154"/>
      <c r="DW172" s="140"/>
      <c r="DX172" s="220"/>
      <c r="DY172" s="220"/>
      <c r="DZ172" s="220"/>
      <c r="EA172" s="140"/>
      <c r="EB172" s="220"/>
      <c r="EC172" s="220"/>
      <c r="ED172" s="220"/>
      <c r="EE172" s="140"/>
      <c r="EF172" s="154"/>
      <c r="EG172" s="154"/>
      <c r="EH172" s="154"/>
      <c r="EI172" s="140"/>
      <c r="EJ172" s="154"/>
      <c r="EK172" s="154"/>
      <c r="EL172" s="154"/>
      <c r="EM172" s="140"/>
      <c r="EN172" s="222"/>
      <c r="EO172" s="222"/>
      <c r="EP172" s="222"/>
      <c r="EQ172" s="140"/>
      <c r="ER172" s="222"/>
      <c r="ES172" s="222"/>
      <c r="ET172" s="222"/>
      <c r="EU172" s="140"/>
      <c r="EV172" s="222"/>
      <c r="EW172" s="222"/>
      <c r="EX172" s="222"/>
      <c r="EY172" s="344"/>
      <c r="EZ172" s="222"/>
      <c r="FA172" s="222"/>
      <c r="FB172" s="222"/>
      <c r="FC172" s="273"/>
      <c r="FD172" s="223"/>
      <c r="FE172" s="223"/>
      <c r="FF172" s="276"/>
      <c r="FG172" s="156"/>
      <c r="FH172" s="156"/>
      <c r="FI172" s="156"/>
      <c r="FJ172" s="140"/>
      <c r="FK172" s="277"/>
      <c r="FL172" s="277"/>
      <c r="FM172" s="277"/>
      <c r="FN172" s="140"/>
      <c r="FO172" s="277"/>
      <c r="FP172" s="277"/>
      <c r="FQ172" s="277"/>
      <c r="FR172" s="280"/>
      <c r="FS172" s="277"/>
      <c r="FT172" s="277"/>
      <c r="FU172" s="277"/>
      <c r="FV172" s="277"/>
      <c r="FW172" s="277"/>
      <c r="FX172" s="277"/>
      <c r="FY172" s="277"/>
      <c r="FZ172" s="277"/>
      <c r="GA172" s="277"/>
      <c r="GB172" s="277"/>
      <c r="GC172" s="277"/>
      <c r="GD172" s="277"/>
      <c r="GE172" s="277"/>
      <c r="GF172" s="277"/>
      <c r="GG172" s="277"/>
      <c r="GH172" s="277"/>
      <c r="GI172" s="277"/>
      <c r="GJ172" s="277"/>
      <c r="GK172" s="277"/>
      <c r="GL172" s="277"/>
      <c r="GM172" s="277"/>
      <c r="GN172" s="277"/>
      <c r="GO172" s="277"/>
      <c r="GP172" s="277"/>
      <c r="GQ172" s="277"/>
      <c r="GR172" s="277"/>
      <c r="GS172" s="277"/>
      <c r="GT172" s="277"/>
      <c r="GU172" s="277"/>
      <c r="GV172" s="277"/>
      <c r="GW172" s="277"/>
      <c r="GX172" s="277"/>
      <c r="GY172" s="277"/>
      <c r="GZ172" s="277"/>
      <c r="HA172" s="277"/>
      <c r="HB172" s="277"/>
      <c r="HC172" s="277"/>
      <c r="HD172" s="277"/>
      <c r="HE172" s="277"/>
      <c r="HF172" s="140"/>
      <c r="HG172" s="277"/>
      <c r="HH172" s="277"/>
      <c r="HI172" s="277"/>
      <c r="HJ172" s="140"/>
      <c r="HK172" s="277"/>
      <c r="HL172" s="277"/>
      <c r="HM172" s="277"/>
      <c r="HN172" s="140"/>
      <c r="HO172" s="277"/>
      <c r="HP172" s="277"/>
      <c r="HQ172" s="277"/>
      <c r="HR172" s="277"/>
      <c r="HS172" s="277"/>
      <c r="HT172" s="277"/>
      <c r="HU172" s="277"/>
      <c r="HV172" s="277"/>
      <c r="HW172" s="277"/>
      <c r="HX172" s="277"/>
      <c r="HY172" s="277"/>
      <c r="HZ172" s="140"/>
      <c r="IA172" s="277"/>
      <c r="IB172" s="277"/>
      <c r="IC172" s="277"/>
      <c r="ID172" s="140"/>
      <c r="IE172" s="277"/>
      <c r="IF172" s="277"/>
      <c r="IG172" s="277"/>
      <c r="IH172" s="140"/>
      <c r="II172" s="277"/>
      <c r="IJ172" s="277"/>
      <c r="IK172" s="277"/>
      <c r="IL172" s="140"/>
      <c r="IM172" s="277"/>
      <c r="IN172" s="277"/>
      <c r="IO172" s="277"/>
      <c r="IP172" s="277"/>
      <c r="IQ172" s="277"/>
      <c r="IR172" s="277"/>
      <c r="IS172" s="277"/>
      <c r="IT172" s="277"/>
      <c r="IU172" s="277"/>
      <c r="IV172" s="277"/>
      <c r="IW172" s="277"/>
      <c r="IX172" s="140"/>
      <c r="IY172" s="277"/>
      <c r="IZ172" s="277"/>
      <c r="JA172" s="277"/>
      <c r="JB172" s="140"/>
      <c r="JC172" s="277"/>
      <c r="JD172" s="277"/>
      <c r="JE172" s="277"/>
      <c r="JF172" s="140"/>
      <c r="JG172" s="277"/>
      <c r="JH172" s="277"/>
      <c r="JI172" s="140"/>
      <c r="JJ172" s="277"/>
      <c r="JK172" s="277"/>
      <c r="JL172" s="140"/>
      <c r="JM172" s="277"/>
      <c r="JN172" s="277"/>
      <c r="JO172" s="140"/>
      <c r="JP172" s="277"/>
      <c r="JQ172" s="277"/>
      <c r="JR172" s="277"/>
      <c r="JS172" s="277"/>
      <c r="JT172" s="277"/>
      <c r="JU172" s="277"/>
      <c r="JV172" s="277"/>
      <c r="JW172" s="277"/>
      <c r="JX172" s="277"/>
      <c r="JY172" s="277"/>
      <c r="JZ172" s="277"/>
      <c r="KA172" s="277"/>
      <c r="KB172" s="277"/>
      <c r="KC172" s="277"/>
      <c r="KD172" s="277"/>
      <c r="KE172" s="277"/>
      <c r="KF172" s="277"/>
      <c r="KG172" s="277"/>
      <c r="KH172" s="277"/>
      <c r="KI172" s="277"/>
      <c r="KJ172" s="277"/>
      <c r="KK172" s="277"/>
      <c r="KL172" s="277"/>
      <c r="KM172" s="277"/>
      <c r="KN172" s="277"/>
      <c r="KO172" s="277"/>
      <c r="KP172" s="274"/>
      <c r="KQ172" s="253"/>
      <c r="KR172" s="253"/>
      <c r="KY172" s="141">
        <f t="shared" si="65"/>
        <v>0</v>
      </c>
      <c r="KZ172" s="141">
        <f t="shared" si="66"/>
        <v>0</v>
      </c>
      <c r="LB172" s="141">
        <f t="shared" si="67"/>
        <v>1</v>
      </c>
      <c r="LC172" s="141">
        <f t="shared" si="68"/>
        <v>0</v>
      </c>
      <c r="LD172" s="141">
        <f t="shared" si="69"/>
        <v>0</v>
      </c>
      <c r="LE172" s="141" t="e">
        <f>((N(AU172)&gt;0)*(AX172&lt;&gt;"")+(N(AY172)&gt;0)*(BB172&lt;&gt;"")+(N(BC172)&gt;0)*(BF172&lt;&gt;"")+(N(BG172)&gt;0)*(BJ172&lt;&gt;"")+(N(BK172)&gt;0)*(BN172&lt;&gt;"")+(N(BO172)&gt;0)*(BR172&lt;&gt;"")+(N(BS172)&gt;0)*(BV172&lt;&gt;"")+(N(BW172)&gt;0)*(BZ172&lt;&gt;"")+(N(CA172)&gt;0)*(CD172&lt;&gt;"")+(N(CE172)&gt;0)*(CH172&lt;&gt;"")+(N(CI172)&gt;0)*(CL172&lt;&gt;"")+(N(CM172)&gt;0)*(CP172&lt;&gt;"")+(N(CQ172)&gt;0)*(CT172&lt;&gt;"")+(N(CU172)&gt;0)*(CX172&lt;&gt;"")+(N(CY172)&gt;0)*(DB172&lt;&gt;"")+(N(DC172)&gt;0)*(DF172&lt;&gt;"")+(N(DG172)&gt;0)*(DJ172&lt;&gt;"")+(N(DS172)&gt;0)*(DV172&lt;&gt;"")+(N(DW172)&gt;0)*(DZ172&lt;&gt;"")+(N(EA172)&gt;0)*(ED172&lt;&gt;"")+(N(EE172)&gt;0)*(EH172&lt;&gt;"")+(N(EI172)&gt;0)*(EL172&lt;&gt;"")+(N(EM172)&gt;0)*(EP172&lt;&gt;"")+(N(EQ172)&gt;0)*(ET172&lt;&gt;"")+(N(EU172)&gt;0)*(EX172&lt;&gt;"")+(N(#REF!)&gt;0)*(#REF!&lt;&gt;"")+(N(#REF!)&gt;0)*(#REF!&lt;&gt;"")+(N(FJ172)&gt;0)*(FM172&lt;&gt;"")+(N(FN172)&gt;0)*(FQ172&lt;&gt;"")+(N(#REF!)&gt;0)*(#REF!&lt;&gt;"")+(N(#REF!)&gt;0)*(#REF!&lt;&gt;"")+(N(HF172)&gt;0)*(HI172&lt;&gt;"")+(N(#REF!)&gt;0)*(#REF!&lt;&gt;"")+(N(HJ172)&gt;0)*(HM172&lt;&gt;"")+(N(HN172)&gt;0)*(HQ172&lt;&gt;"")+(N(HZ172)&gt;0)*(IC172&lt;&gt;"")+(N(ID172)&gt;0)*(IG172&lt;&gt;"")+(N(IH172)&gt;0)*(IK172&lt;&gt;"")+(N(IL172)&gt;0)*(IO172&lt;&gt;"")+(N(IX172)&gt;0)*(JA172&lt;&gt;"")+(N(JB172)&gt;0)*(JE172&lt;&gt;"")+(N(JF172)&gt;0)*(JH172&lt;&gt;"")+(N(JI172)&gt;0)*(JK172&lt;&gt;"")+(N(JL172)&gt;0)*(JN172&lt;&gt;"")+(N(JO172)&gt;0)*(JQ172&lt;&gt;""))</f>
        <v>#REF!</v>
      </c>
      <c r="LF172" s="141">
        <f t="shared" si="76"/>
        <v>0</v>
      </c>
      <c r="LG172" s="141">
        <f t="shared" si="70"/>
        <v>0</v>
      </c>
    </row>
    <row r="173" spans="2:319" ht="38.25" customHeight="1" x14ac:dyDescent="0.55000000000000004">
      <c r="B173" s="314" t="s">
        <v>470</v>
      </c>
      <c r="C173" s="218"/>
      <c r="D173" s="218"/>
      <c r="E173" s="218"/>
      <c r="F173" s="218"/>
      <c r="G173" s="218"/>
      <c r="H173" s="218"/>
      <c r="I173" s="162" cm="1">
        <f t="array" ref="I173">SUMPRODUCT(($AI$2:$KV$2&lt;&gt;"")*($AI173:$KV173&lt;&gt;""))</f>
        <v>1</v>
      </c>
      <c r="J173" s="142">
        <f t="shared" si="71"/>
        <v>0</v>
      </c>
      <c r="K173" s="142">
        <f t="shared" si="72"/>
        <v>0</v>
      </c>
      <c r="L173" s="268">
        <f t="shared" si="77"/>
        <v>7000</v>
      </c>
      <c r="M173" s="164">
        <f t="shared" si="73"/>
        <v>784</v>
      </c>
      <c r="N173" s="397"/>
      <c r="O173" s="165">
        <f t="shared" si="74"/>
        <v>0</v>
      </c>
      <c r="P173" s="165"/>
      <c r="Q173" s="165"/>
      <c r="R173" s="165">
        <f>(IFERROR(AM173/AN173,0)+IFERROR(AU173/AV173,0)+IFERROR(AY173/AZ173,0)+IFERROR(BC173/BD173,0)+IFERROR(BG173/BH173,0)+IFERROR(BK173/BL173,0)+IFERROR(BO173/BP173,0)+IFERROR(BS173/BT173,0)+IFERROR(BW173/BX173,0)+IFERROR(CA173/CB173,0)+IFERROR(CE173/CF173,0)+IFERROR(CI173/CJ173,0)+IFERROR(CM173/CN173,0)+IFERROR(CQ173/CR173,0)+IFERROR(CU173/CV173,0)+IFERROR(CY173/CZ173,0)+IFERROR(DC173/DD173,0)+IFERROR(DG173/DH173,0)+IFERROR(DS173/DT173,0)+IFERROR(DW173/DX173,0)+IFERROR(EA173/EB173,0)+IFERROR(EE173/EF173,0)+IFERROR(EI173/EJ173,0)+IFERROR(EM173/EN173,0)+IFERROR(EQ173/ER173,0)+IFERROR(EU173/EV173,0)+IFERROR(#REF!/#REF!,0)+IFERROR(#REF!/#REF!,0)+IFERROR(FJ173/FK173,0)+IFERROR(FN173/FO173,0)+IFERROR(#REF!/#REF!,0)+IFERROR(#REF!/#REF!,0)+IFERROR(HF173/HG173,0)+IFERROR(#REF!/#REF!,0)+IFERROR(HJ173/HK173,0)+IFERROR(HN173/HO173,0)+IFERROR(HZ173/IA173,0)+IFERROR(ID173/IE173,0)+IFERROR(IH173/II173,0)+IFERROR(IL173/IM173,0)+IFERROR(IX173/IY173,0)+IFERROR(JB173/JC173,0)+IFERROR(JF173/JG173,0)+IFERROR(JI173/JJ173,0)+IFERROR(JL173/JM173,0)+IFERROR(JO173/JP173,0))*L173*(C173+D173+E173+I173)</f>
        <v>0</v>
      </c>
      <c r="S173" s="165"/>
      <c r="T173" s="165">
        <f t="shared" si="63"/>
        <v>0</v>
      </c>
      <c r="U173" s="165"/>
      <c r="V173" s="165"/>
      <c r="W173" s="165"/>
      <c r="X173" s="165">
        <f>(IFERROR(FF173/FG173,0)+IFERROR(FC173/FD173,0)+IFERROR(#REF!/#REF!,0)+IFERROR(KP173/KQ173,0))*L173*(C173+D173+E173+I173)</f>
        <v>0</v>
      </c>
      <c r="Y173" s="484"/>
      <c r="Z173" s="484"/>
      <c r="AA173" s="484"/>
      <c r="AB173" s="484"/>
      <c r="AC173" s="150">
        <f t="shared" si="75"/>
        <v>0</v>
      </c>
      <c r="AD173" s="150"/>
      <c r="AE173" s="150">
        <f t="shared" si="64"/>
        <v>0</v>
      </c>
      <c r="AF173" s="161"/>
      <c r="AG173" s="143"/>
      <c r="AH173" s="154"/>
      <c r="AI173" s="342">
        <v>28</v>
      </c>
      <c r="AJ173" s="342">
        <v>250</v>
      </c>
      <c r="AK173" s="342"/>
      <c r="AL173" s="343" t="s">
        <v>545</v>
      </c>
      <c r="AM173" s="140"/>
      <c r="AN173" s="154"/>
      <c r="AO173" s="154"/>
      <c r="AP173" s="220"/>
      <c r="AQ173" s="145"/>
      <c r="AR173" s="154"/>
      <c r="AS173" s="154"/>
      <c r="AT173" s="220"/>
      <c r="AU173" s="140"/>
      <c r="AV173" s="277"/>
      <c r="AW173" s="277"/>
      <c r="AX173" s="277"/>
      <c r="AY173" s="140"/>
      <c r="AZ173" s="277"/>
      <c r="BA173" s="277"/>
      <c r="BB173" s="277"/>
      <c r="BC173" s="140"/>
      <c r="BD173" s="277"/>
      <c r="BE173" s="277"/>
      <c r="BF173" s="277"/>
      <c r="BG173" s="140"/>
      <c r="BH173" s="277"/>
      <c r="BI173" s="277"/>
      <c r="BJ173" s="277"/>
      <c r="BK173" s="140"/>
      <c r="BL173" s="277"/>
      <c r="BM173" s="277"/>
      <c r="BN173" s="277"/>
      <c r="BO173" s="140"/>
      <c r="BP173" s="277"/>
      <c r="BQ173" s="277"/>
      <c r="BR173" s="277"/>
      <c r="BS173" s="140"/>
      <c r="BT173" s="277"/>
      <c r="BU173" s="277"/>
      <c r="BV173" s="277"/>
      <c r="BW173" s="140"/>
      <c r="BX173" s="154"/>
      <c r="BY173" s="154"/>
      <c r="BZ173" s="220"/>
      <c r="CA173" s="140"/>
      <c r="CB173" s="154"/>
      <c r="CC173" s="154"/>
      <c r="CD173" s="220"/>
      <c r="CE173" s="140"/>
      <c r="CF173" s="271"/>
      <c r="CG173" s="271"/>
      <c r="CH173" s="271"/>
      <c r="CI173" s="140"/>
      <c r="CJ173" s="154"/>
      <c r="CK173" s="154"/>
      <c r="CL173" s="154"/>
      <c r="CM173" s="140"/>
      <c r="CN173" s="271"/>
      <c r="CO173" s="271"/>
      <c r="CP173" s="271"/>
      <c r="CQ173" s="140"/>
      <c r="CR173" s="154"/>
      <c r="CS173" s="154"/>
      <c r="CT173" s="154"/>
      <c r="CU173" s="140"/>
      <c r="CV173" s="154"/>
      <c r="CW173" s="154"/>
      <c r="CX173" s="220"/>
      <c r="CY173" s="140"/>
      <c r="CZ173" s="154"/>
      <c r="DA173" s="154"/>
      <c r="DB173" s="220"/>
      <c r="DC173" s="140"/>
      <c r="DD173" s="146"/>
      <c r="DE173" s="146"/>
      <c r="DF173" s="146"/>
      <c r="DG173" s="140"/>
      <c r="DH173" s="146"/>
      <c r="DI173" s="146"/>
      <c r="DJ173" s="146"/>
      <c r="DK173" s="146"/>
      <c r="DL173" s="146"/>
      <c r="DM173" s="146"/>
      <c r="DN173" s="146"/>
      <c r="DO173" s="146"/>
      <c r="DP173" s="146"/>
      <c r="DQ173" s="146"/>
      <c r="DR173" s="146"/>
      <c r="DS173" s="140"/>
      <c r="DT173" s="154"/>
      <c r="DU173" s="154"/>
      <c r="DV173" s="154"/>
      <c r="DW173" s="140"/>
      <c r="DX173" s="220"/>
      <c r="DY173" s="220"/>
      <c r="DZ173" s="220"/>
      <c r="EA173" s="140"/>
      <c r="EB173" s="220"/>
      <c r="EC173" s="220"/>
      <c r="ED173" s="220"/>
      <c r="EE173" s="140"/>
      <c r="EF173" s="154"/>
      <c r="EG173" s="154"/>
      <c r="EH173" s="154"/>
      <c r="EI173" s="140"/>
      <c r="EJ173" s="154"/>
      <c r="EK173" s="154"/>
      <c r="EL173" s="154"/>
      <c r="EM173" s="140"/>
      <c r="EN173" s="222"/>
      <c r="EO173" s="222"/>
      <c r="EP173" s="222"/>
      <c r="EQ173" s="140"/>
      <c r="ER173" s="222"/>
      <c r="ES173" s="222"/>
      <c r="ET173" s="222"/>
      <c r="EU173" s="140"/>
      <c r="EV173" s="222"/>
      <c r="EW173" s="222"/>
      <c r="EX173" s="222"/>
      <c r="EY173" s="344"/>
      <c r="EZ173" s="222"/>
      <c r="FA173" s="222"/>
      <c r="FB173" s="222"/>
      <c r="FC173" s="273"/>
      <c r="FD173" s="223"/>
      <c r="FE173" s="223"/>
      <c r="FF173" s="276"/>
      <c r="FG173" s="156"/>
      <c r="FH173" s="156"/>
      <c r="FI173" s="156"/>
      <c r="FJ173" s="140"/>
      <c r="FK173" s="277"/>
      <c r="FL173" s="277"/>
      <c r="FM173" s="277"/>
      <c r="FN173" s="140"/>
      <c r="FO173" s="277"/>
      <c r="FP173" s="277"/>
      <c r="FQ173" s="277"/>
      <c r="FR173" s="280"/>
      <c r="FS173" s="277"/>
      <c r="FT173" s="277"/>
      <c r="FU173" s="277"/>
      <c r="FV173" s="277"/>
      <c r="FW173" s="277"/>
      <c r="FX173" s="277"/>
      <c r="FY173" s="277"/>
      <c r="FZ173" s="277"/>
      <c r="GA173" s="277"/>
      <c r="GB173" s="277"/>
      <c r="GC173" s="277"/>
      <c r="GD173" s="277"/>
      <c r="GE173" s="277"/>
      <c r="GF173" s="277"/>
      <c r="GG173" s="277"/>
      <c r="GH173" s="277"/>
      <c r="GI173" s="277"/>
      <c r="GJ173" s="277"/>
      <c r="GK173" s="277"/>
      <c r="GL173" s="277"/>
      <c r="GM173" s="277"/>
      <c r="GN173" s="277"/>
      <c r="GO173" s="277"/>
      <c r="GP173" s="277"/>
      <c r="GQ173" s="277"/>
      <c r="GR173" s="277"/>
      <c r="GS173" s="277"/>
      <c r="GT173" s="277"/>
      <c r="GU173" s="277"/>
      <c r="GV173" s="277"/>
      <c r="GW173" s="277"/>
      <c r="GX173" s="277"/>
      <c r="GY173" s="277"/>
      <c r="GZ173" s="277"/>
      <c r="HA173" s="277"/>
      <c r="HB173" s="277"/>
      <c r="HC173" s="277"/>
      <c r="HD173" s="277"/>
      <c r="HE173" s="277"/>
      <c r="HF173" s="140"/>
      <c r="HG173" s="277"/>
      <c r="HH173" s="277"/>
      <c r="HI173" s="277"/>
      <c r="HJ173" s="140"/>
      <c r="HK173" s="277"/>
      <c r="HL173" s="277"/>
      <c r="HM173" s="277"/>
      <c r="HN173" s="140"/>
      <c r="HO173" s="277"/>
      <c r="HP173" s="277"/>
      <c r="HQ173" s="277"/>
      <c r="HR173" s="277"/>
      <c r="HS173" s="277"/>
      <c r="HT173" s="277"/>
      <c r="HU173" s="277"/>
      <c r="HV173" s="277"/>
      <c r="HW173" s="277"/>
      <c r="HX173" s="277"/>
      <c r="HY173" s="277"/>
      <c r="HZ173" s="140"/>
      <c r="IA173" s="277"/>
      <c r="IB173" s="277"/>
      <c r="IC173" s="277"/>
      <c r="ID173" s="140"/>
      <c r="IE173" s="277"/>
      <c r="IF173" s="277"/>
      <c r="IG173" s="277"/>
      <c r="IH173" s="140"/>
      <c r="II173" s="277"/>
      <c r="IJ173" s="277"/>
      <c r="IK173" s="277"/>
      <c r="IL173" s="140"/>
      <c r="IM173" s="277"/>
      <c r="IN173" s="277"/>
      <c r="IO173" s="277"/>
      <c r="IP173" s="277"/>
      <c r="IQ173" s="277"/>
      <c r="IR173" s="277"/>
      <c r="IS173" s="277"/>
      <c r="IT173" s="277"/>
      <c r="IU173" s="277"/>
      <c r="IV173" s="277"/>
      <c r="IW173" s="277"/>
      <c r="IX173" s="140"/>
      <c r="IY173" s="277"/>
      <c r="IZ173" s="277"/>
      <c r="JA173" s="277"/>
      <c r="JB173" s="140"/>
      <c r="JC173" s="277"/>
      <c r="JD173" s="277"/>
      <c r="JE173" s="277"/>
      <c r="JF173" s="140"/>
      <c r="JG173" s="277"/>
      <c r="JH173" s="277"/>
      <c r="JI173" s="140"/>
      <c r="JJ173" s="277"/>
      <c r="JK173" s="277"/>
      <c r="JL173" s="140"/>
      <c r="JM173" s="277"/>
      <c r="JN173" s="277"/>
      <c r="JO173" s="140"/>
      <c r="JP173" s="277"/>
      <c r="JQ173" s="277"/>
      <c r="JR173" s="277"/>
      <c r="JS173" s="277"/>
      <c r="JT173" s="277"/>
      <c r="JU173" s="277"/>
      <c r="JV173" s="277"/>
      <c r="JW173" s="277"/>
      <c r="JX173" s="277"/>
      <c r="JY173" s="277"/>
      <c r="JZ173" s="277"/>
      <c r="KA173" s="277"/>
      <c r="KB173" s="277"/>
      <c r="KC173" s="277"/>
      <c r="KD173" s="277"/>
      <c r="KE173" s="277"/>
      <c r="KF173" s="277"/>
      <c r="KG173" s="277"/>
      <c r="KH173" s="277"/>
      <c r="KI173" s="277"/>
      <c r="KJ173" s="277"/>
      <c r="KK173" s="277"/>
      <c r="KL173" s="277"/>
      <c r="KM173" s="277"/>
      <c r="KN173" s="277"/>
      <c r="KO173" s="277"/>
      <c r="KP173" s="274"/>
      <c r="KQ173" s="253"/>
      <c r="KR173" s="253"/>
      <c r="KY173" s="141">
        <f t="shared" si="65"/>
        <v>0</v>
      </c>
      <c r="KZ173" s="141">
        <f t="shared" si="66"/>
        <v>0</v>
      </c>
      <c r="LB173" s="141">
        <f t="shared" si="67"/>
        <v>1</v>
      </c>
      <c r="LC173" s="141">
        <f t="shared" si="68"/>
        <v>0</v>
      </c>
      <c r="LD173" s="141">
        <f t="shared" si="69"/>
        <v>0</v>
      </c>
      <c r="LE173" s="141" t="e">
        <f>((N(AU173)&gt;0)*(AX173&lt;&gt;"")+(N(AY173)&gt;0)*(BB173&lt;&gt;"")+(N(BC173)&gt;0)*(BF173&lt;&gt;"")+(N(BG173)&gt;0)*(BJ173&lt;&gt;"")+(N(BK173)&gt;0)*(BN173&lt;&gt;"")+(N(BO173)&gt;0)*(BR173&lt;&gt;"")+(N(BS173)&gt;0)*(BV173&lt;&gt;"")+(N(BW173)&gt;0)*(BZ173&lt;&gt;"")+(N(CA173)&gt;0)*(CD173&lt;&gt;"")+(N(CE173)&gt;0)*(CH173&lt;&gt;"")+(N(CI173)&gt;0)*(CL173&lt;&gt;"")+(N(CM173)&gt;0)*(CP173&lt;&gt;"")+(N(CQ173)&gt;0)*(CT173&lt;&gt;"")+(N(CU173)&gt;0)*(CX173&lt;&gt;"")+(N(CY173)&gt;0)*(DB173&lt;&gt;"")+(N(DC173)&gt;0)*(DF173&lt;&gt;"")+(N(DG173)&gt;0)*(DJ173&lt;&gt;"")+(N(DS173)&gt;0)*(DV173&lt;&gt;"")+(N(DW173)&gt;0)*(DZ173&lt;&gt;"")+(N(EA173)&gt;0)*(ED173&lt;&gt;"")+(N(EE173)&gt;0)*(EH173&lt;&gt;"")+(N(EI173)&gt;0)*(EL173&lt;&gt;"")+(N(EM173)&gt;0)*(EP173&lt;&gt;"")+(N(EQ173)&gt;0)*(ET173&lt;&gt;"")+(N(EU173)&gt;0)*(EX173&lt;&gt;"")+(N(#REF!)&gt;0)*(#REF!&lt;&gt;"")+(N(#REF!)&gt;0)*(#REF!&lt;&gt;"")+(N(FJ173)&gt;0)*(FM173&lt;&gt;"")+(N(FN173)&gt;0)*(FQ173&lt;&gt;"")+(N(#REF!)&gt;0)*(#REF!&lt;&gt;"")+(N(#REF!)&gt;0)*(#REF!&lt;&gt;"")+(N(HF173)&gt;0)*(HI173&lt;&gt;"")+(N(#REF!)&gt;0)*(#REF!&lt;&gt;"")+(N(HJ173)&gt;0)*(HM173&lt;&gt;"")+(N(HN173)&gt;0)*(HQ173&lt;&gt;"")+(N(HZ173)&gt;0)*(IC173&lt;&gt;"")+(N(ID173)&gt;0)*(IG173&lt;&gt;"")+(N(IH173)&gt;0)*(IK173&lt;&gt;"")+(N(IL173)&gt;0)*(IO173&lt;&gt;"")+(N(IX173)&gt;0)*(JA173&lt;&gt;"")+(N(JB173)&gt;0)*(JE173&lt;&gt;"")+(N(JF173)&gt;0)*(JH173&lt;&gt;"")+(N(JI173)&gt;0)*(JK173&lt;&gt;"")+(N(JL173)&gt;0)*(JN173&lt;&gt;"")+(N(JO173)&gt;0)*(JQ173&lt;&gt;""))</f>
        <v>#REF!</v>
      </c>
      <c r="LF173" s="141">
        <f t="shared" si="76"/>
        <v>0</v>
      </c>
      <c r="LG173" s="141">
        <f t="shared" si="70"/>
        <v>0</v>
      </c>
    </row>
    <row r="174" spans="2:319" ht="38.25" customHeight="1" x14ac:dyDescent="0.55000000000000004">
      <c r="B174" s="314" t="s">
        <v>468</v>
      </c>
      <c r="C174" s="218"/>
      <c r="D174" s="218"/>
      <c r="E174" s="218"/>
      <c r="F174" s="218"/>
      <c r="G174" s="218"/>
      <c r="H174" s="218"/>
      <c r="I174" s="162" cm="1">
        <f t="array" ref="I174">SUMPRODUCT(($AI$2:$KV$2&lt;&gt;"")*($AI174:$KV174&lt;&gt;""))</f>
        <v>1</v>
      </c>
      <c r="J174" s="142">
        <f t="shared" si="71"/>
        <v>0</v>
      </c>
      <c r="K174" s="142">
        <f t="shared" si="72"/>
        <v>0</v>
      </c>
      <c r="L174" s="268">
        <f t="shared" si="77"/>
        <v>7000</v>
      </c>
      <c r="M174" s="164">
        <f t="shared" si="73"/>
        <v>784</v>
      </c>
      <c r="N174" s="397"/>
      <c r="O174" s="165">
        <f t="shared" si="74"/>
        <v>0</v>
      </c>
      <c r="P174" s="165"/>
      <c r="Q174" s="165"/>
      <c r="R174" s="165">
        <f>(IFERROR(AM174/AN174,0)+IFERROR(AU174/AV174,0)+IFERROR(AY174/AZ174,0)+IFERROR(BC174/BD174,0)+IFERROR(BG174/BH174,0)+IFERROR(BK174/BL174,0)+IFERROR(BO174/BP174,0)+IFERROR(BS174/BT174,0)+IFERROR(BW174/BX174,0)+IFERROR(CA174/CB174,0)+IFERROR(CE174/CF174,0)+IFERROR(CI174/CJ174,0)+IFERROR(CM174/CN174,0)+IFERROR(CQ174/CR174,0)+IFERROR(CU174/CV174,0)+IFERROR(CY174/CZ174,0)+IFERROR(DC174/DD174,0)+IFERROR(DG174/DH174,0)+IFERROR(DS174/DT174,0)+IFERROR(DW174/DX174,0)+IFERROR(EA174/EB174,0)+IFERROR(EE174/EF174,0)+IFERROR(EI174/EJ174,0)+IFERROR(EM174/EN174,0)+IFERROR(EQ174/ER174,0)+IFERROR(EU174/EV174,0)+IFERROR(#REF!/#REF!,0)+IFERROR(#REF!/#REF!,0)+IFERROR(FJ174/FK174,0)+IFERROR(FN174/FO174,0)+IFERROR(#REF!/#REF!,0)+IFERROR(#REF!/#REF!,0)+IFERROR(HF174/HG174,0)+IFERROR(#REF!/#REF!,0)+IFERROR(HJ174/HK174,0)+IFERROR(HN174/HO174,0)+IFERROR(HZ174/IA174,0)+IFERROR(ID174/IE174,0)+IFERROR(IH174/II174,0)+IFERROR(IL174/IM174,0)+IFERROR(IX174/IY174,0)+IFERROR(JB174/JC174,0)+IFERROR(JF174/JG174,0)+IFERROR(JI174/JJ174,0)+IFERROR(JL174/JM174,0)+IFERROR(JO174/JP174,0))*L174*(C174+D174+E174+I174)</f>
        <v>0</v>
      </c>
      <c r="S174" s="165"/>
      <c r="T174" s="165">
        <f t="shared" si="63"/>
        <v>0</v>
      </c>
      <c r="U174" s="165"/>
      <c r="V174" s="165"/>
      <c r="W174" s="165"/>
      <c r="X174" s="165">
        <f>(IFERROR(FF174/FG174,0)+IFERROR(FC174/FD174,0)+IFERROR(#REF!/#REF!,0)+IFERROR(KP174/KQ174,0))*L174*(C174+D174+E174+I174)</f>
        <v>0</v>
      </c>
      <c r="Y174" s="484"/>
      <c r="Z174" s="484"/>
      <c r="AA174" s="484"/>
      <c r="AB174" s="484"/>
      <c r="AC174" s="150">
        <f t="shared" si="75"/>
        <v>0</v>
      </c>
      <c r="AD174" s="150"/>
      <c r="AE174" s="150">
        <f t="shared" si="64"/>
        <v>0</v>
      </c>
      <c r="AF174" s="161"/>
      <c r="AG174" s="143"/>
      <c r="AH174" s="154"/>
      <c r="AI174" s="342">
        <v>28</v>
      </c>
      <c r="AJ174" s="342">
        <v>250</v>
      </c>
      <c r="AK174" s="342"/>
      <c r="AL174" s="343" t="s">
        <v>545</v>
      </c>
      <c r="AM174" s="140"/>
      <c r="AN174" s="154"/>
      <c r="AO174" s="154"/>
      <c r="AP174" s="220"/>
      <c r="AQ174" s="145"/>
      <c r="AR174" s="154"/>
      <c r="AS174" s="154"/>
      <c r="AT174" s="220"/>
      <c r="AU174" s="140"/>
      <c r="AV174" s="277"/>
      <c r="AW174" s="277"/>
      <c r="AX174" s="277"/>
      <c r="AY174" s="140"/>
      <c r="AZ174" s="277"/>
      <c r="BA174" s="277"/>
      <c r="BB174" s="277"/>
      <c r="BC174" s="140"/>
      <c r="BD174" s="277"/>
      <c r="BE174" s="277"/>
      <c r="BF174" s="277"/>
      <c r="BG174" s="140"/>
      <c r="BH174" s="277"/>
      <c r="BI174" s="277"/>
      <c r="BJ174" s="277"/>
      <c r="BK174" s="140"/>
      <c r="BL174" s="277"/>
      <c r="BM174" s="277"/>
      <c r="BN174" s="277"/>
      <c r="BO174" s="140"/>
      <c r="BP174" s="277"/>
      <c r="BQ174" s="277"/>
      <c r="BR174" s="277"/>
      <c r="BS174" s="140"/>
      <c r="BT174" s="277"/>
      <c r="BU174" s="277"/>
      <c r="BV174" s="277"/>
      <c r="BW174" s="140"/>
      <c r="BX174" s="154"/>
      <c r="BY174" s="154"/>
      <c r="BZ174" s="220"/>
      <c r="CA174" s="140"/>
      <c r="CB174" s="154"/>
      <c r="CC174" s="154"/>
      <c r="CD174" s="220"/>
      <c r="CE174" s="140"/>
      <c r="CF174" s="271"/>
      <c r="CG174" s="271"/>
      <c r="CH174" s="271"/>
      <c r="CI174" s="140"/>
      <c r="CJ174" s="154"/>
      <c r="CK174" s="154"/>
      <c r="CL174" s="154"/>
      <c r="CM174" s="140"/>
      <c r="CN174" s="271"/>
      <c r="CO174" s="271"/>
      <c r="CP174" s="271"/>
      <c r="CQ174" s="140"/>
      <c r="CR174" s="154"/>
      <c r="CS174" s="154"/>
      <c r="CT174" s="154"/>
      <c r="CU174" s="140"/>
      <c r="CV174" s="154"/>
      <c r="CW174" s="154"/>
      <c r="CX174" s="220"/>
      <c r="CY174" s="140"/>
      <c r="CZ174" s="154"/>
      <c r="DA174" s="154"/>
      <c r="DB174" s="220"/>
      <c r="DC174" s="140"/>
      <c r="DD174" s="146"/>
      <c r="DE174" s="146"/>
      <c r="DF174" s="146"/>
      <c r="DG174" s="140"/>
      <c r="DH174" s="146"/>
      <c r="DI174" s="146"/>
      <c r="DJ174" s="146"/>
      <c r="DK174" s="146"/>
      <c r="DL174" s="146"/>
      <c r="DM174" s="146"/>
      <c r="DN174" s="146"/>
      <c r="DO174" s="146"/>
      <c r="DP174" s="146"/>
      <c r="DQ174" s="146"/>
      <c r="DR174" s="146"/>
      <c r="DS174" s="140"/>
      <c r="DT174" s="154"/>
      <c r="DU174" s="154"/>
      <c r="DV174" s="154"/>
      <c r="DW174" s="140"/>
      <c r="DX174" s="220"/>
      <c r="DY174" s="220"/>
      <c r="DZ174" s="220"/>
      <c r="EA174" s="140"/>
      <c r="EB174" s="220"/>
      <c r="EC174" s="220"/>
      <c r="ED174" s="220"/>
      <c r="EE174" s="140"/>
      <c r="EF174" s="154"/>
      <c r="EG174" s="154"/>
      <c r="EH174" s="154"/>
      <c r="EI174" s="140"/>
      <c r="EJ174" s="154"/>
      <c r="EK174" s="154"/>
      <c r="EL174" s="154"/>
      <c r="EM174" s="140"/>
      <c r="EN174" s="222"/>
      <c r="EO174" s="222"/>
      <c r="EP174" s="222"/>
      <c r="EQ174" s="140"/>
      <c r="ER174" s="222"/>
      <c r="ES174" s="222"/>
      <c r="ET174" s="222"/>
      <c r="EU174" s="140"/>
      <c r="EV174" s="222"/>
      <c r="EW174" s="222"/>
      <c r="EX174" s="222"/>
      <c r="EY174" s="344"/>
      <c r="EZ174" s="222"/>
      <c r="FA174" s="222"/>
      <c r="FB174" s="222"/>
      <c r="FC174" s="273"/>
      <c r="FD174" s="223"/>
      <c r="FE174" s="223"/>
      <c r="FF174" s="276"/>
      <c r="FG174" s="156"/>
      <c r="FH174" s="156"/>
      <c r="FI174" s="156"/>
      <c r="FJ174" s="140"/>
      <c r="FK174" s="277"/>
      <c r="FL174" s="277"/>
      <c r="FM174" s="277"/>
      <c r="FN174" s="140"/>
      <c r="FO174" s="277"/>
      <c r="FP174" s="277"/>
      <c r="FQ174" s="277"/>
      <c r="FR174" s="280"/>
      <c r="FS174" s="277"/>
      <c r="FT174" s="277"/>
      <c r="FU174" s="277"/>
      <c r="FV174" s="277"/>
      <c r="FW174" s="277"/>
      <c r="FX174" s="277"/>
      <c r="FY174" s="277"/>
      <c r="FZ174" s="277"/>
      <c r="GA174" s="277"/>
      <c r="GB174" s="277"/>
      <c r="GC174" s="277"/>
      <c r="GD174" s="277"/>
      <c r="GE174" s="277"/>
      <c r="GF174" s="277"/>
      <c r="GG174" s="277"/>
      <c r="GH174" s="277"/>
      <c r="GI174" s="277"/>
      <c r="GJ174" s="277"/>
      <c r="GK174" s="277"/>
      <c r="GL174" s="277"/>
      <c r="GM174" s="277"/>
      <c r="GN174" s="277"/>
      <c r="GO174" s="277"/>
      <c r="GP174" s="277"/>
      <c r="GQ174" s="277"/>
      <c r="GR174" s="277"/>
      <c r="GS174" s="277"/>
      <c r="GT174" s="277"/>
      <c r="GU174" s="277"/>
      <c r="GV174" s="277"/>
      <c r="GW174" s="277"/>
      <c r="GX174" s="277"/>
      <c r="GY174" s="277"/>
      <c r="GZ174" s="277"/>
      <c r="HA174" s="277"/>
      <c r="HB174" s="277"/>
      <c r="HC174" s="277"/>
      <c r="HD174" s="277"/>
      <c r="HE174" s="277"/>
      <c r="HF174" s="140"/>
      <c r="HG174" s="277"/>
      <c r="HH174" s="277"/>
      <c r="HI174" s="277"/>
      <c r="HJ174" s="140"/>
      <c r="HK174" s="277"/>
      <c r="HL174" s="277"/>
      <c r="HM174" s="277"/>
      <c r="HN174" s="140"/>
      <c r="HO174" s="277"/>
      <c r="HP174" s="277"/>
      <c r="HQ174" s="277"/>
      <c r="HR174" s="277"/>
      <c r="HS174" s="277"/>
      <c r="HT174" s="277"/>
      <c r="HU174" s="277"/>
      <c r="HV174" s="277"/>
      <c r="HW174" s="277"/>
      <c r="HX174" s="277"/>
      <c r="HY174" s="277"/>
      <c r="HZ174" s="140"/>
      <c r="IA174" s="277"/>
      <c r="IB174" s="277"/>
      <c r="IC174" s="277"/>
      <c r="ID174" s="140"/>
      <c r="IE174" s="277"/>
      <c r="IF174" s="277"/>
      <c r="IG174" s="277"/>
      <c r="IH174" s="140"/>
      <c r="II174" s="277"/>
      <c r="IJ174" s="277"/>
      <c r="IK174" s="277"/>
      <c r="IL174" s="140"/>
      <c r="IM174" s="277"/>
      <c r="IN174" s="277"/>
      <c r="IO174" s="277"/>
      <c r="IP174" s="277"/>
      <c r="IQ174" s="277"/>
      <c r="IR174" s="277"/>
      <c r="IS174" s="277"/>
      <c r="IT174" s="277"/>
      <c r="IU174" s="277"/>
      <c r="IV174" s="277"/>
      <c r="IW174" s="277"/>
      <c r="IX174" s="140"/>
      <c r="IY174" s="277"/>
      <c r="IZ174" s="277"/>
      <c r="JA174" s="277"/>
      <c r="JB174" s="140"/>
      <c r="JC174" s="277"/>
      <c r="JD174" s="277"/>
      <c r="JE174" s="277"/>
      <c r="JF174" s="140"/>
      <c r="JG174" s="277"/>
      <c r="JH174" s="277"/>
      <c r="JI174" s="140"/>
      <c r="JJ174" s="277"/>
      <c r="JK174" s="277"/>
      <c r="JL174" s="140"/>
      <c r="JM174" s="277"/>
      <c r="JN174" s="277"/>
      <c r="JO174" s="140"/>
      <c r="JP174" s="277"/>
      <c r="JQ174" s="277"/>
      <c r="JR174" s="277"/>
      <c r="JS174" s="277"/>
      <c r="JT174" s="277"/>
      <c r="JU174" s="277"/>
      <c r="JV174" s="277"/>
      <c r="JW174" s="277"/>
      <c r="JX174" s="277"/>
      <c r="JY174" s="277"/>
      <c r="JZ174" s="277"/>
      <c r="KA174" s="277"/>
      <c r="KB174" s="277"/>
      <c r="KC174" s="277"/>
      <c r="KD174" s="277"/>
      <c r="KE174" s="277"/>
      <c r="KF174" s="277"/>
      <c r="KG174" s="277"/>
      <c r="KH174" s="277"/>
      <c r="KI174" s="277"/>
      <c r="KJ174" s="277"/>
      <c r="KK174" s="277"/>
      <c r="KL174" s="277"/>
      <c r="KM174" s="277"/>
      <c r="KN174" s="277"/>
      <c r="KO174" s="277"/>
      <c r="KP174" s="274"/>
      <c r="KQ174" s="253"/>
      <c r="KR174" s="253"/>
      <c r="KY174" s="141">
        <f t="shared" si="65"/>
        <v>0</v>
      </c>
      <c r="KZ174" s="141">
        <f t="shared" si="66"/>
        <v>0</v>
      </c>
      <c r="LB174" s="141">
        <f t="shared" si="67"/>
        <v>1</v>
      </c>
      <c r="LC174" s="141">
        <f t="shared" si="68"/>
        <v>0</v>
      </c>
      <c r="LD174" s="141">
        <f t="shared" si="69"/>
        <v>0</v>
      </c>
      <c r="LE174" s="141" t="e">
        <f>((N(AU174)&gt;0)*(AX174&lt;&gt;"")+(N(AY174)&gt;0)*(BB174&lt;&gt;"")+(N(BC174)&gt;0)*(BF174&lt;&gt;"")+(N(BG174)&gt;0)*(BJ174&lt;&gt;"")+(N(BK174)&gt;0)*(BN174&lt;&gt;"")+(N(BO174)&gt;0)*(BR174&lt;&gt;"")+(N(BS174)&gt;0)*(BV174&lt;&gt;"")+(N(BW174)&gt;0)*(BZ174&lt;&gt;"")+(N(CA174)&gt;0)*(CD174&lt;&gt;"")+(N(CE174)&gt;0)*(CH174&lt;&gt;"")+(N(CI174)&gt;0)*(CL174&lt;&gt;"")+(N(CM174)&gt;0)*(CP174&lt;&gt;"")+(N(CQ174)&gt;0)*(CT174&lt;&gt;"")+(N(CU174)&gt;0)*(CX174&lt;&gt;"")+(N(CY174)&gt;0)*(DB174&lt;&gt;"")+(N(DC174)&gt;0)*(DF174&lt;&gt;"")+(N(DG174)&gt;0)*(DJ174&lt;&gt;"")+(N(DS174)&gt;0)*(DV174&lt;&gt;"")+(N(DW174)&gt;0)*(DZ174&lt;&gt;"")+(N(EA174)&gt;0)*(ED174&lt;&gt;"")+(N(EE174)&gt;0)*(EH174&lt;&gt;"")+(N(EI174)&gt;0)*(EL174&lt;&gt;"")+(N(EM174)&gt;0)*(EP174&lt;&gt;"")+(N(EQ174)&gt;0)*(ET174&lt;&gt;"")+(N(EU174)&gt;0)*(EX174&lt;&gt;"")+(N(#REF!)&gt;0)*(#REF!&lt;&gt;"")+(N(#REF!)&gt;0)*(#REF!&lt;&gt;"")+(N(FJ174)&gt;0)*(FM174&lt;&gt;"")+(N(FN174)&gt;0)*(FQ174&lt;&gt;"")+(N(#REF!)&gt;0)*(#REF!&lt;&gt;"")+(N(#REF!)&gt;0)*(#REF!&lt;&gt;"")+(N(HF174)&gt;0)*(HI174&lt;&gt;"")+(N(#REF!)&gt;0)*(#REF!&lt;&gt;"")+(N(HJ174)&gt;0)*(HM174&lt;&gt;"")+(N(HN174)&gt;0)*(HQ174&lt;&gt;"")+(N(HZ174)&gt;0)*(IC174&lt;&gt;"")+(N(ID174)&gt;0)*(IG174&lt;&gt;"")+(N(IH174)&gt;0)*(IK174&lt;&gt;"")+(N(IL174)&gt;0)*(IO174&lt;&gt;"")+(N(IX174)&gt;0)*(JA174&lt;&gt;"")+(N(JB174)&gt;0)*(JE174&lt;&gt;"")+(N(JF174)&gt;0)*(JH174&lt;&gt;"")+(N(JI174)&gt;0)*(JK174&lt;&gt;"")+(N(JL174)&gt;0)*(JN174&lt;&gt;"")+(N(JO174)&gt;0)*(JQ174&lt;&gt;""))</f>
        <v>#REF!</v>
      </c>
      <c r="LF174" s="141">
        <f t="shared" si="76"/>
        <v>0</v>
      </c>
      <c r="LG174" s="141">
        <f t="shared" si="70"/>
        <v>0</v>
      </c>
    </row>
    <row r="175" spans="2:319" ht="38.25" customHeight="1" x14ac:dyDescent="0.55000000000000004">
      <c r="B175" s="314" t="s">
        <v>465</v>
      </c>
      <c r="C175" s="218"/>
      <c r="D175" s="218"/>
      <c r="E175" s="218"/>
      <c r="F175" s="218"/>
      <c r="G175" s="218"/>
      <c r="H175" s="218"/>
      <c r="I175" s="162" cm="1">
        <f t="array" ref="I175">SUMPRODUCT(($AI$2:$KV$2&lt;&gt;"")*($AI175:$KV175&lt;&gt;""))</f>
        <v>1</v>
      </c>
      <c r="J175" s="142">
        <f t="shared" si="71"/>
        <v>0</v>
      </c>
      <c r="K175" s="142">
        <f t="shared" si="72"/>
        <v>0</v>
      </c>
      <c r="L175" s="268">
        <f t="shared" si="77"/>
        <v>7000</v>
      </c>
      <c r="M175" s="164">
        <f t="shared" si="73"/>
        <v>784</v>
      </c>
      <c r="N175" s="397"/>
      <c r="O175" s="165">
        <f t="shared" si="74"/>
        <v>0</v>
      </c>
      <c r="P175" s="165"/>
      <c r="Q175" s="165"/>
      <c r="R175" s="165">
        <f>(IFERROR(AM175/AN175,0)+IFERROR(AU175/AV175,0)+IFERROR(AY175/AZ175,0)+IFERROR(BC175/BD175,0)+IFERROR(BG175/BH175,0)+IFERROR(BK175/BL175,0)+IFERROR(BO175/BP175,0)+IFERROR(BS175/BT175,0)+IFERROR(BW175/BX175,0)+IFERROR(CA175/CB175,0)+IFERROR(CE175/CF175,0)+IFERROR(CI175/CJ175,0)+IFERROR(CM175/CN175,0)+IFERROR(CQ175/CR175,0)+IFERROR(CU175/CV175,0)+IFERROR(CY175/CZ175,0)+IFERROR(DC175/DD175,0)+IFERROR(DG175/DH175,0)+IFERROR(DS175/DT175,0)+IFERROR(DW175/DX175,0)+IFERROR(EA175/EB175,0)+IFERROR(EE175/EF175,0)+IFERROR(EI175/EJ175,0)+IFERROR(EM175/EN175,0)+IFERROR(EQ175/ER175,0)+IFERROR(EU175/EV175,0)+IFERROR(#REF!/#REF!,0)+IFERROR(#REF!/#REF!,0)+IFERROR(FJ175/FK175,0)+IFERROR(FN175/FO175,0)+IFERROR(#REF!/#REF!,0)+IFERROR(#REF!/#REF!,0)+IFERROR(HF175/HG175,0)+IFERROR(#REF!/#REF!,0)+IFERROR(HJ175/HK175,0)+IFERROR(HN175/HO175,0)+IFERROR(HZ175/IA175,0)+IFERROR(ID175/IE175,0)+IFERROR(IH175/II175,0)+IFERROR(IL175/IM175,0)+IFERROR(IX175/IY175,0)+IFERROR(JB175/JC175,0)+IFERROR(JF175/JG175,0)+IFERROR(JI175/JJ175,0)+IFERROR(JL175/JM175,0)+IFERROR(JO175/JP175,0))*L175*(C175+D175+E175+I175)</f>
        <v>0</v>
      </c>
      <c r="S175" s="165"/>
      <c r="T175" s="165">
        <f t="shared" si="63"/>
        <v>0</v>
      </c>
      <c r="U175" s="165"/>
      <c r="V175" s="165"/>
      <c r="W175" s="165"/>
      <c r="X175" s="165">
        <f>(IFERROR(FF175/FG175,0)+IFERROR(FC175/FD175,0)+IFERROR(#REF!/#REF!,0)+IFERROR(KP175/KQ175,0))*L175*(C175+D175+E175+I175)</f>
        <v>0</v>
      </c>
      <c r="Y175" s="484"/>
      <c r="Z175" s="484"/>
      <c r="AA175" s="484"/>
      <c r="AB175" s="484"/>
      <c r="AC175" s="150">
        <f t="shared" si="75"/>
        <v>0</v>
      </c>
      <c r="AD175" s="150"/>
      <c r="AE175" s="150">
        <f t="shared" si="64"/>
        <v>0</v>
      </c>
      <c r="AF175" s="161"/>
      <c r="AG175" s="143"/>
      <c r="AH175" s="154"/>
      <c r="AI175" s="342">
        <v>28</v>
      </c>
      <c r="AJ175" s="342">
        <v>250</v>
      </c>
      <c r="AK175" s="342"/>
      <c r="AL175" s="343" t="s">
        <v>545</v>
      </c>
      <c r="AM175" s="140"/>
      <c r="AN175" s="154"/>
      <c r="AO175" s="154"/>
      <c r="AP175" s="220"/>
      <c r="AQ175" s="145"/>
      <c r="AR175" s="154"/>
      <c r="AS175" s="154"/>
      <c r="AT175" s="220"/>
      <c r="AU175" s="140"/>
      <c r="AV175" s="277"/>
      <c r="AW175" s="277"/>
      <c r="AX175" s="277"/>
      <c r="AY175" s="140"/>
      <c r="AZ175" s="277"/>
      <c r="BA175" s="277"/>
      <c r="BB175" s="277"/>
      <c r="BC175" s="140"/>
      <c r="BD175" s="277"/>
      <c r="BE175" s="277"/>
      <c r="BF175" s="277"/>
      <c r="BG175" s="140"/>
      <c r="BH175" s="277"/>
      <c r="BI175" s="277"/>
      <c r="BJ175" s="277"/>
      <c r="BK175" s="140"/>
      <c r="BL175" s="277"/>
      <c r="BM175" s="277"/>
      <c r="BN175" s="277"/>
      <c r="BO175" s="140"/>
      <c r="BP175" s="277"/>
      <c r="BQ175" s="277"/>
      <c r="BR175" s="277"/>
      <c r="BS175" s="140"/>
      <c r="BT175" s="277"/>
      <c r="BU175" s="277"/>
      <c r="BV175" s="277"/>
      <c r="BW175" s="140"/>
      <c r="BX175" s="154"/>
      <c r="BY175" s="154"/>
      <c r="BZ175" s="220"/>
      <c r="CA175" s="140"/>
      <c r="CB175" s="154"/>
      <c r="CC175" s="154"/>
      <c r="CD175" s="220"/>
      <c r="CE175" s="140"/>
      <c r="CF175" s="271"/>
      <c r="CG175" s="271"/>
      <c r="CH175" s="271"/>
      <c r="CI175" s="140"/>
      <c r="CJ175" s="154"/>
      <c r="CK175" s="154"/>
      <c r="CL175" s="154"/>
      <c r="CM175" s="140"/>
      <c r="CN175" s="271"/>
      <c r="CO175" s="271"/>
      <c r="CP175" s="271"/>
      <c r="CQ175" s="140"/>
      <c r="CR175" s="154"/>
      <c r="CS175" s="154"/>
      <c r="CT175" s="154"/>
      <c r="CU175" s="140"/>
      <c r="CV175" s="154"/>
      <c r="CW175" s="154"/>
      <c r="CX175" s="220"/>
      <c r="CY175" s="140"/>
      <c r="CZ175" s="154"/>
      <c r="DA175" s="154"/>
      <c r="DB175" s="220"/>
      <c r="DC175" s="140"/>
      <c r="DD175" s="146"/>
      <c r="DE175" s="146"/>
      <c r="DF175" s="146"/>
      <c r="DG175" s="140"/>
      <c r="DH175" s="146"/>
      <c r="DI175" s="146"/>
      <c r="DJ175" s="146"/>
      <c r="DK175" s="146"/>
      <c r="DL175" s="146"/>
      <c r="DM175" s="146"/>
      <c r="DN175" s="146"/>
      <c r="DO175" s="146"/>
      <c r="DP175" s="146"/>
      <c r="DQ175" s="146"/>
      <c r="DR175" s="146"/>
      <c r="DS175" s="140"/>
      <c r="DT175" s="154"/>
      <c r="DU175" s="154"/>
      <c r="DV175" s="154"/>
      <c r="DW175" s="140"/>
      <c r="DX175" s="220"/>
      <c r="DY175" s="220"/>
      <c r="DZ175" s="220"/>
      <c r="EA175" s="140"/>
      <c r="EB175" s="220"/>
      <c r="EC175" s="220"/>
      <c r="ED175" s="220"/>
      <c r="EE175" s="140"/>
      <c r="EF175" s="154"/>
      <c r="EG175" s="154"/>
      <c r="EH175" s="154"/>
      <c r="EI175" s="140"/>
      <c r="EJ175" s="154"/>
      <c r="EK175" s="154"/>
      <c r="EL175" s="154"/>
      <c r="EM175" s="140"/>
      <c r="EN175" s="222"/>
      <c r="EO175" s="222"/>
      <c r="EP175" s="222"/>
      <c r="EQ175" s="140"/>
      <c r="ER175" s="222"/>
      <c r="ES175" s="222"/>
      <c r="ET175" s="222"/>
      <c r="EU175" s="140"/>
      <c r="EV175" s="222"/>
      <c r="EW175" s="222"/>
      <c r="EX175" s="222"/>
      <c r="EY175" s="344"/>
      <c r="EZ175" s="222"/>
      <c r="FA175" s="222"/>
      <c r="FB175" s="222"/>
      <c r="FC175" s="273"/>
      <c r="FD175" s="223"/>
      <c r="FE175" s="223"/>
      <c r="FF175" s="276"/>
      <c r="FG175" s="156"/>
      <c r="FH175" s="156"/>
      <c r="FI175" s="156"/>
      <c r="FJ175" s="140"/>
      <c r="FK175" s="277"/>
      <c r="FL175" s="277"/>
      <c r="FM175" s="277"/>
      <c r="FN175" s="140"/>
      <c r="FO175" s="277"/>
      <c r="FP175" s="277"/>
      <c r="FQ175" s="277"/>
      <c r="FR175" s="280"/>
      <c r="FS175" s="277"/>
      <c r="FT175" s="277"/>
      <c r="FU175" s="277"/>
      <c r="FV175" s="277"/>
      <c r="FW175" s="277"/>
      <c r="FX175" s="277"/>
      <c r="FY175" s="277"/>
      <c r="FZ175" s="277"/>
      <c r="GA175" s="277"/>
      <c r="GB175" s="277"/>
      <c r="GC175" s="277"/>
      <c r="GD175" s="277"/>
      <c r="GE175" s="277"/>
      <c r="GF175" s="277"/>
      <c r="GG175" s="277"/>
      <c r="GH175" s="277"/>
      <c r="GI175" s="277"/>
      <c r="GJ175" s="277"/>
      <c r="GK175" s="277"/>
      <c r="GL175" s="277"/>
      <c r="GM175" s="277"/>
      <c r="GN175" s="277"/>
      <c r="GO175" s="277"/>
      <c r="GP175" s="277"/>
      <c r="GQ175" s="277"/>
      <c r="GR175" s="277"/>
      <c r="GS175" s="277"/>
      <c r="GT175" s="277"/>
      <c r="GU175" s="277"/>
      <c r="GV175" s="277"/>
      <c r="GW175" s="277"/>
      <c r="GX175" s="277"/>
      <c r="GY175" s="277"/>
      <c r="GZ175" s="277"/>
      <c r="HA175" s="277"/>
      <c r="HB175" s="277"/>
      <c r="HC175" s="277"/>
      <c r="HD175" s="277"/>
      <c r="HE175" s="277"/>
      <c r="HF175" s="140"/>
      <c r="HG175" s="277"/>
      <c r="HH175" s="277"/>
      <c r="HI175" s="277"/>
      <c r="HJ175" s="140"/>
      <c r="HK175" s="277"/>
      <c r="HL175" s="277"/>
      <c r="HM175" s="277"/>
      <c r="HN175" s="140"/>
      <c r="HO175" s="277"/>
      <c r="HP175" s="277"/>
      <c r="HQ175" s="277"/>
      <c r="HR175" s="277"/>
      <c r="HS175" s="277"/>
      <c r="HT175" s="277"/>
      <c r="HU175" s="277"/>
      <c r="HV175" s="277"/>
      <c r="HW175" s="277"/>
      <c r="HX175" s="277"/>
      <c r="HY175" s="277"/>
      <c r="HZ175" s="140"/>
      <c r="IA175" s="277"/>
      <c r="IB175" s="277"/>
      <c r="IC175" s="277"/>
      <c r="ID175" s="140"/>
      <c r="IE175" s="277"/>
      <c r="IF175" s="277"/>
      <c r="IG175" s="277"/>
      <c r="IH175" s="140"/>
      <c r="II175" s="277"/>
      <c r="IJ175" s="277"/>
      <c r="IK175" s="277"/>
      <c r="IL175" s="140"/>
      <c r="IM175" s="277"/>
      <c r="IN175" s="277"/>
      <c r="IO175" s="277"/>
      <c r="IP175" s="277"/>
      <c r="IQ175" s="277"/>
      <c r="IR175" s="277"/>
      <c r="IS175" s="277"/>
      <c r="IT175" s="277"/>
      <c r="IU175" s="277"/>
      <c r="IV175" s="277"/>
      <c r="IW175" s="277"/>
      <c r="IX175" s="140"/>
      <c r="IY175" s="277"/>
      <c r="IZ175" s="277"/>
      <c r="JA175" s="277"/>
      <c r="JB175" s="140"/>
      <c r="JC175" s="277"/>
      <c r="JD175" s="277"/>
      <c r="JE175" s="277"/>
      <c r="JF175" s="140"/>
      <c r="JG175" s="277"/>
      <c r="JH175" s="277"/>
      <c r="JI175" s="140"/>
      <c r="JJ175" s="277"/>
      <c r="JK175" s="277"/>
      <c r="JL175" s="140"/>
      <c r="JM175" s="277"/>
      <c r="JN175" s="277"/>
      <c r="JO175" s="140"/>
      <c r="JP175" s="277"/>
      <c r="JQ175" s="277"/>
      <c r="JR175" s="277"/>
      <c r="JS175" s="277"/>
      <c r="JT175" s="277"/>
      <c r="JU175" s="277"/>
      <c r="JV175" s="277"/>
      <c r="JW175" s="277"/>
      <c r="JX175" s="277"/>
      <c r="JY175" s="277"/>
      <c r="JZ175" s="277"/>
      <c r="KA175" s="277"/>
      <c r="KB175" s="277"/>
      <c r="KC175" s="277"/>
      <c r="KD175" s="277"/>
      <c r="KE175" s="277"/>
      <c r="KF175" s="277"/>
      <c r="KG175" s="277"/>
      <c r="KH175" s="277"/>
      <c r="KI175" s="277"/>
      <c r="KJ175" s="277"/>
      <c r="KK175" s="277"/>
      <c r="KL175" s="277"/>
      <c r="KM175" s="277"/>
      <c r="KN175" s="277"/>
      <c r="KO175" s="277"/>
      <c r="KP175" s="274"/>
      <c r="KQ175" s="253"/>
      <c r="KR175" s="253"/>
      <c r="KY175" s="141">
        <f t="shared" si="65"/>
        <v>0</v>
      </c>
      <c r="KZ175" s="141">
        <f t="shared" si="66"/>
        <v>0</v>
      </c>
      <c r="LB175" s="141">
        <f t="shared" si="67"/>
        <v>1</v>
      </c>
      <c r="LC175" s="141">
        <f t="shared" si="68"/>
        <v>0</v>
      </c>
      <c r="LD175" s="141">
        <f t="shared" si="69"/>
        <v>0</v>
      </c>
      <c r="LE175" s="141" t="e">
        <f>((N(AU175)&gt;0)*(AX175&lt;&gt;"")+(N(AY175)&gt;0)*(BB175&lt;&gt;"")+(N(BC175)&gt;0)*(BF175&lt;&gt;"")+(N(BG175)&gt;0)*(BJ175&lt;&gt;"")+(N(BK175)&gt;0)*(BN175&lt;&gt;"")+(N(BO175)&gt;0)*(BR175&lt;&gt;"")+(N(BS175)&gt;0)*(BV175&lt;&gt;"")+(N(BW175)&gt;0)*(BZ175&lt;&gt;"")+(N(CA175)&gt;0)*(CD175&lt;&gt;"")+(N(CE175)&gt;0)*(CH175&lt;&gt;"")+(N(CI175)&gt;0)*(CL175&lt;&gt;"")+(N(CM175)&gt;0)*(CP175&lt;&gt;"")+(N(CQ175)&gt;0)*(CT175&lt;&gt;"")+(N(CU175)&gt;0)*(CX175&lt;&gt;"")+(N(CY175)&gt;0)*(DB175&lt;&gt;"")+(N(DC175)&gt;0)*(DF175&lt;&gt;"")+(N(DG175)&gt;0)*(DJ175&lt;&gt;"")+(N(DS175)&gt;0)*(DV175&lt;&gt;"")+(N(DW175)&gt;0)*(DZ175&lt;&gt;"")+(N(EA175)&gt;0)*(ED175&lt;&gt;"")+(N(EE175)&gt;0)*(EH175&lt;&gt;"")+(N(EI175)&gt;0)*(EL175&lt;&gt;"")+(N(EM175)&gt;0)*(EP175&lt;&gt;"")+(N(EQ175)&gt;0)*(ET175&lt;&gt;"")+(N(EU175)&gt;0)*(EX175&lt;&gt;"")+(N(#REF!)&gt;0)*(#REF!&lt;&gt;"")+(N(#REF!)&gt;0)*(#REF!&lt;&gt;"")+(N(FJ175)&gt;0)*(FM175&lt;&gt;"")+(N(FN175)&gt;0)*(FQ175&lt;&gt;"")+(N(#REF!)&gt;0)*(#REF!&lt;&gt;"")+(N(#REF!)&gt;0)*(#REF!&lt;&gt;"")+(N(HF175)&gt;0)*(HI175&lt;&gt;"")+(N(#REF!)&gt;0)*(#REF!&lt;&gt;"")+(N(HJ175)&gt;0)*(HM175&lt;&gt;"")+(N(HN175)&gt;0)*(HQ175&lt;&gt;"")+(N(HZ175)&gt;0)*(IC175&lt;&gt;"")+(N(ID175)&gt;0)*(IG175&lt;&gt;"")+(N(IH175)&gt;0)*(IK175&lt;&gt;"")+(N(IL175)&gt;0)*(IO175&lt;&gt;"")+(N(IX175)&gt;0)*(JA175&lt;&gt;"")+(N(JB175)&gt;0)*(JE175&lt;&gt;"")+(N(JF175)&gt;0)*(JH175&lt;&gt;"")+(N(JI175)&gt;0)*(JK175&lt;&gt;"")+(N(JL175)&gt;0)*(JN175&lt;&gt;"")+(N(JO175)&gt;0)*(JQ175&lt;&gt;""))</f>
        <v>#REF!</v>
      </c>
      <c r="LF175" s="141">
        <f t="shared" si="76"/>
        <v>0</v>
      </c>
      <c r="LG175" s="141">
        <f t="shared" si="70"/>
        <v>0</v>
      </c>
    </row>
    <row r="176" spans="2:319" ht="38.25" customHeight="1" x14ac:dyDescent="0.55000000000000004">
      <c r="B176" s="314" t="s">
        <v>464</v>
      </c>
      <c r="C176" s="218"/>
      <c r="D176" s="218"/>
      <c r="E176" s="218"/>
      <c r="F176" s="218"/>
      <c r="G176" s="218"/>
      <c r="H176" s="218"/>
      <c r="I176" s="162" cm="1">
        <f t="array" ref="I176">SUMPRODUCT(($AI$2:$KV$2&lt;&gt;"")*($AI176:$KV176&lt;&gt;""))</f>
        <v>1</v>
      </c>
      <c r="J176" s="142">
        <f t="shared" si="71"/>
        <v>0</v>
      </c>
      <c r="K176" s="142">
        <f t="shared" si="72"/>
        <v>0</v>
      </c>
      <c r="L176" s="268">
        <f t="shared" si="77"/>
        <v>7000</v>
      </c>
      <c r="M176" s="164">
        <f t="shared" si="73"/>
        <v>784</v>
      </c>
      <c r="N176" s="397"/>
      <c r="O176" s="165">
        <f t="shared" si="74"/>
        <v>0</v>
      </c>
      <c r="P176" s="165"/>
      <c r="Q176" s="165"/>
      <c r="R176" s="165">
        <f>(IFERROR(AM176/AN176,0)+IFERROR(AU176/AV176,0)+IFERROR(AY176/AZ176,0)+IFERROR(BC176/BD176,0)+IFERROR(BG176/BH176,0)+IFERROR(BK176/BL176,0)+IFERROR(BO176/BP176,0)+IFERROR(BS176/BT176,0)+IFERROR(BW176/BX176,0)+IFERROR(CA176/CB176,0)+IFERROR(CE176/CF176,0)+IFERROR(CI176/CJ176,0)+IFERROR(CM176/CN176,0)+IFERROR(CQ176/CR176,0)+IFERROR(CU176/CV176,0)+IFERROR(CY176/CZ176,0)+IFERROR(DC176/DD176,0)+IFERROR(DG176/DH176,0)+IFERROR(DS176/DT176,0)+IFERROR(DW176/DX176,0)+IFERROR(EA176/EB176,0)+IFERROR(EE176/EF176,0)+IFERROR(EI176/EJ176,0)+IFERROR(EM176/EN176,0)+IFERROR(EQ176/ER176,0)+IFERROR(EU176/EV176,0)+IFERROR(#REF!/#REF!,0)+IFERROR(#REF!/#REF!,0)+IFERROR(FJ176/FK176,0)+IFERROR(FN176/FO176,0)+IFERROR(#REF!/#REF!,0)+IFERROR(#REF!/#REF!,0)+IFERROR(HF176/HG176,0)+IFERROR(#REF!/#REF!,0)+IFERROR(HJ176/HK176,0)+IFERROR(HN176/HO176,0)+IFERROR(HZ176/IA176,0)+IFERROR(ID176/IE176,0)+IFERROR(IH176/II176,0)+IFERROR(IL176/IM176,0)+IFERROR(IX176/IY176,0)+IFERROR(JB176/JC176,0)+IFERROR(JF176/JG176,0)+IFERROR(JI176/JJ176,0)+IFERROR(JL176/JM176,0)+IFERROR(JO176/JP176,0))*L176*(C176+D176+E176+I176)</f>
        <v>0</v>
      </c>
      <c r="S176" s="165"/>
      <c r="T176" s="165">
        <f t="shared" si="63"/>
        <v>0</v>
      </c>
      <c r="U176" s="165"/>
      <c r="V176" s="165"/>
      <c r="W176" s="165"/>
      <c r="X176" s="165">
        <f>(IFERROR(FF176/FG176,0)+IFERROR(FC176/FD176,0)+IFERROR(#REF!/#REF!,0)+IFERROR(KP176/KQ176,0))*L176*(C176+D176+E176+I176)</f>
        <v>0</v>
      </c>
      <c r="Y176" s="484"/>
      <c r="Z176" s="484"/>
      <c r="AA176" s="484"/>
      <c r="AB176" s="484"/>
      <c r="AC176" s="150">
        <f t="shared" si="75"/>
        <v>0</v>
      </c>
      <c r="AD176" s="150"/>
      <c r="AE176" s="150">
        <f t="shared" si="64"/>
        <v>0</v>
      </c>
      <c r="AF176" s="161"/>
      <c r="AG176" s="143"/>
      <c r="AH176" s="154"/>
      <c r="AI176" s="342">
        <v>28</v>
      </c>
      <c r="AJ176" s="342">
        <v>250</v>
      </c>
      <c r="AK176" s="342"/>
      <c r="AL176" s="343" t="s">
        <v>545</v>
      </c>
      <c r="AM176" s="140"/>
      <c r="AN176" s="154"/>
      <c r="AO176" s="154"/>
      <c r="AP176" s="220"/>
      <c r="AQ176" s="145"/>
      <c r="AR176" s="154"/>
      <c r="AS176" s="154"/>
      <c r="AT176" s="220"/>
      <c r="AU176" s="140"/>
      <c r="AV176" s="277"/>
      <c r="AW176" s="277"/>
      <c r="AX176" s="277"/>
      <c r="AY176" s="140"/>
      <c r="AZ176" s="277"/>
      <c r="BA176" s="277"/>
      <c r="BB176" s="277"/>
      <c r="BC176" s="140"/>
      <c r="BD176" s="277"/>
      <c r="BE176" s="277"/>
      <c r="BF176" s="277"/>
      <c r="BG176" s="140"/>
      <c r="BH176" s="277"/>
      <c r="BI176" s="277"/>
      <c r="BJ176" s="277"/>
      <c r="BK176" s="140"/>
      <c r="BL176" s="277"/>
      <c r="BM176" s="277"/>
      <c r="BN176" s="277"/>
      <c r="BO176" s="140"/>
      <c r="BP176" s="277"/>
      <c r="BQ176" s="277"/>
      <c r="BR176" s="277"/>
      <c r="BS176" s="140"/>
      <c r="BT176" s="277"/>
      <c r="BU176" s="277"/>
      <c r="BV176" s="277"/>
      <c r="BW176" s="140"/>
      <c r="BX176" s="154"/>
      <c r="BY176" s="154"/>
      <c r="BZ176" s="220"/>
      <c r="CA176" s="140"/>
      <c r="CB176" s="154"/>
      <c r="CC176" s="154"/>
      <c r="CD176" s="220"/>
      <c r="CE176" s="140"/>
      <c r="CF176" s="271"/>
      <c r="CG176" s="271"/>
      <c r="CH176" s="271"/>
      <c r="CI176" s="140"/>
      <c r="CJ176" s="154"/>
      <c r="CK176" s="154"/>
      <c r="CL176" s="154"/>
      <c r="CM176" s="140"/>
      <c r="CN176" s="271"/>
      <c r="CO176" s="271"/>
      <c r="CP176" s="271"/>
      <c r="CQ176" s="140"/>
      <c r="CR176" s="154"/>
      <c r="CS176" s="154"/>
      <c r="CT176" s="154"/>
      <c r="CU176" s="140"/>
      <c r="CV176" s="154"/>
      <c r="CW176" s="154"/>
      <c r="CX176" s="220"/>
      <c r="CY176" s="140"/>
      <c r="CZ176" s="154"/>
      <c r="DA176" s="154"/>
      <c r="DB176" s="220"/>
      <c r="DC176" s="140"/>
      <c r="DD176" s="146"/>
      <c r="DE176" s="146"/>
      <c r="DF176" s="146"/>
      <c r="DG176" s="140"/>
      <c r="DH176" s="146"/>
      <c r="DI176" s="146"/>
      <c r="DJ176" s="146"/>
      <c r="DK176" s="146"/>
      <c r="DL176" s="146"/>
      <c r="DM176" s="146"/>
      <c r="DN176" s="146"/>
      <c r="DO176" s="146"/>
      <c r="DP176" s="146"/>
      <c r="DQ176" s="146"/>
      <c r="DR176" s="146"/>
      <c r="DS176" s="140"/>
      <c r="DT176" s="154"/>
      <c r="DU176" s="154"/>
      <c r="DV176" s="154"/>
      <c r="DW176" s="140"/>
      <c r="DX176" s="220"/>
      <c r="DY176" s="220"/>
      <c r="DZ176" s="220"/>
      <c r="EA176" s="140"/>
      <c r="EB176" s="220"/>
      <c r="EC176" s="220"/>
      <c r="ED176" s="220"/>
      <c r="EE176" s="140"/>
      <c r="EF176" s="154"/>
      <c r="EG176" s="154"/>
      <c r="EH176" s="154"/>
      <c r="EI176" s="140"/>
      <c r="EJ176" s="154"/>
      <c r="EK176" s="154"/>
      <c r="EL176" s="154"/>
      <c r="EM176" s="140"/>
      <c r="EN176" s="222"/>
      <c r="EO176" s="222"/>
      <c r="EP176" s="222"/>
      <c r="EQ176" s="140"/>
      <c r="ER176" s="222"/>
      <c r="ES176" s="222"/>
      <c r="ET176" s="222"/>
      <c r="EU176" s="140"/>
      <c r="EV176" s="222"/>
      <c r="EW176" s="222"/>
      <c r="EX176" s="222"/>
      <c r="EY176" s="344"/>
      <c r="EZ176" s="222"/>
      <c r="FA176" s="222"/>
      <c r="FB176" s="222"/>
      <c r="FC176" s="273"/>
      <c r="FD176" s="223"/>
      <c r="FE176" s="223"/>
      <c r="FF176" s="276"/>
      <c r="FG176" s="156"/>
      <c r="FH176" s="156"/>
      <c r="FI176" s="156"/>
      <c r="FJ176" s="140"/>
      <c r="FK176" s="277"/>
      <c r="FL176" s="277"/>
      <c r="FM176" s="277"/>
      <c r="FN176" s="140"/>
      <c r="FO176" s="277"/>
      <c r="FP176" s="277"/>
      <c r="FQ176" s="277"/>
      <c r="FR176" s="280"/>
      <c r="FS176" s="277"/>
      <c r="FT176" s="277"/>
      <c r="FU176" s="277"/>
      <c r="FV176" s="277"/>
      <c r="FW176" s="277"/>
      <c r="FX176" s="277"/>
      <c r="FY176" s="277"/>
      <c r="FZ176" s="277"/>
      <c r="GA176" s="277"/>
      <c r="GB176" s="277"/>
      <c r="GC176" s="277"/>
      <c r="GD176" s="277"/>
      <c r="GE176" s="277"/>
      <c r="GF176" s="277"/>
      <c r="GG176" s="277"/>
      <c r="GH176" s="277"/>
      <c r="GI176" s="277"/>
      <c r="GJ176" s="277"/>
      <c r="GK176" s="277"/>
      <c r="GL176" s="277"/>
      <c r="GM176" s="277"/>
      <c r="GN176" s="277"/>
      <c r="GO176" s="277"/>
      <c r="GP176" s="277"/>
      <c r="GQ176" s="277"/>
      <c r="GR176" s="277"/>
      <c r="GS176" s="277"/>
      <c r="GT176" s="277"/>
      <c r="GU176" s="277"/>
      <c r="GV176" s="277"/>
      <c r="GW176" s="277"/>
      <c r="GX176" s="277"/>
      <c r="GY176" s="277"/>
      <c r="GZ176" s="277"/>
      <c r="HA176" s="277"/>
      <c r="HB176" s="277"/>
      <c r="HC176" s="277"/>
      <c r="HD176" s="277"/>
      <c r="HE176" s="277"/>
      <c r="HF176" s="140"/>
      <c r="HG176" s="277"/>
      <c r="HH176" s="277"/>
      <c r="HI176" s="277"/>
      <c r="HJ176" s="140"/>
      <c r="HK176" s="277"/>
      <c r="HL176" s="277"/>
      <c r="HM176" s="277"/>
      <c r="HN176" s="140"/>
      <c r="HO176" s="277"/>
      <c r="HP176" s="277"/>
      <c r="HQ176" s="277"/>
      <c r="HR176" s="277"/>
      <c r="HS176" s="277"/>
      <c r="HT176" s="277"/>
      <c r="HU176" s="277"/>
      <c r="HV176" s="277"/>
      <c r="HW176" s="277"/>
      <c r="HX176" s="277"/>
      <c r="HY176" s="277"/>
      <c r="HZ176" s="140"/>
      <c r="IA176" s="277"/>
      <c r="IB176" s="277"/>
      <c r="IC176" s="277"/>
      <c r="ID176" s="140"/>
      <c r="IE176" s="277"/>
      <c r="IF176" s="277"/>
      <c r="IG176" s="277"/>
      <c r="IH176" s="140"/>
      <c r="II176" s="277"/>
      <c r="IJ176" s="277"/>
      <c r="IK176" s="277"/>
      <c r="IL176" s="140"/>
      <c r="IM176" s="277"/>
      <c r="IN176" s="277"/>
      <c r="IO176" s="277"/>
      <c r="IP176" s="277"/>
      <c r="IQ176" s="277"/>
      <c r="IR176" s="277"/>
      <c r="IS176" s="277"/>
      <c r="IT176" s="277"/>
      <c r="IU176" s="277"/>
      <c r="IV176" s="277"/>
      <c r="IW176" s="277"/>
      <c r="IX176" s="140"/>
      <c r="IY176" s="277"/>
      <c r="IZ176" s="277"/>
      <c r="JA176" s="277"/>
      <c r="JB176" s="140"/>
      <c r="JC176" s="277"/>
      <c r="JD176" s="277"/>
      <c r="JE176" s="277"/>
      <c r="JF176" s="140"/>
      <c r="JG176" s="277"/>
      <c r="JH176" s="277"/>
      <c r="JI176" s="140"/>
      <c r="JJ176" s="277"/>
      <c r="JK176" s="277"/>
      <c r="JL176" s="140"/>
      <c r="JM176" s="277"/>
      <c r="JN176" s="277"/>
      <c r="JO176" s="140"/>
      <c r="JP176" s="277"/>
      <c r="JQ176" s="277"/>
      <c r="JR176" s="277"/>
      <c r="JS176" s="277"/>
      <c r="JT176" s="277"/>
      <c r="JU176" s="277"/>
      <c r="JV176" s="277"/>
      <c r="JW176" s="277"/>
      <c r="JX176" s="277"/>
      <c r="JY176" s="277"/>
      <c r="JZ176" s="277"/>
      <c r="KA176" s="277"/>
      <c r="KB176" s="277"/>
      <c r="KC176" s="277"/>
      <c r="KD176" s="277"/>
      <c r="KE176" s="277"/>
      <c r="KF176" s="277"/>
      <c r="KG176" s="277"/>
      <c r="KH176" s="277"/>
      <c r="KI176" s="277"/>
      <c r="KJ176" s="277"/>
      <c r="KK176" s="277"/>
      <c r="KL176" s="277"/>
      <c r="KM176" s="277"/>
      <c r="KN176" s="277"/>
      <c r="KO176" s="277"/>
      <c r="KP176" s="274"/>
      <c r="KQ176" s="253"/>
      <c r="KR176" s="253"/>
      <c r="KY176" s="141">
        <f t="shared" si="65"/>
        <v>0</v>
      </c>
      <c r="KZ176" s="141">
        <f t="shared" si="66"/>
        <v>0</v>
      </c>
      <c r="LB176" s="141">
        <f t="shared" si="67"/>
        <v>1</v>
      </c>
      <c r="LC176" s="141">
        <f t="shared" si="68"/>
        <v>0</v>
      </c>
      <c r="LD176" s="141">
        <f t="shared" si="69"/>
        <v>0</v>
      </c>
      <c r="LE176" s="141" t="e">
        <f>((N(AU176)&gt;0)*(AX176&lt;&gt;"")+(N(AY176)&gt;0)*(BB176&lt;&gt;"")+(N(BC176)&gt;0)*(BF176&lt;&gt;"")+(N(BG176)&gt;0)*(BJ176&lt;&gt;"")+(N(BK176)&gt;0)*(BN176&lt;&gt;"")+(N(BO176)&gt;0)*(BR176&lt;&gt;"")+(N(BS176)&gt;0)*(BV176&lt;&gt;"")+(N(BW176)&gt;0)*(BZ176&lt;&gt;"")+(N(CA176)&gt;0)*(CD176&lt;&gt;"")+(N(CE176)&gt;0)*(CH176&lt;&gt;"")+(N(CI176)&gt;0)*(CL176&lt;&gt;"")+(N(CM176)&gt;0)*(CP176&lt;&gt;"")+(N(CQ176)&gt;0)*(CT176&lt;&gt;"")+(N(CU176)&gt;0)*(CX176&lt;&gt;"")+(N(CY176)&gt;0)*(DB176&lt;&gt;"")+(N(DC176)&gt;0)*(DF176&lt;&gt;"")+(N(DG176)&gt;0)*(DJ176&lt;&gt;"")+(N(DS176)&gt;0)*(DV176&lt;&gt;"")+(N(DW176)&gt;0)*(DZ176&lt;&gt;"")+(N(EA176)&gt;0)*(ED176&lt;&gt;"")+(N(EE176)&gt;0)*(EH176&lt;&gt;"")+(N(EI176)&gt;0)*(EL176&lt;&gt;"")+(N(EM176)&gt;0)*(EP176&lt;&gt;"")+(N(EQ176)&gt;0)*(ET176&lt;&gt;"")+(N(EU176)&gt;0)*(EX176&lt;&gt;"")+(N(#REF!)&gt;0)*(#REF!&lt;&gt;"")+(N(#REF!)&gt;0)*(#REF!&lt;&gt;"")+(N(FJ176)&gt;0)*(FM176&lt;&gt;"")+(N(FN176)&gt;0)*(FQ176&lt;&gt;"")+(N(#REF!)&gt;0)*(#REF!&lt;&gt;"")+(N(#REF!)&gt;0)*(#REF!&lt;&gt;"")+(N(HF176)&gt;0)*(HI176&lt;&gt;"")+(N(#REF!)&gt;0)*(#REF!&lt;&gt;"")+(N(HJ176)&gt;0)*(HM176&lt;&gt;"")+(N(HN176)&gt;0)*(HQ176&lt;&gt;"")+(N(HZ176)&gt;0)*(IC176&lt;&gt;"")+(N(ID176)&gt;0)*(IG176&lt;&gt;"")+(N(IH176)&gt;0)*(IK176&lt;&gt;"")+(N(IL176)&gt;0)*(IO176&lt;&gt;"")+(N(IX176)&gt;0)*(JA176&lt;&gt;"")+(N(JB176)&gt;0)*(JE176&lt;&gt;"")+(N(JF176)&gt;0)*(JH176&lt;&gt;"")+(N(JI176)&gt;0)*(JK176&lt;&gt;"")+(N(JL176)&gt;0)*(JN176&lt;&gt;"")+(N(JO176)&gt;0)*(JQ176&lt;&gt;""))</f>
        <v>#REF!</v>
      </c>
      <c r="LF176" s="141">
        <f t="shared" si="76"/>
        <v>0</v>
      </c>
      <c r="LG176" s="141">
        <f t="shared" si="70"/>
        <v>0</v>
      </c>
    </row>
    <row r="177" spans="2:319" ht="38.25" customHeight="1" x14ac:dyDescent="0.55000000000000004">
      <c r="B177" s="314" t="s">
        <v>466</v>
      </c>
      <c r="C177" s="218"/>
      <c r="D177" s="218"/>
      <c r="E177" s="218"/>
      <c r="F177" s="218"/>
      <c r="G177" s="218"/>
      <c r="H177" s="218"/>
      <c r="I177" s="162" cm="1">
        <f t="array" ref="I177">SUMPRODUCT(($AI$2:$KV$2&lt;&gt;"")*($AI177:$KV177&lt;&gt;""))</f>
        <v>1</v>
      </c>
      <c r="J177" s="142">
        <f t="shared" si="71"/>
        <v>0</v>
      </c>
      <c r="K177" s="142">
        <f t="shared" si="72"/>
        <v>0</v>
      </c>
      <c r="L177" s="268">
        <f t="shared" si="77"/>
        <v>7000</v>
      </c>
      <c r="M177" s="164">
        <f t="shared" si="73"/>
        <v>784</v>
      </c>
      <c r="N177" s="397"/>
      <c r="O177" s="165">
        <f t="shared" si="74"/>
        <v>0</v>
      </c>
      <c r="P177" s="165"/>
      <c r="Q177" s="165"/>
      <c r="R177" s="165">
        <f>(IFERROR(AM177/AN177,0)+IFERROR(AU177/AV177,0)+IFERROR(AY177/AZ177,0)+IFERROR(BC177/BD177,0)+IFERROR(BG177/BH177,0)+IFERROR(BK177/BL177,0)+IFERROR(BO177/BP177,0)+IFERROR(BS177/BT177,0)+IFERROR(BW177/BX177,0)+IFERROR(CA177/CB177,0)+IFERROR(CE177/CF177,0)+IFERROR(CI177/CJ177,0)+IFERROR(CM177/CN177,0)+IFERROR(CQ177/CR177,0)+IFERROR(CU177/CV177,0)+IFERROR(CY177/CZ177,0)+IFERROR(DC177/DD177,0)+IFERROR(DG177/DH177,0)+IFERROR(DS177/DT177,0)+IFERROR(DW177/DX177,0)+IFERROR(EA177/EB177,0)+IFERROR(EE177/EF177,0)+IFERROR(EI177/EJ177,0)+IFERROR(EM177/EN177,0)+IFERROR(EQ177/ER177,0)+IFERROR(EU177/EV177,0)+IFERROR(#REF!/#REF!,0)+IFERROR(#REF!/#REF!,0)+IFERROR(FJ177/FK177,0)+IFERROR(FN177/FO177,0)+IFERROR(#REF!/#REF!,0)+IFERROR(#REF!/#REF!,0)+IFERROR(HF177/HG177,0)+IFERROR(#REF!/#REF!,0)+IFERROR(HJ177/HK177,0)+IFERROR(HN177/HO177,0)+IFERROR(HZ177/IA177,0)+IFERROR(ID177/IE177,0)+IFERROR(IH177/II177,0)+IFERROR(IL177/IM177,0)+IFERROR(IX177/IY177,0)+IFERROR(JB177/JC177,0)+IFERROR(JF177/JG177,0)+IFERROR(JI177/JJ177,0)+IFERROR(JL177/JM177,0)+IFERROR(JO177/JP177,0))*L177*(C177+D177+E177+I177)</f>
        <v>0</v>
      </c>
      <c r="S177" s="165"/>
      <c r="T177" s="165">
        <f t="shared" si="63"/>
        <v>0</v>
      </c>
      <c r="U177" s="165"/>
      <c r="V177" s="165"/>
      <c r="W177" s="165"/>
      <c r="X177" s="165">
        <f>(IFERROR(FF177/FG177,0)+IFERROR(FC177/FD177,0)+IFERROR(#REF!/#REF!,0)+IFERROR(KP177/KQ177,0))*L177*(C177+D177+E177+I177)</f>
        <v>0</v>
      </c>
      <c r="Y177" s="484"/>
      <c r="Z177" s="484"/>
      <c r="AA177" s="484"/>
      <c r="AB177" s="484"/>
      <c r="AC177" s="150">
        <f t="shared" si="75"/>
        <v>0</v>
      </c>
      <c r="AD177" s="150"/>
      <c r="AE177" s="150">
        <f t="shared" si="64"/>
        <v>0</v>
      </c>
      <c r="AF177" s="161"/>
      <c r="AG177" s="143"/>
      <c r="AH177" s="154"/>
      <c r="AI177" s="342">
        <v>28</v>
      </c>
      <c r="AJ177" s="342">
        <v>250</v>
      </c>
      <c r="AK177" s="342"/>
      <c r="AL177" s="343" t="s">
        <v>545</v>
      </c>
      <c r="AM177" s="140"/>
      <c r="AN177" s="154"/>
      <c r="AO177" s="154"/>
      <c r="AP177" s="220"/>
      <c r="AQ177" s="145"/>
      <c r="AR177" s="154"/>
      <c r="AS177" s="154"/>
      <c r="AT177" s="220"/>
      <c r="AU177" s="140"/>
      <c r="AV177" s="277"/>
      <c r="AW177" s="277"/>
      <c r="AX177" s="277"/>
      <c r="AY177" s="140"/>
      <c r="AZ177" s="277"/>
      <c r="BA177" s="277"/>
      <c r="BB177" s="277"/>
      <c r="BC177" s="140"/>
      <c r="BD177" s="277"/>
      <c r="BE177" s="277"/>
      <c r="BF177" s="277"/>
      <c r="BG177" s="140"/>
      <c r="BH177" s="277"/>
      <c r="BI177" s="277"/>
      <c r="BJ177" s="277"/>
      <c r="BK177" s="140"/>
      <c r="BL177" s="277"/>
      <c r="BM177" s="277"/>
      <c r="BN177" s="277"/>
      <c r="BO177" s="140"/>
      <c r="BP177" s="277"/>
      <c r="BQ177" s="277"/>
      <c r="BR177" s="277"/>
      <c r="BS177" s="140"/>
      <c r="BT177" s="277"/>
      <c r="BU177" s="277"/>
      <c r="BV177" s="277"/>
      <c r="BW177" s="140"/>
      <c r="BX177" s="154"/>
      <c r="BY177" s="154"/>
      <c r="BZ177" s="220"/>
      <c r="CA177" s="140"/>
      <c r="CB177" s="154"/>
      <c r="CC177" s="154"/>
      <c r="CD177" s="220"/>
      <c r="CE177" s="140"/>
      <c r="CF177" s="271"/>
      <c r="CG177" s="271"/>
      <c r="CH177" s="271"/>
      <c r="CI177" s="140"/>
      <c r="CJ177" s="154"/>
      <c r="CK177" s="154"/>
      <c r="CL177" s="154"/>
      <c r="CM177" s="140"/>
      <c r="CN177" s="271"/>
      <c r="CO177" s="271"/>
      <c r="CP177" s="271"/>
      <c r="CQ177" s="140"/>
      <c r="CR177" s="154"/>
      <c r="CS177" s="154"/>
      <c r="CT177" s="154"/>
      <c r="CU177" s="140"/>
      <c r="CV177" s="154"/>
      <c r="CW177" s="154"/>
      <c r="CX177" s="220"/>
      <c r="CY177" s="140"/>
      <c r="CZ177" s="154"/>
      <c r="DA177" s="154"/>
      <c r="DB177" s="220"/>
      <c r="DC177" s="140"/>
      <c r="DD177" s="146"/>
      <c r="DE177" s="146"/>
      <c r="DF177" s="146"/>
      <c r="DG177" s="140"/>
      <c r="DH177" s="146"/>
      <c r="DI177" s="146"/>
      <c r="DJ177" s="146"/>
      <c r="DK177" s="146"/>
      <c r="DL177" s="146"/>
      <c r="DM177" s="146"/>
      <c r="DN177" s="146"/>
      <c r="DO177" s="146"/>
      <c r="DP177" s="146"/>
      <c r="DQ177" s="146"/>
      <c r="DR177" s="146"/>
      <c r="DS177" s="140"/>
      <c r="DT177" s="154"/>
      <c r="DU177" s="154"/>
      <c r="DV177" s="154"/>
      <c r="DW177" s="140"/>
      <c r="DX177" s="220"/>
      <c r="DY177" s="220"/>
      <c r="DZ177" s="220"/>
      <c r="EA177" s="140"/>
      <c r="EB177" s="220"/>
      <c r="EC177" s="220"/>
      <c r="ED177" s="220"/>
      <c r="EE177" s="140"/>
      <c r="EF177" s="154"/>
      <c r="EG177" s="154"/>
      <c r="EH177" s="154"/>
      <c r="EI177" s="140"/>
      <c r="EJ177" s="154"/>
      <c r="EK177" s="154"/>
      <c r="EL177" s="154"/>
      <c r="EM177" s="140"/>
      <c r="EN177" s="222"/>
      <c r="EO177" s="222"/>
      <c r="EP177" s="222"/>
      <c r="EQ177" s="140"/>
      <c r="ER177" s="222"/>
      <c r="ES177" s="222"/>
      <c r="ET177" s="222"/>
      <c r="EU177" s="140"/>
      <c r="EV177" s="222"/>
      <c r="EW177" s="222"/>
      <c r="EX177" s="222"/>
      <c r="EY177" s="344"/>
      <c r="EZ177" s="222"/>
      <c r="FA177" s="222"/>
      <c r="FB177" s="222"/>
      <c r="FC177" s="273"/>
      <c r="FD177" s="223"/>
      <c r="FE177" s="223"/>
      <c r="FF177" s="276"/>
      <c r="FG177" s="156"/>
      <c r="FH177" s="156"/>
      <c r="FI177" s="156"/>
      <c r="FJ177" s="140"/>
      <c r="FK177" s="277"/>
      <c r="FL177" s="277"/>
      <c r="FM177" s="277"/>
      <c r="FN177" s="140"/>
      <c r="FO177" s="277"/>
      <c r="FP177" s="277"/>
      <c r="FQ177" s="277"/>
      <c r="FR177" s="280"/>
      <c r="FS177" s="277"/>
      <c r="FT177" s="277"/>
      <c r="FU177" s="277"/>
      <c r="FV177" s="277"/>
      <c r="FW177" s="277"/>
      <c r="FX177" s="277"/>
      <c r="FY177" s="277"/>
      <c r="FZ177" s="277"/>
      <c r="GA177" s="277"/>
      <c r="GB177" s="277"/>
      <c r="GC177" s="277"/>
      <c r="GD177" s="277"/>
      <c r="GE177" s="277"/>
      <c r="GF177" s="277"/>
      <c r="GG177" s="277"/>
      <c r="GH177" s="277"/>
      <c r="GI177" s="277"/>
      <c r="GJ177" s="277"/>
      <c r="GK177" s="277"/>
      <c r="GL177" s="277"/>
      <c r="GM177" s="277"/>
      <c r="GN177" s="277"/>
      <c r="GO177" s="277"/>
      <c r="GP177" s="277"/>
      <c r="GQ177" s="277"/>
      <c r="GR177" s="277"/>
      <c r="GS177" s="277"/>
      <c r="GT177" s="277"/>
      <c r="GU177" s="277"/>
      <c r="GV177" s="277"/>
      <c r="GW177" s="277"/>
      <c r="GX177" s="277"/>
      <c r="GY177" s="277"/>
      <c r="GZ177" s="277"/>
      <c r="HA177" s="277"/>
      <c r="HB177" s="277"/>
      <c r="HC177" s="277"/>
      <c r="HD177" s="277"/>
      <c r="HE177" s="277"/>
      <c r="HF177" s="140"/>
      <c r="HG177" s="277"/>
      <c r="HH177" s="277"/>
      <c r="HI177" s="277"/>
      <c r="HJ177" s="140"/>
      <c r="HK177" s="277"/>
      <c r="HL177" s="277"/>
      <c r="HM177" s="277"/>
      <c r="HN177" s="140"/>
      <c r="HO177" s="277"/>
      <c r="HP177" s="277"/>
      <c r="HQ177" s="277"/>
      <c r="HR177" s="277"/>
      <c r="HS177" s="277"/>
      <c r="HT177" s="277"/>
      <c r="HU177" s="277"/>
      <c r="HV177" s="277"/>
      <c r="HW177" s="277"/>
      <c r="HX177" s="277"/>
      <c r="HY177" s="277"/>
      <c r="HZ177" s="140"/>
      <c r="IA177" s="277"/>
      <c r="IB177" s="277"/>
      <c r="IC177" s="277"/>
      <c r="ID177" s="140"/>
      <c r="IE177" s="277"/>
      <c r="IF177" s="277"/>
      <c r="IG177" s="277"/>
      <c r="IH177" s="140"/>
      <c r="II177" s="277"/>
      <c r="IJ177" s="277"/>
      <c r="IK177" s="277"/>
      <c r="IL177" s="140"/>
      <c r="IM177" s="277"/>
      <c r="IN177" s="277"/>
      <c r="IO177" s="277"/>
      <c r="IP177" s="277"/>
      <c r="IQ177" s="277"/>
      <c r="IR177" s="277"/>
      <c r="IS177" s="277"/>
      <c r="IT177" s="277"/>
      <c r="IU177" s="277"/>
      <c r="IV177" s="277"/>
      <c r="IW177" s="277"/>
      <c r="IX177" s="140"/>
      <c r="IY177" s="277"/>
      <c r="IZ177" s="277"/>
      <c r="JA177" s="277"/>
      <c r="JB177" s="140"/>
      <c r="JC177" s="277"/>
      <c r="JD177" s="277"/>
      <c r="JE177" s="277"/>
      <c r="JF177" s="140"/>
      <c r="JG177" s="277"/>
      <c r="JH177" s="277"/>
      <c r="JI177" s="140"/>
      <c r="JJ177" s="277"/>
      <c r="JK177" s="277"/>
      <c r="JL177" s="140"/>
      <c r="JM177" s="277"/>
      <c r="JN177" s="277"/>
      <c r="JO177" s="140"/>
      <c r="JP177" s="277"/>
      <c r="JQ177" s="277"/>
      <c r="JR177" s="277"/>
      <c r="JS177" s="277"/>
      <c r="JT177" s="277"/>
      <c r="JU177" s="277"/>
      <c r="JV177" s="277"/>
      <c r="JW177" s="277"/>
      <c r="JX177" s="277"/>
      <c r="JY177" s="277"/>
      <c r="JZ177" s="277"/>
      <c r="KA177" s="277"/>
      <c r="KB177" s="277"/>
      <c r="KC177" s="277"/>
      <c r="KD177" s="277"/>
      <c r="KE177" s="277"/>
      <c r="KF177" s="277"/>
      <c r="KG177" s="277"/>
      <c r="KH177" s="277"/>
      <c r="KI177" s="277"/>
      <c r="KJ177" s="277"/>
      <c r="KK177" s="277"/>
      <c r="KL177" s="277"/>
      <c r="KM177" s="277"/>
      <c r="KN177" s="277"/>
      <c r="KO177" s="277"/>
      <c r="KP177" s="274"/>
      <c r="KQ177" s="253"/>
      <c r="KR177" s="253"/>
      <c r="KY177" s="141">
        <f t="shared" si="65"/>
        <v>0</v>
      </c>
      <c r="KZ177" s="141">
        <f t="shared" si="66"/>
        <v>0</v>
      </c>
      <c r="LB177" s="141">
        <f t="shared" si="67"/>
        <v>1</v>
      </c>
      <c r="LC177" s="141">
        <f t="shared" si="68"/>
        <v>0</v>
      </c>
      <c r="LD177" s="141">
        <f t="shared" si="69"/>
        <v>0</v>
      </c>
      <c r="LE177" s="141" t="e">
        <f>((N(AU177)&gt;0)*(AX177&lt;&gt;"")+(N(AY177)&gt;0)*(BB177&lt;&gt;"")+(N(BC177)&gt;0)*(BF177&lt;&gt;"")+(N(BG177)&gt;0)*(BJ177&lt;&gt;"")+(N(BK177)&gt;0)*(BN177&lt;&gt;"")+(N(BO177)&gt;0)*(BR177&lt;&gt;"")+(N(BS177)&gt;0)*(BV177&lt;&gt;"")+(N(BW177)&gt;0)*(BZ177&lt;&gt;"")+(N(CA177)&gt;0)*(CD177&lt;&gt;"")+(N(CE177)&gt;0)*(CH177&lt;&gt;"")+(N(CI177)&gt;0)*(CL177&lt;&gt;"")+(N(CM177)&gt;0)*(CP177&lt;&gt;"")+(N(CQ177)&gt;0)*(CT177&lt;&gt;"")+(N(CU177)&gt;0)*(CX177&lt;&gt;"")+(N(CY177)&gt;0)*(DB177&lt;&gt;"")+(N(DC177)&gt;0)*(DF177&lt;&gt;"")+(N(DG177)&gt;0)*(DJ177&lt;&gt;"")+(N(DS177)&gt;0)*(DV177&lt;&gt;"")+(N(DW177)&gt;0)*(DZ177&lt;&gt;"")+(N(EA177)&gt;0)*(ED177&lt;&gt;"")+(N(EE177)&gt;0)*(EH177&lt;&gt;"")+(N(EI177)&gt;0)*(EL177&lt;&gt;"")+(N(EM177)&gt;0)*(EP177&lt;&gt;"")+(N(EQ177)&gt;0)*(ET177&lt;&gt;"")+(N(EU177)&gt;0)*(EX177&lt;&gt;"")+(N(#REF!)&gt;0)*(#REF!&lt;&gt;"")+(N(#REF!)&gt;0)*(#REF!&lt;&gt;"")+(N(FJ177)&gt;0)*(FM177&lt;&gt;"")+(N(FN177)&gt;0)*(FQ177&lt;&gt;"")+(N(#REF!)&gt;0)*(#REF!&lt;&gt;"")+(N(#REF!)&gt;0)*(#REF!&lt;&gt;"")+(N(HF177)&gt;0)*(HI177&lt;&gt;"")+(N(#REF!)&gt;0)*(#REF!&lt;&gt;"")+(N(HJ177)&gt;0)*(HM177&lt;&gt;"")+(N(HN177)&gt;0)*(HQ177&lt;&gt;"")+(N(HZ177)&gt;0)*(IC177&lt;&gt;"")+(N(ID177)&gt;0)*(IG177&lt;&gt;"")+(N(IH177)&gt;0)*(IK177&lt;&gt;"")+(N(IL177)&gt;0)*(IO177&lt;&gt;"")+(N(IX177)&gt;0)*(JA177&lt;&gt;"")+(N(JB177)&gt;0)*(JE177&lt;&gt;"")+(N(JF177)&gt;0)*(JH177&lt;&gt;"")+(N(JI177)&gt;0)*(JK177&lt;&gt;"")+(N(JL177)&gt;0)*(JN177&lt;&gt;"")+(N(JO177)&gt;0)*(JQ177&lt;&gt;""))</f>
        <v>#REF!</v>
      </c>
      <c r="LF177" s="141">
        <f t="shared" si="76"/>
        <v>0</v>
      </c>
      <c r="LG177" s="141">
        <f t="shared" si="70"/>
        <v>0</v>
      </c>
    </row>
    <row r="178" spans="2:319" ht="38.25" customHeight="1" x14ac:dyDescent="0.55000000000000004">
      <c r="B178" s="314" t="s">
        <v>467</v>
      </c>
      <c r="C178" s="218"/>
      <c r="D178" s="218"/>
      <c r="E178" s="218"/>
      <c r="F178" s="218"/>
      <c r="G178" s="218"/>
      <c r="H178" s="218"/>
      <c r="I178" s="162" cm="1">
        <f t="array" ref="I178">SUMPRODUCT(($AI$2:$KV$2&lt;&gt;"")*($AI178:$KV178&lt;&gt;""))</f>
        <v>1</v>
      </c>
      <c r="J178" s="142">
        <f t="shared" si="71"/>
        <v>0</v>
      </c>
      <c r="K178" s="142">
        <f t="shared" si="72"/>
        <v>0</v>
      </c>
      <c r="L178" s="268">
        <f t="shared" si="77"/>
        <v>7000</v>
      </c>
      <c r="M178" s="164">
        <f t="shared" si="73"/>
        <v>784</v>
      </c>
      <c r="N178" s="397"/>
      <c r="O178" s="165">
        <f t="shared" si="74"/>
        <v>0</v>
      </c>
      <c r="P178" s="165"/>
      <c r="Q178" s="165"/>
      <c r="R178" s="165">
        <f>(IFERROR(AM178/AN178,0)+IFERROR(AU178/AV178,0)+IFERROR(AY178/AZ178,0)+IFERROR(BC178/BD178,0)+IFERROR(BG178/BH178,0)+IFERROR(BK178/BL178,0)+IFERROR(BO178/BP178,0)+IFERROR(BS178/BT178,0)+IFERROR(BW178/BX178,0)+IFERROR(CA178/CB178,0)+IFERROR(CE178/CF178,0)+IFERROR(CI178/CJ178,0)+IFERROR(CM178/CN178,0)+IFERROR(CQ178/CR178,0)+IFERROR(CU178/CV178,0)+IFERROR(CY178/CZ178,0)+IFERROR(DC178/DD178,0)+IFERROR(DG178/DH178,0)+IFERROR(DS178/DT178,0)+IFERROR(DW178/DX178,0)+IFERROR(EA178/EB178,0)+IFERROR(EE178/EF178,0)+IFERROR(EI178/EJ178,0)+IFERROR(EM178/EN178,0)+IFERROR(EQ178/ER178,0)+IFERROR(EU178/EV178,0)+IFERROR(#REF!/#REF!,0)+IFERROR(#REF!/#REF!,0)+IFERROR(FJ178/FK178,0)+IFERROR(FN178/FO178,0)+IFERROR(#REF!/#REF!,0)+IFERROR(#REF!/#REF!,0)+IFERROR(HF178/HG178,0)+IFERROR(#REF!/#REF!,0)+IFERROR(HJ178/HK178,0)+IFERROR(HN178/HO178,0)+IFERROR(HZ178/IA178,0)+IFERROR(ID178/IE178,0)+IFERROR(IH178/II178,0)+IFERROR(IL178/IM178,0)+IFERROR(IX178/IY178,0)+IFERROR(JB178/JC178,0)+IFERROR(JF178/JG178,0)+IFERROR(JI178/JJ178,0)+IFERROR(JL178/JM178,0)+IFERROR(JO178/JP178,0))*L178*(C178+D178+E178+I178)</f>
        <v>0</v>
      </c>
      <c r="S178" s="165"/>
      <c r="T178" s="165">
        <f t="shared" si="63"/>
        <v>0</v>
      </c>
      <c r="U178" s="165"/>
      <c r="V178" s="165"/>
      <c r="W178" s="165"/>
      <c r="X178" s="165">
        <f>(IFERROR(FF178/FG178,0)+IFERROR(FC178/FD178,0)+IFERROR(#REF!/#REF!,0)+IFERROR(KP178/KQ178,0))*L178*(C178+D178+E178+I178)</f>
        <v>0</v>
      </c>
      <c r="Y178" s="484"/>
      <c r="Z178" s="484"/>
      <c r="AA178" s="484"/>
      <c r="AB178" s="484"/>
      <c r="AC178" s="150">
        <f t="shared" si="75"/>
        <v>0</v>
      </c>
      <c r="AD178" s="150"/>
      <c r="AE178" s="150">
        <f t="shared" si="64"/>
        <v>0</v>
      </c>
      <c r="AF178" s="161"/>
      <c r="AG178" s="143"/>
      <c r="AH178" s="154"/>
      <c r="AI178" s="342">
        <v>28</v>
      </c>
      <c r="AJ178" s="342">
        <v>250</v>
      </c>
      <c r="AK178" s="342"/>
      <c r="AL178" s="343" t="s">
        <v>545</v>
      </c>
      <c r="AM178" s="140"/>
      <c r="AN178" s="154"/>
      <c r="AO178" s="154"/>
      <c r="AP178" s="220"/>
      <c r="AQ178" s="145"/>
      <c r="AR178" s="154"/>
      <c r="AS178" s="154"/>
      <c r="AT178" s="220"/>
      <c r="AU178" s="140"/>
      <c r="AV178" s="277"/>
      <c r="AW178" s="277"/>
      <c r="AX178" s="277"/>
      <c r="AY178" s="140"/>
      <c r="AZ178" s="277"/>
      <c r="BA178" s="277"/>
      <c r="BB178" s="277"/>
      <c r="BC178" s="140"/>
      <c r="BD178" s="277"/>
      <c r="BE178" s="277"/>
      <c r="BF178" s="277"/>
      <c r="BG178" s="140"/>
      <c r="BH178" s="277"/>
      <c r="BI178" s="277"/>
      <c r="BJ178" s="277"/>
      <c r="BK178" s="140"/>
      <c r="BL178" s="277"/>
      <c r="BM178" s="277"/>
      <c r="BN178" s="277"/>
      <c r="BO178" s="140"/>
      <c r="BP178" s="277"/>
      <c r="BQ178" s="277"/>
      <c r="BR178" s="277"/>
      <c r="BS178" s="140"/>
      <c r="BT178" s="277"/>
      <c r="BU178" s="277"/>
      <c r="BV178" s="277"/>
      <c r="BW178" s="140"/>
      <c r="BX178" s="154"/>
      <c r="BY178" s="154"/>
      <c r="BZ178" s="220"/>
      <c r="CA178" s="140"/>
      <c r="CB178" s="154"/>
      <c r="CC178" s="154"/>
      <c r="CD178" s="220"/>
      <c r="CE178" s="140"/>
      <c r="CF178" s="271"/>
      <c r="CG178" s="271"/>
      <c r="CH178" s="271"/>
      <c r="CI178" s="140"/>
      <c r="CJ178" s="154"/>
      <c r="CK178" s="154"/>
      <c r="CL178" s="154"/>
      <c r="CM178" s="140"/>
      <c r="CN178" s="271"/>
      <c r="CO178" s="271"/>
      <c r="CP178" s="271"/>
      <c r="CQ178" s="140"/>
      <c r="CR178" s="154"/>
      <c r="CS178" s="154"/>
      <c r="CT178" s="154"/>
      <c r="CU178" s="140"/>
      <c r="CV178" s="154"/>
      <c r="CW178" s="154"/>
      <c r="CX178" s="220"/>
      <c r="CY178" s="140"/>
      <c r="CZ178" s="154"/>
      <c r="DA178" s="154"/>
      <c r="DB178" s="220"/>
      <c r="DC178" s="140"/>
      <c r="DD178" s="146"/>
      <c r="DE178" s="146"/>
      <c r="DF178" s="146"/>
      <c r="DG178" s="140"/>
      <c r="DH178" s="146"/>
      <c r="DI178" s="146"/>
      <c r="DJ178" s="146"/>
      <c r="DK178" s="146"/>
      <c r="DL178" s="146"/>
      <c r="DM178" s="146"/>
      <c r="DN178" s="146"/>
      <c r="DO178" s="146"/>
      <c r="DP178" s="146"/>
      <c r="DQ178" s="146"/>
      <c r="DR178" s="146"/>
      <c r="DS178" s="140"/>
      <c r="DT178" s="154"/>
      <c r="DU178" s="154"/>
      <c r="DV178" s="154"/>
      <c r="DW178" s="140"/>
      <c r="DX178" s="220"/>
      <c r="DY178" s="220"/>
      <c r="DZ178" s="220"/>
      <c r="EA178" s="140"/>
      <c r="EB178" s="220"/>
      <c r="EC178" s="220"/>
      <c r="ED178" s="220"/>
      <c r="EE178" s="140"/>
      <c r="EF178" s="154"/>
      <c r="EG178" s="154"/>
      <c r="EH178" s="154"/>
      <c r="EI178" s="140"/>
      <c r="EJ178" s="154"/>
      <c r="EK178" s="154"/>
      <c r="EL178" s="154"/>
      <c r="EM178" s="140"/>
      <c r="EN178" s="222"/>
      <c r="EO178" s="222"/>
      <c r="EP178" s="222"/>
      <c r="EQ178" s="140"/>
      <c r="ER178" s="222"/>
      <c r="ES178" s="222"/>
      <c r="ET178" s="222"/>
      <c r="EU178" s="140"/>
      <c r="EV178" s="222"/>
      <c r="EW178" s="222"/>
      <c r="EX178" s="222"/>
      <c r="EY178" s="344"/>
      <c r="EZ178" s="222"/>
      <c r="FA178" s="222"/>
      <c r="FB178" s="222"/>
      <c r="FC178" s="273"/>
      <c r="FD178" s="223"/>
      <c r="FE178" s="223"/>
      <c r="FF178" s="276"/>
      <c r="FG178" s="156"/>
      <c r="FH178" s="156"/>
      <c r="FI178" s="156"/>
      <c r="FJ178" s="140"/>
      <c r="FK178" s="277"/>
      <c r="FL178" s="277"/>
      <c r="FM178" s="277"/>
      <c r="FN178" s="140"/>
      <c r="FO178" s="277"/>
      <c r="FP178" s="277"/>
      <c r="FQ178" s="277"/>
      <c r="FR178" s="280"/>
      <c r="FS178" s="277"/>
      <c r="FT178" s="277"/>
      <c r="FU178" s="277"/>
      <c r="FV178" s="277"/>
      <c r="FW178" s="277"/>
      <c r="FX178" s="277"/>
      <c r="FY178" s="277"/>
      <c r="FZ178" s="277"/>
      <c r="GA178" s="277"/>
      <c r="GB178" s="277"/>
      <c r="GC178" s="277"/>
      <c r="GD178" s="277"/>
      <c r="GE178" s="277"/>
      <c r="GF178" s="277"/>
      <c r="GG178" s="277"/>
      <c r="GH178" s="277"/>
      <c r="GI178" s="277"/>
      <c r="GJ178" s="277"/>
      <c r="GK178" s="277"/>
      <c r="GL178" s="277"/>
      <c r="GM178" s="277"/>
      <c r="GN178" s="277"/>
      <c r="GO178" s="277"/>
      <c r="GP178" s="277"/>
      <c r="GQ178" s="277"/>
      <c r="GR178" s="277"/>
      <c r="GS178" s="277"/>
      <c r="GT178" s="277"/>
      <c r="GU178" s="277"/>
      <c r="GV178" s="277"/>
      <c r="GW178" s="277"/>
      <c r="GX178" s="277"/>
      <c r="GY178" s="277"/>
      <c r="GZ178" s="277"/>
      <c r="HA178" s="277"/>
      <c r="HB178" s="277"/>
      <c r="HC178" s="277"/>
      <c r="HD178" s="277"/>
      <c r="HE178" s="277"/>
      <c r="HF178" s="140"/>
      <c r="HG178" s="277"/>
      <c r="HH178" s="277"/>
      <c r="HI178" s="277"/>
      <c r="HJ178" s="140"/>
      <c r="HK178" s="277"/>
      <c r="HL178" s="277"/>
      <c r="HM178" s="277"/>
      <c r="HN178" s="140"/>
      <c r="HO178" s="277"/>
      <c r="HP178" s="277"/>
      <c r="HQ178" s="277"/>
      <c r="HR178" s="277"/>
      <c r="HS178" s="277"/>
      <c r="HT178" s="277"/>
      <c r="HU178" s="277"/>
      <c r="HV178" s="277"/>
      <c r="HW178" s="277"/>
      <c r="HX178" s="277"/>
      <c r="HY178" s="277"/>
      <c r="HZ178" s="140"/>
      <c r="IA178" s="277"/>
      <c r="IB178" s="277"/>
      <c r="IC178" s="277"/>
      <c r="ID178" s="140"/>
      <c r="IE178" s="277"/>
      <c r="IF178" s="277"/>
      <c r="IG178" s="277"/>
      <c r="IH178" s="140"/>
      <c r="II178" s="277"/>
      <c r="IJ178" s="277"/>
      <c r="IK178" s="277"/>
      <c r="IL178" s="140"/>
      <c r="IM178" s="277"/>
      <c r="IN178" s="277"/>
      <c r="IO178" s="277"/>
      <c r="IP178" s="277"/>
      <c r="IQ178" s="277"/>
      <c r="IR178" s="277"/>
      <c r="IS178" s="277"/>
      <c r="IT178" s="277"/>
      <c r="IU178" s="277"/>
      <c r="IV178" s="277"/>
      <c r="IW178" s="277"/>
      <c r="IX178" s="140"/>
      <c r="IY178" s="277"/>
      <c r="IZ178" s="277"/>
      <c r="JA178" s="277"/>
      <c r="JB178" s="140"/>
      <c r="JC178" s="277"/>
      <c r="JD178" s="277"/>
      <c r="JE178" s="277"/>
      <c r="JF178" s="140"/>
      <c r="JG178" s="277"/>
      <c r="JH178" s="277"/>
      <c r="JI178" s="140"/>
      <c r="JJ178" s="277"/>
      <c r="JK178" s="277"/>
      <c r="JL178" s="140"/>
      <c r="JM178" s="277"/>
      <c r="JN178" s="277"/>
      <c r="JO178" s="140"/>
      <c r="JP178" s="277"/>
      <c r="JQ178" s="277"/>
      <c r="JR178" s="277"/>
      <c r="JS178" s="277"/>
      <c r="JT178" s="277"/>
      <c r="JU178" s="277"/>
      <c r="JV178" s="277"/>
      <c r="JW178" s="277"/>
      <c r="JX178" s="277"/>
      <c r="JY178" s="277"/>
      <c r="JZ178" s="277"/>
      <c r="KA178" s="277"/>
      <c r="KB178" s="277"/>
      <c r="KC178" s="277"/>
      <c r="KD178" s="277"/>
      <c r="KE178" s="277"/>
      <c r="KF178" s="277"/>
      <c r="KG178" s="277"/>
      <c r="KH178" s="277"/>
      <c r="KI178" s="277"/>
      <c r="KJ178" s="277"/>
      <c r="KK178" s="277"/>
      <c r="KL178" s="277"/>
      <c r="KM178" s="277"/>
      <c r="KN178" s="277"/>
      <c r="KO178" s="277"/>
      <c r="KP178" s="274"/>
      <c r="KQ178" s="253"/>
      <c r="KR178" s="253"/>
      <c r="KY178" s="141">
        <f t="shared" si="65"/>
        <v>0</v>
      </c>
      <c r="KZ178" s="141">
        <f t="shared" si="66"/>
        <v>0</v>
      </c>
      <c r="LB178" s="141">
        <f t="shared" si="67"/>
        <v>1</v>
      </c>
      <c r="LC178" s="141">
        <f t="shared" si="68"/>
        <v>0</v>
      </c>
      <c r="LD178" s="141">
        <f t="shared" si="69"/>
        <v>0</v>
      </c>
      <c r="LE178" s="141" t="e">
        <f>((N(AU178)&gt;0)*(AX178&lt;&gt;"")+(N(AY178)&gt;0)*(BB178&lt;&gt;"")+(N(BC178)&gt;0)*(BF178&lt;&gt;"")+(N(BG178)&gt;0)*(BJ178&lt;&gt;"")+(N(BK178)&gt;0)*(BN178&lt;&gt;"")+(N(BO178)&gt;0)*(BR178&lt;&gt;"")+(N(BS178)&gt;0)*(BV178&lt;&gt;"")+(N(BW178)&gt;0)*(BZ178&lt;&gt;"")+(N(CA178)&gt;0)*(CD178&lt;&gt;"")+(N(CE178)&gt;0)*(CH178&lt;&gt;"")+(N(CI178)&gt;0)*(CL178&lt;&gt;"")+(N(CM178)&gt;0)*(CP178&lt;&gt;"")+(N(CQ178)&gt;0)*(CT178&lt;&gt;"")+(N(CU178)&gt;0)*(CX178&lt;&gt;"")+(N(CY178)&gt;0)*(DB178&lt;&gt;"")+(N(DC178)&gt;0)*(DF178&lt;&gt;"")+(N(DG178)&gt;0)*(DJ178&lt;&gt;"")+(N(DS178)&gt;0)*(DV178&lt;&gt;"")+(N(DW178)&gt;0)*(DZ178&lt;&gt;"")+(N(EA178)&gt;0)*(ED178&lt;&gt;"")+(N(EE178)&gt;0)*(EH178&lt;&gt;"")+(N(EI178)&gt;0)*(EL178&lt;&gt;"")+(N(EM178)&gt;0)*(EP178&lt;&gt;"")+(N(EQ178)&gt;0)*(ET178&lt;&gt;"")+(N(EU178)&gt;0)*(EX178&lt;&gt;"")+(N(#REF!)&gt;0)*(#REF!&lt;&gt;"")+(N(#REF!)&gt;0)*(#REF!&lt;&gt;"")+(N(FJ178)&gt;0)*(FM178&lt;&gt;"")+(N(FN178)&gt;0)*(FQ178&lt;&gt;"")+(N(#REF!)&gt;0)*(#REF!&lt;&gt;"")+(N(#REF!)&gt;0)*(#REF!&lt;&gt;"")+(N(HF178)&gt;0)*(HI178&lt;&gt;"")+(N(#REF!)&gt;0)*(#REF!&lt;&gt;"")+(N(HJ178)&gt;0)*(HM178&lt;&gt;"")+(N(HN178)&gt;0)*(HQ178&lt;&gt;"")+(N(HZ178)&gt;0)*(IC178&lt;&gt;"")+(N(ID178)&gt;0)*(IG178&lt;&gt;"")+(N(IH178)&gt;0)*(IK178&lt;&gt;"")+(N(IL178)&gt;0)*(IO178&lt;&gt;"")+(N(IX178)&gt;0)*(JA178&lt;&gt;"")+(N(JB178)&gt;0)*(JE178&lt;&gt;"")+(N(JF178)&gt;0)*(JH178&lt;&gt;"")+(N(JI178)&gt;0)*(JK178&lt;&gt;"")+(N(JL178)&gt;0)*(JN178&lt;&gt;"")+(N(JO178)&gt;0)*(JQ178&lt;&gt;""))</f>
        <v>#REF!</v>
      </c>
      <c r="LF178" s="141">
        <f t="shared" si="76"/>
        <v>0</v>
      </c>
      <c r="LG178" s="141">
        <f t="shared" si="70"/>
        <v>0</v>
      </c>
    </row>
    <row r="179" spans="2:319" ht="38.25" customHeight="1" x14ac:dyDescent="0.55000000000000004">
      <c r="B179" s="314" t="s">
        <v>473</v>
      </c>
      <c r="C179" s="218"/>
      <c r="D179" s="218"/>
      <c r="E179" s="218"/>
      <c r="F179" s="218"/>
      <c r="G179" s="218"/>
      <c r="H179" s="218"/>
      <c r="I179" s="162" cm="1">
        <f t="array" ref="I179">SUMPRODUCT(($AI$2:$KV$2&lt;&gt;"")*($AI179:$KV179&lt;&gt;""))</f>
        <v>0</v>
      </c>
      <c r="J179" s="142">
        <f t="shared" si="71"/>
        <v>0</v>
      </c>
      <c r="K179" s="142">
        <f t="shared" si="72"/>
        <v>0</v>
      </c>
      <c r="L179" s="268">
        <f t="shared" si="77"/>
        <v>7000</v>
      </c>
      <c r="M179" s="164">
        <f t="shared" si="73"/>
        <v>0</v>
      </c>
      <c r="N179" s="397"/>
      <c r="O179" s="165">
        <f t="shared" si="74"/>
        <v>0</v>
      </c>
      <c r="P179" s="165"/>
      <c r="Q179" s="165"/>
      <c r="R179" s="165">
        <f>(IFERROR(AM179/AN179,0)+IFERROR(AU179/AV179,0)+IFERROR(AY179/AZ179,0)+IFERROR(BC179/BD179,0)+IFERROR(BG179/BH179,0)+IFERROR(BK179/BL179,0)+IFERROR(BO179/BP179,0)+IFERROR(BS179/BT179,0)+IFERROR(BW179/BX179,0)+IFERROR(CA179/CB179,0)+IFERROR(CE179/CF179,0)+IFERROR(CI179/CJ179,0)+IFERROR(CM179/CN179,0)+IFERROR(CQ179/CR179,0)+IFERROR(CU179/CV179,0)+IFERROR(CY179/CZ179,0)+IFERROR(DC179/DD179,0)+IFERROR(DG179/DH179,0)+IFERROR(DS179/DT179,0)+IFERROR(DW179/DX179,0)+IFERROR(EA179/EB179,0)+IFERROR(EE179/EF179,0)+IFERROR(EI179/EJ179,0)+IFERROR(EM179/EN179,0)+IFERROR(EQ179/ER179,0)+IFERROR(EU179/EV179,0)+IFERROR(#REF!/#REF!,0)+IFERROR(#REF!/#REF!,0)+IFERROR(FJ179/FK179,0)+IFERROR(FN179/FO179,0)+IFERROR(#REF!/#REF!,0)+IFERROR(#REF!/#REF!,0)+IFERROR(HF179/HG179,0)+IFERROR(#REF!/#REF!,0)+IFERROR(HJ179/HK179,0)+IFERROR(HN179/HO179,0)+IFERROR(HZ179/IA179,0)+IFERROR(ID179/IE179,0)+IFERROR(IH179/II179,0)+IFERROR(IL179/IM179,0)+IFERROR(IX179/IY179,0)+IFERROR(JB179/JC179,0)+IFERROR(JF179/JG179,0)+IFERROR(JI179/JJ179,0)+IFERROR(JL179/JM179,0)+IFERROR(JO179/JP179,0))*L179*(C179+D179+E179+I179)</f>
        <v>0</v>
      </c>
      <c r="S179" s="165"/>
      <c r="T179" s="165">
        <f t="shared" si="63"/>
        <v>0</v>
      </c>
      <c r="U179" s="165"/>
      <c r="V179" s="165"/>
      <c r="W179" s="165"/>
      <c r="X179" s="165">
        <f>(IFERROR(FF179/FG179,0)+IFERROR(FC179/FD179,0)+IFERROR(#REF!/#REF!,0)+IFERROR(KP179/KQ179,0))*L179*(C179+D179+E179+I179)</f>
        <v>0</v>
      </c>
      <c r="Y179" s="484"/>
      <c r="Z179" s="484"/>
      <c r="AA179" s="484"/>
      <c r="AB179" s="484"/>
      <c r="AC179" s="150">
        <f t="shared" si="75"/>
        <v>0</v>
      </c>
      <c r="AD179" s="150"/>
      <c r="AE179" s="150">
        <f t="shared" si="64"/>
        <v>0</v>
      </c>
      <c r="AF179" s="161"/>
      <c r="AG179" s="143"/>
      <c r="AH179" s="154"/>
      <c r="AI179" s="144"/>
      <c r="AJ179" s="154"/>
      <c r="AK179" s="154"/>
      <c r="AL179" s="220"/>
      <c r="AM179" s="140"/>
      <c r="AN179" s="154"/>
      <c r="AO179" s="154"/>
      <c r="AP179" s="220"/>
      <c r="AQ179" s="145"/>
      <c r="AR179" s="154"/>
      <c r="AS179" s="154"/>
      <c r="AT179" s="220"/>
      <c r="AU179" s="140"/>
      <c r="AV179" s="277"/>
      <c r="AW179" s="277"/>
      <c r="AX179" s="277"/>
      <c r="AY179" s="140"/>
      <c r="AZ179" s="277"/>
      <c r="BA179" s="277"/>
      <c r="BB179" s="277"/>
      <c r="BC179" s="140"/>
      <c r="BD179" s="277"/>
      <c r="BE179" s="277"/>
      <c r="BF179" s="277"/>
      <c r="BG179" s="140"/>
      <c r="BH179" s="277"/>
      <c r="BI179" s="277"/>
      <c r="BJ179" s="277"/>
      <c r="BK179" s="140"/>
      <c r="BL179" s="277"/>
      <c r="BM179" s="277"/>
      <c r="BN179" s="277"/>
      <c r="BO179" s="140"/>
      <c r="BP179" s="277"/>
      <c r="BQ179" s="277"/>
      <c r="BR179" s="277"/>
      <c r="BS179" s="140"/>
      <c r="BT179" s="277"/>
      <c r="BU179" s="277"/>
      <c r="BV179" s="277"/>
      <c r="BW179" s="140"/>
      <c r="BX179" s="154"/>
      <c r="BY179" s="154"/>
      <c r="BZ179" s="220"/>
      <c r="CA179" s="140"/>
      <c r="CB179" s="154"/>
      <c r="CC179" s="154"/>
      <c r="CD179" s="220"/>
      <c r="CE179" s="140"/>
      <c r="CF179" s="271"/>
      <c r="CG179" s="271"/>
      <c r="CH179" s="271"/>
      <c r="CI179" s="140"/>
      <c r="CJ179" s="154"/>
      <c r="CK179" s="154"/>
      <c r="CL179" s="154"/>
      <c r="CM179" s="140"/>
      <c r="CN179" s="271"/>
      <c r="CO179" s="271"/>
      <c r="CP179" s="271"/>
      <c r="CQ179" s="140"/>
      <c r="CR179" s="154"/>
      <c r="CS179" s="154"/>
      <c r="CT179" s="154"/>
      <c r="CU179" s="140"/>
      <c r="CV179" s="154"/>
      <c r="CW179" s="154"/>
      <c r="CX179" s="220"/>
      <c r="CY179" s="140"/>
      <c r="CZ179" s="154"/>
      <c r="DA179" s="154"/>
      <c r="DB179" s="220"/>
      <c r="DC179" s="140"/>
      <c r="DD179" s="146"/>
      <c r="DE179" s="146"/>
      <c r="DF179" s="146"/>
      <c r="DG179" s="140"/>
      <c r="DH179" s="146"/>
      <c r="DI179" s="146"/>
      <c r="DJ179" s="146"/>
      <c r="DK179" s="146"/>
      <c r="DL179" s="146"/>
      <c r="DM179" s="146"/>
      <c r="DN179" s="146"/>
      <c r="DO179" s="146"/>
      <c r="DP179" s="146"/>
      <c r="DQ179" s="146"/>
      <c r="DR179" s="146"/>
      <c r="DS179" s="140"/>
      <c r="DT179" s="154"/>
      <c r="DU179" s="154"/>
      <c r="DV179" s="154"/>
      <c r="DW179" s="140"/>
      <c r="DX179" s="220"/>
      <c r="DY179" s="220"/>
      <c r="DZ179" s="220"/>
      <c r="EA179" s="140"/>
      <c r="EB179" s="220"/>
      <c r="EC179" s="220"/>
      <c r="ED179" s="220"/>
      <c r="EE179" s="140"/>
      <c r="EF179" s="154"/>
      <c r="EG179" s="154"/>
      <c r="EH179" s="154"/>
      <c r="EI179" s="140"/>
      <c r="EJ179" s="154"/>
      <c r="EK179" s="154"/>
      <c r="EL179" s="154"/>
      <c r="EM179" s="140"/>
      <c r="EN179" s="222"/>
      <c r="EO179" s="222"/>
      <c r="EP179" s="222"/>
      <c r="EQ179" s="140"/>
      <c r="ER179" s="222"/>
      <c r="ES179" s="222"/>
      <c r="ET179" s="222"/>
      <c r="EU179" s="140"/>
      <c r="EV179" s="222"/>
      <c r="EW179" s="222"/>
      <c r="EX179" s="222"/>
      <c r="EY179" s="344"/>
      <c r="EZ179" s="222"/>
      <c r="FA179" s="222"/>
      <c r="FB179" s="222"/>
      <c r="FC179" s="273"/>
      <c r="FD179" s="223"/>
      <c r="FE179" s="223"/>
      <c r="FF179" s="276"/>
      <c r="FG179" s="156"/>
      <c r="FH179" s="156"/>
      <c r="FI179" s="156"/>
      <c r="FJ179" s="140"/>
      <c r="FK179" s="277"/>
      <c r="FL179" s="277"/>
      <c r="FM179" s="277"/>
      <c r="FN179" s="140"/>
      <c r="FO179" s="277"/>
      <c r="FP179" s="277"/>
      <c r="FQ179" s="277"/>
      <c r="FR179" s="280"/>
      <c r="FS179" s="277"/>
      <c r="FT179" s="277"/>
      <c r="FU179" s="277"/>
      <c r="FV179" s="277"/>
      <c r="FW179" s="277"/>
      <c r="FX179" s="277"/>
      <c r="FY179" s="277"/>
      <c r="FZ179" s="277"/>
      <c r="GA179" s="277"/>
      <c r="GB179" s="277"/>
      <c r="GC179" s="277"/>
      <c r="GD179" s="277"/>
      <c r="GE179" s="277"/>
      <c r="GF179" s="277"/>
      <c r="GG179" s="277"/>
      <c r="GH179" s="277"/>
      <c r="GI179" s="277"/>
      <c r="GJ179" s="277"/>
      <c r="GK179" s="277"/>
      <c r="GL179" s="277"/>
      <c r="GM179" s="277"/>
      <c r="GN179" s="277"/>
      <c r="GO179" s="277"/>
      <c r="GP179" s="277"/>
      <c r="GQ179" s="277"/>
      <c r="GR179" s="277"/>
      <c r="GS179" s="277"/>
      <c r="GT179" s="277"/>
      <c r="GU179" s="277"/>
      <c r="GV179" s="277"/>
      <c r="GW179" s="277"/>
      <c r="GX179" s="277"/>
      <c r="GY179" s="277"/>
      <c r="GZ179" s="277"/>
      <c r="HA179" s="277"/>
      <c r="HB179" s="277"/>
      <c r="HC179" s="277"/>
      <c r="HD179" s="277"/>
      <c r="HE179" s="277"/>
      <c r="HF179" s="140"/>
      <c r="HG179" s="277"/>
      <c r="HH179" s="277"/>
      <c r="HI179" s="277"/>
      <c r="HJ179" s="140"/>
      <c r="HK179" s="277"/>
      <c r="HL179" s="277"/>
      <c r="HM179" s="277"/>
      <c r="HN179" s="140"/>
      <c r="HO179" s="277"/>
      <c r="HP179" s="277"/>
      <c r="HQ179" s="277"/>
      <c r="HR179" s="277"/>
      <c r="HS179" s="277"/>
      <c r="HT179" s="277"/>
      <c r="HU179" s="277"/>
      <c r="HV179" s="277"/>
      <c r="HW179" s="277"/>
      <c r="HX179" s="277"/>
      <c r="HY179" s="277"/>
      <c r="HZ179" s="140"/>
      <c r="IA179" s="277"/>
      <c r="IB179" s="277"/>
      <c r="IC179" s="277"/>
      <c r="ID179" s="140"/>
      <c r="IE179" s="277"/>
      <c r="IF179" s="277"/>
      <c r="IG179" s="277"/>
      <c r="IH179" s="140"/>
      <c r="II179" s="277"/>
      <c r="IJ179" s="277"/>
      <c r="IK179" s="277"/>
      <c r="IL179" s="140"/>
      <c r="IM179" s="277"/>
      <c r="IN179" s="277"/>
      <c r="IO179" s="277"/>
      <c r="IP179" s="277"/>
      <c r="IQ179" s="277"/>
      <c r="IR179" s="277"/>
      <c r="IS179" s="277"/>
      <c r="IT179" s="277"/>
      <c r="IU179" s="277"/>
      <c r="IV179" s="277"/>
      <c r="IW179" s="277"/>
      <c r="IX179" s="140"/>
      <c r="IY179" s="277"/>
      <c r="IZ179" s="277"/>
      <c r="JA179" s="277"/>
      <c r="JB179" s="140"/>
      <c r="JC179" s="277"/>
      <c r="JD179" s="277"/>
      <c r="JE179" s="277"/>
      <c r="JF179" s="140"/>
      <c r="JG179" s="277"/>
      <c r="JH179" s="277"/>
      <c r="JI179" s="140"/>
      <c r="JJ179" s="277"/>
      <c r="JK179" s="277"/>
      <c r="JL179" s="140"/>
      <c r="JM179" s="277"/>
      <c r="JN179" s="277"/>
      <c r="JO179" s="140"/>
      <c r="JP179" s="277"/>
      <c r="JQ179" s="277"/>
      <c r="JR179" s="277"/>
      <c r="JS179" s="277"/>
      <c r="JT179" s="277"/>
      <c r="JU179" s="277"/>
      <c r="JV179" s="277"/>
      <c r="JW179" s="277"/>
      <c r="JX179" s="277"/>
      <c r="JY179" s="277"/>
      <c r="JZ179" s="277"/>
      <c r="KA179" s="277"/>
      <c r="KB179" s="277"/>
      <c r="KC179" s="277"/>
      <c r="KD179" s="277"/>
      <c r="KE179" s="277"/>
      <c r="KF179" s="277"/>
      <c r="KG179" s="277"/>
      <c r="KH179" s="277"/>
      <c r="KI179" s="277"/>
      <c r="KJ179" s="277"/>
      <c r="KK179" s="277"/>
      <c r="KL179" s="277"/>
      <c r="KM179" s="277"/>
      <c r="KN179" s="277"/>
      <c r="KO179" s="277"/>
      <c r="KP179" s="274"/>
      <c r="KQ179" s="253"/>
      <c r="KR179" s="253"/>
      <c r="KY179" s="141">
        <f t="shared" si="65"/>
        <v>0</v>
      </c>
      <c r="KZ179" s="141">
        <f t="shared" si="66"/>
        <v>0</v>
      </c>
      <c r="LB179" s="141">
        <f t="shared" si="67"/>
        <v>0</v>
      </c>
      <c r="LC179" s="141">
        <f t="shared" si="68"/>
        <v>0</v>
      </c>
      <c r="LD179" s="141">
        <f t="shared" si="69"/>
        <v>0</v>
      </c>
      <c r="LE179" s="141" t="e">
        <f>((N(AU179)&gt;0)*(AX179&lt;&gt;"")+(N(AY179)&gt;0)*(BB179&lt;&gt;"")+(N(BC179)&gt;0)*(BF179&lt;&gt;"")+(N(BG179)&gt;0)*(BJ179&lt;&gt;"")+(N(BK179)&gt;0)*(BN179&lt;&gt;"")+(N(BO179)&gt;0)*(BR179&lt;&gt;"")+(N(BS179)&gt;0)*(BV179&lt;&gt;"")+(N(BW179)&gt;0)*(BZ179&lt;&gt;"")+(N(CA179)&gt;0)*(CD179&lt;&gt;"")+(N(CE179)&gt;0)*(CH179&lt;&gt;"")+(N(CI179)&gt;0)*(CL179&lt;&gt;"")+(N(CM179)&gt;0)*(CP179&lt;&gt;"")+(N(CQ179)&gt;0)*(CT179&lt;&gt;"")+(N(CU179)&gt;0)*(CX179&lt;&gt;"")+(N(CY179)&gt;0)*(DB179&lt;&gt;"")+(N(DC179)&gt;0)*(DF179&lt;&gt;"")+(N(DG179)&gt;0)*(DJ179&lt;&gt;"")+(N(DS179)&gt;0)*(DV179&lt;&gt;"")+(N(DW179)&gt;0)*(DZ179&lt;&gt;"")+(N(EA179)&gt;0)*(ED179&lt;&gt;"")+(N(EE179)&gt;0)*(EH179&lt;&gt;"")+(N(EI179)&gt;0)*(EL179&lt;&gt;"")+(N(EM179)&gt;0)*(EP179&lt;&gt;"")+(N(EQ179)&gt;0)*(ET179&lt;&gt;"")+(N(EU179)&gt;0)*(EX179&lt;&gt;"")+(N(#REF!)&gt;0)*(#REF!&lt;&gt;"")+(N(#REF!)&gt;0)*(#REF!&lt;&gt;"")+(N(FJ179)&gt;0)*(FM179&lt;&gt;"")+(N(FN179)&gt;0)*(FQ179&lt;&gt;"")+(N(#REF!)&gt;0)*(#REF!&lt;&gt;"")+(N(#REF!)&gt;0)*(#REF!&lt;&gt;"")+(N(HF179)&gt;0)*(HI179&lt;&gt;"")+(N(#REF!)&gt;0)*(#REF!&lt;&gt;"")+(N(HJ179)&gt;0)*(HM179&lt;&gt;"")+(N(HN179)&gt;0)*(HQ179&lt;&gt;"")+(N(HZ179)&gt;0)*(IC179&lt;&gt;"")+(N(ID179)&gt;0)*(IG179&lt;&gt;"")+(N(IH179)&gt;0)*(IK179&lt;&gt;"")+(N(IL179)&gt;0)*(IO179&lt;&gt;"")+(N(IX179)&gt;0)*(JA179&lt;&gt;"")+(N(JB179)&gt;0)*(JE179&lt;&gt;"")+(N(JF179)&gt;0)*(JH179&lt;&gt;"")+(N(JI179)&gt;0)*(JK179&lt;&gt;"")+(N(JL179)&gt;0)*(JN179&lt;&gt;"")+(N(JO179)&gt;0)*(JQ179&lt;&gt;""))</f>
        <v>#REF!</v>
      </c>
      <c r="LF179" s="141">
        <f t="shared" si="76"/>
        <v>0</v>
      </c>
      <c r="LG179" s="141">
        <f t="shared" si="70"/>
        <v>0</v>
      </c>
    </row>
    <row r="180" spans="2:319" ht="38.25" customHeight="1" x14ac:dyDescent="0.55000000000000004">
      <c r="B180" s="314" t="s">
        <v>474</v>
      </c>
      <c r="C180" s="218"/>
      <c r="D180" s="218"/>
      <c r="E180" s="218"/>
      <c r="F180" s="218"/>
      <c r="G180" s="218"/>
      <c r="H180" s="218"/>
      <c r="I180" s="162" cm="1">
        <f t="array" ref="I180">SUMPRODUCT(($AI$2:$KV$2&lt;&gt;"")*($AI180:$KV180&lt;&gt;""))</f>
        <v>1</v>
      </c>
      <c r="J180" s="142">
        <f t="shared" si="71"/>
        <v>0</v>
      </c>
      <c r="K180" s="142">
        <f t="shared" si="72"/>
        <v>0</v>
      </c>
      <c r="L180" s="268">
        <f t="shared" si="77"/>
        <v>7000</v>
      </c>
      <c r="M180" s="164">
        <f t="shared" si="73"/>
        <v>784</v>
      </c>
      <c r="N180" s="397"/>
      <c r="O180" s="165">
        <f t="shared" si="74"/>
        <v>0</v>
      </c>
      <c r="P180" s="165"/>
      <c r="Q180" s="165"/>
      <c r="R180" s="165">
        <f>(IFERROR(AM180/AN180,0)+IFERROR(AU180/AV180,0)+IFERROR(AY180/AZ180,0)+IFERROR(BC180/BD180,0)+IFERROR(BG180/BH180,0)+IFERROR(BK180/BL180,0)+IFERROR(BO180/BP180,0)+IFERROR(BS180/BT180,0)+IFERROR(BW180/BX180,0)+IFERROR(CA180/CB180,0)+IFERROR(CE180/CF180,0)+IFERROR(CI180/CJ180,0)+IFERROR(CM180/CN180,0)+IFERROR(CQ180/CR180,0)+IFERROR(CU180/CV180,0)+IFERROR(CY180/CZ180,0)+IFERROR(DC180/DD180,0)+IFERROR(DG180/DH180,0)+IFERROR(DS180/DT180,0)+IFERROR(DW180/DX180,0)+IFERROR(EA180/EB180,0)+IFERROR(EE180/EF180,0)+IFERROR(EI180/EJ180,0)+IFERROR(EM180/EN180,0)+IFERROR(EQ180/ER180,0)+IFERROR(EU180/EV180,0)+IFERROR(#REF!/#REF!,0)+IFERROR(#REF!/#REF!,0)+IFERROR(FJ180/FK180,0)+IFERROR(FN180/FO180,0)+IFERROR(#REF!/#REF!,0)+IFERROR(#REF!/#REF!,0)+IFERROR(HF180/HG180,0)+IFERROR(#REF!/#REF!,0)+IFERROR(HJ180/HK180,0)+IFERROR(HN180/HO180,0)+IFERROR(HZ180/IA180,0)+IFERROR(ID180/IE180,0)+IFERROR(IH180/II180,0)+IFERROR(IL180/IM180,0)+IFERROR(IX180/IY180,0)+IFERROR(JB180/JC180,0)+IFERROR(JF180/JG180,0)+IFERROR(JI180/JJ180,0)+IFERROR(JL180/JM180,0)+IFERROR(JO180/JP180,0))*L180*(C180+D180+E180+I180)</f>
        <v>0</v>
      </c>
      <c r="S180" s="165"/>
      <c r="T180" s="165">
        <f t="shared" si="63"/>
        <v>0</v>
      </c>
      <c r="U180" s="165"/>
      <c r="V180" s="165"/>
      <c r="W180" s="165"/>
      <c r="X180" s="165">
        <f>(IFERROR(FF180/FG180,0)+IFERROR(FC180/FD180,0)+IFERROR(#REF!/#REF!,0)+IFERROR(KP180/KQ180,0))*L180*(C180+D180+E180+I180)</f>
        <v>0</v>
      </c>
      <c r="Y180" s="484"/>
      <c r="Z180" s="484"/>
      <c r="AA180" s="484"/>
      <c r="AB180" s="484"/>
      <c r="AC180" s="150">
        <f t="shared" si="75"/>
        <v>0</v>
      </c>
      <c r="AD180" s="150"/>
      <c r="AE180" s="150">
        <f t="shared" si="64"/>
        <v>0</v>
      </c>
      <c r="AF180" s="161"/>
      <c r="AG180" s="143"/>
      <c r="AH180" s="154"/>
      <c r="AI180" s="342">
        <v>28</v>
      </c>
      <c r="AJ180" s="342">
        <v>250</v>
      </c>
      <c r="AK180" s="342"/>
      <c r="AL180" s="343" t="s">
        <v>545</v>
      </c>
      <c r="AM180" s="140"/>
      <c r="AN180" s="154"/>
      <c r="AO180" s="154"/>
      <c r="AP180" s="220"/>
      <c r="AQ180" s="145"/>
      <c r="AR180" s="154"/>
      <c r="AS180" s="154"/>
      <c r="AT180" s="220"/>
      <c r="AU180" s="140"/>
      <c r="AV180" s="277"/>
      <c r="AW180" s="277"/>
      <c r="AX180" s="277"/>
      <c r="AY180" s="140"/>
      <c r="AZ180" s="277"/>
      <c r="BA180" s="277"/>
      <c r="BB180" s="277"/>
      <c r="BC180" s="140"/>
      <c r="BD180" s="277"/>
      <c r="BE180" s="277"/>
      <c r="BF180" s="277"/>
      <c r="BG180" s="140"/>
      <c r="BH180" s="277"/>
      <c r="BI180" s="277"/>
      <c r="BJ180" s="277"/>
      <c r="BK180" s="140"/>
      <c r="BL180" s="277"/>
      <c r="BM180" s="277"/>
      <c r="BN180" s="277"/>
      <c r="BO180" s="140"/>
      <c r="BP180" s="277"/>
      <c r="BQ180" s="277"/>
      <c r="BR180" s="277"/>
      <c r="BS180" s="140"/>
      <c r="BT180" s="277"/>
      <c r="BU180" s="277"/>
      <c r="BV180" s="277"/>
      <c r="BW180" s="140"/>
      <c r="BX180" s="154"/>
      <c r="BY180" s="154"/>
      <c r="BZ180" s="220"/>
      <c r="CA180" s="140"/>
      <c r="CB180" s="154"/>
      <c r="CC180" s="154"/>
      <c r="CD180" s="220"/>
      <c r="CE180" s="140"/>
      <c r="CF180" s="271"/>
      <c r="CG180" s="271"/>
      <c r="CH180" s="271"/>
      <c r="CI180" s="140"/>
      <c r="CJ180" s="154"/>
      <c r="CK180" s="154"/>
      <c r="CL180" s="154"/>
      <c r="CM180" s="140"/>
      <c r="CN180" s="271"/>
      <c r="CO180" s="271"/>
      <c r="CP180" s="271"/>
      <c r="CQ180" s="140"/>
      <c r="CR180" s="154"/>
      <c r="CS180" s="154"/>
      <c r="CT180" s="154"/>
      <c r="CU180" s="140"/>
      <c r="CV180" s="154"/>
      <c r="CW180" s="154"/>
      <c r="CX180" s="220"/>
      <c r="CY180" s="140"/>
      <c r="CZ180" s="154"/>
      <c r="DA180" s="154"/>
      <c r="DB180" s="220"/>
      <c r="DC180" s="140"/>
      <c r="DD180" s="146"/>
      <c r="DE180" s="146"/>
      <c r="DF180" s="146"/>
      <c r="DG180" s="140"/>
      <c r="DH180" s="146"/>
      <c r="DI180" s="146"/>
      <c r="DJ180" s="146"/>
      <c r="DK180" s="146"/>
      <c r="DL180" s="146"/>
      <c r="DM180" s="146"/>
      <c r="DN180" s="146"/>
      <c r="DO180" s="146"/>
      <c r="DP180" s="146"/>
      <c r="DQ180" s="146"/>
      <c r="DR180" s="146"/>
      <c r="DS180" s="140"/>
      <c r="DT180" s="154"/>
      <c r="DU180" s="154"/>
      <c r="DV180" s="154"/>
      <c r="DW180" s="140"/>
      <c r="DX180" s="220"/>
      <c r="DY180" s="220"/>
      <c r="DZ180" s="220"/>
      <c r="EA180" s="140"/>
      <c r="EB180" s="220"/>
      <c r="EC180" s="220"/>
      <c r="ED180" s="220"/>
      <c r="EE180" s="140"/>
      <c r="EF180" s="154"/>
      <c r="EG180" s="154"/>
      <c r="EH180" s="154"/>
      <c r="EI180" s="140"/>
      <c r="EJ180" s="154"/>
      <c r="EK180" s="154"/>
      <c r="EL180" s="154"/>
      <c r="EM180" s="140"/>
      <c r="EN180" s="222"/>
      <c r="EO180" s="222"/>
      <c r="EP180" s="222"/>
      <c r="EQ180" s="140"/>
      <c r="ER180" s="222"/>
      <c r="ES180" s="222"/>
      <c r="ET180" s="222"/>
      <c r="EU180" s="140"/>
      <c r="EV180" s="222"/>
      <c r="EW180" s="222"/>
      <c r="EX180" s="222"/>
      <c r="EY180" s="344"/>
      <c r="EZ180" s="222"/>
      <c r="FA180" s="222"/>
      <c r="FB180" s="222"/>
      <c r="FC180" s="273"/>
      <c r="FD180" s="223"/>
      <c r="FE180" s="223"/>
      <c r="FF180" s="276"/>
      <c r="FG180" s="156"/>
      <c r="FH180" s="156"/>
      <c r="FI180" s="156"/>
      <c r="FJ180" s="140"/>
      <c r="FK180" s="277"/>
      <c r="FL180" s="277"/>
      <c r="FM180" s="277"/>
      <c r="FN180" s="140"/>
      <c r="FO180" s="277"/>
      <c r="FP180" s="277"/>
      <c r="FQ180" s="277"/>
      <c r="FR180" s="280"/>
      <c r="FS180" s="277"/>
      <c r="FT180" s="277"/>
      <c r="FU180" s="277"/>
      <c r="FV180" s="277"/>
      <c r="FW180" s="277"/>
      <c r="FX180" s="277"/>
      <c r="FY180" s="277"/>
      <c r="FZ180" s="277"/>
      <c r="GA180" s="277"/>
      <c r="GB180" s="277"/>
      <c r="GC180" s="277"/>
      <c r="GD180" s="277"/>
      <c r="GE180" s="277"/>
      <c r="GF180" s="277"/>
      <c r="GG180" s="277"/>
      <c r="GH180" s="277"/>
      <c r="GI180" s="277"/>
      <c r="GJ180" s="277"/>
      <c r="GK180" s="277"/>
      <c r="GL180" s="277"/>
      <c r="GM180" s="277"/>
      <c r="GN180" s="277"/>
      <c r="GO180" s="277"/>
      <c r="GP180" s="277"/>
      <c r="GQ180" s="277"/>
      <c r="GR180" s="277"/>
      <c r="GS180" s="277"/>
      <c r="GT180" s="277"/>
      <c r="GU180" s="277"/>
      <c r="GV180" s="277"/>
      <c r="GW180" s="277"/>
      <c r="GX180" s="277"/>
      <c r="GY180" s="277"/>
      <c r="GZ180" s="277"/>
      <c r="HA180" s="277"/>
      <c r="HB180" s="277"/>
      <c r="HC180" s="277"/>
      <c r="HD180" s="277"/>
      <c r="HE180" s="277"/>
      <c r="HF180" s="140"/>
      <c r="HG180" s="277"/>
      <c r="HH180" s="277"/>
      <c r="HI180" s="277"/>
      <c r="HJ180" s="140"/>
      <c r="HK180" s="277"/>
      <c r="HL180" s="277"/>
      <c r="HM180" s="277"/>
      <c r="HN180" s="140"/>
      <c r="HO180" s="277"/>
      <c r="HP180" s="277"/>
      <c r="HQ180" s="277"/>
      <c r="HR180" s="277"/>
      <c r="HS180" s="277"/>
      <c r="HT180" s="277"/>
      <c r="HU180" s="277"/>
      <c r="HV180" s="277"/>
      <c r="HW180" s="277"/>
      <c r="HX180" s="277"/>
      <c r="HY180" s="277"/>
      <c r="HZ180" s="140"/>
      <c r="IA180" s="277"/>
      <c r="IB180" s="277"/>
      <c r="IC180" s="277"/>
      <c r="ID180" s="140"/>
      <c r="IE180" s="277"/>
      <c r="IF180" s="277"/>
      <c r="IG180" s="277"/>
      <c r="IH180" s="140"/>
      <c r="II180" s="277"/>
      <c r="IJ180" s="277"/>
      <c r="IK180" s="277"/>
      <c r="IL180" s="140"/>
      <c r="IM180" s="277"/>
      <c r="IN180" s="277"/>
      <c r="IO180" s="277"/>
      <c r="IP180" s="277"/>
      <c r="IQ180" s="277"/>
      <c r="IR180" s="277"/>
      <c r="IS180" s="277"/>
      <c r="IT180" s="277"/>
      <c r="IU180" s="277"/>
      <c r="IV180" s="277"/>
      <c r="IW180" s="277"/>
      <c r="IX180" s="140"/>
      <c r="IY180" s="277"/>
      <c r="IZ180" s="277"/>
      <c r="JA180" s="277"/>
      <c r="JB180" s="140"/>
      <c r="JC180" s="277"/>
      <c r="JD180" s="277"/>
      <c r="JE180" s="277"/>
      <c r="JF180" s="140"/>
      <c r="JG180" s="277"/>
      <c r="JH180" s="277"/>
      <c r="JI180" s="140"/>
      <c r="JJ180" s="277"/>
      <c r="JK180" s="277"/>
      <c r="JL180" s="140"/>
      <c r="JM180" s="277"/>
      <c r="JN180" s="277"/>
      <c r="JO180" s="140"/>
      <c r="JP180" s="277"/>
      <c r="JQ180" s="277"/>
      <c r="JR180" s="277"/>
      <c r="JS180" s="277"/>
      <c r="JT180" s="277"/>
      <c r="JU180" s="277"/>
      <c r="JV180" s="277"/>
      <c r="JW180" s="277"/>
      <c r="JX180" s="277"/>
      <c r="JY180" s="277"/>
      <c r="JZ180" s="277"/>
      <c r="KA180" s="277"/>
      <c r="KB180" s="277"/>
      <c r="KC180" s="277"/>
      <c r="KD180" s="277"/>
      <c r="KE180" s="277"/>
      <c r="KF180" s="277"/>
      <c r="KG180" s="277"/>
      <c r="KH180" s="277"/>
      <c r="KI180" s="277"/>
      <c r="KJ180" s="277"/>
      <c r="KK180" s="277"/>
      <c r="KL180" s="277"/>
      <c r="KM180" s="277"/>
      <c r="KN180" s="277"/>
      <c r="KO180" s="277"/>
      <c r="KP180" s="274"/>
      <c r="KQ180" s="253"/>
      <c r="KR180" s="253"/>
      <c r="KY180" s="141">
        <f t="shared" si="65"/>
        <v>0</v>
      </c>
      <c r="KZ180" s="141">
        <f t="shared" si="66"/>
        <v>0</v>
      </c>
      <c r="LB180" s="141">
        <f t="shared" si="67"/>
        <v>1</v>
      </c>
      <c r="LC180" s="141">
        <f t="shared" si="68"/>
        <v>0</v>
      </c>
      <c r="LD180" s="141">
        <f t="shared" si="69"/>
        <v>0</v>
      </c>
      <c r="LE180" s="141" t="e">
        <f>((N(AU180)&gt;0)*(AX180&lt;&gt;"")+(N(AY180)&gt;0)*(BB180&lt;&gt;"")+(N(BC180)&gt;0)*(BF180&lt;&gt;"")+(N(BG180)&gt;0)*(BJ180&lt;&gt;"")+(N(BK180)&gt;0)*(BN180&lt;&gt;"")+(N(BO180)&gt;0)*(BR180&lt;&gt;"")+(N(BS180)&gt;0)*(BV180&lt;&gt;"")+(N(BW180)&gt;0)*(BZ180&lt;&gt;"")+(N(CA180)&gt;0)*(CD180&lt;&gt;"")+(N(CE180)&gt;0)*(CH180&lt;&gt;"")+(N(CI180)&gt;0)*(CL180&lt;&gt;"")+(N(CM180)&gt;0)*(CP180&lt;&gt;"")+(N(CQ180)&gt;0)*(CT180&lt;&gt;"")+(N(CU180)&gt;0)*(CX180&lt;&gt;"")+(N(CY180)&gt;0)*(DB180&lt;&gt;"")+(N(DC180)&gt;0)*(DF180&lt;&gt;"")+(N(DG180)&gt;0)*(DJ180&lt;&gt;"")+(N(DS180)&gt;0)*(DV180&lt;&gt;"")+(N(DW180)&gt;0)*(DZ180&lt;&gt;"")+(N(EA180)&gt;0)*(ED180&lt;&gt;"")+(N(EE180)&gt;0)*(EH180&lt;&gt;"")+(N(EI180)&gt;0)*(EL180&lt;&gt;"")+(N(EM180)&gt;0)*(EP180&lt;&gt;"")+(N(EQ180)&gt;0)*(ET180&lt;&gt;"")+(N(EU180)&gt;0)*(EX180&lt;&gt;"")+(N(#REF!)&gt;0)*(#REF!&lt;&gt;"")+(N(#REF!)&gt;0)*(#REF!&lt;&gt;"")+(N(FJ180)&gt;0)*(FM180&lt;&gt;"")+(N(FN180)&gt;0)*(FQ180&lt;&gt;"")+(N(#REF!)&gt;0)*(#REF!&lt;&gt;"")+(N(#REF!)&gt;0)*(#REF!&lt;&gt;"")+(N(HF180)&gt;0)*(HI180&lt;&gt;"")+(N(#REF!)&gt;0)*(#REF!&lt;&gt;"")+(N(HJ180)&gt;0)*(HM180&lt;&gt;"")+(N(HN180)&gt;0)*(HQ180&lt;&gt;"")+(N(HZ180)&gt;0)*(IC180&lt;&gt;"")+(N(ID180)&gt;0)*(IG180&lt;&gt;"")+(N(IH180)&gt;0)*(IK180&lt;&gt;"")+(N(IL180)&gt;0)*(IO180&lt;&gt;"")+(N(IX180)&gt;0)*(JA180&lt;&gt;"")+(N(JB180)&gt;0)*(JE180&lt;&gt;"")+(N(JF180)&gt;0)*(JH180&lt;&gt;"")+(N(JI180)&gt;0)*(JK180&lt;&gt;"")+(N(JL180)&gt;0)*(JN180&lt;&gt;"")+(N(JO180)&gt;0)*(JQ180&lt;&gt;""))</f>
        <v>#REF!</v>
      </c>
      <c r="LF180" s="141">
        <f t="shared" si="76"/>
        <v>0</v>
      </c>
      <c r="LG180" s="141">
        <f t="shared" si="70"/>
        <v>0</v>
      </c>
    </row>
    <row r="181" spans="2:319" ht="38.25" customHeight="1" x14ac:dyDescent="0.55000000000000004">
      <c r="B181" s="316" t="s">
        <v>357</v>
      </c>
      <c r="C181" s="218">
        <v>1</v>
      </c>
      <c r="D181" s="218"/>
      <c r="E181" s="218"/>
      <c r="F181" s="218"/>
      <c r="G181" s="218"/>
      <c r="H181" s="218"/>
      <c r="I181" s="162" cm="1">
        <f t="array" ref="I181">SUMPRODUCT(($AI$2:$KV$2&lt;&gt;"")*($AI181:$KV181&lt;&gt;""))</f>
        <v>1</v>
      </c>
      <c r="J181" s="142">
        <f t="shared" si="71"/>
        <v>1</v>
      </c>
      <c r="K181" s="142">
        <f t="shared" si="72"/>
        <v>14</v>
      </c>
      <c r="L181" s="268">
        <f t="shared" si="77"/>
        <v>7000</v>
      </c>
      <c r="M181" s="164">
        <f t="shared" si="73"/>
        <v>1120</v>
      </c>
      <c r="N181" s="397"/>
      <c r="O181" s="165">
        <f t="shared" si="74"/>
        <v>0</v>
      </c>
      <c r="P181" s="165"/>
      <c r="Q181" s="165"/>
      <c r="R181" s="165">
        <f>(IFERROR(AM181/AN181,0)+IFERROR(AU181/AV181,0)+IFERROR(AY181/AZ181,0)+IFERROR(BC181/BD181,0)+IFERROR(BG181/BH181,0)+IFERROR(BK181/BL181,0)+IFERROR(BO181/BP181,0)+IFERROR(BS181/BT181,0)+IFERROR(BW181/BX181,0)+IFERROR(CA181/CB181,0)+IFERROR(CE181/CF181,0)+IFERROR(CI181/CJ181,0)+IFERROR(CM181/CN181,0)+IFERROR(CQ181/CR181,0)+IFERROR(CU181/CV181,0)+IFERROR(CY181/CZ181,0)+IFERROR(DC181/DD181,0)+IFERROR(DG181/DH181,0)+IFERROR(DS181/DT181,0)+IFERROR(DW181/DX181,0)+IFERROR(EA181/EB181,0)+IFERROR(EE181/EF181,0)+IFERROR(EI181/EJ181,0)+IFERROR(EM181/EN181,0)+IFERROR(EQ181/ER181,0)+IFERROR(EU181/EV181,0)+IFERROR(#REF!/#REF!,0)+IFERROR(#REF!/#REF!,0)+IFERROR(FJ181/FK181,0)+IFERROR(FN181/FO181,0)+IFERROR(#REF!/#REF!,0)+IFERROR(#REF!/#REF!,0)+IFERROR(HF181/HG181,0)+IFERROR(#REF!/#REF!,0)+IFERROR(HJ181/HK181,0)+IFERROR(HN181/HO181,0)+IFERROR(HZ181/IA181,0)+IFERROR(ID181/IE181,0)+IFERROR(IH181/II181,0)+IFERROR(IL181/IM181,0)+IFERROR(IX181/IY181,0)+IFERROR(JB181/JC181,0)+IFERROR(JF181/JG181,0)+IFERROR(JI181/JJ181,0)+IFERROR(JL181/JM181,0)+IFERROR(JO181/JP181,0))*L181*(C181+D181+E181+I181)</f>
        <v>0</v>
      </c>
      <c r="S181" s="165"/>
      <c r="T181" s="165">
        <f t="shared" si="63"/>
        <v>0</v>
      </c>
      <c r="U181" s="165"/>
      <c r="V181" s="165"/>
      <c r="W181" s="165"/>
      <c r="X181" s="165">
        <f>(IFERROR(FF181/FG181,0)+IFERROR(FC181/FD181,0)+IFERROR(#REF!/#REF!,0)+IFERROR(KP181/KQ181,0))*L181*(C181+D181+E181+I181)</f>
        <v>0</v>
      </c>
      <c r="Y181" s="484"/>
      <c r="Z181" s="484"/>
      <c r="AA181" s="484"/>
      <c r="AB181" s="484"/>
      <c r="AC181" s="150">
        <f t="shared" si="75"/>
        <v>0</v>
      </c>
      <c r="AD181" s="150"/>
      <c r="AE181" s="150">
        <f t="shared" si="64"/>
        <v>0</v>
      </c>
      <c r="AF181" s="161"/>
      <c r="AG181" s="143"/>
      <c r="AH181" s="154"/>
      <c r="AI181" s="342">
        <v>20</v>
      </c>
      <c r="AJ181" s="342">
        <v>250</v>
      </c>
      <c r="AK181" s="342"/>
      <c r="AL181" s="343" t="s">
        <v>545</v>
      </c>
      <c r="AM181" s="140"/>
      <c r="AN181" s="154"/>
      <c r="AO181" s="154"/>
      <c r="AP181" s="220"/>
      <c r="AQ181" s="145"/>
      <c r="AR181" s="154"/>
      <c r="AS181" s="154"/>
      <c r="AT181" s="220"/>
      <c r="AU181" s="140"/>
      <c r="AV181" s="277"/>
      <c r="AW181" s="277"/>
      <c r="AX181" s="277"/>
      <c r="AY181" s="140"/>
      <c r="AZ181" s="277"/>
      <c r="BA181" s="277"/>
      <c r="BB181" s="277"/>
      <c r="BC181" s="140"/>
      <c r="BD181" s="277"/>
      <c r="BE181" s="277"/>
      <c r="BF181" s="277"/>
      <c r="BG181" s="140"/>
      <c r="BH181" s="277"/>
      <c r="BI181" s="277"/>
      <c r="BJ181" s="277"/>
      <c r="BK181" s="140"/>
      <c r="BL181" s="277"/>
      <c r="BM181" s="277"/>
      <c r="BN181" s="277"/>
      <c r="BO181" s="140"/>
      <c r="BP181" s="277"/>
      <c r="BQ181" s="277"/>
      <c r="BR181" s="277"/>
      <c r="BS181" s="140"/>
      <c r="BT181" s="277"/>
      <c r="BU181" s="277"/>
      <c r="BV181" s="277"/>
      <c r="BW181" s="140"/>
      <c r="BX181" s="154"/>
      <c r="BY181" s="154"/>
      <c r="BZ181" s="220"/>
      <c r="CA181" s="140"/>
      <c r="CB181" s="154"/>
      <c r="CC181" s="154"/>
      <c r="CD181" s="220"/>
      <c r="CE181" s="140"/>
      <c r="CF181" s="146"/>
      <c r="CG181" s="146"/>
      <c r="CH181" s="146"/>
      <c r="CI181" s="140"/>
      <c r="CJ181" s="154"/>
      <c r="CK181" s="154"/>
      <c r="CL181" s="154"/>
      <c r="CM181" s="140"/>
      <c r="CN181" s="271"/>
      <c r="CO181" s="271"/>
      <c r="CP181" s="271"/>
      <c r="CQ181" s="140"/>
      <c r="CR181" s="154"/>
      <c r="CS181" s="154"/>
      <c r="CT181" s="154"/>
      <c r="CU181" s="140"/>
      <c r="CV181" s="154"/>
      <c r="CW181" s="154"/>
      <c r="CX181" s="220"/>
      <c r="CY181" s="140"/>
      <c r="CZ181" s="154"/>
      <c r="DA181" s="154"/>
      <c r="DB181" s="220"/>
      <c r="DC181" s="140"/>
      <c r="DD181" s="146"/>
      <c r="DE181" s="146"/>
      <c r="DF181" s="146"/>
      <c r="DG181" s="140"/>
      <c r="DH181" s="146"/>
      <c r="DI181" s="146"/>
      <c r="DJ181" s="146"/>
      <c r="DK181" s="146"/>
      <c r="DL181" s="146"/>
      <c r="DM181" s="146"/>
      <c r="DN181" s="146"/>
      <c r="DO181" s="146"/>
      <c r="DP181" s="146"/>
      <c r="DQ181" s="146"/>
      <c r="DR181" s="146"/>
      <c r="DS181" s="140"/>
      <c r="DT181" s="154"/>
      <c r="DU181" s="154"/>
      <c r="DV181" s="154"/>
      <c r="DW181" s="140"/>
      <c r="DX181" s="220"/>
      <c r="DY181" s="220"/>
      <c r="DZ181" s="220"/>
      <c r="EA181" s="140"/>
      <c r="EB181" s="220"/>
      <c r="EC181" s="220"/>
      <c r="ED181" s="220"/>
      <c r="EE181" s="140"/>
      <c r="EF181" s="154"/>
      <c r="EG181" s="154"/>
      <c r="EH181" s="154"/>
      <c r="EI181" s="140"/>
      <c r="EJ181" s="154"/>
      <c r="EK181" s="154"/>
      <c r="EL181" s="154"/>
      <c r="EM181" s="140"/>
      <c r="EN181" s="222"/>
      <c r="EO181" s="222"/>
      <c r="EP181" s="222"/>
      <c r="EQ181" s="140"/>
      <c r="ER181" s="222"/>
      <c r="ES181" s="222"/>
      <c r="ET181" s="222"/>
      <c r="EU181" s="140"/>
      <c r="EV181" s="222"/>
      <c r="EW181" s="222"/>
      <c r="EX181" s="222"/>
      <c r="EY181" s="344"/>
      <c r="EZ181" s="222"/>
      <c r="FA181" s="222"/>
      <c r="FB181" s="222"/>
      <c r="FC181" s="273"/>
      <c r="FD181" s="223"/>
      <c r="FE181" s="223"/>
      <c r="FF181" s="276"/>
      <c r="FG181" s="156"/>
      <c r="FH181" s="156"/>
      <c r="FI181" s="156"/>
      <c r="FJ181" s="140"/>
      <c r="FK181" s="277"/>
      <c r="FL181" s="277"/>
      <c r="FM181" s="277"/>
      <c r="FN181" s="140"/>
      <c r="FO181" s="277"/>
      <c r="FP181" s="277"/>
      <c r="FQ181" s="277"/>
      <c r="FR181" s="280"/>
      <c r="FS181" s="277"/>
      <c r="FT181" s="277"/>
      <c r="FU181" s="277"/>
      <c r="FV181" s="277"/>
      <c r="FW181" s="277"/>
      <c r="FX181" s="277"/>
      <c r="FY181" s="277"/>
      <c r="FZ181" s="277"/>
      <c r="GA181" s="277"/>
      <c r="GB181" s="277"/>
      <c r="GC181" s="277"/>
      <c r="GD181" s="277"/>
      <c r="GE181" s="277"/>
      <c r="GF181" s="277"/>
      <c r="GG181" s="277"/>
      <c r="GH181" s="277"/>
      <c r="GI181" s="277"/>
      <c r="GJ181" s="277"/>
      <c r="GK181" s="277"/>
      <c r="GL181" s="277"/>
      <c r="GM181" s="277"/>
      <c r="GN181" s="277"/>
      <c r="GO181" s="277"/>
      <c r="GP181" s="277"/>
      <c r="GQ181" s="277"/>
      <c r="GR181" s="277"/>
      <c r="GS181" s="277"/>
      <c r="GT181" s="277"/>
      <c r="GU181" s="277"/>
      <c r="GV181" s="277"/>
      <c r="GW181" s="277"/>
      <c r="GX181" s="277"/>
      <c r="GY181" s="277"/>
      <c r="GZ181" s="277"/>
      <c r="HA181" s="277"/>
      <c r="HB181" s="277"/>
      <c r="HC181" s="277"/>
      <c r="HD181" s="277"/>
      <c r="HE181" s="277"/>
      <c r="HF181" s="140"/>
      <c r="HG181" s="277"/>
      <c r="HH181" s="277"/>
      <c r="HI181" s="277"/>
      <c r="HJ181" s="140"/>
      <c r="HK181" s="277"/>
      <c r="HL181" s="277"/>
      <c r="HM181" s="277"/>
      <c r="HN181" s="140"/>
      <c r="HO181" s="277"/>
      <c r="HP181" s="277"/>
      <c r="HQ181" s="277"/>
      <c r="HR181" s="277"/>
      <c r="HS181" s="277"/>
      <c r="HT181" s="277"/>
      <c r="HU181" s="277"/>
      <c r="HV181" s="277"/>
      <c r="HW181" s="277"/>
      <c r="HX181" s="277"/>
      <c r="HY181" s="277"/>
      <c r="HZ181" s="140"/>
      <c r="IA181" s="277"/>
      <c r="IB181" s="277"/>
      <c r="IC181" s="277"/>
      <c r="ID181" s="140"/>
      <c r="IE181" s="277"/>
      <c r="IF181" s="277"/>
      <c r="IG181" s="277"/>
      <c r="IH181" s="140"/>
      <c r="II181" s="277"/>
      <c r="IJ181" s="277"/>
      <c r="IK181" s="277"/>
      <c r="IL181" s="140"/>
      <c r="IM181" s="277"/>
      <c r="IN181" s="277"/>
      <c r="IO181" s="277"/>
      <c r="IP181" s="277"/>
      <c r="IQ181" s="277"/>
      <c r="IR181" s="277"/>
      <c r="IS181" s="277"/>
      <c r="IT181" s="277"/>
      <c r="IU181" s="277"/>
      <c r="IV181" s="277"/>
      <c r="IW181" s="277"/>
      <c r="IX181" s="140"/>
      <c r="IY181" s="277"/>
      <c r="IZ181" s="277"/>
      <c r="JA181" s="277"/>
      <c r="JB181" s="140"/>
      <c r="JC181" s="277"/>
      <c r="JD181" s="277"/>
      <c r="JE181" s="277"/>
      <c r="JF181" s="140"/>
      <c r="JG181" s="277"/>
      <c r="JH181" s="277"/>
      <c r="JI181" s="140"/>
      <c r="JJ181" s="277"/>
      <c r="JK181" s="277"/>
      <c r="JL181" s="140"/>
      <c r="JM181" s="277"/>
      <c r="JN181" s="277"/>
      <c r="JO181" s="140"/>
      <c r="JP181" s="277"/>
      <c r="JQ181" s="277"/>
      <c r="JR181" s="277"/>
      <c r="JS181" s="277"/>
      <c r="JT181" s="277"/>
      <c r="JU181" s="277"/>
      <c r="JV181" s="277"/>
      <c r="JW181" s="277"/>
      <c r="JX181" s="277"/>
      <c r="JY181" s="277"/>
      <c r="JZ181" s="277"/>
      <c r="KA181" s="277"/>
      <c r="KB181" s="277"/>
      <c r="KC181" s="277"/>
      <c r="KD181" s="277"/>
      <c r="KE181" s="277"/>
      <c r="KF181" s="277"/>
      <c r="KG181" s="277"/>
      <c r="KH181" s="277"/>
      <c r="KI181" s="277"/>
      <c r="KJ181" s="277"/>
      <c r="KK181" s="277"/>
      <c r="KL181" s="277"/>
      <c r="KM181" s="277"/>
      <c r="KN181" s="277"/>
      <c r="KO181" s="277"/>
      <c r="KP181" s="274"/>
      <c r="KQ181" s="253"/>
      <c r="KR181" s="253"/>
      <c r="KY181" s="141">
        <f t="shared" si="65"/>
        <v>0</v>
      </c>
      <c r="KZ181" s="141">
        <f t="shared" si="66"/>
        <v>0</v>
      </c>
      <c r="LB181" s="141">
        <f t="shared" si="67"/>
        <v>1</v>
      </c>
      <c r="LC181" s="141">
        <f t="shared" si="68"/>
        <v>0</v>
      </c>
      <c r="LD181" s="141">
        <f t="shared" si="69"/>
        <v>0</v>
      </c>
      <c r="LE181" s="141" t="e">
        <f>((N(AU181)&gt;0)*(AX181&lt;&gt;"")+(N(AY181)&gt;0)*(BB181&lt;&gt;"")+(N(BC181)&gt;0)*(BF181&lt;&gt;"")+(N(BG181)&gt;0)*(BJ181&lt;&gt;"")+(N(BK181)&gt;0)*(BN181&lt;&gt;"")+(N(BO181)&gt;0)*(BR181&lt;&gt;"")+(N(BS181)&gt;0)*(BV181&lt;&gt;"")+(N(BW181)&gt;0)*(BZ181&lt;&gt;"")+(N(CA181)&gt;0)*(CD181&lt;&gt;"")+(N(CE181)&gt;0)*(CH181&lt;&gt;"")+(N(CI181)&gt;0)*(CL181&lt;&gt;"")+(N(CM181)&gt;0)*(CP181&lt;&gt;"")+(N(CQ181)&gt;0)*(CT181&lt;&gt;"")+(N(CU181)&gt;0)*(CX181&lt;&gt;"")+(N(CY181)&gt;0)*(DB181&lt;&gt;"")+(N(DC181)&gt;0)*(DF181&lt;&gt;"")+(N(DG181)&gt;0)*(DJ181&lt;&gt;"")+(N(DS181)&gt;0)*(DV181&lt;&gt;"")+(N(DW181)&gt;0)*(DZ181&lt;&gt;"")+(N(EA181)&gt;0)*(ED181&lt;&gt;"")+(N(EE181)&gt;0)*(EH181&lt;&gt;"")+(N(EI181)&gt;0)*(EL181&lt;&gt;"")+(N(EM181)&gt;0)*(EP181&lt;&gt;"")+(N(EQ181)&gt;0)*(ET181&lt;&gt;"")+(N(EU181)&gt;0)*(EX181&lt;&gt;"")+(N(#REF!)&gt;0)*(#REF!&lt;&gt;"")+(N(#REF!)&gt;0)*(#REF!&lt;&gt;"")+(N(FJ181)&gt;0)*(FM181&lt;&gt;"")+(N(FN181)&gt;0)*(FQ181&lt;&gt;"")+(N(#REF!)&gt;0)*(#REF!&lt;&gt;"")+(N(#REF!)&gt;0)*(#REF!&lt;&gt;"")+(N(HF181)&gt;0)*(HI181&lt;&gt;"")+(N(#REF!)&gt;0)*(#REF!&lt;&gt;"")+(N(HJ181)&gt;0)*(HM181&lt;&gt;"")+(N(HN181)&gt;0)*(HQ181&lt;&gt;"")+(N(HZ181)&gt;0)*(IC181&lt;&gt;"")+(N(ID181)&gt;0)*(IG181&lt;&gt;"")+(N(IH181)&gt;0)*(IK181&lt;&gt;"")+(N(IL181)&gt;0)*(IO181&lt;&gt;"")+(N(IX181)&gt;0)*(JA181&lt;&gt;"")+(N(JB181)&gt;0)*(JE181&lt;&gt;"")+(N(JF181)&gt;0)*(JH181&lt;&gt;"")+(N(JI181)&gt;0)*(JK181&lt;&gt;"")+(N(JL181)&gt;0)*(JN181&lt;&gt;"")+(N(JO181)&gt;0)*(JQ181&lt;&gt;""))</f>
        <v>#REF!</v>
      </c>
      <c r="LF181" s="141">
        <f t="shared" si="76"/>
        <v>0</v>
      </c>
      <c r="LG181" s="141">
        <f t="shared" si="70"/>
        <v>0</v>
      </c>
    </row>
    <row r="182" spans="2:319" ht="38.25" customHeight="1" x14ac:dyDescent="0.55000000000000004">
      <c r="B182" s="314" t="s">
        <v>416</v>
      </c>
      <c r="C182" s="218"/>
      <c r="D182" s="218"/>
      <c r="E182" s="218"/>
      <c r="F182" s="218"/>
      <c r="G182" s="218"/>
      <c r="H182" s="218"/>
      <c r="I182" s="162" cm="1">
        <f t="array" ref="I182">SUMPRODUCT(($AI$2:$KV$2&lt;&gt;"")*($AI182:$KV182&lt;&gt;""))</f>
        <v>1</v>
      </c>
      <c r="J182" s="142">
        <f t="shared" si="71"/>
        <v>0</v>
      </c>
      <c r="K182" s="142">
        <f t="shared" si="72"/>
        <v>0</v>
      </c>
      <c r="L182" s="268">
        <f t="shared" si="77"/>
        <v>7000</v>
      </c>
      <c r="M182" s="164">
        <f t="shared" si="73"/>
        <v>700</v>
      </c>
      <c r="N182" s="397"/>
      <c r="O182" s="165">
        <f t="shared" si="74"/>
        <v>0</v>
      </c>
      <c r="P182" s="165"/>
      <c r="Q182" s="165"/>
      <c r="R182" s="165">
        <f>(IFERROR(AM182/AN182,0)+IFERROR(AU182/AV182,0)+IFERROR(AY182/AZ182,0)+IFERROR(BC182/BD182,0)+IFERROR(BG182/BH182,0)+IFERROR(BK182/BL182,0)+IFERROR(BO182/BP182,0)+IFERROR(BS182/BT182,0)+IFERROR(BW182/BX182,0)+IFERROR(CA182/CB182,0)+IFERROR(CE182/CF182,0)+IFERROR(CI182/CJ182,0)+IFERROR(CM182/CN182,0)+IFERROR(CQ182/CR182,0)+IFERROR(CU182/CV182,0)+IFERROR(CY182/CZ182,0)+IFERROR(DC182/DD182,0)+IFERROR(DG182/DH182,0)+IFERROR(DS182/DT182,0)+IFERROR(DW182/DX182,0)+IFERROR(EA182/EB182,0)+IFERROR(EE182/EF182,0)+IFERROR(EI182/EJ182,0)+IFERROR(EM182/EN182,0)+IFERROR(EQ182/ER182,0)+IFERROR(EU182/EV182,0)+IFERROR(#REF!/#REF!,0)+IFERROR(#REF!/#REF!,0)+IFERROR(FJ182/FK182,0)+IFERROR(FN182/FO182,0)+IFERROR(#REF!/#REF!,0)+IFERROR(#REF!/#REF!,0)+IFERROR(HF182/HG182,0)+IFERROR(#REF!/#REF!,0)+IFERROR(HJ182/HK182,0)+IFERROR(HN182/HO182,0)+IFERROR(HZ182/IA182,0)+IFERROR(ID182/IE182,0)+IFERROR(IH182/II182,0)+IFERROR(IL182/IM182,0)+IFERROR(IX182/IY182,0)+IFERROR(JB182/JC182,0)+IFERROR(JF182/JG182,0)+IFERROR(JI182/JJ182,0)+IFERROR(JL182/JM182,0)+IFERROR(JO182/JP182,0))*L182*(C182+D182+E182+I182)</f>
        <v>0</v>
      </c>
      <c r="S182" s="165"/>
      <c r="T182" s="165">
        <f t="shared" si="63"/>
        <v>0</v>
      </c>
      <c r="U182" s="165"/>
      <c r="V182" s="165"/>
      <c r="W182" s="165"/>
      <c r="X182" s="165">
        <f>(IFERROR(FF182/FG182,0)+IFERROR(FC182/FD182,0)+IFERROR(#REF!/#REF!,0)+IFERROR(KP182/KQ182,0))*L182*(C182+D182+E182+I182)</f>
        <v>0</v>
      </c>
      <c r="Y182" s="484"/>
      <c r="Z182" s="484"/>
      <c r="AA182" s="484"/>
      <c r="AB182" s="484"/>
      <c r="AC182" s="150">
        <f t="shared" si="75"/>
        <v>0</v>
      </c>
      <c r="AD182" s="150"/>
      <c r="AE182" s="150">
        <f t="shared" si="64"/>
        <v>0</v>
      </c>
      <c r="AF182" s="161"/>
      <c r="AG182" s="143"/>
      <c r="AH182" s="154"/>
      <c r="AI182" s="342">
        <v>25</v>
      </c>
      <c r="AJ182" s="342">
        <v>250</v>
      </c>
      <c r="AK182" s="342"/>
      <c r="AL182" s="343" t="s">
        <v>545</v>
      </c>
      <c r="AM182" s="140"/>
      <c r="AN182" s="154"/>
      <c r="AO182" s="154"/>
      <c r="AP182" s="220"/>
      <c r="AQ182" s="145"/>
      <c r="AR182" s="154"/>
      <c r="AS182" s="154"/>
      <c r="AT182" s="220"/>
      <c r="AU182" s="140"/>
      <c r="AV182" s="277"/>
      <c r="AW182" s="277"/>
      <c r="AX182" s="277"/>
      <c r="AY182" s="140"/>
      <c r="AZ182" s="277"/>
      <c r="BA182" s="277"/>
      <c r="BB182" s="277"/>
      <c r="BC182" s="140"/>
      <c r="BD182" s="277"/>
      <c r="BE182" s="277"/>
      <c r="BF182" s="277"/>
      <c r="BG182" s="140"/>
      <c r="BH182" s="277"/>
      <c r="BI182" s="277"/>
      <c r="BJ182" s="277"/>
      <c r="BK182" s="140"/>
      <c r="BL182" s="277"/>
      <c r="BM182" s="277"/>
      <c r="BN182" s="277"/>
      <c r="BO182" s="140"/>
      <c r="BP182" s="277"/>
      <c r="BQ182" s="277"/>
      <c r="BR182" s="277"/>
      <c r="BS182" s="140"/>
      <c r="BT182" s="277"/>
      <c r="BU182" s="277"/>
      <c r="BV182" s="277"/>
      <c r="BW182" s="140"/>
      <c r="BX182" s="154"/>
      <c r="BY182" s="154"/>
      <c r="BZ182" s="220"/>
      <c r="CA182" s="140"/>
      <c r="CB182" s="154"/>
      <c r="CC182" s="154"/>
      <c r="CD182" s="220"/>
      <c r="CE182" s="140"/>
      <c r="CF182" s="271"/>
      <c r="CG182" s="271"/>
      <c r="CH182" s="271"/>
      <c r="CI182" s="140"/>
      <c r="CJ182" s="154"/>
      <c r="CK182" s="154"/>
      <c r="CL182" s="154"/>
      <c r="CM182" s="140"/>
      <c r="CN182" s="271"/>
      <c r="CO182" s="271"/>
      <c r="CP182" s="271"/>
      <c r="CQ182" s="140"/>
      <c r="CR182" s="154"/>
      <c r="CS182" s="154"/>
      <c r="CT182" s="154"/>
      <c r="CU182" s="140"/>
      <c r="CV182" s="154"/>
      <c r="CW182" s="154"/>
      <c r="CX182" s="220"/>
      <c r="CY182" s="140"/>
      <c r="CZ182" s="154"/>
      <c r="DA182" s="154"/>
      <c r="DB182" s="220"/>
      <c r="DC182" s="140"/>
      <c r="DD182" s="146"/>
      <c r="DE182" s="146"/>
      <c r="DF182" s="146"/>
      <c r="DG182" s="140"/>
      <c r="DH182" s="146"/>
      <c r="DI182" s="146"/>
      <c r="DJ182" s="146"/>
      <c r="DK182" s="146"/>
      <c r="DL182" s="146"/>
      <c r="DM182" s="146"/>
      <c r="DN182" s="146"/>
      <c r="DO182" s="146"/>
      <c r="DP182" s="146"/>
      <c r="DQ182" s="146"/>
      <c r="DR182" s="146"/>
      <c r="DS182" s="140"/>
      <c r="DT182" s="154"/>
      <c r="DU182" s="154"/>
      <c r="DV182" s="154"/>
      <c r="DW182" s="140"/>
      <c r="DX182" s="220"/>
      <c r="DY182" s="220"/>
      <c r="DZ182" s="220"/>
      <c r="EA182" s="140"/>
      <c r="EB182" s="220"/>
      <c r="EC182" s="220"/>
      <c r="ED182" s="220"/>
      <c r="EE182" s="140"/>
      <c r="EF182" s="154"/>
      <c r="EG182" s="154"/>
      <c r="EH182" s="154"/>
      <c r="EI182" s="140"/>
      <c r="EJ182" s="154"/>
      <c r="EK182" s="154"/>
      <c r="EL182" s="154"/>
      <c r="EM182" s="140"/>
      <c r="EN182" s="222"/>
      <c r="EO182" s="222"/>
      <c r="EP182" s="222"/>
      <c r="EQ182" s="140"/>
      <c r="ER182" s="222"/>
      <c r="ES182" s="222"/>
      <c r="ET182" s="222"/>
      <c r="EU182" s="140"/>
      <c r="EV182" s="222"/>
      <c r="EW182" s="222"/>
      <c r="EX182" s="222"/>
      <c r="EY182" s="344"/>
      <c r="EZ182" s="222"/>
      <c r="FA182" s="222"/>
      <c r="FB182" s="222"/>
      <c r="FC182" s="273"/>
      <c r="FD182" s="223"/>
      <c r="FE182" s="223"/>
      <c r="FF182" s="276"/>
      <c r="FG182" s="156"/>
      <c r="FH182" s="156"/>
      <c r="FI182" s="156"/>
      <c r="FJ182" s="140"/>
      <c r="FK182" s="277"/>
      <c r="FL182" s="277"/>
      <c r="FM182" s="277"/>
      <c r="FN182" s="140"/>
      <c r="FO182" s="277"/>
      <c r="FP182" s="277"/>
      <c r="FQ182" s="277"/>
      <c r="FR182" s="280"/>
      <c r="FS182" s="277"/>
      <c r="FT182" s="277"/>
      <c r="FU182" s="277"/>
      <c r="FV182" s="277"/>
      <c r="FW182" s="277"/>
      <c r="FX182" s="277"/>
      <c r="FY182" s="277"/>
      <c r="FZ182" s="277"/>
      <c r="GA182" s="277"/>
      <c r="GB182" s="277"/>
      <c r="GC182" s="277"/>
      <c r="GD182" s="277"/>
      <c r="GE182" s="277"/>
      <c r="GF182" s="277"/>
      <c r="GG182" s="277"/>
      <c r="GH182" s="277"/>
      <c r="GI182" s="277"/>
      <c r="GJ182" s="277"/>
      <c r="GK182" s="277"/>
      <c r="GL182" s="277"/>
      <c r="GM182" s="277"/>
      <c r="GN182" s="277"/>
      <c r="GO182" s="277"/>
      <c r="GP182" s="277"/>
      <c r="GQ182" s="277"/>
      <c r="GR182" s="277"/>
      <c r="GS182" s="277"/>
      <c r="GT182" s="277"/>
      <c r="GU182" s="277"/>
      <c r="GV182" s="277"/>
      <c r="GW182" s="277"/>
      <c r="GX182" s="277"/>
      <c r="GY182" s="277"/>
      <c r="GZ182" s="277"/>
      <c r="HA182" s="277"/>
      <c r="HB182" s="277"/>
      <c r="HC182" s="277"/>
      <c r="HD182" s="277"/>
      <c r="HE182" s="277"/>
      <c r="HF182" s="140"/>
      <c r="HG182" s="277"/>
      <c r="HH182" s="277"/>
      <c r="HI182" s="277"/>
      <c r="HJ182" s="140"/>
      <c r="HK182" s="277"/>
      <c r="HL182" s="277"/>
      <c r="HM182" s="277"/>
      <c r="HN182" s="140"/>
      <c r="HO182" s="277"/>
      <c r="HP182" s="277"/>
      <c r="HQ182" s="277"/>
      <c r="HR182" s="277"/>
      <c r="HS182" s="277"/>
      <c r="HT182" s="277"/>
      <c r="HU182" s="277"/>
      <c r="HV182" s="277"/>
      <c r="HW182" s="277"/>
      <c r="HX182" s="277"/>
      <c r="HY182" s="277"/>
      <c r="HZ182" s="140"/>
      <c r="IA182" s="277"/>
      <c r="IB182" s="277"/>
      <c r="IC182" s="277"/>
      <c r="ID182" s="140"/>
      <c r="IE182" s="277"/>
      <c r="IF182" s="277"/>
      <c r="IG182" s="277"/>
      <c r="IH182" s="140"/>
      <c r="II182" s="277"/>
      <c r="IJ182" s="277"/>
      <c r="IK182" s="277"/>
      <c r="IL182" s="140"/>
      <c r="IM182" s="277"/>
      <c r="IN182" s="277"/>
      <c r="IO182" s="277"/>
      <c r="IP182" s="277"/>
      <c r="IQ182" s="277"/>
      <c r="IR182" s="277"/>
      <c r="IS182" s="277"/>
      <c r="IT182" s="277"/>
      <c r="IU182" s="277"/>
      <c r="IV182" s="277"/>
      <c r="IW182" s="277"/>
      <c r="IX182" s="140"/>
      <c r="IY182" s="277"/>
      <c r="IZ182" s="277"/>
      <c r="JA182" s="277"/>
      <c r="JB182" s="140"/>
      <c r="JC182" s="277"/>
      <c r="JD182" s="277"/>
      <c r="JE182" s="277"/>
      <c r="JF182" s="140"/>
      <c r="JG182" s="277"/>
      <c r="JH182" s="277"/>
      <c r="JI182" s="140"/>
      <c r="JJ182" s="277"/>
      <c r="JK182" s="277"/>
      <c r="JL182" s="140"/>
      <c r="JM182" s="277"/>
      <c r="JN182" s="277"/>
      <c r="JO182" s="140"/>
      <c r="JP182" s="277"/>
      <c r="JQ182" s="277"/>
      <c r="JR182" s="277"/>
      <c r="JS182" s="277"/>
      <c r="JT182" s="277"/>
      <c r="JU182" s="277"/>
      <c r="JV182" s="277"/>
      <c r="JW182" s="277"/>
      <c r="JX182" s="277"/>
      <c r="JY182" s="277"/>
      <c r="JZ182" s="277"/>
      <c r="KA182" s="277"/>
      <c r="KB182" s="277"/>
      <c r="KC182" s="277"/>
      <c r="KD182" s="277"/>
      <c r="KE182" s="277"/>
      <c r="KF182" s="277"/>
      <c r="KG182" s="277"/>
      <c r="KH182" s="277"/>
      <c r="KI182" s="277"/>
      <c r="KJ182" s="277"/>
      <c r="KK182" s="277"/>
      <c r="KL182" s="277"/>
      <c r="KM182" s="277"/>
      <c r="KN182" s="277"/>
      <c r="KO182" s="277"/>
      <c r="KP182" s="274"/>
      <c r="KQ182" s="253"/>
      <c r="KR182" s="253"/>
      <c r="KY182" s="141">
        <f t="shared" si="65"/>
        <v>0</v>
      </c>
      <c r="KZ182" s="141">
        <f t="shared" si="66"/>
        <v>0</v>
      </c>
      <c r="LB182" s="141">
        <f t="shared" si="67"/>
        <v>1</v>
      </c>
      <c r="LC182" s="141">
        <f t="shared" si="68"/>
        <v>0</v>
      </c>
      <c r="LD182" s="141">
        <f t="shared" si="69"/>
        <v>0</v>
      </c>
      <c r="LE182" s="141" t="e">
        <f>((N(AU182)&gt;0)*(AX182&lt;&gt;"")+(N(AY182)&gt;0)*(BB182&lt;&gt;"")+(N(BC182)&gt;0)*(BF182&lt;&gt;"")+(N(BG182)&gt;0)*(BJ182&lt;&gt;"")+(N(BK182)&gt;0)*(BN182&lt;&gt;"")+(N(BO182)&gt;0)*(BR182&lt;&gt;"")+(N(BS182)&gt;0)*(BV182&lt;&gt;"")+(N(BW182)&gt;0)*(BZ182&lt;&gt;"")+(N(CA182)&gt;0)*(CD182&lt;&gt;"")+(N(CE182)&gt;0)*(CH182&lt;&gt;"")+(N(CI182)&gt;0)*(CL182&lt;&gt;"")+(N(CM182)&gt;0)*(CP182&lt;&gt;"")+(N(CQ182)&gt;0)*(CT182&lt;&gt;"")+(N(CU182)&gt;0)*(CX182&lt;&gt;"")+(N(CY182)&gt;0)*(DB182&lt;&gt;"")+(N(DC182)&gt;0)*(DF182&lt;&gt;"")+(N(DG182)&gt;0)*(DJ182&lt;&gt;"")+(N(DS182)&gt;0)*(DV182&lt;&gt;"")+(N(DW182)&gt;0)*(DZ182&lt;&gt;"")+(N(EA182)&gt;0)*(ED182&lt;&gt;"")+(N(EE182)&gt;0)*(EH182&lt;&gt;"")+(N(EI182)&gt;0)*(EL182&lt;&gt;"")+(N(EM182)&gt;0)*(EP182&lt;&gt;"")+(N(EQ182)&gt;0)*(ET182&lt;&gt;"")+(N(EU182)&gt;0)*(EX182&lt;&gt;"")+(N(#REF!)&gt;0)*(#REF!&lt;&gt;"")+(N(#REF!)&gt;0)*(#REF!&lt;&gt;"")+(N(FJ182)&gt;0)*(FM182&lt;&gt;"")+(N(FN182)&gt;0)*(FQ182&lt;&gt;"")+(N(#REF!)&gt;0)*(#REF!&lt;&gt;"")+(N(#REF!)&gt;0)*(#REF!&lt;&gt;"")+(N(HF182)&gt;0)*(HI182&lt;&gt;"")+(N(#REF!)&gt;0)*(#REF!&lt;&gt;"")+(N(HJ182)&gt;0)*(HM182&lt;&gt;"")+(N(HN182)&gt;0)*(HQ182&lt;&gt;"")+(N(HZ182)&gt;0)*(IC182&lt;&gt;"")+(N(ID182)&gt;0)*(IG182&lt;&gt;"")+(N(IH182)&gt;0)*(IK182&lt;&gt;"")+(N(IL182)&gt;0)*(IO182&lt;&gt;"")+(N(IX182)&gt;0)*(JA182&lt;&gt;"")+(N(JB182)&gt;0)*(JE182&lt;&gt;"")+(N(JF182)&gt;0)*(JH182&lt;&gt;"")+(N(JI182)&gt;0)*(JK182&lt;&gt;"")+(N(JL182)&gt;0)*(JN182&lt;&gt;"")+(N(JO182)&gt;0)*(JQ182&lt;&gt;""))</f>
        <v>#REF!</v>
      </c>
      <c r="LF182" s="141">
        <f t="shared" si="76"/>
        <v>0</v>
      </c>
      <c r="LG182" s="141">
        <f t="shared" si="70"/>
        <v>0</v>
      </c>
    </row>
    <row r="183" spans="2:319" ht="38.25" customHeight="1" x14ac:dyDescent="0.55000000000000004">
      <c r="B183" s="314" t="s">
        <v>489</v>
      </c>
      <c r="C183" s="218"/>
      <c r="D183" s="218"/>
      <c r="E183" s="218"/>
      <c r="F183" s="218"/>
      <c r="G183" s="218"/>
      <c r="H183" s="218"/>
      <c r="I183" s="162" cm="1">
        <f t="array" ref="I183">SUMPRODUCT(($AI$2:$KV$2&lt;&gt;"")*($AI183:$KV183&lt;&gt;""))</f>
        <v>2</v>
      </c>
      <c r="J183" s="142">
        <f t="shared" si="71"/>
        <v>0</v>
      </c>
      <c r="K183" s="142">
        <f t="shared" si="72"/>
        <v>0</v>
      </c>
      <c r="L183" s="268">
        <f t="shared" si="77"/>
        <v>7000</v>
      </c>
      <c r="M183" s="164">
        <f t="shared" si="73"/>
        <v>1960.0000000000002</v>
      </c>
      <c r="N183" s="397"/>
      <c r="O183" s="165">
        <f t="shared" si="74"/>
        <v>0</v>
      </c>
      <c r="P183" s="165"/>
      <c r="Q183" s="165"/>
      <c r="R183" s="165">
        <f>(IFERROR(AM183/AN183,0)+IFERROR(AU183/AV183,0)+IFERROR(AY183/AZ183,0)+IFERROR(BC183/BD183,0)+IFERROR(BG183/BH183,0)+IFERROR(BK183/BL183,0)+IFERROR(BO183/BP183,0)+IFERROR(BS183/BT183,0)+IFERROR(BW183/BX183,0)+IFERROR(CA183/CB183,0)+IFERROR(CE183/CF183,0)+IFERROR(CI183/CJ183,0)+IFERROR(CM183/CN183,0)+IFERROR(CQ183/CR183,0)+IFERROR(CU183/CV183,0)+IFERROR(CY183/CZ183,0)+IFERROR(DC183/DD183,0)+IFERROR(DG183/DH183,0)+IFERROR(DS183/DT183,0)+IFERROR(DW183/DX183,0)+IFERROR(EA183/EB183,0)+IFERROR(EE183/EF183,0)+IFERROR(EI183/EJ183,0)+IFERROR(EM183/EN183,0)+IFERROR(EQ183/ER183,0)+IFERROR(EU183/EV183,0)+IFERROR(#REF!/#REF!,0)+IFERROR(#REF!/#REF!,0)+IFERROR(FJ183/FK183,0)+IFERROR(FN183/FO183,0)+IFERROR(#REF!/#REF!,0)+IFERROR(#REF!/#REF!,0)+IFERROR(HF183/HG183,0)+IFERROR(#REF!/#REF!,0)+IFERROR(HJ183/HK183,0)+IFERROR(HN183/HO183,0)+IFERROR(HZ183/IA183,0)+IFERROR(ID183/IE183,0)+IFERROR(IH183/II183,0)+IFERROR(IL183/IM183,0)+IFERROR(IX183/IY183,0)+IFERROR(JB183/JC183,0)+IFERROR(JF183/JG183,0)+IFERROR(JI183/JJ183,0)+IFERROR(JL183/JM183,0)+IFERROR(JO183/JP183,0))*L183*(C183+D183+E183+I183)</f>
        <v>0</v>
      </c>
      <c r="S183" s="165"/>
      <c r="T183" s="165">
        <f t="shared" si="63"/>
        <v>0</v>
      </c>
      <c r="U183" s="165"/>
      <c r="V183" s="165"/>
      <c r="W183" s="165"/>
      <c r="X183" s="165">
        <f>(IFERROR(FF183/FG183,0)+IFERROR(FC183/FD183,0)+IFERROR(#REF!/#REF!,0)+IFERROR(KP183/KQ183,0))*L183*(C183+D183+E183+I183)</f>
        <v>0</v>
      </c>
      <c r="Y183" s="484"/>
      <c r="Z183" s="484"/>
      <c r="AA183" s="484"/>
      <c r="AB183" s="484"/>
      <c r="AC183" s="150">
        <f t="shared" si="75"/>
        <v>0</v>
      </c>
      <c r="AD183" s="150"/>
      <c r="AE183" s="150">
        <f t="shared" si="64"/>
        <v>0</v>
      </c>
      <c r="AF183" s="161"/>
      <c r="AG183" s="143"/>
      <c r="AH183" s="154"/>
      <c r="AI183" s="342">
        <v>35</v>
      </c>
      <c r="AJ183" s="342">
        <v>250</v>
      </c>
      <c r="AK183" s="342"/>
      <c r="AL183" s="343" t="s">
        <v>545</v>
      </c>
      <c r="AM183" s="140"/>
      <c r="AN183" s="154"/>
      <c r="AO183" s="154"/>
      <c r="AP183" s="220"/>
      <c r="AQ183" s="145"/>
      <c r="AR183" s="154"/>
      <c r="AS183" s="154"/>
      <c r="AT183" s="220"/>
      <c r="AU183" s="140"/>
      <c r="AV183" s="277"/>
      <c r="AW183" s="277"/>
      <c r="AX183" s="277"/>
      <c r="AY183" s="140"/>
      <c r="AZ183" s="277"/>
      <c r="BA183" s="277"/>
      <c r="BB183" s="277"/>
      <c r="BC183" s="140"/>
      <c r="BD183" s="277"/>
      <c r="BE183" s="277"/>
      <c r="BF183" s="277"/>
      <c r="BG183" s="140"/>
      <c r="BH183" s="277"/>
      <c r="BI183" s="277"/>
      <c r="BJ183" s="277"/>
      <c r="BK183" s="140"/>
      <c r="BL183" s="277"/>
      <c r="BM183" s="277"/>
      <c r="BN183" s="277"/>
      <c r="BO183" s="140"/>
      <c r="BP183" s="277"/>
      <c r="BQ183" s="277"/>
      <c r="BR183" s="277"/>
      <c r="BS183" s="140"/>
      <c r="BT183" s="277"/>
      <c r="BU183" s="277"/>
      <c r="BV183" s="277"/>
      <c r="BW183" s="140"/>
      <c r="BX183" s="154"/>
      <c r="BY183" s="154"/>
      <c r="BZ183" s="220"/>
      <c r="CA183" s="140"/>
      <c r="CB183" s="154"/>
      <c r="CC183" s="154"/>
      <c r="CD183" s="220"/>
      <c r="CE183" s="140"/>
      <c r="CF183" s="271"/>
      <c r="CG183" s="271"/>
      <c r="CH183" s="271"/>
      <c r="CI183" s="140"/>
      <c r="CJ183" s="154"/>
      <c r="CK183" s="154"/>
      <c r="CL183" s="154"/>
      <c r="CM183" s="140"/>
      <c r="CN183" s="271"/>
      <c r="CO183" s="271"/>
      <c r="CP183" s="271"/>
      <c r="CQ183" s="140"/>
      <c r="CR183" s="154"/>
      <c r="CS183" s="154"/>
      <c r="CT183" s="154"/>
      <c r="CU183" s="140"/>
      <c r="CV183" s="154"/>
      <c r="CW183" s="154"/>
      <c r="CX183" s="220"/>
      <c r="CY183" s="140"/>
      <c r="CZ183" s="154"/>
      <c r="DA183" s="154"/>
      <c r="DB183" s="220"/>
      <c r="DC183" s="140"/>
      <c r="DD183" s="146"/>
      <c r="DE183" s="146"/>
      <c r="DF183" s="146"/>
      <c r="DG183" s="140"/>
      <c r="DH183" s="146"/>
      <c r="DI183" s="146"/>
      <c r="DJ183" s="146"/>
      <c r="DK183" s="146"/>
      <c r="DL183" s="146"/>
      <c r="DM183" s="146"/>
      <c r="DN183" s="146"/>
      <c r="DO183" s="146"/>
      <c r="DP183" s="146"/>
      <c r="DQ183" s="146"/>
      <c r="DR183" s="146"/>
      <c r="DS183" s="140"/>
      <c r="DT183" s="154"/>
      <c r="DU183" s="154"/>
      <c r="DV183" s="154"/>
      <c r="DW183" s="140"/>
      <c r="DX183" s="220"/>
      <c r="DY183" s="220"/>
      <c r="DZ183" s="220"/>
      <c r="EA183" s="140"/>
      <c r="EB183" s="220"/>
      <c r="EC183" s="220"/>
      <c r="ED183" s="220"/>
      <c r="EE183" s="140"/>
      <c r="EF183" s="154"/>
      <c r="EG183" s="154"/>
      <c r="EH183" s="154"/>
      <c r="EI183" s="140"/>
      <c r="EJ183" s="154"/>
      <c r="EK183" s="154"/>
      <c r="EL183" s="154"/>
      <c r="EM183" s="140"/>
      <c r="EN183" s="222"/>
      <c r="EO183" s="222"/>
      <c r="EP183" s="222"/>
      <c r="EQ183" s="140"/>
      <c r="ER183" s="222"/>
      <c r="ES183" s="222"/>
      <c r="ET183" s="222"/>
      <c r="EU183" s="140"/>
      <c r="EV183" s="222"/>
      <c r="EW183" s="222"/>
      <c r="EX183" s="222"/>
      <c r="EY183" s="344"/>
      <c r="EZ183" s="222"/>
      <c r="FA183" s="222"/>
      <c r="FB183" s="222"/>
      <c r="FC183" s="273"/>
      <c r="FD183" s="223"/>
      <c r="FE183" s="223"/>
      <c r="FF183" s="276"/>
      <c r="FG183" s="156"/>
      <c r="FH183" s="156"/>
      <c r="FI183" s="156"/>
      <c r="FJ183" s="140"/>
      <c r="FK183" s="277"/>
      <c r="FL183" s="277"/>
      <c r="FM183" s="277"/>
      <c r="FN183" s="140"/>
      <c r="FO183" s="277"/>
      <c r="FP183" s="277"/>
      <c r="FQ183" s="277"/>
      <c r="FR183" s="280"/>
      <c r="FS183" s="277"/>
      <c r="FT183" s="277"/>
      <c r="FU183" s="277"/>
      <c r="FV183" s="277"/>
      <c r="FW183" s="277"/>
      <c r="FX183" s="277"/>
      <c r="FY183" s="277"/>
      <c r="FZ183" s="277"/>
      <c r="GA183" s="277"/>
      <c r="GB183" s="277"/>
      <c r="GC183" s="277"/>
      <c r="GD183" s="277"/>
      <c r="GE183" s="277"/>
      <c r="GF183" s="277"/>
      <c r="GG183" s="277"/>
      <c r="GH183" s="277"/>
      <c r="GI183" s="277"/>
      <c r="GJ183" s="277"/>
      <c r="GK183" s="277"/>
      <c r="GL183" s="277"/>
      <c r="GM183" s="277"/>
      <c r="GN183" s="277"/>
      <c r="GO183" s="277"/>
      <c r="GP183" s="277"/>
      <c r="GQ183" s="277"/>
      <c r="GR183" s="277"/>
      <c r="GS183" s="277"/>
      <c r="GT183" s="277"/>
      <c r="GU183" s="277"/>
      <c r="GV183" s="277"/>
      <c r="GW183" s="277"/>
      <c r="GX183" s="277"/>
      <c r="GY183" s="277"/>
      <c r="GZ183" s="277"/>
      <c r="HA183" s="277"/>
      <c r="HB183" s="277"/>
      <c r="HC183" s="277"/>
      <c r="HD183" s="277"/>
      <c r="HE183" s="277"/>
      <c r="HF183" s="140"/>
      <c r="HG183" s="277"/>
      <c r="HH183" s="277"/>
      <c r="HI183" s="277"/>
      <c r="HJ183" s="140"/>
      <c r="HK183" s="277"/>
      <c r="HL183" s="277"/>
      <c r="HM183" s="277"/>
      <c r="HN183" s="140"/>
      <c r="HO183" s="277"/>
      <c r="HP183" s="277"/>
      <c r="HQ183" s="277"/>
      <c r="HR183" s="277"/>
      <c r="HS183" s="277"/>
      <c r="HT183" s="277"/>
      <c r="HU183" s="277"/>
      <c r="HV183" s="277"/>
      <c r="HW183" s="277"/>
      <c r="HX183" s="277"/>
      <c r="HY183" s="277"/>
      <c r="HZ183" s="140"/>
      <c r="IA183" s="277"/>
      <c r="IB183" s="277"/>
      <c r="IC183" s="277"/>
      <c r="ID183" s="140"/>
      <c r="IE183" s="277"/>
      <c r="IF183" s="277"/>
      <c r="IG183" s="277"/>
      <c r="IH183" s="140"/>
      <c r="II183" s="277"/>
      <c r="IJ183" s="277"/>
      <c r="IK183" s="277"/>
      <c r="IL183" s="140"/>
      <c r="IM183" s="277"/>
      <c r="IN183" s="277"/>
      <c r="IO183" s="277"/>
      <c r="IP183" s="277"/>
      <c r="IQ183" s="277"/>
      <c r="IR183" s="277"/>
      <c r="IS183" s="277"/>
      <c r="IT183" s="277"/>
      <c r="IU183" s="277"/>
      <c r="IV183" s="277"/>
      <c r="IW183" s="277"/>
      <c r="IX183" s="140"/>
      <c r="IY183" s="277"/>
      <c r="IZ183" s="277"/>
      <c r="JA183" s="277"/>
      <c r="JB183" s="140"/>
      <c r="JC183" s="277"/>
      <c r="JD183" s="277"/>
      <c r="JE183" s="277"/>
      <c r="JF183" s="140"/>
      <c r="JG183" s="277"/>
      <c r="JH183" s="277"/>
      <c r="JI183" s="140"/>
      <c r="JJ183" s="277"/>
      <c r="JK183" s="277"/>
      <c r="JL183" s="140"/>
      <c r="JM183" s="277"/>
      <c r="JN183" s="277"/>
      <c r="JO183" s="140"/>
      <c r="JP183" s="277"/>
      <c r="JQ183" s="277"/>
      <c r="JR183" s="277"/>
      <c r="JS183" s="277"/>
      <c r="JT183" s="277"/>
      <c r="JU183" s="277"/>
      <c r="JV183" s="277"/>
      <c r="JW183" s="277"/>
      <c r="JX183" s="277"/>
      <c r="JY183" s="277"/>
      <c r="JZ183" s="277"/>
      <c r="KA183" s="277"/>
      <c r="KB183" s="277"/>
      <c r="KC183" s="277"/>
      <c r="KD183" s="277"/>
      <c r="KE183" s="277"/>
      <c r="KF183" s="277"/>
      <c r="KG183" s="277"/>
      <c r="KH183" s="277"/>
      <c r="KI183" s="277"/>
      <c r="KJ183" s="277"/>
      <c r="KK183" s="277"/>
      <c r="KL183" s="277"/>
      <c r="KM183" s="277"/>
      <c r="KN183" s="277"/>
      <c r="KO183" s="277"/>
      <c r="KP183" s="274"/>
      <c r="KQ183" s="253"/>
      <c r="KR183" s="253"/>
      <c r="KS183" s="346">
        <v>40</v>
      </c>
      <c r="KT183" s="346">
        <v>1000</v>
      </c>
      <c r="KU183" s="346" t="s">
        <v>759</v>
      </c>
      <c r="KY183" s="141">
        <f t="shared" si="65"/>
        <v>560</v>
      </c>
      <c r="KZ183" s="141">
        <f t="shared" si="66"/>
        <v>0</v>
      </c>
      <c r="LB183" s="141">
        <f t="shared" si="67"/>
        <v>1</v>
      </c>
      <c r="LC183" s="141">
        <f t="shared" si="68"/>
        <v>0</v>
      </c>
      <c r="LD183" s="141">
        <f t="shared" si="69"/>
        <v>0</v>
      </c>
      <c r="LE183" s="141" t="e">
        <f>((N(AU183)&gt;0)*(AX183&lt;&gt;"")+(N(AY183)&gt;0)*(BB183&lt;&gt;"")+(N(BC183)&gt;0)*(BF183&lt;&gt;"")+(N(BG183)&gt;0)*(BJ183&lt;&gt;"")+(N(BK183)&gt;0)*(BN183&lt;&gt;"")+(N(BO183)&gt;0)*(BR183&lt;&gt;"")+(N(BS183)&gt;0)*(BV183&lt;&gt;"")+(N(BW183)&gt;0)*(BZ183&lt;&gt;"")+(N(CA183)&gt;0)*(CD183&lt;&gt;"")+(N(CE183)&gt;0)*(CH183&lt;&gt;"")+(N(CI183)&gt;0)*(CL183&lt;&gt;"")+(N(CM183)&gt;0)*(CP183&lt;&gt;"")+(N(CQ183)&gt;0)*(CT183&lt;&gt;"")+(N(CU183)&gt;0)*(CX183&lt;&gt;"")+(N(CY183)&gt;0)*(DB183&lt;&gt;"")+(N(DC183)&gt;0)*(DF183&lt;&gt;"")+(N(DG183)&gt;0)*(DJ183&lt;&gt;"")+(N(DS183)&gt;0)*(DV183&lt;&gt;"")+(N(DW183)&gt;0)*(DZ183&lt;&gt;"")+(N(EA183)&gt;0)*(ED183&lt;&gt;"")+(N(EE183)&gt;0)*(EH183&lt;&gt;"")+(N(EI183)&gt;0)*(EL183&lt;&gt;"")+(N(EM183)&gt;0)*(EP183&lt;&gt;"")+(N(EQ183)&gt;0)*(ET183&lt;&gt;"")+(N(EU183)&gt;0)*(EX183&lt;&gt;"")+(N(#REF!)&gt;0)*(#REF!&lt;&gt;"")+(N(#REF!)&gt;0)*(#REF!&lt;&gt;"")+(N(FJ183)&gt;0)*(FM183&lt;&gt;"")+(N(FN183)&gt;0)*(FQ183&lt;&gt;"")+(N(#REF!)&gt;0)*(#REF!&lt;&gt;"")+(N(#REF!)&gt;0)*(#REF!&lt;&gt;"")+(N(HF183)&gt;0)*(HI183&lt;&gt;"")+(N(#REF!)&gt;0)*(#REF!&lt;&gt;"")+(N(HJ183)&gt;0)*(HM183&lt;&gt;"")+(N(HN183)&gt;0)*(HQ183&lt;&gt;"")+(N(HZ183)&gt;0)*(IC183&lt;&gt;"")+(N(ID183)&gt;0)*(IG183&lt;&gt;"")+(N(IH183)&gt;0)*(IK183&lt;&gt;"")+(N(IL183)&gt;0)*(IO183&lt;&gt;"")+(N(IX183)&gt;0)*(JA183&lt;&gt;"")+(N(JB183)&gt;0)*(JE183&lt;&gt;"")+(N(JF183)&gt;0)*(JH183&lt;&gt;"")+(N(JI183)&gt;0)*(JK183&lt;&gt;"")+(N(JL183)&gt;0)*(JN183&lt;&gt;"")+(N(JO183)&gt;0)*(JQ183&lt;&gt;""))</f>
        <v>#REF!</v>
      </c>
      <c r="LF183" s="141">
        <f t="shared" si="76"/>
        <v>0</v>
      </c>
      <c r="LG183" s="141">
        <f t="shared" si="70"/>
        <v>0</v>
      </c>
    </row>
    <row r="184" spans="2:319" ht="38.25" customHeight="1" x14ac:dyDescent="0.55000000000000004">
      <c r="B184" s="314" t="s">
        <v>494</v>
      </c>
      <c r="C184" s="218"/>
      <c r="D184" s="218"/>
      <c r="E184" s="218"/>
      <c r="F184" s="218"/>
      <c r="G184" s="218"/>
      <c r="H184" s="218"/>
      <c r="I184" s="162" cm="1">
        <f t="array" ref="I184">SUMPRODUCT(($AI$2:$KV$2&lt;&gt;"")*($AI184:$KV184&lt;&gt;""))</f>
        <v>0</v>
      </c>
      <c r="J184" s="142">
        <f t="shared" si="71"/>
        <v>0</v>
      </c>
      <c r="K184" s="142">
        <f t="shared" si="72"/>
        <v>0</v>
      </c>
      <c r="L184" s="268">
        <f t="shared" si="77"/>
        <v>7000</v>
      </c>
      <c r="M184" s="164">
        <f t="shared" si="73"/>
        <v>0</v>
      </c>
      <c r="N184" s="397"/>
      <c r="O184" s="165">
        <f t="shared" si="74"/>
        <v>0</v>
      </c>
      <c r="P184" s="165"/>
      <c r="Q184" s="165"/>
      <c r="R184" s="165">
        <f>(IFERROR(AM184/AN184,0)+IFERROR(AU184/AV184,0)+IFERROR(AY184/AZ184,0)+IFERROR(BC184/BD184,0)+IFERROR(BG184/BH184,0)+IFERROR(BK184/BL184,0)+IFERROR(BO184/BP184,0)+IFERROR(BS184/BT184,0)+IFERROR(BW184/BX184,0)+IFERROR(CA184/CB184,0)+IFERROR(CE184/CF184,0)+IFERROR(CI184/CJ184,0)+IFERROR(CM184/CN184,0)+IFERROR(CQ184/CR184,0)+IFERROR(CU184/CV184,0)+IFERROR(CY184/CZ184,0)+IFERROR(DC184/DD184,0)+IFERROR(DG184/DH184,0)+IFERROR(DS184/DT184,0)+IFERROR(DW184/DX184,0)+IFERROR(EA184/EB184,0)+IFERROR(EE184/EF184,0)+IFERROR(EI184/EJ184,0)+IFERROR(EM184/EN184,0)+IFERROR(EQ184/ER184,0)+IFERROR(EU184/EV184,0)+IFERROR(#REF!/#REF!,0)+IFERROR(#REF!/#REF!,0)+IFERROR(FJ184/FK184,0)+IFERROR(FN184/FO184,0)+IFERROR(#REF!/#REF!,0)+IFERROR(#REF!/#REF!,0)+IFERROR(HF184/HG184,0)+IFERROR(#REF!/#REF!,0)+IFERROR(HJ184/HK184,0)+IFERROR(HN184/HO184,0)+IFERROR(HZ184/IA184,0)+IFERROR(ID184/IE184,0)+IFERROR(IH184/II184,0)+IFERROR(IL184/IM184,0)+IFERROR(IX184/IY184,0)+IFERROR(JB184/JC184,0)+IFERROR(JF184/JG184,0)+IFERROR(JI184/JJ184,0)+IFERROR(JL184/JM184,0)+IFERROR(JO184/JP184,0))*L184*(C184+D184+E184+I184)</f>
        <v>0</v>
      </c>
      <c r="S184" s="165"/>
      <c r="T184" s="165">
        <f t="shared" si="63"/>
        <v>0</v>
      </c>
      <c r="U184" s="165"/>
      <c r="V184" s="165"/>
      <c r="W184" s="165"/>
      <c r="X184" s="165">
        <f>(IFERROR(FF184/FG184,0)+IFERROR(FC184/FD184,0)+IFERROR(#REF!/#REF!,0)+IFERROR(KP184/KQ184,0))*L184*(C184+D184+E184+I184)</f>
        <v>0</v>
      </c>
      <c r="Y184" s="484"/>
      <c r="Z184" s="484"/>
      <c r="AA184" s="484"/>
      <c r="AB184" s="484"/>
      <c r="AC184" s="150">
        <f t="shared" si="75"/>
        <v>0</v>
      </c>
      <c r="AD184" s="150"/>
      <c r="AE184" s="150">
        <f t="shared" si="64"/>
        <v>0</v>
      </c>
      <c r="AF184" s="161"/>
      <c r="AG184" s="143"/>
      <c r="AH184" s="154"/>
      <c r="AI184" s="144"/>
      <c r="AJ184" s="154"/>
      <c r="AK184" s="154"/>
      <c r="AL184" s="220"/>
      <c r="AM184" s="140"/>
      <c r="AN184" s="154"/>
      <c r="AO184" s="154"/>
      <c r="AP184" s="220"/>
      <c r="AQ184" s="145"/>
      <c r="AR184" s="154"/>
      <c r="AS184" s="154"/>
      <c r="AT184" s="220"/>
      <c r="AU184" s="140"/>
      <c r="AV184" s="277"/>
      <c r="AW184" s="277"/>
      <c r="AX184" s="277"/>
      <c r="AY184" s="140"/>
      <c r="AZ184" s="277"/>
      <c r="BA184" s="277"/>
      <c r="BB184" s="277"/>
      <c r="BC184" s="140"/>
      <c r="BD184" s="277"/>
      <c r="BE184" s="277"/>
      <c r="BF184" s="277"/>
      <c r="BG184" s="140"/>
      <c r="BH184" s="277"/>
      <c r="BI184" s="277"/>
      <c r="BJ184" s="277"/>
      <c r="BK184" s="140"/>
      <c r="BL184" s="277"/>
      <c r="BM184" s="277"/>
      <c r="BN184" s="277"/>
      <c r="BO184" s="140"/>
      <c r="BP184" s="277"/>
      <c r="BQ184" s="277"/>
      <c r="BR184" s="277"/>
      <c r="BS184" s="140"/>
      <c r="BT184" s="277"/>
      <c r="BU184" s="277"/>
      <c r="BV184" s="277"/>
      <c r="BW184" s="140"/>
      <c r="BX184" s="154"/>
      <c r="BY184" s="154"/>
      <c r="BZ184" s="220"/>
      <c r="CA184" s="140"/>
      <c r="CB184" s="154"/>
      <c r="CC184" s="154"/>
      <c r="CD184" s="220"/>
      <c r="CE184" s="140"/>
      <c r="CF184" s="271"/>
      <c r="CG184" s="271"/>
      <c r="CH184" s="271"/>
      <c r="CI184" s="140"/>
      <c r="CJ184" s="154"/>
      <c r="CK184" s="154"/>
      <c r="CL184" s="154"/>
      <c r="CM184" s="140"/>
      <c r="CN184" s="271"/>
      <c r="CO184" s="271"/>
      <c r="CP184" s="271"/>
      <c r="CQ184" s="140"/>
      <c r="CR184" s="154"/>
      <c r="CS184" s="154"/>
      <c r="CT184" s="154"/>
      <c r="CU184" s="140"/>
      <c r="CV184" s="154"/>
      <c r="CW184" s="154"/>
      <c r="CX184" s="220"/>
      <c r="CY184" s="140"/>
      <c r="CZ184" s="154"/>
      <c r="DA184" s="154"/>
      <c r="DB184" s="220"/>
      <c r="DC184" s="140"/>
      <c r="DD184" s="146"/>
      <c r="DE184" s="146"/>
      <c r="DF184" s="146"/>
      <c r="DG184" s="140"/>
      <c r="DH184" s="146"/>
      <c r="DI184" s="146"/>
      <c r="DJ184" s="146"/>
      <c r="DK184" s="146"/>
      <c r="DL184" s="146"/>
      <c r="DM184" s="146"/>
      <c r="DN184" s="146"/>
      <c r="DO184" s="146"/>
      <c r="DP184" s="146"/>
      <c r="DQ184" s="146"/>
      <c r="DR184" s="146"/>
      <c r="DS184" s="140"/>
      <c r="DT184" s="154"/>
      <c r="DU184" s="154"/>
      <c r="DV184" s="154"/>
      <c r="DW184" s="140"/>
      <c r="DX184" s="220"/>
      <c r="DY184" s="220"/>
      <c r="DZ184" s="220"/>
      <c r="EA184" s="140"/>
      <c r="EB184" s="220"/>
      <c r="EC184" s="220"/>
      <c r="ED184" s="220"/>
      <c r="EE184" s="140"/>
      <c r="EF184" s="154"/>
      <c r="EG184" s="154"/>
      <c r="EH184" s="154"/>
      <c r="EI184" s="140"/>
      <c r="EJ184" s="154"/>
      <c r="EK184" s="154"/>
      <c r="EL184" s="154"/>
      <c r="EM184" s="140"/>
      <c r="EN184" s="222"/>
      <c r="EO184" s="222"/>
      <c r="EP184" s="222"/>
      <c r="EQ184" s="140"/>
      <c r="ER184" s="222"/>
      <c r="ES184" s="222"/>
      <c r="ET184" s="222"/>
      <c r="EU184" s="140"/>
      <c r="EV184" s="222"/>
      <c r="EW184" s="222"/>
      <c r="EX184" s="222"/>
      <c r="EY184" s="344"/>
      <c r="EZ184" s="222"/>
      <c r="FA184" s="222"/>
      <c r="FB184" s="222"/>
      <c r="FC184" s="273"/>
      <c r="FD184" s="223"/>
      <c r="FE184" s="223"/>
      <c r="FF184" s="276"/>
      <c r="FG184" s="156"/>
      <c r="FH184" s="156"/>
      <c r="FI184" s="156"/>
      <c r="FJ184" s="140"/>
      <c r="FK184" s="277"/>
      <c r="FL184" s="277"/>
      <c r="FM184" s="277"/>
      <c r="FN184" s="140"/>
      <c r="FO184" s="277"/>
      <c r="FP184" s="277"/>
      <c r="FQ184" s="277"/>
      <c r="FR184" s="280"/>
      <c r="FS184" s="277"/>
      <c r="FT184" s="277"/>
      <c r="FU184" s="277"/>
      <c r="FV184" s="277"/>
      <c r="FW184" s="277"/>
      <c r="FX184" s="277"/>
      <c r="FY184" s="277"/>
      <c r="FZ184" s="277"/>
      <c r="GA184" s="277"/>
      <c r="GB184" s="277"/>
      <c r="GC184" s="277"/>
      <c r="GD184" s="277"/>
      <c r="GE184" s="277"/>
      <c r="GF184" s="277"/>
      <c r="GG184" s="277"/>
      <c r="GH184" s="277"/>
      <c r="GI184" s="277"/>
      <c r="GJ184" s="277"/>
      <c r="GK184" s="277"/>
      <c r="GL184" s="277"/>
      <c r="GM184" s="277"/>
      <c r="GN184" s="277"/>
      <c r="GO184" s="277"/>
      <c r="GP184" s="277"/>
      <c r="GQ184" s="277"/>
      <c r="GR184" s="277"/>
      <c r="GS184" s="277"/>
      <c r="GT184" s="277"/>
      <c r="GU184" s="277"/>
      <c r="GV184" s="277"/>
      <c r="GW184" s="277"/>
      <c r="GX184" s="277"/>
      <c r="GY184" s="277"/>
      <c r="GZ184" s="277"/>
      <c r="HA184" s="277"/>
      <c r="HB184" s="277"/>
      <c r="HC184" s="277"/>
      <c r="HD184" s="277"/>
      <c r="HE184" s="277"/>
      <c r="HF184" s="140"/>
      <c r="HG184" s="277"/>
      <c r="HH184" s="277"/>
      <c r="HI184" s="277"/>
      <c r="HJ184" s="140"/>
      <c r="HK184" s="277"/>
      <c r="HL184" s="277"/>
      <c r="HM184" s="277"/>
      <c r="HN184" s="140"/>
      <c r="HO184" s="277"/>
      <c r="HP184" s="277"/>
      <c r="HQ184" s="277"/>
      <c r="HR184" s="277"/>
      <c r="HS184" s="277"/>
      <c r="HT184" s="277"/>
      <c r="HU184" s="277"/>
      <c r="HV184" s="277"/>
      <c r="HW184" s="277"/>
      <c r="HX184" s="277"/>
      <c r="HY184" s="277"/>
      <c r="HZ184" s="140"/>
      <c r="IA184" s="277"/>
      <c r="IB184" s="277"/>
      <c r="IC184" s="277"/>
      <c r="ID184" s="140"/>
      <c r="IE184" s="277"/>
      <c r="IF184" s="277"/>
      <c r="IG184" s="277"/>
      <c r="IH184" s="140"/>
      <c r="II184" s="277"/>
      <c r="IJ184" s="277"/>
      <c r="IK184" s="277"/>
      <c r="IL184" s="140"/>
      <c r="IM184" s="277"/>
      <c r="IN184" s="277"/>
      <c r="IO184" s="277"/>
      <c r="IP184" s="277"/>
      <c r="IQ184" s="277"/>
      <c r="IR184" s="277"/>
      <c r="IS184" s="277"/>
      <c r="IT184" s="277"/>
      <c r="IU184" s="277"/>
      <c r="IV184" s="277"/>
      <c r="IW184" s="277"/>
      <c r="IX184" s="140"/>
      <c r="IY184" s="277"/>
      <c r="IZ184" s="277"/>
      <c r="JA184" s="277"/>
      <c r="JB184" s="140"/>
      <c r="JC184" s="277"/>
      <c r="JD184" s="277"/>
      <c r="JE184" s="277"/>
      <c r="JF184" s="140"/>
      <c r="JG184" s="277"/>
      <c r="JH184" s="277"/>
      <c r="JI184" s="140"/>
      <c r="JJ184" s="277"/>
      <c r="JK184" s="277"/>
      <c r="JL184" s="140"/>
      <c r="JM184" s="277"/>
      <c r="JN184" s="277"/>
      <c r="JO184" s="140"/>
      <c r="JP184" s="277"/>
      <c r="JQ184" s="277"/>
      <c r="JR184" s="277"/>
      <c r="JS184" s="277"/>
      <c r="JT184" s="277"/>
      <c r="JU184" s="277"/>
      <c r="JV184" s="277"/>
      <c r="JW184" s="277"/>
      <c r="JX184" s="277"/>
      <c r="JY184" s="277"/>
      <c r="JZ184" s="277"/>
      <c r="KA184" s="277"/>
      <c r="KB184" s="277"/>
      <c r="KC184" s="277"/>
      <c r="KD184" s="277"/>
      <c r="KE184" s="277"/>
      <c r="KF184" s="277"/>
      <c r="KG184" s="277"/>
      <c r="KH184" s="277"/>
      <c r="KI184" s="277"/>
      <c r="KJ184" s="277"/>
      <c r="KK184" s="277"/>
      <c r="KL184" s="277"/>
      <c r="KM184" s="277"/>
      <c r="KN184" s="277"/>
      <c r="KO184" s="277"/>
      <c r="KP184" s="274"/>
      <c r="KQ184" s="253"/>
      <c r="KR184" s="253"/>
      <c r="KY184" s="141">
        <f t="shared" si="65"/>
        <v>0</v>
      </c>
      <c r="KZ184" s="141">
        <f t="shared" si="66"/>
        <v>0</v>
      </c>
      <c r="LB184" s="141">
        <f t="shared" si="67"/>
        <v>0</v>
      </c>
      <c r="LC184" s="141">
        <f t="shared" si="68"/>
        <v>0</v>
      </c>
      <c r="LD184" s="141">
        <f t="shared" si="69"/>
        <v>0</v>
      </c>
      <c r="LE184" s="141" t="e">
        <f>((N(AU184)&gt;0)*(AX184&lt;&gt;"")+(N(AY184)&gt;0)*(BB184&lt;&gt;"")+(N(BC184)&gt;0)*(BF184&lt;&gt;"")+(N(BG184)&gt;0)*(BJ184&lt;&gt;"")+(N(BK184)&gt;0)*(BN184&lt;&gt;"")+(N(BO184)&gt;0)*(BR184&lt;&gt;"")+(N(BS184)&gt;0)*(BV184&lt;&gt;"")+(N(BW184)&gt;0)*(BZ184&lt;&gt;"")+(N(CA184)&gt;0)*(CD184&lt;&gt;"")+(N(CE184)&gt;0)*(CH184&lt;&gt;"")+(N(CI184)&gt;0)*(CL184&lt;&gt;"")+(N(CM184)&gt;0)*(CP184&lt;&gt;"")+(N(CQ184)&gt;0)*(CT184&lt;&gt;"")+(N(CU184)&gt;0)*(CX184&lt;&gt;"")+(N(CY184)&gt;0)*(DB184&lt;&gt;"")+(N(DC184)&gt;0)*(DF184&lt;&gt;"")+(N(DG184)&gt;0)*(DJ184&lt;&gt;"")+(N(DS184)&gt;0)*(DV184&lt;&gt;"")+(N(DW184)&gt;0)*(DZ184&lt;&gt;"")+(N(EA184)&gt;0)*(ED184&lt;&gt;"")+(N(EE184)&gt;0)*(EH184&lt;&gt;"")+(N(EI184)&gt;0)*(EL184&lt;&gt;"")+(N(EM184)&gt;0)*(EP184&lt;&gt;"")+(N(EQ184)&gt;0)*(ET184&lt;&gt;"")+(N(EU184)&gt;0)*(EX184&lt;&gt;"")+(N(#REF!)&gt;0)*(#REF!&lt;&gt;"")+(N(#REF!)&gt;0)*(#REF!&lt;&gt;"")+(N(FJ184)&gt;0)*(FM184&lt;&gt;"")+(N(FN184)&gt;0)*(FQ184&lt;&gt;"")+(N(#REF!)&gt;0)*(#REF!&lt;&gt;"")+(N(#REF!)&gt;0)*(#REF!&lt;&gt;"")+(N(HF184)&gt;0)*(HI184&lt;&gt;"")+(N(#REF!)&gt;0)*(#REF!&lt;&gt;"")+(N(HJ184)&gt;0)*(HM184&lt;&gt;"")+(N(HN184)&gt;0)*(HQ184&lt;&gt;"")+(N(HZ184)&gt;0)*(IC184&lt;&gt;"")+(N(ID184)&gt;0)*(IG184&lt;&gt;"")+(N(IH184)&gt;0)*(IK184&lt;&gt;"")+(N(IL184)&gt;0)*(IO184&lt;&gt;"")+(N(IX184)&gt;0)*(JA184&lt;&gt;"")+(N(JB184)&gt;0)*(JE184&lt;&gt;"")+(N(JF184)&gt;0)*(JH184&lt;&gt;"")+(N(JI184)&gt;0)*(JK184&lt;&gt;"")+(N(JL184)&gt;0)*(JN184&lt;&gt;"")+(N(JO184)&gt;0)*(JQ184&lt;&gt;""))</f>
        <v>#REF!</v>
      </c>
      <c r="LF184" s="141">
        <f t="shared" si="76"/>
        <v>0</v>
      </c>
      <c r="LG184" s="141">
        <f t="shared" si="70"/>
        <v>0</v>
      </c>
    </row>
    <row r="185" spans="2:319" ht="38.25" customHeight="1" x14ac:dyDescent="0.55000000000000004">
      <c r="B185" s="314" t="s">
        <v>486</v>
      </c>
      <c r="C185" s="218"/>
      <c r="D185" s="218"/>
      <c r="E185" s="218"/>
      <c r="F185" s="218"/>
      <c r="G185" s="218"/>
      <c r="H185" s="218"/>
      <c r="I185" s="162" cm="1">
        <f t="array" ref="I185">SUMPRODUCT(($AI$2:$KV$2&lt;&gt;"")*($AI185:$KV185&lt;&gt;""))</f>
        <v>0</v>
      </c>
      <c r="J185" s="142">
        <f t="shared" si="71"/>
        <v>0</v>
      </c>
      <c r="K185" s="142">
        <f t="shared" si="72"/>
        <v>0</v>
      </c>
      <c r="L185" s="268">
        <f t="shared" si="77"/>
        <v>7000</v>
      </c>
      <c r="M185" s="164">
        <f t="shared" si="73"/>
        <v>0</v>
      </c>
      <c r="N185" s="397"/>
      <c r="O185" s="165">
        <f t="shared" si="74"/>
        <v>0</v>
      </c>
      <c r="P185" s="165"/>
      <c r="Q185" s="165"/>
      <c r="R185" s="165">
        <f>(IFERROR(AM185/AN185,0)+IFERROR(AU185/AV185,0)+IFERROR(AY185/AZ185,0)+IFERROR(BC185/BD185,0)+IFERROR(BG185/BH185,0)+IFERROR(BK185/BL185,0)+IFERROR(BO185/BP185,0)+IFERROR(BS185/BT185,0)+IFERROR(BW185/BX185,0)+IFERROR(CA185/CB185,0)+IFERROR(CE185/CF185,0)+IFERROR(CI185/CJ185,0)+IFERROR(CM185/CN185,0)+IFERROR(CQ185/CR185,0)+IFERROR(CU185/CV185,0)+IFERROR(CY185/CZ185,0)+IFERROR(DC185/DD185,0)+IFERROR(DG185/DH185,0)+IFERROR(DS185/DT185,0)+IFERROR(DW185/DX185,0)+IFERROR(EA185/EB185,0)+IFERROR(EE185/EF185,0)+IFERROR(EI185/EJ185,0)+IFERROR(EM185/EN185,0)+IFERROR(EQ185/ER185,0)+IFERROR(EU185/EV185,0)+IFERROR(#REF!/#REF!,0)+IFERROR(#REF!/#REF!,0)+IFERROR(FJ185/FK185,0)+IFERROR(FN185/FO185,0)+IFERROR(#REF!/#REF!,0)+IFERROR(#REF!/#REF!,0)+IFERROR(HF185/HG185,0)+IFERROR(#REF!/#REF!,0)+IFERROR(HJ185/HK185,0)+IFERROR(HN185/HO185,0)+IFERROR(HZ185/IA185,0)+IFERROR(ID185/IE185,0)+IFERROR(IH185/II185,0)+IFERROR(IL185/IM185,0)+IFERROR(IX185/IY185,0)+IFERROR(JB185/JC185,0)+IFERROR(JF185/JG185,0)+IFERROR(JI185/JJ185,0)+IFERROR(JL185/JM185,0)+IFERROR(JO185/JP185,0))*L185*(C185+D185+E185+I185)</f>
        <v>0</v>
      </c>
      <c r="S185" s="165"/>
      <c r="T185" s="165">
        <f t="shared" si="63"/>
        <v>0</v>
      </c>
      <c r="U185" s="165"/>
      <c r="V185" s="165"/>
      <c r="W185" s="165"/>
      <c r="X185" s="165">
        <f>(IFERROR(FF185/FG185,0)+IFERROR(FC185/FD185,0)+IFERROR(#REF!/#REF!,0)+IFERROR(KP185/KQ185,0))*L185*(C185+D185+E185+I185)</f>
        <v>0</v>
      </c>
      <c r="Y185" s="484"/>
      <c r="Z185" s="484"/>
      <c r="AA185" s="484"/>
      <c r="AB185" s="484"/>
      <c r="AC185" s="150">
        <f t="shared" si="75"/>
        <v>0</v>
      </c>
      <c r="AD185" s="150"/>
      <c r="AE185" s="150">
        <f t="shared" si="64"/>
        <v>0</v>
      </c>
      <c r="AF185" s="161"/>
      <c r="AG185" s="143"/>
      <c r="AH185" s="154"/>
      <c r="AI185" s="144"/>
      <c r="AJ185" s="154"/>
      <c r="AK185" s="154"/>
      <c r="AL185" s="220"/>
      <c r="AM185" s="140"/>
      <c r="AN185" s="154"/>
      <c r="AO185" s="154"/>
      <c r="AP185" s="220"/>
      <c r="AQ185" s="145"/>
      <c r="AR185" s="154"/>
      <c r="AS185" s="154"/>
      <c r="AT185" s="220"/>
      <c r="AU185" s="140"/>
      <c r="AV185" s="277"/>
      <c r="AW185" s="277"/>
      <c r="AX185" s="277"/>
      <c r="AY185" s="140"/>
      <c r="AZ185" s="277"/>
      <c r="BA185" s="277"/>
      <c r="BB185" s="277"/>
      <c r="BC185" s="140"/>
      <c r="BD185" s="277"/>
      <c r="BE185" s="277"/>
      <c r="BF185" s="277"/>
      <c r="BG185" s="140"/>
      <c r="BH185" s="277"/>
      <c r="BI185" s="277"/>
      <c r="BJ185" s="277"/>
      <c r="BK185" s="140"/>
      <c r="BL185" s="277"/>
      <c r="BM185" s="277"/>
      <c r="BN185" s="277"/>
      <c r="BO185" s="140"/>
      <c r="BP185" s="277"/>
      <c r="BQ185" s="277"/>
      <c r="BR185" s="277"/>
      <c r="BS185" s="140"/>
      <c r="BT185" s="277"/>
      <c r="BU185" s="277"/>
      <c r="BV185" s="277"/>
      <c r="BW185" s="140"/>
      <c r="BX185" s="154"/>
      <c r="BY185" s="154"/>
      <c r="BZ185" s="220"/>
      <c r="CA185" s="140"/>
      <c r="CB185" s="154"/>
      <c r="CC185" s="154"/>
      <c r="CD185" s="220"/>
      <c r="CE185" s="140"/>
      <c r="CF185" s="271"/>
      <c r="CG185" s="271"/>
      <c r="CH185" s="271"/>
      <c r="CI185" s="140"/>
      <c r="CJ185" s="154"/>
      <c r="CK185" s="154"/>
      <c r="CL185" s="154"/>
      <c r="CM185" s="140"/>
      <c r="CN185" s="271"/>
      <c r="CO185" s="271"/>
      <c r="CP185" s="271"/>
      <c r="CQ185" s="140"/>
      <c r="CR185" s="154"/>
      <c r="CS185" s="154"/>
      <c r="CT185" s="154"/>
      <c r="CU185" s="140"/>
      <c r="CV185" s="154"/>
      <c r="CW185" s="154"/>
      <c r="CX185" s="220"/>
      <c r="CY185" s="140"/>
      <c r="CZ185" s="154"/>
      <c r="DA185" s="154"/>
      <c r="DB185" s="220"/>
      <c r="DC185" s="140"/>
      <c r="DD185" s="146"/>
      <c r="DE185" s="146"/>
      <c r="DF185" s="146"/>
      <c r="DG185" s="140"/>
      <c r="DH185" s="146"/>
      <c r="DI185" s="146"/>
      <c r="DJ185" s="146"/>
      <c r="DK185" s="146"/>
      <c r="DL185" s="146"/>
      <c r="DM185" s="146"/>
      <c r="DN185" s="146"/>
      <c r="DO185" s="146"/>
      <c r="DP185" s="146"/>
      <c r="DQ185" s="146"/>
      <c r="DR185" s="146"/>
      <c r="DS185" s="140"/>
      <c r="DT185" s="154"/>
      <c r="DU185" s="154"/>
      <c r="DV185" s="154"/>
      <c r="DW185" s="140"/>
      <c r="DX185" s="220"/>
      <c r="DY185" s="220"/>
      <c r="DZ185" s="220"/>
      <c r="EA185" s="140"/>
      <c r="EB185" s="220"/>
      <c r="EC185" s="220"/>
      <c r="ED185" s="220"/>
      <c r="EE185" s="140"/>
      <c r="EF185" s="154"/>
      <c r="EG185" s="154"/>
      <c r="EH185" s="154"/>
      <c r="EI185" s="140"/>
      <c r="EJ185" s="154"/>
      <c r="EK185" s="154"/>
      <c r="EL185" s="154"/>
      <c r="EM185" s="140"/>
      <c r="EN185" s="222"/>
      <c r="EO185" s="222"/>
      <c r="EP185" s="222"/>
      <c r="EQ185" s="140"/>
      <c r="ER185" s="222"/>
      <c r="ES185" s="222"/>
      <c r="ET185" s="222"/>
      <c r="EU185" s="140"/>
      <c r="EV185" s="222"/>
      <c r="EW185" s="222"/>
      <c r="EX185" s="222"/>
      <c r="EY185" s="344"/>
      <c r="EZ185" s="222"/>
      <c r="FA185" s="222"/>
      <c r="FB185" s="222"/>
      <c r="FC185" s="273"/>
      <c r="FD185" s="223"/>
      <c r="FE185" s="223"/>
      <c r="FF185" s="276"/>
      <c r="FG185" s="156"/>
      <c r="FH185" s="156"/>
      <c r="FI185" s="156"/>
      <c r="FJ185" s="140"/>
      <c r="FK185" s="277"/>
      <c r="FL185" s="277"/>
      <c r="FM185" s="277"/>
      <c r="FN185" s="140"/>
      <c r="FO185" s="277"/>
      <c r="FP185" s="277"/>
      <c r="FQ185" s="277"/>
      <c r="FR185" s="280"/>
      <c r="FS185" s="277"/>
      <c r="FT185" s="277"/>
      <c r="FU185" s="277"/>
      <c r="FV185" s="277"/>
      <c r="FW185" s="277"/>
      <c r="FX185" s="277"/>
      <c r="FY185" s="277"/>
      <c r="FZ185" s="277"/>
      <c r="GA185" s="277"/>
      <c r="GB185" s="277"/>
      <c r="GC185" s="277"/>
      <c r="GD185" s="277"/>
      <c r="GE185" s="277"/>
      <c r="GF185" s="277"/>
      <c r="GG185" s="277"/>
      <c r="GH185" s="277"/>
      <c r="GI185" s="277"/>
      <c r="GJ185" s="277"/>
      <c r="GK185" s="277"/>
      <c r="GL185" s="277"/>
      <c r="GM185" s="277"/>
      <c r="GN185" s="277"/>
      <c r="GO185" s="277"/>
      <c r="GP185" s="277"/>
      <c r="GQ185" s="277"/>
      <c r="GR185" s="277"/>
      <c r="GS185" s="277"/>
      <c r="GT185" s="277"/>
      <c r="GU185" s="277"/>
      <c r="GV185" s="277"/>
      <c r="GW185" s="277"/>
      <c r="GX185" s="277"/>
      <c r="GY185" s="277"/>
      <c r="GZ185" s="277"/>
      <c r="HA185" s="277"/>
      <c r="HB185" s="277"/>
      <c r="HC185" s="277"/>
      <c r="HD185" s="277"/>
      <c r="HE185" s="277"/>
      <c r="HF185" s="140"/>
      <c r="HG185" s="277"/>
      <c r="HH185" s="277"/>
      <c r="HI185" s="277"/>
      <c r="HJ185" s="140"/>
      <c r="HK185" s="277"/>
      <c r="HL185" s="277"/>
      <c r="HM185" s="277"/>
      <c r="HN185" s="140"/>
      <c r="HO185" s="277"/>
      <c r="HP185" s="277"/>
      <c r="HQ185" s="277"/>
      <c r="HR185" s="277"/>
      <c r="HS185" s="277"/>
      <c r="HT185" s="277"/>
      <c r="HU185" s="277"/>
      <c r="HV185" s="277"/>
      <c r="HW185" s="277"/>
      <c r="HX185" s="277"/>
      <c r="HY185" s="277"/>
      <c r="HZ185" s="140"/>
      <c r="IA185" s="277"/>
      <c r="IB185" s="277"/>
      <c r="IC185" s="277"/>
      <c r="ID185" s="140"/>
      <c r="IE185" s="277"/>
      <c r="IF185" s="277"/>
      <c r="IG185" s="277"/>
      <c r="IH185" s="140"/>
      <c r="II185" s="277"/>
      <c r="IJ185" s="277"/>
      <c r="IK185" s="277"/>
      <c r="IL185" s="140"/>
      <c r="IM185" s="277"/>
      <c r="IN185" s="277"/>
      <c r="IO185" s="277"/>
      <c r="IP185" s="277"/>
      <c r="IQ185" s="277"/>
      <c r="IR185" s="277"/>
      <c r="IS185" s="277"/>
      <c r="IT185" s="277"/>
      <c r="IU185" s="277"/>
      <c r="IV185" s="277"/>
      <c r="IW185" s="277"/>
      <c r="IX185" s="140"/>
      <c r="IY185" s="277"/>
      <c r="IZ185" s="277"/>
      <c r="JA185" s="277"/>
      <c r="JB185" s="140"/>
      <c r="JC185" s="277"/>
      <c r="JD185" s="277"/>
      <c r="JE185" s="277"/>
      <c r="JF185" s="140"/>
      <c r="JG185" s="277"/>
      <c r="JH185" s="277"/>
      <c r="JI185" s="140"/>
      <c r="JJ185" s="277"/>
      <c r="JK185" s="277"/>
      <c r="JL185" s="140"/>
      <c r="JM185" s="277"/>
      <c r="JN185" s="277"/>
      <c r="JO185" s="140"/>
      <c r="JP185" s="277"/>
      <c r="JQ185" s="277"/>
      <c r="JR185" s="277"/>
      <c r="JS185" s="277"/>
      <c r="JT185" s="277"/>
      <c r="JU185" s="277"/>
      <c r="JV185" s="277"/>
      <c r="JW185" s="277"/>
      <c r="JX185" s="277"/>
      <c r="JY185" s="277"/>
      <c r="JZ185" s="277"/>
      <c r="KA185" s="277"/>
      <c r="KB185" s="277"/>
      <c r="KC185" s="277"/>
      <c r="KD185" s="277"/>
      <c r="KE185" s="277"/>
      <c r="KF185" s="277"/>
      <c r="KG185" s="277"/>
      <c r="KH185" s="277"/>
      <c r="KI185" s="277"/>
      <c r="KJ185" s="277"/>
      <c r="KK185" s="277"/>
      <c r="KL185" s="277"/>
      <c r="KM185" s="277"/>
      <c r="KN185" s="277"/>
      <c r="KO185" s="277"/>
      <c r="KP185" s="274"/>
      <c r="KQ185" s="253"/>
      <c r="KR185" s="253"/>
      <c r="KY185" s="141">
        <f t="shared" si="65"/>
        <v>0</v>
      </c>
      <c r="KZ185" s="141">
        <f t="shared" si="66"/>
        <v>0</v>
      </c>
      <c r="LB185" s="141">
        <f t="shared" si="67"/>
        <v>0</v>
      </c>
      <c r="LC185" s="141">
        <f t="shared" si="68"/>
        <v>0</v>
      </c>
      <c r="LD185" s="141">
        <f t="shared" si="69"/>
        <v>0</v>
      </c>
      <c r="LE185" s="141" t="e">
        <f>((N(AU185)&gt;0)*(AX185&lt;&gt;"")+(N(AY185)&gt;0)*(BB185&lt;&gt;"")+(N(BC185)&gt;0)*(BF185&lt;&gt;"")+(N(BG185)&gt;0)*(BJ185&lt;&gt;"")+(N(BK185)&gt;0)*(BN185&lt;&gt;"")+(N(BO185)&gt;0)*(BR185&lt;&gt;"")+(N(BS185)&gt;0)*(BV185&lt;&gt;"")+(N(BW185)&gt;0)*(BZ185&lt;&gt;"")+(N(CA185)&gt;0)*(CD185&lt;&gt;"")+(N(CE185)&gt;0)*(CH185&lt;&gt;"")+(N(CI185)&gt;0)*(CL185&lt;&gt;"")+(N(CM185)&gt;0)*(CP185&lt;&gt;"")+(N(CQ185)&gt;0)*(CT185&lt;&gt;"")+(N(CU185)&gt;0)*(CX185&lt;&gt;"")+(N(CY185)&gt;0)*(DB185&lt;&gt;"")+(N(DC185)&gt;0)*(DF185&lt;&gt;"")+(N(DG185)&gt;0)*(DJ185&lt;&gt;"")+(N(DS185)&gt;0)*(DV185&lt;&gt;"")+(N(DW185)&gt;0)*(DZ185&lt;&gt;"")+(N(EA185)&gt;0)*(ED185&lt;&gt;"")+(N(EE185)&gt;0)*(EH185&lt;&gt;"")+(N(EI185)&gt;0)*(EL185&lt;&gt;"")+(N(EM185)&gt;0)*(EP185&lt;&gt;"")+(N(EQ185)&gt;0)*(ET185&lt;&gt;"")+(N(EU185)&gt;0)*(EX185&lt;&gt;"")+(N(#REF!)&gt;0)*(#REF!&lt;&gt;"")+(N(#REF!)&gt;0)*(#REF!&lt;&gt;"")+(N(FJ185)&gt;0)*(FM185&lt;&gt;"")+(N(FN185)&gt;0)*(FQ185&lt;&gt;"")+(N(#REF!)&gt;0)*(#REF!&lt;&gt;"")+(N(#REF!)&gt;0)*(#REF!&lt;&gt;"")+(N(HF185)&gt;0)*(HI185&lt;&gt;"")+(N(#REF!)&gt;0)*(#REF!&lt;&gt;"")+(N(HJ185)&gt;0)*(HM185&lt;&gt;"")+(N(HN185)&gt;0)*(HQ185&lt;&gt;"")+(N(HZ185)&gt;0)*(IC185&lt;&gt;"")+(N(ID185)&gt;0)*(IG185&lt;&gt;"")+(N(IH185)&gt;0)*(IK185&lt;&gt;"")+(N(IL185)&gt;0)*(IO185&lt;&gt;"")+(N(IX185)&gt;0)*(JA185&lt;&gt;"")+(N(JB185)&gt;0)*(JE185&lt;&gt;"")+(N(JF185)&gt;0)*(JH185&lt;&gt;"")+(N(JI185)&gt;0)*(JK185&lt;&gt;"")+(N(JL185)&gt;0)*(JN185&lt;&gt;"")+(N(JO185)&gt;0)*(JQ185&lt;&gt;""))</f>
        <v>#REF!</v>
      </c>
      <c r="LF185" s="141">
        <f t="shared" si="76"/>
        <v>0</v>
      </c>
      <c r="LG185" s="141">
        <f t="shared" si="70"/>
        <v>0</v>
      </c>
    </row>
    <row r="186" spans="2:319" ht="38.25" customHeight="1" x14ac:dyDescent="0.55000000000000004">
      <c r="B186" s="314" t="s">
        <v>493</v>
      </c>
      <c r="C186" s="218"/>
      <c r="D186" s="218"/>
      <c r="E186" s="218"/>
      <c r="F186" s="218"/>
      <c r="G186" s="218"/>
      <c r="H186" s="218"/>
      <c r="I186" s="162" cm="1">
        <f t="array" ref="I186">SUMPRODUCT(($AI$2:$KV$2&lt;&gt;"")*($AI186:$KV186&lt;&gt;""))</f>
        <v>1</v>
      </c>
      <c r="J186" s="142">
        <f t="shared" si="71"/>
        <v>0</v>
      </c>
      <c r="K186" s="142">
        <f t="shared" si="72"/>
        <v>0</v>
      </c>
      <c r="L186" s="268">
        <f t="shared" si="77"/>
        <v>7000</v>
      </c>
      <c r="M186" s="164">
        <f t="shared" si="73"/>
        <v>0</v>
      </c>
      <c r="N186" s="397"/>
      <c r="O186" s="165">
        <f t="shared" si="74"/>
        <v>0</v>
      </c>
      <c r="P186" s="165"/>
      <c r="Q186" s="165"/>
      <c r="R186" s="165">
        <f>(IFERROR(AM186/AN186,0)+IFERROR(AU186/AV186,0)+IFERROR(AY186/AZ186,0)+IFERROR(BC186/BD186,0)+IFERROR(BG186/BH186,0)+IFERROR(BK186/BL186,0)+IFERROR(BO186/BP186,0)+IFERROR(BS186/BT186,0)+IFERROR(BW186/BX186,0)+IFERROR(CA186/CB186,0)+IFERROR(CE186/CF186,0)+IFERROR(CI186/CJ186,0)+IFERROR(CM186/CN186,0)+IFERROR(CQ186/CR186,0)+IFERROR(CU186/CV186,0)+IFERROR(CY186/CZ186,0)+IFERROR(DC186/DD186,0)+IFERROR(DG186/DH186,0)+IFERROR(DS186/DT186,0)+IFERROR(DW186/DX186,0)+IFERROR(EA186/EB186,0)+IFERROR(EE186/EF186,0)+IFERROR(EI186/EJ186,0)+IFERROR(EM186/EN186,0)+IFERROR(EQ186/ER186,0)+IFERROR(EU186/EV186,0)+IFERROR(#REF!/#REF!,0)+IFERROR(#REF!/#REF!,0)+IFERROR(FJ186/FK186,0)+IFERROR(FN186/FO186,0)+IFERROR(#REF!/#REF!,0)+IFERROR(#REF!/#REF!,0)+IFERROR(HF186/HG186,0)+IFERROR(#REF!/#REF!,0)+IFERROR(HJ186/HK186,0)+IFERROR(HN186/HO186,0)+IFERROR(HZ186/IA186,0)+IFERROR(ID186/IE186,0)+IFERROR(IH186/II186,0)+IFERROR(IL186/IM186,0)+IFERROR(IX186/IY186,0)+IFERROR(JB186/JC186,0)+IFERROR(JF186/JG186,0)+IFERROR(JI186/JJ186,0)+IFERROR(JL186/JM186,0)+IFERROR(JO186/JP186,0))*L186*(C186+D186+E186+I186)</f>
        <v>0</v>
      </c>
      <c r="S186" s="165"/>
      <c r="T186" s="165">
        <f t="shared" si="63"/>
        <v>0</v>
      </c>
      <c r="U186" s="165"/>
      <c r="V186" s="165"/>
      <c r="W186" s="165"/>
      <c r="X186" s="165">
        <f>(IFERROR(FF186/FG186,0)+IFERROR(FC186/FD186,0)+IFERROR(#REF!/#REF!,0)+IFERROR(KP186/KQ186,0))*L186*(C186+D186+E186+I186)</f>
        <v>0</v>
      </c>
      <c r="Y186" s="484"/>
      <c r="Z186" s="484"/>
      <c r="AA186" s="484"/>
      <c r="AB186" s="484"/>
      <c r="AC186" s="150">
        <f t="shared" si="75"/>
        <v>0</v>
      </c>
      <c r="AD186" s="150"/>
      <c r="AE186" s="150">
        <f t="shared" si="64"/>
        <v>0</v>
      </c>
      <c r="AF186" s="161"/>
      <c r="AG186" s="143"/>
      <c r="AH186" s="154"/>
      <c r="AI186" s="144"/>
      <c r="AJ186" s="154"/>
      <c r="AK186" s="154"/>
      <c r="AL186" s="220"/>
      <c r="AM186" s="140"/>
      <c r="AN186" s="154"/>
      <c r="AO186" s="154"/>
      <c r="AP186" s="220"/>
      <c r="AQ186" s="145"/>
      <c r="AR186" s="154"/>
      <c r="AS186" s="154"/>
      <c r="AT186" s="220"/>
      <c r="AU186" s="140"/>
      <c r="AV186" s="277"/>
      <c r="AW186" s="277"/>
      <c r="AX186" s="277"/>
      <c r="AY186" s="140"/>
      <c r="AZ186" s="277"/>
      <c r="BA186" s="277"/>
      <c r="BB186" s="277"/>
      <c r="BC186" s="140"/>
      <c r="BD186" s="277"/>
      <c r="BE186" s="277"/>
      <c r="BF186" s="277"/>
      <c r="BG186" s="140"/>
      <c r="BH186" s="277"/>
      <c r="BI186" s="277"/>
      <c r="BJ186" s="277"/>
      <c r="BK186" s="140"/>
      <c r="BL186" s="277"/>
      <c r="BM186" s="277"/>
      <c r="BN186" s="277"/>
      <c r="BO186" s="140"/>
      <c r="BP186" s="277"/>
      <c r="BQ186" s="277"/>
      <c r="BR186" s="277"/>
      <c r="BS186" s="140"/>
      <c r="BT186" s="277"/>
      <c r="BU186" s="277"/>
      <c r="BV186" s="277"/>
      <c r="BW186" s="140"/>
      <c r="BX186" s="154"/>
      <c r="BY186" s="154"/>
      <c r="BZ186" s="220"/>
      <c r="CA186" s="140"/>
      <c r="CB186" s="154"/>
      <c r="CC186" s="154"/>
      <c r="CD186" s="220"/>
      <c r="CE186" s="140"/>
      <c r="CF186" s="271"/>
      <c r="CG186" s="271"/>
      <c r="CH186" s="271"/>
      <c r="CI186" s="140"/>
      <c r="CJ186" s="154"/>
      <c r="CK186" s="154"/>
      <c r="CL186" s="154"/>
      <c r="CM186" s="140"/>
      <c r="CN186" s="271"/>
      <c r="CO186" s="271"/>
      <c r="CP186" s="271"/>
      <c r="CQ186" s="140"/>
      <c r="CR186" s="154"/>
      <c r="CS186" s="154"/>
      <c r="CT186" s="154"/>
      <c r="CU186" s="140"/>
      <c r="CV186" s="154"/>
      <c r="CW186" s="154"/>
      <c r="CX186" s="220"/>
      <c r="CY186" s="140"/>
      <c r="CZ186" s="154"/>
      <c r="DA186" s="154"/>
      <c r="DB186" s="220"/>
      <c r="DC186" s="140"/>
      <c r="DD186" s="146"/>
      <c r="DE186" s="146"/>
      <c r="DF186" s="146"/>
      <c r="DG186" s="140"/>
      <c r="DH186" s="146"/>
      <c r="DI186" s="146"/>
      <c r="DJ186" s="146"/>
      <c r="DK186" s="146"/>
      <c r="DL186" s="146"/>
      <c r="DM186" s="146"/>
      <c r="DN186" s="146"/>
      <c r="DO186" s="146"/>
      <c r="DP186" s="146"/>
      <c r="DQ186" s="146"/>
      <c r="DR186" s="146"/>
      <c r="DS186" s="140"/>
      <c r="DT186" s="154"/>
      <c r="DU186" s="154"/>
      <c r="DV186" s="154"/>
      <c r="DW186" s="140"/>
      <c r="DX186" s="220"/>
      <c r="DY186" s="220"/>
      <c r="DZ186" s="220"/>
      <c r="EA186" s="140"/>
      <c r="EB186" s="220"/>
      <c r="EC186" s="220"/>
      <c r="ED186" s="220"/>
      <c r="EE186" s="140"/>
      <c r="EF186" s="154"/>
      <c r="EG186" s="154"/>
      <c r="EH186" s="154"/>
      <c r="EI186" s="140"/>
      <c r="EJ186" s="154"/>
      <c r="EK186" s="154"/>
      <c r="EL186" s="154"/>
      <c r="EM186" s="140"/>
      <c r="EN186" s="222"/>
      <c r="EO186" s="222"/>
      <c r="EP186" s="222"/>
      <c r="EQ186" s="140"/>
      <c r="ER186" s="222"/>
      <c r="ES186" s="222"/>
      <c r="ET186" s="222"/>
      <c r="EU186" s="140"/>
      <c r="EV186" s="222"/>
      <c r="EW186" s="222"/>
      <c r="EX186" s="222"/>
      <c r="EY186" s="344"/>
      <c r="EZ186" s="222"/>
      <c r="FA186" s="222"/>
      <c r="FB186" s="222"/>
      <c r="FC186" s="273"/>
      <c r="FD186" s="223"/>
      <c r="FE186" s="223"/>
      <c r="FF186" s="276"/>
      <c r="FG186" s="156"/>
      <c r="FH186" s="156"/>
      <c r="FI186" s="156"/>
      <c r="FJ186" s="140"/>
      <c r="FK186" s="277"/>
      <c r="FL186" s="277"/>
      <c r="FM186" s="277"/>
      <c r="FN186" s="140"/>
      <c r="FO186" s="277"/>
      <c r="FP186" s="277"/>
      <c r="FQ186" s="277"/>
      <c r="FR186" s="280"/>
      <c r="FS186" s="277"/>
      <c r="FT186" s="277"/>
      <c r="FU186" s="277"/>
      <c r="FV186" s="277"/>
      <c r="FW186" s="277"/>
      <c r="FX186" s="277"/>
      <c r="FY186" s="277"/>
      <c r="FZ186" s="277"/>
      <c r="GA186" s="277"/>
      <c r="GB186" s="277"/>
      <c r="GC186" s="277"/>
      <c r="GD186" s="277"/>
      <c r="GE186" s="277"/>
      <c r="GF186" s="277"/>
      <c r="GG186" s="277"/>
      <c r="GH186" s="277"/>
      <c r="GI186" s="277"/>
      <c r="GJ186" s="277"/>
      <c r="GK186" s="277"/>
      <c r="GL186" s="277"/>
      <c r="GM186" s="277"/>
      <c r="GN186" s="277"/>
      <c r="GO186" s="277"/>
      <c r="GP186" s="277"/>
      <c r="GQ186" s="277"/>
      <c r="GR186" s="277"/>
      <c r="GS186" s="277"/>
      <c r="GT186" s="277"/>
      <c r="GU186" s="277"/>
      <c r="GV186" s="277"/>
      <c r="GW186" s="277"/>
      <c r="GX186" s="277"/>
      <c r="GY186" s="277"/>
      <c r="GZ186" s="277"/>
      <c r="HA186" s="277"/>
      <c r="HB186" s="277"/>
      <c r="HC186" s="277"/>
      <c r="HD186" s="277"/>
      <c r="HE186" s="277"/>
      <c r="HF186" s="140"/>
      <c r="HG186" s="277"/>
      <c r="HH186" s="277"/>
      <c r="HI186" s="277"/>
      <c r="HJ186" s="140"/>
      <c r="HK186" s="277"/>
      <c r="HL186" s="277"/>
      <c r="HM186" s="277"/>
      <c r="HN186" s="140"/>
      <c r="HO186" s="277"/>
      <c r="HP186" s="277"/>
      <c r="HQ186" s="277"/>
      <c r="HR186" s="277"/>
      <c r="HS186" s="277"/>
      <c r="HT186" s="277"/>
      <c r="HU186" s="277"/>
      <c r="HV186" s="277"/>
      <c r="HW186" s="277"/>
      <c r="HX186" s="277"/>
      <c r="HY186" s="277"/>
      <c r="HZ186" s="140"/>
      <c r="IA186" s="277"/>
      <c r="IB186" s="277"/>
      <c r="IC186" s="277"/>
      <c r="ID186" s="140"/>
      <c r="IE186" s="277"/>
      <c r="IF186" s="277"/>
      <c r="IG186" s="277"/>
      <c r="IH186" s="140"/>
      <c r="II186" s="277"/>
      <c r="IJ186" s="277"/>
      <c r="IK186" s="277"/>
      <c r="IL186" s="140"/>
      <c r="IM186" s="277"/>
      <c r="IN186" s="277"/>
      <c r="IO186" s="277"/>
      <c r="IP186" s="277"/>
      <c r="IQ186" s="277"/>
      <c r="IR186" s="277"/>
      <c r="IS186" s="277"/>
      <c r="IT186" s="277"/>
      <c r="IU186" s="277"/>
      <c r="IV186" s="277"/>
      <c r="IW186" s="277"/>
      <c r="IX186" s="140"/>
      <c r="IY186" s="277"/>
      <c r="IZ186" s="277"/>
      <c r="JA186" s="277"/>
      <c r="JB186" s="140"/>
      <c r="JC186" s="277"/>
      <c r="JD186" s="277"/>
      <c r="JE186" s="277"/>
      <c r="JF186" s="140"/>
      <c r="JG186" s="277"/>
      <c r="JH186" s="277"/>
      <c r="JI186" s="140"/>
      <c r="JJ186" s="277"/>
      <c r="JK186" s="277"/>
      <c r="JL186" s="140"/>
      <c r="JM186" s="277"/>
      <c r="JN186" s="277"/>
      <c r="JO186" s="140"/>
      <c r="JP186" s="277"/>
      <c r="JQ186" s="277"/>
      <c r="JR186" s="277"/>
      <c r="JS186" s="277"/>
      <c r="JT186" s="277"/>
      <c r="JU186" s="277"/>
      <c r="JV186" s="277"/>
      <c r="JW186" s="277"/>
      <c r="JX186" s="277"/>
      <c r="JY186" s="277"/>
      <c r="JZ186" s="277"/>
      <c r="KA186" s="277"/>
      <c r="KB186" s="277"/>
      <c r="KC186" s="277"/>
      <c r="KD186" s="277"/>
      <c r="KE186" s="277"/>
      <c r="KF186" s="277"/>
      <c r="KG186" s="277"/>
      <c r="KH186" s="277"/>
      <c r="KI186" s="277"/>
      <c r="KJ186" s="277"/>
      <c r="KK186" s="277"/>
      <c r="KL186" s="277"/>
      <c r="KM186" s="277"/>
      <c r="KN186" s="277"/>
      <c r="KO186" s="277"/>
      <c r="KP186" s="274"/>
      <c r="KQ186" s="253"/>
      <c r="KR186" s="253"/>
      <c r="KS186" s="346">
        <v>40</v>
      </c>
      <c r="KT186" s="346">
        <v>1000</v>
      </c>
      <c r="KU186" s="346" t="s">
        <v>759</v>
      </c>
      <c r="KY186" s="141">
        <f t="shared" si="65"/>
        <v>280</v>
      </c>
      <c r="KZ186" s="141">
        <f t="shared" si="66"/>
        <v>0</v>
      </c>
      <c r="LB186" s="141">
        <f t="shared" si="67"/>
        <v>0</v>
      </c>
      <c r="LC186" s="141">
        <f t="shared" si="68"/>
        <v>0</v>
      </c>
      <c r="LD186" s="141">
        <f t="shared" si="69"/>
        <v>0</v>
      </c>
      <c r="LE186" s="141" t="e">
        <f>((N(AU186)&gt;0)*(AX186&lt;&gt;"")+(N(AY186)&gt;0)*(BB186&lt;&gt;"")+(N(BC186)&gt;0)*(BF186&lt;&gt;"")+(N(BG186)&gt;0)*(BJ186&lt;&gt;"")+(N(BK186)&gt;0)*(BN186&lt;&gt;"")+(N(BO186)&gt;0)*(BR186&lt;&gt;"")+(N(BS186)&gt;0)*(BV186&lt;&gt;"")+(N(BW186)&gt;0)*(BZ186&lt;&gt;"")+(N(CA186)&gt;0)*(CD186&lt;&gt;"")+(N(CE186)&gt;0)*(CH186&lt;&gt;"")+(N(CI186)&gt;0)*(CL186&lt;&gt;"")+(N(CM186)&gt;0)*(CP186&lt;&gt;"")+(N(CQ186)&gt;0)*(CT186&lt;&gt;"")+(N(CU186)&gt;0)*(CX186&lt;&gt;"")+(N(CY186)&gt;0)*(DB186&lt;&gt;"")+(N(DC186)&gt;0)*(DF186&lt;&gt;"")+(N(DG186)&gt;0)*(DJ186&lt;&gt;"")+(N(DS186)&gt;0)*(DV186&lt;&gt;"")+(N(DW186)&gt;0)*(DZ186&lt;&gt;"")+(N(EA186)&gt;0)*(ED186&lt;&gt;"")+(N(EE186)&gt;0)*(EH186&lt;&gt;"")+(N(EI186)&gt;0)*(EL186&lt;&gt;"")+(N(EM186)&gt;0)*(EP186&lt;&gt;"")+(N(EQ186)&gt;0)*(ET186&lt;&gt;"")+(N(EU186)&gt;0)*(EX186&lt;&gt;"")+(N(#REF!)&gt;0)*(#REF!&lt;&gt;"")+(N(#REF!)&gt;0)*(#REF!&lt;&gt;"")+(N(FJ186)&gt;0)*(FM186&lt;&gt;"")+(N(FN186)&gt;0)*(FQ186&lt;&gt;"")+(N(#REF!)&gt;0)*(#REF!&lt;&gt;"")+(N(#REF!)&gt;0)*(#REF!&lt;&gt;"")+(N(HF186)&gt;0)*(HI186&lt;&gt;"")+(N(#REF!)&gt;0)*(#REF!&lt;&gt;"")+(N(HJ186)&gt;0)*(HM186&lt;&gt;"")+(N(HN186)&gt;0)*(HQ186&lt;&gt;"")+(N(HZ186)&gt;0)*(IC186&lt;&gt;"")+(N(ID186)&gt;0)*(IG186&lt;&gt;"")+(N(IH186)&gt;0)*(IK186&lt;&gt;"")+(N(IL186)&gt;0)*(IO186&lt;&gt;"")+(N(IX186)&gt;0)*(JA186&lt;&gt;"")+(N(JB186)&gt;0)*(JE186&lt;&gt;"")+(N(JF186)&gt;0)*(JH186&lt;&gt;"")+(N(JI186)&gt;0)*(JK186&lt;&gt;"")+(N(JL186)&gt;0)*(JN186&lt;&gt;"")+(N(JO186)&gt;0)*(JQ186&lt;&gt;""))</f>
        <v>#REF!</v>
      </c>
      <c r="LF186" s="141">
        <f t="shared" si="76"/>
        <v>0</v>
      </c>
      <c r="LG186" s="141">
        <f t="shared" si="70"/>
        <v>0</v>
      </c>
    </row>
    <row r="187" spans="2:319" ht="38.25" customHeight="1" thickBot="1" x14ac:dyDescent="0.55000000000000004">
      <c r="B187" s="317" t="s">
        <v>147</v>
      </c>
      <c r="C187" s="162">
        <v>96</v>
      </c>
      <c r="D187" s="162"/>
      <c r="E187" s="162"/>
      <c r="F187" s="162"/>
      <c r="G187" s="162"/>
      <c r="H187" s="162"/>
      <c r="I187" s="162" cm="1">
        <f t="array" ref="I187">SUMPRODUCT(($AI$2:$KV$2&lt;&gt;"")*($AI187:$KV187&lt;&gt;""))</f>
        <v>1</v>
      </c>
      <c r="J187" s="142">
        <f t="shared" ref="J187" si="78">I187*C187</f>
        <v>96</v>
      </c>
      <c r="K187" s="142">
        <f t="shared" ref="K187" si="79">($L$1/$K$2)*J187</f>
        <v>1344</v>
      </c>
      <c r="L187" s="163">
        <f t="shared" ref="L187" si="80">$L$1</f>
        <v>7000</v>
      </c>
      <c r="M187" s="164">
        <f t="shared" ref="M187" si="81">IFERROR(IF(N(AJ187)=0,0,(AI187/AJ187)*L187*(C187+D187+E187+I187)),0)</f>
        <v>13580</v>
      </c>
      <c r="N187" s="397"/>
      <c r="O187" s="165">
        <f t="shared" ref="O187" si="82">IFERROR(IF(N(AR187)=0,0,(AQ187/AR187)*L187*(C187+D187+E187+I187)),0)</f>
        <v>0</v>
      </c>
      <c r="P187" s="165"/>
      <c r="Q187" s="165"/>
      <c r="R187" s="165">
        <f>(IFERROR(AM187/AN187,0)+IFERROR(AU187/AV187,0)+IFERROR(AY187/AZ187,0)+IFERROR(BC187/BD187,0)+IFERROR(BG187/BH187,0)+IFERROR(BK187/BL187,0)+IFERROR(BO187/BP187,0)+IFERROR(BS187/BT187,0)+IFERROR(BW187/BX187,0)+IFERROR(CA187/CB187,0)+IFERROR(CE187/CF187,0)+IFERROR(CI187/CJ187,0)+IFERROR(CM187/CN187,0)+IFERROR(CQ187/CR187,0)+IFERROR(CU187/CV187,0)+IFERROR(CY187/CZ187,0)+IFERROR(DC187/DD187,0)+IFERROR(DG187/DH187,0)+IFERROR(DS187/DT187,0)+IFERROR(DW187/DX187,0)+IFERROR(EA187/EB187,0)+IFERROR(EE187/EF187,0)+IFERROR(EI187/EJ187,0)+IFERROR(EM187/EN187,0)+IFERROR(EQ187/ER187,0)+IFERROR(EU187/EV187,0)+IFERROR(#REF!/#REF!,0)+IFERROR(#REF!/#REF!,0)+IFERROR(FJ187/FK187,0)+IFERROR(FN187/FO187,0)+IFERROR(#REF!/#REF!,0)+IFERROR(#REF!/#REF!,0)+IFERROR(HF187/HG187,0)+IFERROR(#REF!/#REF!,0)+IFERROR(HJ187/HK187,0)+IFERROR(HN187/HO187,0)+IFERROR(HZ187/IA187,0)+IFERROR(ID187/IE187,0)+IFERROR(IH187/II187,0)+IFERROR(IL187/IM187,0)+IFERROR(IX187/IY187,0)+IFERROR(JB187/JC187,0)+IFERROR(JF187/JG187,0)+IFERROR(JI187/JJ187,0)+IFERROR(JL187/JM187,0)+IFERROR(JO187/JP187,0))*L187*(C187+D187+E187+I187)</f>
        <v>0</v>
      </c>
      <c r="S187" s="165"/>
      <c r="T187" s="165">
        <f t="shared" si="63"/>
        <v>0</v>
      </c>
      <c r="U187" s="165"/>
      <c r="V187" s="165"/>
      <c r="W187" s="165"/>
      <c r="X187" s="165">
        <f>(IFERROR(FF187/FG187,0)+IFERROR(FC187/FD187,0)+IFERROR(#REF!/#REF!,0)+IFERROR(KP187/KQ187,0))*L187*(C187+D187+E187+I187)</f>
        <v>0</v>
      </c>
      <c r="Y187" s="484"/>
      <c r="Z187" s="484"/>
      <c r="AA187" s="484"/>
      <c r="AB187" s="484"/>
      <c r="AC187" s="150">
        <f t="shared" ref="AC187" si="83">IFERROR(IF(N(AH187)=0,0,(AG187/AH187)*L187*(C187+D187+E187+I187)),0)</f>
        <v>0</v>
      </c>
      <c r="AD187" s="150"/>
      <c r="AE187" s="150">
        <f t="shared" si="64"/>
        <v>0</v>
      </c>
      <c r="AF187" s="151"/>
      <c r="AG187" s="156"/>
      <c r="AH187" s="156"/>
      <c r="AI187" s="342">
        <v>5</v>
      </c>
      <c r="AJ187" s="342">
        <v>250</v>
      </c>
      <c r="AK187" s="342"/>
      <c r="AL187" s="343" t="s">
        <v>545</v>
      </c>
      <c r="AM187" s="156"/>
      <c r="AN187" s="156"/>
      <c r="AO187" s="156"/>
      <c r="AP187" s="220"/>
      <c r="AQ187" s="155"/>
      <c r="AR187" s="224"/>
      <c r="AS187" s="224"/>
      <c r="AT187" s="220"/>
      <c r="AU187" s="155"/>
      <c r="AV187" s="155"/>
      <c r="AW187" s="155"/>
      <c r="AX187" s="155"/>
      <c r="AY187" s="224"/>
      <c r="AZ187" s="224"/>
      <c r="BA187" s="224"/>
      <c r="BB187" s="224"/>
      <c r="BC187" s="156"/>
      <c r="BD187" s="156"/>
      <c r="BE187" s="156"/>
      <c r="BF187" s="156"/>
      <c r="BG187" s="156"/>
      <c r="BH187" s="156"/>
      <c r="BI187" s="156"/>
      <c r="BJ187" s="156"/>
      <c r="BK187" s="156"/>
      <c r="BL187" s="156"/>
      <c r="BM187" s="156"/>
      <c r="BN187" s="156"/>
      <c r="BO187" s="156"/>
      <c r="BP187" s="156"/>
      <c r="BQ187" s="156"/>
      <c r="BR187" s="156"/>
      <c r="BS187" s="156"/>
      <c r="BT187" s="156"/>
      <c r="BU187" s="156"/>
      <c r="BV187" s="156"/>
      <c r="BW187" s="157"/>
      <c r="BX187" s="157"/>
      <c r="BY187" s="157"/>
      <c r="BZ187" s="220"/>
      <c r="CA187" s="157"/>
      <c r="CB187" s="157"/>
      <c r="CC187" s="157"/>
      <c r="CD187" s="220"/>
      <c r="CE187" s="157"/>
      <c r="CF187" s="157"/>
      <c r="CG187" s="157"/>
      <c r="CH187" s="157"/>
      <c r="CI187" s="157"/>
      <c r="CJ187" s="157"/>
      <c r="CK187" s="157"/>
      <c r="CL187" s="157"/>
      <c r="CM187" s="157"/>
      <c r="CN187" s="157"/>
      <c r="CO187" s="157"/>
      <c r="CP187" s="157"/>
      <c r="CQ187" s="157"/>
      <c r="CR187" s="157"/>
      <c r="CS187" s="157"/>
      <c r="CT187" s="157"/>
      <c r="CU187" s="157"/>
      <c r="CV187" s="157"/>
      <c r="CW187" s="157"/>
      <c r="CX187" s="220"/>
      <c r="CY187" s="157"/>
      <c r="CZ187" s="157"/>
      <c r="DA187" s="157"/>
      <c r="DB187" s="220"/>
      <c r="DC187" s="157"/>
      <c r="DD187" s="157"/>
      <c r="DE187" s="157"/>
      <c r="DF187" s="157"/>
      <c r="DG187" s="157"/>
      <c r="DH187" s="157"/>
      <c r="DI187" s="157"/>
      <c r="DJ187" s="157"/>
      <c r="DK187" s="157"/>
      <c r="DL187" s="157"/>
      <c r="DM187" s="157"/>
      <c r="DN187" s="157"/>
      <c r="DO187" s="157"/>
      <c r="DP187" s="157"/>
      <c r="DQ187" s="157"/>
      <c r="DR187" s="157"/>
      <c r="DS187" s="155"/>
      <c r="DT187" s="155"/>
      <c r="DU187" s="155"/>
      <c r="DV187" s="155"/>
      <c r="DW187" s="155"/>
      <c r="DX187" s="155"/>
      <c r="DY187" s="155"/>
      <c r="DZ187" s="155"/>
      <c r="EA187" s="155"/>
      <c r="EB187" s="155"/>
      <c r="EC187" s="155"/>
      <c r="ED187" s="155"/>
      <c r="EE187" s="155"/>
      <c r="EF187" s="155"/>
      <c r="EG187" s="155"/>
      <c r="EH187" s="155"/>
      <c r="EI187" s="149"/>
      <c r="EJ187" s="149"/>
      <c r="EK187" s="149"/>
      <c r="EL187" s="149"/>
      <c r="EM187" s="149"/>
      <c r="EN187" s="149"/>
      <c r="EO187" s="149"/>
      <c r="EP187" s="149"/>
      <c r="EQ187" s="149"/>
      <c r="ER187" s="149"/>
      <c r="ES187" s="149"/>
      <c r="ET187" s="149"/>
      <c r="EU187" s="140"/>
      <c r="EV187" s="149"/>
      <c r="EW187" s="149"/>
      <c r="EX187" s="149"/>
      <c r="EY187" s="149"/>
      <c r="EZ187" s="149"/>
      <c r="FA187" s="149"/>
      <c r="FB187" s="149"/>
      <c r="FC187" s="149"/>
      <c r="FD187" s="149"/>
      <c r="FE187" s="149"/>
      <c r="FF187" s="149"/>
      <c r="FG187" s="149"/>
      <c r="FH187" s="149"/>
      <c r="FI187" s="149"/>
      <c r="FJ187" s="253"/>
      <c r="FK187" s="253"/>
      <c r="FL187" s="253"/>
      <c r="FM187" s="253"/>
      <c r="FN187" s="253"/>
      <c r="FO187" s="253"/>
      <c r="FP187" s="253"/>
      <c r="FQ187" s="253"/>
      <c r="FR187" s="253"/>
      <c r="FS187" s="253"/>
      <c r="FT187" s="253"/>
      <c r="FU187" s="253"/>
      <c r="FV187" s="253"/>
      <c r="FW187" s="253"/>
      <c r="FX187" s="253"/>
      <c r="FY187" s="253"/>
      <c r="FZ187" s="253"/>
      <c r="GA187" s="253"/>
      <c r="GB187" s="253"/>
      <c r="GC187" s="253"/>
      <c r="GD187" s="253"/>
      <c r="GE187" s="253"/>
      <c r="GF187" s="253"/>
      <c r="GG187" s="253"/>
      <c r="GH187" s="253"/>
      <c r="GI187" s="253"/>
      <c r="GJ187" s="253"/>
      <c r="GK187" s="253"/>
      <c r="GL187" s="253"/>
      <c r="GM187" s="253"/>
      <c r="GN187" s="253"/>
      <c r="GO187" s="253"/>
      <c r="GP187" s="253"/>
      <c r="GQ187" s="253"/>
      <c r="GR187" s="253"/>
      <c r="GS187" s="253"/>
      <c r="GT187" s="253"/>
      <c r="GU187" s="253"/>
      <c r="GV187" s="253"/>
      <c r="GW187" s="253"/>
      <c r="GX187" s="253"/>
      <c r="GY187" s="253"/>
      <c r="GZ187" s="253"/>
      <c r="HA187" s="253"/>
      <c r="HB187" s="253"/>
      <c r="HC187" s="253"/>
      <c r="HD187" s="253"/>
      <c r="HE187" s="253"/>
      <c r="HF187" s="140"/>
      <c r="HG187" s="277"/>
      <c r="HH187" s="277"/>
      <c r="HI187" s="277"/>
      <c r="HJ187" s="140"/>
      <c r="HK187" s="277"/>
      <c r="HL187" s="277"/>
      <c r="HM187" s="277"/>
      <c r="HN187" s="140"/>
      <c r="HO187" s="277"/>
      <c r="HP187" s="277"/>
      <c r="HQ187" s="277"/>
      <c r="HR187" s="277"/>
      <c r="HS187" s="277"/>
      <c r="HT187" s="277"/>
      <c r="HU187" s="277"/>
      <c r="HV187" s="277"/>
      <c r="HW187" s="277"/>
      <c r="HX187" s="277"/>
      <c r="HY187" s="277"/>
      <c r="HZ187" s="140"/>
      <c r="IA187" s="277"/>
      <c r="IB187" s="277"/>
      <c r="IC187" s="277"/>
      <c r="ID187" s="140"/>
      <c r="IE187" s="277"/>
      <c r="IF187" s="277"/>
      <c r="IG187" s="277"/>
      <c r="IH187" s="140"/>
      <c r="II187" s="277"/>
      <c r="IJ187" s="277"/>
      <c r="IK187" s="277"/>
      <c r="IL187" s="140"/>
      <c r="IM187" s="277"/>
      <c r="IN187" s="277"/>
      <c r="IO187" s="277"/>
      <c r="IP187" s="277"/>
      <c r="IQ187" s="277"/>
      <c r="IR187" s="277"/>
      <c r="IS187" s="277"/>
      <c r="IT187" s="277"/>
      <c r="IU187" s="277"/>
      <c r="IV187" s="277"/>
      <c r="IW187" s="277"/>
      <c r="IX187" s="140"/>
      <c r="IY187" s="277"/>
      <c r="IZ187" s="277"/>
      <c r="JA187" s="277"/>
      <c r="JB187" s="140"/>
      <c r="JC187" s="277"/>
      <c r="JD187" s="277"/>
      <c r="JE187" s="277"/>
      <c r="JF187" s="140"/>
      <c r="JG187" s="277"/>
      <c r="JH187" s="277"/>
      <c r="JI187" s="140"/>
      <c r="JJ187" s="277"/>
      <c r="JK187" s="277"/>
      <c r="JL187" s="140"/>
      <c r="JM187" s="277"/>
      <c r="JN187" s="277"/>
      <c r="JO187" s="140"/>
      <c r="JP187" s="277"/>
      <c r="JQ187" s="277"/>
      <c r="JR187" s="277"/>
      <c r="JS187" s="277"/>
      <c r="JT187" s="277"/>
      <c r="JU187" s="277"/>
      <c r="JV187" s="277"/>
      <c r="JW187" s="277"/>
      <c r="JX187" s="277"/>
      <c r="JY187" s="277"/>
      <c r="JZ187" s="277"/>
      <c r="KA187" s="277"/>
      <c r="KB187" s="277"/>
      <c r="KC187" s="277"/>
      <c r="KD187" s="277"/>
      <c r="KE187" s="277"/>
      <c r="KF187" s="277"/>
      <c r="KG187" s="277"/>
      <c r="KH187" s="277"/>
      <c r="KI187" s="277"/>
      <c r="KJ187" s="277"/>
      <c r="KK187" s="277"/>
      <c r="KL187" s="277"/>
      <c r="KM187" s="277"/>
      <c r="KN187" s="277"/>
      <c r="KO187" s="277"/>
      <c r="KP187" s="274"/>
      <c r="KQ187" s="253"/>
      <c r="KR187" s="253"/>
      <c r="KY187" s="141">
        <f>(KS187/4000)*L187*(C187+D187+E187+I187)</f>
        <v>0</v>
      </c>
      <c r="KZ187" s="141">
        <f>(KV187/4000)*L187*(C187+D187+E187+I187)</f>
        <v>0</v>
      </c>
    </row>
    <row r="188" spans="2:319" s="172" customFormat="1" ht="37.9" customHeight="1" thickTop="1" thickBot="1" x14ac:dyDescent="0.45">
      <c r="B188" s="318" t="s">
        <v>161</v>
      </c>
      <c r="C188" s="216">
        <f t="shared" ref="C188:J188" si="84">SUM(C31:C187)</f>
        <v>355</v>
      </c>
      <c r="D188" s="216">
        <f t="shared" si="84"/>
        <v>291</v>
      </c>
      <c r="E188" s="216">
        <f t="shared" si="84"/>
        <v>308</v>
      </c>
      <c r="F188" s="216"/>
      <c r="G188" s="216"/>
      <c r="H188" s="216"/>
      <c r="I188" s="216">
        <f t="shared" si="84"/>
        <v>436</v>
      </c>
      <c r="J188" s="216">
        <f t="shared" si="84"/>
        <v>1517</v>
      </c>
      <c r="K188" s="216">
        <f>SUM(K3:K187)</f>
        <v>21238</v>
      </c>
      <c r="L188" s="166">
        <f>L1*(C188+D188+E188)</f>
        <v>6678000</v>
      </c>
      <c r="M188" s="167">
        <f t="shared" ref="M188:AC188" si="85">SUM(M31:M187)</f>
        <v>1818387.2</v>
      </c>
      <c r="N188" s="399"/>
      <c r="O188" s="168">
        <f t="shared" si="85"/>
        <v>1157349.7833333332</v>
      </c>
      <c r="P188" s="168"/>
      <c r="Q188" s="168"/>
      <c r="R188" s="168">
        <f t="shared" si="85"/>
        <v>1001239.2833333333</v>
      </c>
      <c r="S188" s="168"/>
      <c r="T188" s="168">
        <f t="shared" si="85"/>
        <v>1192.8</v>
      </c>
      <c r="U188" s="168"/>
      <c r="V188" s="168"/>
      <c r="W188" s="168"/>
      <c r="X188" s="168">
        <f t="shared" si="85"/>
        <v>598.5</v>
      </c>
      <c r="Y188" s="486"/>
      <c r="Z188" s="486"/>
      <c r="AA188" s="486"/>
      <c r="AB188" s="486"/>
      <c r="AC188" s="169">
        <f t="shared" si="85"/>
        <v>243684</v>
      </c>
      <c r="AD188" s="212"/>
      <c r="AE188" s="212">
        <f>SUM(AE31:AE187)</f>
        <v>41173.5625</v>
      </c>
      <c r="AF188" s="170"/>
      <c r="AG188" s="171"/>
      <c r="AH188" s="171"/>
      <c r="EQ188" s="538" t="s">
        <v>148</v>
      </c>
      <c r="ER188" s="538"/>
      <c r="ES188" s="538"/>
      <c r="ET188" s="538"/>
      <c r="EU188" s="538"/>
      <c r="EV188" s="538"/>
      <c r="EW188" s="538"/>
      <c r="EX188" s="538"/>
      <c r="EY188" s="538"/>
      <c r="EZ188" s="538"/>
      <c r="FA188" s="538"/>
      <c r="FB188" s="538"/>
      <c r="FC188" s="538"/>
      <c r="FD188" s="538"/>
      <c r="FE188" s="538"/>
      <c r="FF188" s="538"/>
      <c r="FG188" s="265"/>
      <c r="FH188" s="265"/>
      <c r="FI188" s="265"/>
      <c r="KY188" s="172">
        <f>SUM(KY31:KY187)</f>
        <v>22960</v>
      </c>
      <c r="KZ188" s="172">
        <f>SUM(KZ31:KZ187)</f>
        <v>9450</v>
      </c>
    </row>
    <row r="189" spans="2:319" s="172" customFormat="1" ht="37.9" customHeight="1" thickTop="1" x14ac:dyDescent="0.45">
      <c r="B189" s="319" t="s">
        <v>149</v>
      </c>
      <c r="C189" s="173"/>
      <c r="D189" s="173"/>
      <c r="E189" s="173"/>
      <c r="F189" s="173"/>
      <c r="G189" s="173"/>
      <c r="H189" s="173"/>
      <c r="I189" s="173"/>
      <c r="J189" s="173"/>
      <c r="K189" s="173"/>
      <c r="L189" s="212"/>
      <c r="M189" s="213">
        <f>M188/$L$188</f>
        <v>0.272295178197065</v>
      </c>
      <c r="N189" s="400"/>
      <c r="O189" s="214">
        <f>O188/$L$188</f>
        <v>0.17330784416491962</v>
      </c>
      <c r="P189" s="214"/>
      <c r="Q189" s="214"/>
      <c r="R189" s="214">
        <f t="shared" ref="R189:AC189" si="86">R188/$L$188</f>
        <v>0.14993100978336826</v>
      </c>
      <c r="S189" s="214"/>
      <c r="T189" s="214">
        <f t="shared" si="86"/>
        <v>1.7861635220125786E-4</v>
      </c>
      <c r="U189" s="214"/>
      <c r="V189" s="214"/>
      <c r="W189" s="214"/>
      <c r="X189" s="214">
        <f t="shared" si="86"/>
        <v>8.9622641509433956E-5</v>
      </c>
      <c r="Y189" s="487"/>
      <c r="Z189" s="487"/>
      <c r="AA189" s="487"/>
      <c r="AB189" s="487"/>
      <c r="AC189" s="215">
        <f t="shared" si="86"/>
        <v>3.6490566037735851E-2</v>
      </c>
      <c r="AD189" s="270"/>
      <c r="AE189" s="270">
        <f>AE188/$L$188</f>
        <v>6.1655529350104826E-3</v>
      </c>
      <c r="AF189" s="174"/>
      <c r="AG189" s="175"/>
      <c r="AH189" s="175"/>
      <c r="AI189" s="176"/>
      <c r="AJ189" s="176"/>
      <c r="AK189" s="176"/>
      <c r="AM189" s="176"/>
      <c r="AN189" s="176"/>
      <c r="AO189" s="176"/>
      <c r="AQ189" s="176"/>
      <c r="AR189" s="176"/>
      <c r="AS189" s="176"/>
      <c r="AU189" s="176"/>
      <c r="AV189" s="176"/>
      <c r="AW189" s="176"/>
      <c r="AX189" s="176"/>
      <c r="AY189" s="176"/>
      <c r="AZ189" s="176"/>
      <c r="BA189" s="176"/>
      <c r="BB189" s="176"/>
      <c r="BC189" s="176"/>
      <c r="BD189" s="176"/>
      <c r="BE189" s="176"/>
      <c r="BF189" s="176"/>
      <c r="BG189" s="176"/>
      <c r="BH189" s="176"/>
      <c r="BI189" s="176"/>
      <c r="BJ189" s="176"/>
      <c r="BK189" s="176"/>
      <c r="BL189" s="176"/>
      <c r="BM189" s="176"/>
      <c r="BN189" s="176"/>
      <c r="BO189" s="176"/>
      <c r="BP189" s="176"/>
      <c r="BQ189" s="176"/>
      <c r="BR189" s="176"/>
      <c r="BS189" s="176"/>
      <c r="BT189" s="176"/>
      <c r="BU189" s="176"/>
      <c r="BV189" s="176"/>
      <c r="BW189" s="176"/>
      <c r="BX189" s="176"/>
      <c r="BY189" s="176"/>
      <c r="CA189" s="176"/>
      <c r="CB189" s="176"/>
      <c r="CC189" s="176"/>
      <c r="CE189" s="176"/>
      <c r="CF189" s="176"/>
      <c r="CG189" s="176"/>
      <c r="CH189" s="176"/>
      <c r="CI189" s="176"/>
      <c r="CJ189" s="176"/>
      <c r="CK189" s="176"/>
      <c r="CL189" s="176"/>
      <c r="CM189" s="176"/>
      <c r="CN189" s="176"/>
      <c r="CO189" s="176"/>
      <c r="CP189" s="176"/>
      <c r="CQ189" s="176"/>
      <c r="CR189" s="176"/>
      <c r="CS189" s="176"/>
      <c r="CT189" s="176"/>
      <c r="CU189" s="176"/>
      <c r="CV189" s="176"/>
      <c r="CW189" s="176"/>
      <c r="CY189" s="176"/>
      <c r="CZ189" s="176"/>
      <c r="DA189" s="176"/>
      <c r="DC189" s="176"/>
      <c r="DD189" s="176"/>
      <c r="DE189" s="176"/>
      <c r="DF189" s="176"/>
      <c r="DG189" s="176"/>
      <c r="DH189" s="176"/>
      <c r="DI189" s="176"/>
      <c r="DJ189" s="176"/>
      <c r="DK189" s="176"/>
      <c r="DL189" s="176"/>
      <c r="DM189" s="176"/>
      <c r="DN189" s="176"/>
      <c r="DO189" s="176"/>
      <c r="DP189" s="176"/>
      <c r="DQ189" s="176"/>
      <c r="DR189" s="176"/>
      <c r="DS189" s="176"/>
      <c r="DT189" s="176"/>
      <c r="DU189" s="176"/>
      <c r="DV189" s="176"/>
      <c r="DW189" s="176"/>
      <c r="DX189" s="176"/>
      <c r="DY189" s="176"/>
      <c r="DZ189" s="176"/>
      <c r="EA189" s="176"/>
      <c r="EB189" s="176"/>
      <c r="EC189" s="176"/>
      <c r="ED189" s="176"/>
      <c r="EE189" s="176"/>
      <c r="EF189" s="176"/>
      <c r="EG189" s="176"/>
      <c r="EH189" s="176"/>
      <c r="EI189" s="176"/>
      <c r="EJ189" s="176"/>
      <c r="EK189" s="176"/>
      <c r="EL189" s="176"/>
      <c r="EM189" s="176"/>
      <c r="EN189" s="176"/>
      <c r="EO189" s="176"/>
      <c r="EP189" s="176"/>
      <c r="KY189" s="170">
        <f>KY188/$L$188</f>
        <v>3.4381551362683439E-3</v>
      </c>
      <c r="KZ189" s="170">
        <f>KZ188/$L$188</f>
        <v>1.4150943396226414E-3</v>
      </c>
    </row>
    <row r="190" spans="2:319" ht="38.5" customHeight="1" x14ac:dyDescent="0.45">
      <c r="B190" s="320"/>
      <c r="C190" s="177"/>
      <c r="D190" s="177"/>
      <c r="E190" s="177"/>
      <c r="F190" s="177"/>
      <c r="G190" s="177"/>
      <c r="H190" s="177"/>
      <c r="I190" s="177"/>
      <c r="J190" s="177"/>
      <c r="K190" s="177"/>
      <c r="L190" s="178"/>
      <c r="M190" s="178"/>
      <c r="N190" s="178"/>
      <c r="O190" s="178"/>
      <c r="P190" s="178"/>
      <c r="Q190" s="178"/>
      <c r="R190" s="178"/>
      <c r="S190" s="178"/>
      <c r="T190" s="178"/>
      <c r="U190" s="178"/>
      <c r="V190" s="178"/>
      <c r="W190" s="178"/>
      <c r="X190" s="178"/>
      <c r="Y190" s="178"/>
      <c r="Z190" s="178"/>
      <c r="AA190" s="178"/>
      <c r="AB190" s="178"/>
      <c r="AC190" s="178"/>
      <c r="AD190" s="178"/>
      <c r="AE190" s="178"/>
      <c r="AF190" s="179" t="s">
        <v>104</v>
      </c>
      <c r="AG190" s="180"/>
      <c r="AH190" s="180"/>
      <c r="AI190" s="267" t="s">
        <v>362</v>
      </c>
      <c r="AJ190" s="255"/>
      <c r="AK190" s="255"/>
      <c r="AM190" s="180"/>
      <c r="AN190" s="180"/>
      <c r="AO190" s="180"/>
      <c r="AQ190" s="181" t="s">
        <v>150</v>
      </c>
      <c r="AR190" s="176"/>
      <c r="AS190" s="176"/>
      <c r="AU190" s="176"/>
      <c r="AV190" s="176"/>
      <c r="AW190" s="176"/>
      <c r="AX190" s="176"/>
      <c r="AY190" s="139" t="s">
        <v>83</v>
      </c>
      <c r="AZ190" s="183"/>
      <c r="BA190" s="183"/>
      <c r="BB190" s="183"/>
      <c r="BC190" s="180"/>
      <c r="BD190" s="180"/>
      <c r="BE190" s="180"/>
      <c r="BF190" s="180"/>
      <c r="BG190" s="182" t="s">
        <v>151</v>
      </c>
      <c r="BH190" s="183"/>
      <c r="BI190" s="183"/>
      <c r="BJ190" s="183"/>
      <c r="BK190" s="183"/>
      <c r="BL190" s="183"/>
      <c r="BM190" s="183"/>
      <c r="BN190" s="183"/>
      <c r="BO190" s="184"/>
      <c r="BP190" s="184"/>
      <c r="BQ190" s="184"/>
      <c r="BR190" s="184"/>
      <c r="BS190" s="185">
        <v>60</v>
      </c>
      <c r="BT190" s="198"/>
      <c r="BU190" s="198"/>
      <c r="BV190" s="198"/>
      <c r="BW190" s="176"/>
      <c r="BX190" s="176"/>
      <c r="BY190" s="176"/>
      <c r="CA190" s="186" t="s">
        <v>18</v>
      </c>
      <c r="CB190" s="256"/>
      <c r="CC190" s="256"/>
      <c r="CE190" s="176"/>
      <c r="CF190" s="176"/>
      <c r="CG190" s="176"/>
      <c r="CH190" s="176"/>
      <c r="CI190" s="187" t="s">
        <v>17</v>
      </c>
      <c r="CJ190" s="257"/>
      <c r="CK190" s="257"/>
      <c r="CL190" s="257"/>
      <c r="CM190" s="176"/>
      <c r="CN190" s="176"/>
      <c r="CO190" s="176"/>
      <c r="CP190" s="176"/>
      <c r="CQ190" s="186" t="s">
        <v>18</v>
      </c>
      <c r="CR190" s="256"/>
      <c r="CS190" s="256"/>
      <c r="CT190" s="256"/>
      <c r="CU190" s="176"/>
      <c r="CV190" s="176"/>
      <c r="CW190" s="176"/>
      <c r="CY190" s="188" t="s">
        <v>515</v>
      </c>
      <c r="CZ190" s="258"/>
      <c r="DA190" s="258"/>
      <c r="DC190" s="189"/>
      <c r="DD190" s="189"/>
      <c r="DE190" s="189"/>
      <c r="DF190" s="189"/>
      <c r="DG190" s="190" t="s">
        <v>106</v>
      </c>
      <c r="DH190" s="259"/>
      <c r="DI190" s="259"/>
      <c r="DJ190" s="259"/>
      <c r="DK190" s="259"/>
      <c r="DL190" s="259"/>
      <c r="DM190" s="259"/>
      <c r="DN190" s="259"/>
      <c r="DO190" s="259"/>
      <c r="DP190" s="259"/>
      <c r="DQ190" s="259"/>
      <c r="DR190" s="259"/>
      <c r="DS190" s="176"/>
      <c r="DT190" s="176"/>
      <c r="DU190" s="176"/>
      <c r="DV190" s="176"/>
      <c r="DW190" s="191" t="s">
        <v>105</v>
      </c>
      <c r="DX190" s="260"/>
      <c r="DY190" s="260"/>
      <c r="DZ190" s="260"/>
      <c r="EA190" s="176"/>
      <c r="EB190" s="176"/>
      <c r="EC190" s="176"/>
      <c r="ED190" s="176"/>
      <c r="EE190" s="192" t="s">
        <v>153</v>
      </c>
      <c r="EF190" s="262"/>
      <c r="EG190" s="262"/>
      <c r="EH190" s="262"/>
      <c r="EI190" s="176"/>
      <c r="EJ190" s="176"/>
      <c r="EK190" s="176"/>
      <c r="EL190" s="176"/>
      <c r="EM190" s="176"/>
      <c r="EU190" s="139" t="s">
        <v>360</v>
      </c>
      <c r="FC190" s="266" t="s">
        <v>361</v>
      </c>
    </row>
    <row r="191" spans="2:319" ht="38.5" customHeight="1" x14ac:dyDescent="0.45">
      <c r="B191" s="321"/>
      <c r="C191" s="177"/>
      <c r="D191" s="177"/>
      <c r="E191" s="177"/>
      <c r="F191" s="177"/>
      <c r="G191" s="177"/>
      <c r="H191" s="177"/>
      <c r="I191" s="177"/>
      <c r="J191" s="177"/>
      <c r="K191" s="177"/>
      <c r="L191" s="178"/>
      <c r="M191" s="178"/>
      <c r="N191" s="178"/>
      <c r="O191" s="178"/>
      <c r="P191" s="178"/>
      <c r="Q191" s="178"/>
      <c r="R191" s="178"/>
      <c r="S191" s="178"/>
      <c r="T191" s="178"/>
      <c r="U191" s="178"/>
      <c r="V191" s="178"/>
      <c r="W191" s="178"/>
      <c r="X191" s="178"/>
      <c r="Y191" s="178"/>
      <c r="Z191" s="178"/>
      <c r="AA191" s="178"/>
      <c r="AB191" s="178"/>
      <c r="AC191" s="178"/>
      <c r="AD191" s="178"/>
      <c r="AE191" s="178"/>
      <c r="AF191" s="193" t="s">
        <v>154</v>
      </c>
      <c r="AG191" s="194"/>
      <c r="AH191" s="194"/>
      <c r="AI191" s="195"/>
      <c r="AJ191" s="195"/>
      <c r="AK191" s="195"/>
      <c r="AM191" s="221"/>
      <c r="AN191" s="221"/>
      <c r="AO191" s="221"/>
      <c r="AQ191" s="196" t="s">
        <v>65</v>
      </c>
      <c r="AY191" s="195"/>
      <c r="AZ191" s="195"/>
      <c r="BA191" s="195"/>
      <c r="BB191" s="195"/>
      <c r="BC191" s="194"/>
      <c r="BD191" s="194"/>
      <c r="BE191" s="194"/>
      <c r="BF191" s="194"/>
      <c r="BG191" s="197" t="s">
        <v>20</v>
      </c>
      <c r="BH191" s="198"/>
      <c r="BI191" s="198"/>
      <c r="BJ191" s="198"/>
      <c r="BK191" s="198"/>
      <c r="BL191" s="198"/>
      <c r="BM191" s="198"/>
      <c r="BN191" s="198"/>
      <c r="BO191" s="184"/>
      <c r="BP191" s="184"/>
      <c r="BQ191" s="184"/>
      <c r="BR191" s="184"/>
      <c r="BS191" s="184"/>
      <c r="BT191" s="184"/>
      <c r="BU191" s="184"/>
      <c r="BV191" s="184"/>
      <c r="CA191" s="199"/>
      <c r="CB191" s="199"/>
      <c r="CC191" s="199"/>
      <c r="CI191" s="195"/>
      <c r="CJ191" s="195"/>
      <c r="CK191" s="195"/>
      <c r="CL191" s="195"/>
      <c r="CQ191" s="199"/>
      <c r="CR191" s="199"/>
      <c r="CS191" s="199"/>
      <c r="CT191" s="199"/>
      <c r="CY191" s="200"/>
      <c r="CZ191" s="200"/>
      <c r="DA191" s="200"/>
      <c r="DC191" s="201"/>
      <c r="DD191" s="201"/>
      <c r="DE191" s="201"/>
      <c r="DF191" s="201"/>
      <c r="DG191" s="202"/>
      <c r="DH191" s="202"/>
      <c r="DI191" s="202"/>
      <c r="DJ191" s="202"/>
      <c r="DK191" s="202"/>
      <c r="DL191" s="202"/>
      <c r="DM191" s="202"/>
      <c r="DN191" s="202"/>
      <c r="DO191" s="202"/>
      <c r="DP191" s="202"/>
      <c r="DQ191" s="202"/>
      <c r="DR191" s="202"/>
      <c r="DW191" s="203" t="s">
        <v>155</v>
      </c>
      <c r="DX191" s="261"/>
      <c r="DY191" s="261"/>
      <c r="DZ191" s="261"/>
      <c r="EE191" s="204" t="s">
        <v>156</v>
      </c>
      <c r="EF191" s="263"/>
      <c r="EG191" s="263"/>
      <c r="EH191" s="263"/>
    </row>
    <row r="192" spans="2:319" ht="38.5" customHeight="1" x14ac:dyDescent="0.4">
      <c r="B192" s="322"/>
      <c r="C192" s="205"/>
      <c r="D192" s="205"/>
      <c r="E192" s="205"/>
      <c r="F192" s="205"/>
      <c r="G192" s="205"/>
      <c r="H192" s="205"/>
      <c r="I192" s="205"/>
      <c r="J192" s="205"/>
      <c r="K192" s="205"/>
      <c r="L192" s="206"/>
      <c r="M192" s="207"/>
      <c r="N192" s="207"/>
      <c r="O192" s="207"/>
      <c r="P192" s="207"/>
      <c r="Q192" s="207"/>
      <c r="R192" s="207"/>
      <c r="S192" s="207"/>
      <c r="T192" s="207"/>
      <c r="U192" s="207"/>
      <c r="V192" s="207"/>
      <c r="W192" s="207"/>
      <c r="X192" s="207"/>
      <c r="Y192" s="207"/>
      <c r="Z192" s="207"/>
      <c r="AA192" s="207"/>
      <c r="AB192" s="207"/>
      <c r="AC192" s="207"/>
      <c r="AD192" s="207"/>
      <c r="AE192" s="207"/>
      <c r="BG192" s="209" t="s">
        <v>157</v>
      </c>
      <c r="BH192" s="198"/>
      <c r="BI192" s="198"/>
      <c r="BJ192" s="198"/>
      <c r="BK192" s="198"/>
      <c r="BL192" s="198"/>
      <c r="BM192" s="198"/>
      <c r="BN192" s="198"/>
      <c r="DW192" s="203" t="s">
        <v>158</v>
      </c>
      <c r="DX192" s="261"/>
      <c r="DY192" s="261"/>
      <c r="DZ192" s="261"/>
      <c r="EE192" s="158" t="s">
        <v>159</v>
      </c>
      <c r="EF192" s="264"/>
      <c r="EG192" s="264"/>
      <c r="EH192" s="264"/>
    </row>
    <row r="196" spans="18:28" x14ac:dyDescent="0.4">
      <c r="R196" s="539"/>
      <c r="S196" s="539"/>
      <c r="T196" s="539"/>
      <c r="U196" s="477"/>
      <c r="V196" s="477"/>
      <c r="W196" s="477"/>
    </row>
    <row r="197" spans="18:28" x14ac:dyDescent="0.4">
      <c r="R197" s="540"/>
      <c r="S197" s="540"/>
      <c r="T197" s="540"/>
      <c r="U197" s="478"/>
      <c r="V197" s="478"/>
      <c r="W197" s="478"/>
      <c r="X197" s="210"/>
      <c r="Y197" s="210"/>
      <c r="Z197" s="210"/>
      <c r="AA197" s="210"/>
      <c r="AB197" s="210"/>
    </row>
  </sheetData>
  <autoFilter ref="A2:JG192" xr:uid="{DEA66B68-3C60-40C3-9A77-47A4BC7D820B}"/>
  <mergeCells count="5">
    <mergeCell ref="EQ188:FF188"/>
    <mergeCell ref="R196:T196"/>
    <mergeCell ref="R197:T197"/>
    <mergeCell ref="C1:E1"/>
    <mergeCell ref="F1:H1"/>
  </mergeCells>
  <phoneticPr fontId="46" type="noConversion"/>
  <conditionalFormatting sqref="M192:AE192">
    <cfRule type="cellIs" dxfId="6" priority="1" operator="lessThan">
      <formula>0</formula>
    </cfRule>
  </conditionalFormatting>
  <hyperlinks>
    <hyperlink ref="O2" r:id="rId1" display="NEXVG#@" xr:uid="{17D89597-EB0C-4399-9B93-C0DF8855A7E2}"/>
    <hyperlink ref="AS86" r:id="rId2" display="NEXVG#@" xr:uid="{B2B64C0D-7382-4DB1-8CC2-6A9263457BEC}"/>
    <hyperlink ref="AS92" r:id="rId3" display="NEXVG#@" xr:uid="{961E5C1F-01D0-4608-AE26-B13C15E36335}"/>
    <hyperlink ref="AS90" r:id="rId4" display="NEXVG#@" xr:uid="{9F9B5A27-0FF0-4CB1-8E66-8D7EBAB66F54}"/>
    <hyperlink ref="AS74" r:id="rId5" display="NEXVG#@" xr:uid="{9DBD349F-2482-4021-BC4D-25E062DA3FE4}"/>
    <hyperlink ref="AS103" r:id="rId6" display="NEXVG#@" xr:uid="{4A808C3F-6B8E-4ABF-A32F-2C926A87DA56}"/>
    <hyperlink ref="AS101" r:id="rId7" display="NEXVG#@" xr:uid="{F6E8C3CA-6239-4DE3-BE2A-0E30684A61EA}"/>
    <hyperlink ref="AS102" r:id="rId8" display="NEXVG#@" xr:uid="{587E52DC-722C-4860-9B18-AE9E6B753C95}"/>
    <hyperlink ref="AS129" r:id="rId9" display="NEXVG#@" xr:uid="{38B6EF7D-14E5-4335-8A50-38A4A7FFCA73}"/>
    <hyperlink ref="AS67" r:id="rId10" display="NEXVG#@" xr:uid="{FE64032B-A2E9-4D89-8810-162A0869421E}"/>
    <hyperlink ref="AS140" r:id="rId11" display="NEXVG#@" xr:uid="{A2F67230-6C44-4EB7-BB6B-FA710AA9CD61}"/>
    <hyperlink ref="AS141" r:id="rId12" display="NEXVG#@" xr:uid="{6114F975-17D1-4069-B763-2F5B13664934}"/>
    <hyperlink ref="AS104" r:id="rId13" display="NEXVG#@" xr:uid="{F865CA91-3363-49A0-BA65-BC9B647AAA9F}"/>
    <hyperlink ref="AS112" r:id="rId14" display="NEXVG#@" xr:uid="{383DAB05-594F-4495-ADC7-31E8901258C9}"/>
    <hyperlink ref="AS113" r:id="rId15" display="NEXVG#@" xr:uid="{52C17505-A0AB-47FE-A143-CAB1283BF4E2}"/>
    <hyperlink ref="AS114" r:id="rId16" display="NEXVG#@" xr:uid="{47EDF895-2DBE-4844-B371-017E83032859}"/>
    <hyperlink ref="AS115" r:id="rId17" display="NEXVG#@" xr:uid="{BD3F1434-A48B-4DD5-9D1F-92136A980D4C}"/>
    <hyperlink ref="AS116" r:id="rId18" display="NEXVG#@" xr:uid="{1744A59E-735F-478A-9743-BAAE2C334457}"/>
    <hyperlink ref="AS136" r:id="rId19" display="NEXVG#@" xr:uid="{1BB7B375-B9F8-4C33-A699-0AD96AE58DB2}"/>
    <hyperlink ref="AS137" r:id="rId20" display="NEXVG#@" xr:uid="{2BDB95C6-F892-452B-AA4A-889BFDA0AFCB}"/>
    <hyperlink ref="AS124" r:id="rId21" display="NEXVG#@" xr:uid="{B4BF32CC-FD6E-42F4-A480-7AB721B628FB}"/>
    <hyperlink ref="AS122" r:id="rId22" display="NEXVG#@" xr:uid="{E657BF39-A2D3-4743-8944-E757E296F63E}"/>
    <hyperlink ref="GN122" r:id="rId23" display="NEXVG#@" xr:uid="{A64B3253-3292-4C79-B0A9-B93CBC54954F}"/>
    <hyperlink ref="GR122" r:id="rId24" display="NEXVG#@" xr:uid="{5965C43A-F351-453E-9240-E73EAE16642C}"/>
    <hyperlink ref="AS123" r:id="rId25" display="NEXVG#@" xr:uid="{C17124CB-7000-4A41-B540-95B91E723F1A}"/>
    <hyperlink ref="GN123" r:id="rId26" display="NEXVG#@" xr:uid="{E8DEEC93-CF49-4F93-9FB6-E69F96C51862}"/>
    <hyperlink ref="GR123" r:id="rId27" display="NEXVG#@" xr:uid="{40A593A3-00C1-486F-8DBD-FC63838C5120}"/>
    <hyperlink ref="GV124" r:id="rId28" display="NEXVG#@" xr:uid="{A8D4D4A1-4A5A-4003-AB78-E475A37DBC53}"/>
    <hyperlink ref="GN124" r:id="rId29" display="NEXVG#@" xr:uid="{4BA5E336-923E-4A47-A7EB-5BAD6A1CB2DA}"/>
    <hyperlink ref="GR124" r:id="rId30" display="NEXVG#@" xr:uid="{45B3EA8D-000B-4386-897E-967D20254718}"/>
    <hyperlink ref="HD124" r:id="rId31" display="NEXVG#@" xr:uid="{EB9C91BE-8237-448A-A440-8B50E124380F}"/>
  </hyperlinks>
  <printOptions horizontalCentered="1" verticalCentered="1"/>
  <pageMargins left="0" right="0.25" top="0" bottom="0" header="0" footer="0"/>
  <pageSetup paperSize="8" orientation="landscape" horizontalDpi="300" verticalDpi="300" r:id="rId32"/>
  <headerFooter alignWithMargins="0"/>
  <legacyDrawing r:id="rId3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90A8CA-6379-48BC-BA31-D29525DDBAE8}">
  <dimension ref="A1:D84"/>
  <sheetViews>
    <sheetView topLeftCell="A20" workbookViewId="0">
      <selection activeCell="C55" sqref="C55"/>
    </sheetView>
  </sheetViews>
  <sheetFormatPr defaultRowHeight="12.5" x14ac:dyDescent="0.25"/>
  <cols>
    <col min="1" max="1" width="8.1796875" customWidth="1"/>
    <col min="2" max="2" width="54.54296875" customWidth="1"/>
    <col min="3" max="3" width="41.1796875" customWidth="1"/>
    <col min="4" max="4" width="79.7265625" customWidth="1"/>
  </cols>
  <sheetData>
    <row r="1" spans="1:4" ht="20" x14ac:dyDescent="0.4">
      <c r="A1" s="300" t="s">
        <v>595</v>
      </c>
    </row>
    <row r="2" spans="1:4" ht="13" x14ac:dyDescent="0.3">
      <c r="A2" s="301" t="s">
        <v>596</v>
      </c>
    </row>
    <row r="4" spans="1:4" ht="15.5" x14ac:dyDescent="0.35">
      <c r="A4" s="302" t="s">
        <v>597</v>
      </c>
      <c r="B4" s="303"/>
      <c r="C4" s="303"/>
      <c r="D4" s="303"/>
    </row>
    <row r="5" spans="1:4" ht="13" x14ac:dyDescent="0.3">
      <c r="A5" s="307" t="s">
        <v>598</v>
      </c>
      <c r="B5" s="307" t="s">
        <v>599</v>
      </c>
      <c r="C5" s="307" t="s">
        <v>600</v>
      </c>
      <c r="D5" s="307" t="s">
        <v>601</v>
      </c>
    </row>
    <row r="6" spans="1:4" x14ac:dyDescent="0.25">
      <c r="A6" s="308" t="s">
        <v>602</v>
      </c>
      <c r="B6" s="308" t="s">
        <v>104</v>
      </c>
      <c r="C6" s="308" t="s">
        <v>603</v>
      </c>
      <c r="D6" s="308" t="s">
        <v>604</v>
      </c>
    </row>
    <row r="7" spans="1:4" x14ac:dyDescent="0.25">
      <c r="A7" s="308" t="s">
        <v>217</v>
      </c>
      <c r="B7" s="308" t="s">
        <v>362</v>
      </c>
      <c r="C7" s="308" t="s">
        <v>605</v>
      </c>
      <c r="D7" s="308" t="s">
        <v>606</v>
      </c>
    </row>
    <row r="8" spans="1:4" x14ac:dyDescent="0.25">
      <c r="A8" s="308" t="s">
        <v>607</v>
      </c>
      <c r="B8" s="308" t="s">
        <v>516</v>
      </c>
      <c r="C8" s="308" t="s">
        <v>608</v>
      </c>
      <c r="D8" s="308" t="s">
        <v>609</v>
      </c>
    </row>
    <row r="9" spans="1:4" x14ac:dyDescent="0.25">
      <c r="A9" s="308" t="s">
        <v>610</v>
      </c>
      <c r="B9" s="308" t="s">
        <v>360</v>
      </c>
      <c r="C9" s="308" t="s">
        <v>611</v>
      </c>
      <c r="D9" s="308" t="s">
        <v>612</v>
      </c>
    </row>
    <row r="10" spans="1:4" x14ac:dyDescent="0.25">
      <c r="A10" s="308" t="s">
        <v>613</v>
      </c>
      <c r="B10" s="308" t="s">
        <v>361</v>
      </c>
      <c r="C10" s="308" t="s">
        <v>19</v>
      </c>
      <c r="D10" s="308" t="s">
        <v>614</v>
      </c>
    </row>
    <row r="11" spans="1:4" x14ac:dyDescent="0.25">
      <c r="A11" s="308" t="s">
        <v>615</v>
      </c>
      <c r="B11" s="308" t="s">
        <v>106</v>
      </c>
      <c r="C11" s="308" t="s">
        <v>129</v>
      </c>
      <c r="D11" s="308" t="s">
        <v>616</v>
      </c>
    </row>
    <row r="12" spans="1:4" x14ac:dyDescent="0.25">
      <c r="A12" s="308" t="s">
        <v>617</v>
      </c>
      <c r="B12" s="308" t="s">
        <v>515</v>
      </c>
      <c r="C12" s="308" t="s">
        <v>618</v>
      </c>
      <c r="D12" s="308" t="s">
        <v>619</v>
      </c>
    </row>
    <row r="13" spans="1:4" x14ac:dyDescent="0.25">
      <c r="A13" s="308" t="s">
        <v>620</v>
      </c>
      <c r="B13" s="309" t="s">
        <v>621</v>
      </c>
      <c r="C13" s="309" t="s">
        <v>622</v>
      </c>
      <c r="D13" s="309" t="s">
        <v>623</v>
      </c>
    </row>
    <row r="14" spans="1:4" x14ac:dyDescent="0.25">
      <c r="A14" s="325" t="s">
        <v>747</v>
      </c>
      <c r="B14" s="326" t="s">
        <v>748</v>
      </c>
      <c r="C14" s="325" t="s">
        <v>749</v>
      </c>
      <c r="D14" s="326" t="s">
        <v>750</v>
      </c>
    </row>
    <row r="15" spans="1:4" x14ac:dyDescent="0.25">
      <c r="A15" s="326" t="s">
        <v>751</v>
      </c>
      <c r="B15" s="327" t="s">
        <v>752</v>
      </c>
      <c r="C15" s="325" t="s">
        <v>753</v>
      </c>
      <c r="D15" s="327" t="s">
        <v>754</v>
      </c>
    </row>
    <row r="16" spans="1:4" ht="15.5" x14ac:dyDescent="0.35">
      <c r="A16" s="302" t="s">
        <v>624</v>
      </c>
      <c r="B16" s="303"/>
      <c r="C16" s="303"/>
      <c r="D16" s="303"/>
    </row>
    <row r="17" spans="1:4" ht="13" x14ac:dyDescent="0.3">
      <c r="A17" s="307" t="s">
        <v>625</v>
      </c>
      <c r="B17" s="307" t="s">
        <v>626</v>
      </c>
      <c r="C17" s="307" t="s">
        <v>598</v>
      </c>
      <c r="D17" s="307" t="s">
        <v>627</v>
      </c>
    </row>
    <row r="18" spans="1:4" ht="13" x14ac:dyDescent="0.3">
      <c r="A18" s="308">
        <v>1</v>
      </c>
      <c r="B18" s="310" t="s">
        <v>628</v>
      </c>
      <c r="C18" s="308" t="s">
        <v>629</v>
      </c>
      <c r="D18" s="308" t="s">
        <v>602</v>
      </c>
    </row>
    <row r="19" spans="1:4" ht="13" x14ac:dyDescent="0.3">
      <c r="A19" s="308">
        <v>2</v>
      </c>
      <c r="B19" s="310" t="s">
        <v>630</v>
      </c>
      <c r="C19" s="308" t="s">
        <v>631</v>
      </c>
      <c r="D19" s="308" t="s">
        <v>607</v>
      </c>
    </row>
    <row r="20" spans="1:4" ht="13" x14ac:dyDescent="0.3">
      <c r="A20" s="308">
        <v>3</v>
      </c>
      <c r="B20" s="310" t="s">
        <v>632</v>
      </c>
      <c r="C20" s="308" t="s">
        <v>633</v>
      </c>
      <c r="D20" s="308" t="s">
        <v>217</v>
      </c>
    </row>
    <row r="21" spans="1:4" ht="13" x14ac:dyDescent="0.3">
      <c r="A21" s="308" t="s">
        <v>4</v>
      </c>
      <c r="B21" s="310" t="s">
        <v>634</v>
      </c>
      <c r="C21" s="308" t="s">
        <v>23</v>
      </c>
      <c r="D21" s="308" t="s">
        <v>607</v>
      </c>
    </row>
    <row r="22" spans="1:4" ht="13" x14ac:dyDescent="0.3">
      <c r="A22" s="308">
        <v>4</v>
      </c>
      <c r="B22" s="310" t="s">
        <v>635</v>
      </c>
      <c r="C22" s="308" t="s">
        <v>636</v>
      </c>
      <c r="D22" s="308" t="s">
        <v>607</v>
      </c>
    </row>
    <row r="23" spans="1:4" ht="13" x14ac:dyDescent="0.3">
      <c r="A23" s="308" t="s">
        <v>5</v>
      </c>
      <c r="B23" s="310" t="s">
        <v>637</v>
      </c>
      <c r="C23" s="308" t="s">
        <v>638</v>
      </c>
      <c r="D23" s="308" t="s">
        <v>607</v>
      </c>
    </row>
    <row r="24" spans="1:4" ht="13" x14ac:dyDescent="0.3">
      <c r="A24" s="308" t="s">
        <v>6</v>
      </c>
      <c r="B24" s="310" t="s">
        <v>639</v>
      </c>
      <c r="C24" s="308" t="s">
        <v>640</v>
      </c>
      <c r="D24" s="308" t="s">
        <v>607</v>
      </c>
    </row>
    <row r="25" spans="1:4" ht="13" x14ac:dyDescent="0.3">
      <c r="A25" s="308" t="s">
        <v>7</v>
      </c>
      <c r="B25" s="310" t="s">
        <v>641</v>
      </c>
      <c r="C25" s="308" t="s">
        <v>642</v>
      </c>
      <c r="D25" s="308" t="s">
        <v>607</v>
      </c>
    </row>
    <row r="26" spans="1:4" ht="13" x14ac:dyDescent="0.3">
      <c r="A26" s="308" t="s">
        <v>8</v>
      </c>
      <c r="B26" s="310" t="s">
        <v>643</v>
      </c>
      <c r="C26" s="308" t="s">
        <v>644</v>
      </c>
      <c r="D26" s="308" t="s">
        <v>607</v>
      </c>
    </row>
    <row r="27" spans="1:4" ht="13" x14ac:dyDescent="0.3">
      <c r="A27" s="308" t="s">
        <v>9</v>
      </c>
      <c r="B27" s="310" t="s">
        <v>645</v>
      </c>
      <c r="C27" s="308" t="s">
        <v>646</v>
      </c>
      <c r="D27" s="308" t="s">
        <v>607</v>
      </c>
    </row>
    <row r="28" spans="1:4" ht="13" x14ac:dyDescent="0.3">
      <c r="A28" s="308" t="s">
        <v>75</v>
      </c>
      <c r="B28" s="310" t="s">
        <v>647</v>
      </c>
      <c r="C28" s="308" t="s">
        <v>648</v>
      </c>
      <c r="D28" s="308" t="s">
        <v>607</v>
      </c>
    </row>
    <row r="29" spans="1:4" ht="13" x14ac:dyDescent="0.3">
      <c r="A29" s="308" t="s">
        <v>76</v>
      </c>
      <c r="B29" s="310" t="s">
        <v>649</v>
      </c>
      <c r="C29" s="308" t="s">
        <v>650</v>
      </c>
      <c r="D29" s="308" t="s">
        <v>607</v>
      </c>
    </row>
    <row r="30" spans="1:4" ht="13" x14ac:dyDescent="0.3">
      <c r="A30" s="308" t="s">
        <v>77</v>
      </c>
      <c r="B30" s="310" t="s">
        <v>651</v>
      </c>
      <c r="C30" s="308" t="s">
        <v>652</v>
      </c>
      <c r="D30" s="308" t="s">
        <v>607</v>
      </c>
    </row>
    <row r="31" spans="1:4" ht="13" x14ac:dyDescent="0.3">
      <c r="A31" s="308" t="s">
        <v>78</v>
      </c>
      <c r="B31" s="310" t="s">
        <v>653</v>
      </c>
      <c r="C31" s="308" t="s">
        <v>654</v>
      </c>
      <c r="D31" s="308" t="s">
        <v>607</v>
      </c>
    </row>
    <row r="32" spans="1:4" ht="13" x14ac:dyDescent="0.3">
      <c r="A32" s="308" t="s">
        <v>79</v>
      </c>
      <c r="B32" s="310" t="s">
        <v>655</v>
      </c>
      <c r="C32" s="308" t="s">
        <v>656</v>
      </c>
      <c r="D32" s="308" t="s">
        <v>607</v>
      </c>
    </row>
    <row r="33" spans="1:4" ht="13" x14ac:dyDescent="0.3">
      <c r="A33" s="308" t="s">
        <v>80</v>
      </c>
      <c r="B33" s="310" t="s">
        <v>657</v>
      </c>
      <c r="C33" s="308" t="s">
        <v>658</v>
      </c>
      <c r="D33" s="308" t="s">
        <v>607</v>
      </c>
    </row>
    <row r="34" spans="1:4" ht="13" x14ac:dyDescent="0.3">
      <c r="A34" s="308" t="s">
        <v>130</v>
      </c>
      <c r="B34" s="310" t="s">
        <v>659</v>
      </c>
      <c r="C34" s="308" t="s">
        <v>660</v>
      </c>
      <c r="D34" s="308" t="s">
        <v>607</v>
      </c>
    </row>
    <row r="35" spans="1:4" ht="13" x14ac:dyDescent="0.3">
      <c r="A35" s="308" t="s">
        <v>131</v>
      </c>
      <c r="B35" s="310" t="s">
        <v>661</v>
      </c>
      <c r="C35" s="308" t="s">
        <v>662</v>
      </c>
      <c r="D35" s="308" t="s">
        <v>607</v>
      </c>
    </row>
    <row r="36" spans="1:4" ht="13" x14ac:dyDescent="0.3">
      <c r="A36" s="308" t="s">
        <v>10</v>
      </c>
      <c r="B36" s="310" t="s">
        <v>663</v>
      </c>
      <c r="C36" s="308" t="s">
        <v>664</v>
      </c>
      <c r="D36" s="308" t="s">
        <v>607</v>
      </c>
    </row>
    <row r="37" spans="1:4" ht="13" x14ac:dyDescent="0.3">
      <c r="A37" s="308" t="s">
        <v>11</v>
      </c>
      <c r="B37" s="310" t="s">
        <v>665</v>
      </c>
      <c r="C37" s="308" t="s">
        <v>666</v>
      </c>
      <c r="D37" s="308" t="s">
        <v>607</v>
      </c>
    </row>
    <row r="38" spans="1:4" ht="13" x14ac:dyDescent="0.3">
      <c r="A38" s="308" t="s">
        <v>590</v>
      </c>
      <c r="B38" s="311" t="s">
        <v>667</v>
      </c>
      <c r="C38" s="308" t="s">
        <v>668</v>
      </c>
      <c r="D38" s="308" t="s">
        <v>607</v>
      </c>
    </row>
    <row r="39" spans="1:4" ht="13" x14ac:dyDescent="0.3">
      <c r="A39" s="308" t="s">
        <v>592</v>
      </c>
      <c r="B39" s="311" t="s">
        <v>669</v>
      </c>
      <c r="C39" s="308" t="s">
        <v>670</v>
      </c>
      <c r="D39" s="308" t="s">
        <v>607</v>
      </c>
    </row>
    <row r="40" spans="1:4" ht="13" x14ac:dyDescent="0.3">
      <c r="A40" s="308" t="s">
        <v>593</v>
      </c>
      <c r="B40" s="311" t="s">
        <v>671</v>
      </c>
      <c r="C40" s="308" t="s">
        <v>159</v>
      </c>
      <c r="D40" s="308" t="s">
        <v>607</v>
      </c>
    </row>
    <row r="41" spans="1:4" ht="13" x14ac:dyDescent="0.3">
      <c r="A41" s="308" t="s">
        <v>594</v>
      </c>
      <c r="B41" s="311" t="s">
        <v>672</v>
      </c>
      <c r="C41" s="308" t="s">
        <v>673</v>
      </c>
      <c r="D41" s="308" t="s">
        <v>613</v>
      </c>
    </row>
    <row r="42" spans="1:4" ht="13" x14ac:dyDescent="0.3">
      <c r="A42" s="308">
        <v>5</v>
      </c>
      <c r="B42" s="311" t="s">
        <v>674</v>
      </c>
      <c r="C42" s="308" t="s">
        <v>675</v>
      </c>
      <c r="D42" s="308" t="s">
        <v>607</v>
      </c>
    </row>
    <row r="43" spans="1:4" ht="13" x14ac:dyDescent="0.3">
      <c r="A43" s="308" t="s">
        <v>12</v>
      </c>
      <c r="B43" s="311" t="s">
        <v>676</v>
      </c>
      <c r="C43" s="308" t="s">
        <v>677</v>
      </c>
      <c r="D43" s="308" t="s">
        <v>607</v>
      </c>
    </row>
    <row r="44" spans="1:4" ht="13" x14ac:dyDescent="0.3">
      <c r="A44" s="308" t="s">
        <v>13</v>
      </c>
      <c r="B44" s="311" t="s">
        <v>678</v>
      </c>
      <c r="C44" s="308" t="s">
        <v>679</v>
      </c>
      <c r="D44" s="308" t="s">
        <v>607</v>
      </c>
    </row>
    <row r="45" spans="1:4" ht="13" x14ac:dyDescent="0.3">
      <c r="A45" s="308">
        <v>6</v>
      </c>
      <c r="B45" s="311" t="s">
        <v>680</v>
      </c>
      <c r="C45" s="308" t="s">
        <v>622</v>
      </c>
      <c r="D45" s="308" t="s">
        <v>607</v>
      </c>
    </row>
    <row r="46" spans="1:4" ht="13" x14ac:dyDescent="0.3">
      <c r="A46" s="308" t="s">
        <v>14</v>
      </c>
      <c r="B46" s="311" t="s">
        <v>681</v>
      </c>
      <c r="C46" s="308" t="s">
        <v>682</v>
      </c>
      <c r="D46" s="308" t="s">
        <v>607</v>
      </c>
    </row>
    <row r="47" spans="1:4" ht="13" x14ac:dyDescent="0.3">
      <c r="A47" s="308" t="s">
        <v>132</v>
      </c>
      <c r="B47" s="311" t="s">
        <v>683</v>
      </c>
      <c r="C47" s="308" t="s">
        <v>684</v>
      </c>
      <c r="D47" s="308" t="s">
        <v>607</v>
      </c>
    </row>
    <row r="48" spans="1:4" ht="13" x14ac:dyDescent="0.3">
      <c r="A48" s="308" t="s">
        <v>15</v>
      </c>
      <c r="B48" s="311" t="s">
        <v>685</v>
      </c>
      <c r="C48" s="308" t="s">
        <v>686</v>
      </c>
      <c r="D48" s="308" t="s">
        <v>607</v>
      </c>
    </row>
    <row r="49" spans="1:4" ht="13" x14ac:dyDescent="0.3">
      <c r="A49" s="308" t="s">
        <v>133</v>
      </c>
      <c r="B49" s="311" t="s">
        <v>687</v>
      </c>
      <c r="C49" s="308" t="s">
        <v>688</v>
      </c>
      <c r="D49" s="308" t="s">
        <v>607</v>
      </c>
    </row>
    <row r="50" spans="1:4" ht="13" x14ac:dyDescent="0.3">
      <c r="A50" s="308" t="s">
        <v>589</v>
      </c>
      <c r="B50" s="311" t="s">
        <v>689</v>
      </c>
      <c r="C50" s="308" t="s">
        <v>690</v>
      </c>
      <c r="D50" s="308" t="s">
        <v>613</v>
      </c>
    </row>
    <row r="51" spans="1:4" ht="13" x14ac:dyDescent="0.3">
      <c r="A51" s="308">
        <v>7</v>
      </c>
      <c r="B51" s="311" t="s">
        <v>691</v>
      </c>
      <c r="C51" s="308" t="s">
        <v>692</v>
      </c>
      <c r="D51" s="308" t="s">
        <v>607</v>
      </c>
    </row>
    <row r="52" spans="1:4" ht="13" x14ac:dyDescent="0.3">
      <c r="A52" s="308" t="s">
        <v>591</v>
      </c>
      <c r="B52" s="311" t="s">
        <v>693</v>
      </c>
      <c r="C52" s="308" t="s">
        <v>694</v>
      </c>
      <c r="D52" s="308" t="s">
        <v>607</v>
      </c>
    </row>
    <row r="53" spans="1:4" ht="13" x14ac:dyDescent="0.3">
      <c r="A53" s="308">
        <v>8</v>
      </c>
      <c r="B53" s="311" t="s">
        <v>152</v>
      </c>
      <c r="C53" s="308" t="s">
        <v>695</v>
      </c>
      <c r="D53" s="308" t="s">
        <v>617</v>
      </c>
    </row>
    <row r="54" spans="1:4" ht="13" x14ac:dyDescent="0.3">
      <c r="A54" s="308">
        <v>9</v>
      </c>
      <c r="B54" s="311" t="s">
        <v>129</v>
      </c>
      <c r="C54" s="308" t="s">
        <v>696</v>
      </c>
      <c r="D54" s="308" t="s">
        <v>615</v>
      </c>
    </row>
    <row r="55" spans="1:4" ht="13" x14ac:dyDescent="0.3">
      <c r="A55" s="308">
        <v>10</v>
      </c>
      <c r="B55" s="312" t="s">
        <v>697</v>
      </c>
      <c r="C55" s="308" t="s">
        <v>698</v>
      </c>
      <c r="D55" s="309" t="s">
        <v>622</v>
      </c>
    </row>
    <row r="56" spans="1:4" ht="13" x14ac:dyDescent="0.3">
      <c r="A56" s="308">
        <v>11</v>
      </c>
      <c r="B56" s="311" t="s">
        <v>699</v>
      </c>
      <c r="C56" s="308" t="s">
        <v>622</v>
      </c>
      <c r="D56" s="308"/>
    </row>
    <row r="57" spans="1:4" ht="13" x14ac:dyDescent="0.3">
      <c r="A57" s="308" t="s">
        <v>572</v>
      </c>
      <c r="B57" s="311" t="s">
        <v>700</v>
      </c>
      <c r="C57" s="308" t="s">
        <v>701</v>
      </c>
      <c r="D57" s="308" t="s">
        <v>607</v>
      </c>
    </row>
    <row r="58" spans="1:4" ht="13" x14ac:dyDescent="0.3">
      <c r="A58" s="308" t="s">
        <v>573</v>
      </c>
      <c r="B58" s="311" t="s">
        <v>702</v>
      </c>
      <c r="C58" s="308" t="s">
        <v>703</v>
      </c>
      <c r="D58" s="308" t="s">
        <v>607</v>
      </c>
    </row>
    <row r="59" spans="1:4" ht="13" x14ac:dyDescent="0.3">
      <c r="A59" s="308" t="s">
        <v>574</v>
      </c>
      <c r="B59" s="311" t="s">
        <v>704</v>
      </c>
      <c r="C59" s="308" t="s">
        <v>705</v>
      </c>
      <c r="D59" s="308" t="s">
        <v>607</v>
      </c>
    </row>
    <row r="60" spans="1:4" ht="13" x14ac:dyDescent="0.3">
      <c r="A60" s="308" t="s">
        <v>575</v>
      </c>
      <c r="B60" s="311" t="s">
        <v>706</v>
      </c>
      <c r="C60" s="308" t="s">
        <v>707</v>
      </c>
      <c r="D60" s="308" t="s">
        <v>610</v>
      </c>
    </row>
    <row r="61" spans="1:4" ht="13" x14ac:dyDescent="0.3">
      <c r="A61" s="308" t="s">
        <v>576</v>
      </c>
      <c r="B61" s="311" t="s">
        <v>708</v>
      </c>
      <c r="C61" s="308" t="s">
        <v>709</v>
      </c>
      <c r="D61" s="308" t="s">
        <v>613</v>
      </c>
    </row>
    <row r="62" spans="1:4" ht="13" x14ac:dyDescent="0.3">
      <c r="A62" s="308">
        <v>12</v>
      </c>
      <c r="B62" s="311" t="s">
        <v>710</v>
      </c>
      <c r="C62" s="308" t="s">
        <v>622</v>
      </c>
      <c r="D62" s="308"/>
    </row>
    <row r="63" spans="1:4" ht="13" x14ac:dyDescent="0.3">
      <c r="A63" s="308" t="s">
        <v>577</v>
      </c>
      <c r="B63" s="311" t="s">
        <v>711</v>
      </c>
      <c r="C63" s="308" t="s">
        <v>712</v>
      </c>
      <c r="D63" s="308" t="s">
        <v>607</v>
      </c>
    </row>
    <row r="64" spans="1:4" ht="13" x14ac:dyDescent="0.3">
      <c r="A64" s="308" t="s">
        <v>578</v>
      </c>
      <c r="B64" s="311" t="s">
        <v>713</v>
      </c>
      <c r="C64" s="308" t="s">
        <v>714</v>
      </c>
      <c r="D64" s="308" t="s">
        <v>607</v>
      </c>
    </row>
    <row r="65" spans="1:4" ht="13" x14ac:dyDescent="0.3">
      <c r="A65" s="308" t="s">
        <v>579</v>
      </c>
      <c r="B65" s="311" t="s">
        <v>715</v>
      </c>
      <c r="C65" s="308" t="s">
        <v>716</v>
      </c>
      <c r="D65" s="308" t="s">
        <v>607</v>
      </c>
    </row>
    <row r="66" spans="1:4" ht="13" x14ac:dyDescent="0.3">
      <c r="A66" s="308" t="s">
        <v>580</v>
      </c>
      <c r="B66" s="311" t="s">
        <v>717</v>
      </c>
      <c r="C66" s="308" t="s">
        <v>718</v>
      </c>
      <c r="D66" s="308" t="s">
        <v>607</v>
      </c>
    </row>
    <row r="67" spans="1:4" ht="13" x14ac:dyDescent="0.3">
      <c r="A67" s="308" t="s">
        <v>581</v>
      </c>
      <c r="B67" s="311" t="s">
        <v>719</v>
      </c>
      <c r="C67" s="308" t="s">
        <v>720</v>
      </c>
      <c r="D67" s="308" t="s">
        <v>607</v>
      </c>
    </row>
    <row r="68" spans="1:4" ht="13" x14ac:dyDescent="0.3">
      <c r="A68" s="308" t="s">
        <v>582</v>
      </c>
      <c r="B68" s="311" t="s">
        <v>721</v>
      </c>
      <c r="C68" s="308" t="s">
        <v>722</v>
      </c>
      <c r="D68" s="308" t="s">
        <v>607</v>
      </c>
    </row>
    <row r="69" spans="1:4" ht="13" x14ac:dyDescent="0.3">
      <c r="A69" s="308" t="s">
        <v>583</v>
      </c>
      <c r="B69" s="311" t="s">
        <v>723</v>
      </c>
      <c r="C69" s="308" t="s">
        <v>724</v>
      </c>
      <c r="D69" s="308" t="s">
        <v>607</v>
      </c>
    </row>
    <row r="70" spans="1:4" ht="13" x14ac:dyDescent="0.3">
      <c r="A70" s="308" t="s">
        <v>584</v>
      </c>
      <c r="B70" s="311" t="s">
        <v>725</v>
      </c>
      <c r="C70" s="308" t="s">
        <v>726</v>
      </c>
      <c r="D70" s="308" t="s">
        <v>607</v>
      </c>
    </row>
    <row r="71" spans="1:4" ht="13" x14ac:dyDescent="0.3">
      <c r="A71" s="308">
        <v>13</v>
      </c>
      <c r="B71" s="311" t="s">
        <v>727</v>
      </c>
      <c r="C71" s="308" t="s">
        <v>728</v>
      </c>
      <c r="D71" s="308" t="s">
        <v>613</v>
      </c>
    </row>
    <row r="72" spans="1:4" ht="13" x14ac:dyDescent="0.3">
      <c r="A72" s="308">
        <v>14</v>
      </c>
      <c r="B72" s="311" t="s">
        <v>729</v>
      </c>
      <c r="C72" s="308" t="s">
        <v>622</v>
      </c>
      <c r="D72" s="308"/>
    </row>
    <row r="73" spans="1:4" ht="13" x14ac:dyDescent="0.3">
      <c r="A73" s="308" t="s">
        <v>585</v>
      </c>
      <c r="B73" s="311" t="s">
        <v>730</v>
      </c>
      <c r="C73" s="308" t="s">
        <v>731</v>
      </c>
      <c r="D73" s="308" t="s">
        <v>607</v>
      </c>
    </row>
    <row r="74" spans="1:4" ht="13" x14ac:dyDescent="0.3">
      <c r="A74" s="308" t="s">
        <v>586</v>
      </c>
      <c r="B74" s="311" t="s">
        <v>732</v>
      </c>
      <c r="C74" s="308" t="s">
        <v>733</v>
      </c>
      <c r="D74" s="308" t="s">
        <v>607</v>
      </c>
    </row>
    <row r="75" spans="1:4" ht="13" x14ac:dyDescent="0.3">
      <c r="A75" s="308" t="s">
        <v>587</v>
      </c>
      <c r="B75" s="311" t="s">
        <v>734</v>
      </c>
      <c r="C75" s="308" t="s">
        <v>735</v>
      </c>
      <c r="D75" s="308" t="s">
        <v>607</v>
      </c>
    </row>
    <row r="76" spans="1:4" ht="13" x14ac:dyDescent="0.3">
      <c r="A76" s="308" t="s">
        <v>590</v>
      </c>
      <c r="B76" s="311" t="s">
        <v>740</v>
      </c>
      <c r="C76" s="308" t="s">
        <v>736</v>
      </c>
      <c r="D76" s="308" t="s">
        <v>607</v>
      </c>
    </row>
    <row r="77" spans="1:4" ht="13" x14ac:dyDescent="0.3">
      <c r="A77" s="308" t="s">
        <v>588</v>
      </c>
      <c r="B77" s="311" t="s">
        <v>737</v>
      </c>
      <c r="C77" s="308" t="s">
        <v>738</v>
      </c>
      <c r="D77" s="308" t="s">
        <v>607</v>
      </c>
    </row>
    <row r="78" spans="1:4" ht="13" x14ac:dyDescent="0.3">
      <c r="A78" s="305">
        <v>15</v>
      </c>
      <c r="B78" s="328" t="s">
        <v>755</v>
      </c>
      <c r="C78" s="325" t="s">
        <v>756</v>
      </c>
      <c r="D78" s="325" t="s">
        <v>747</v>
      </c>
    </row>
    <row r="79" spans="1:4" ht="13" x14ac:dyDescent="0.3">
      <c r="A79" s="305">
        <v>16</v>
      </c>
      <c r="B79" s="305" t="s">
        <v>757</v>
      </c>
      <c r="C79" s="325" t="s">
        <v>758</v>
      </c>
      <c r="D79" s="325" t="s">
        <v>751</v>
      </c>
    </row>
    <row r="80" spans="1:4" ht="13" x14ac:dyDescent="0.3">
      <c r="A80" s="306" t="s">
        <v>739</v>
      </c>
    </row>
    <row r="82" spans="1:2" ht="15.5" x14ac:dyDescent="0.35">
      <c r="A82" s="302" t="s">
        <v>765</v>
      </c>
      <c r="B82" s="303"/>
    </row>
    <row r="83" spans="1:2" ht="13" x14ac:dyDescent="0.3">
      <c r="A83" s="351" t="s">
        <v>768</v>
      </c>
      <c r="B83" t="s">
        <v>766</v>
      </c>
    </row>
    <row r="84" spans="1:2" ht="13" x14ac:dyDescent="0.3">
      <c r="A84" s="352" t="s">
        <v>769</v>
      </c>
      <c r="B84" t="s">
        <v>767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ADE59E-809B-49C9-BAED-071573F31B5F}">
  <sheetPr codeName="Sheet1">
    <pageSetUpPr fitToPage="1"/>
  </sheetPr>
  <dimension ref="A1:O25"/>
  <sheetViews>
    <sheetView view="pageLayout" topLeftCell="A2" zoomScale="71" zoomScaleNormal="71" zoomScaleSheetLayoutView="70" zoomScalePageLayoutView="71" workbookViewId="0">
      <selection activeCell="H9" sqref="H9"/>
    </sheetView>
  </sheetViews>
  <sheetFormatPr defaultColWidth="7" defaultRowHeight="12.5" x14ac:dyDescent="0.25"/>
  <cols>
    <col min="1" max="1" width="4.54296875" style="1" customWidth="1"/>
    <col min="2" max="2" width="5.7265625" style="1" customWidth="1"/>
    <col min="3" max="3" width="33.7265625" style="1" customWidth="1"/>
    <col min="4" max="4" width="10.453125" style="1" customWidth="1"/>
    <col min="5" max="5" width="24.453125" style="1" customWidth="1"/>
    <col min="6" max="6" width="17.7265625" style="1" customWidth="1"/>
    <col min="7" max="7" width="14.26953125" style="1" customWidth="1"/>
    <col min="8" max="8" width="16.7265625" style="1" customWidth="1"/>
    <col min="9" max="9" width="20.7265625" style="1" customWidth="1"/>
    <col min="10" max="10" width="12.453125" style="1" customWidth="1"/>
    <col min="11" max="14" width="13.453125" style="1" customWidth="1"/>
    <col min="15" max="15" width="44.7265625" style="1" customWidth="1"/>
    <col min="16" max="16384" width="7" style="1"/>
  </cols>
  <sheetData>
    <row r="1" spans="1:15" ht="21" customHeight="1" x14ac:dyDescent="0.3">
      <c r="A1" s="44"/>
      <c r="B1" s="45"/>
      <c r="C1" s="45"/>
      <c r="D1" s="45"/>
      <c r="E1" s="45"/>
      <c r="F1" s="45"/>
      <c r="G1" s="45"/>
      <c r="H1" s="45"/>
      <c r="I1" s="45"/>
      <c r="J1" s="45"/>
      <c r="K1" s="45"/>
      <c r="L1" s="45"/>
      <c r="M1" s="45"/>
      <c r="N1" s="45"/>
      <c r="O1" s="87" t="s">
        <v>72</v>
      </c>
    </row>
    <row r="2" spans="1:15" ht="24.75" customHeight="1" x14ac:dyDescent="0.5">
      <c r="A2" s="83"/>
      <c r="B2" s="11"/>
      <c r="C2" s="542" t="s">
        <v>73</v>
      </c>
      <c r="D2" s="542"/>
      <c r="E2" s="542"/>
      <c r="F2" s="542"/>
      <c r="G2" s="542"/>
      <c r="H2" s="542"/>
      <c r="I2" s="542"/>
      <c r="J2" s="542"/>
      <c r="K2" s="542"/>
      <c r="L2" s="542"/>
      <c r="M2" s="542"/>
      <c r="N2" s="542"/>
      <c r="O2" s="543"/>
    </row>
    <row r="3" spans="1:15" ht="24.75" customHeight="1" x14ac:dyDescent="0.5">
      <c r="A3" s="12"/>
      <c r="B3" s="11"/>
      <c r="C3" s="544"/>
      <c r="D3" s="544"/>
      <c r="E3" s="544"/>
      <c r="F3" s="544"/>
      <c r="G3" s="544"/>
      <c r="H3" s="544"/>
      <c r="I3" s="544"/>
      <c r="J3" s="544"/>
      <c r="K3" s="544"/>
      <c r="L3" s="544"/>
      <c r="M3" s="544"/>
      <c r="N3" s="544"/>
      <c r="O3" s="545"/>
    </row>
    <row r="4" spans="1:15" ht="24.75" customHeight="1" x14ac:dyDescent="0.25">
      <c r="A4" s="546" t="s">
        <v>64</v>
      </c>
      <c r="B4" s="547"/>
      <c r="C4" s="547"/>
      <c r="D4" s="547"/>
      <c r="E4" s="547"/>
      <c r="F4" s="547"/>
      <c r="G4" s="547"/>
      <c r="H4" s="547"/>
      <c r="I4" s="547"/>
      <c r="J4" s="547"/>
      <c r="K4" s="547"/>
      <c r="L4" s="547"/>
      <c r="M4" s="547"/>
      <c r="N4" s="547"/>
      <c r="O4" s="548"/>
    </row>
    <row r="5" spans="1:15" ht="24.75" customHeight="1" x14ac:dyDescent="0.6">
      <c r="A5" s="66"/>
      <c r="B5" s="67"/>
      <c r="C5" s="54"/>
      <c r="D5" s="53"/>
      <c r="E5" s="53"/>
      <c r="F5" s="56"/>
      <c r="G5" s="56"/>
      <c r="H5" s="55"/>
      <c r="I5" s="53"/>
      <c r="J5" s="53"/>
      <c r="K5" s="53"/>
      <c r="L5" s="53"/>
      <c r="M5" s="53"/>
      <c r="N5" s="53"/>
      <c r="O5" s="68"/>
    </row>
    <row r="6" spans="1:15" s="13" customFormat="1" ht="24.75" customHeight="1" x14ac:dyDescent="0.4">
      <c r="A6" s="20"/>
      <c r="B6" s="21"/>
      <c r="C6" s="30"/>
      <c r="D6" s="36"/>
      <c r="E6" s="36"/>
      <c r="F6" s="36"/>
      <c r="G6" s="36"/>
      <c r="H6" s="36"/>
      <c r="I6" s="39"/>
      <c r="J6" s="33"/>
      <c r="K6" s="33"/>
      <c r="L6" s="33"/>
      <c r="M6" s="33"/>
      <c r="N6" s="33"/>
      <c r="O6" s="34"/>
    </row>
    <row r="7" spans="1:15" ht="16" customHeight="1" x14ac:dyDescent="0.4">
      <c r="A7" s="23"/>
      <c r="B7" s="21"/>
      <c r="C7" s="549"/>
      <c r="D7" s="21"/>
      <c r="E7" s="21"/>
      <c r="F7" s="21"/>
      <c r="G7" s="21"/>
      <c r="H7" s="21"/>
      <c r="I7" s="21"/>
      <c r="J7" s="21"/>
      <c r="K7" s="21"/>
      <c r="L7" s="21"/>
      <c r="M7" s="21"/>
      <c r="N7" s="21"/>
      <c r="O7" s="22"/>
    </row>
    <row r="8" spans="1:15" ht="26.15" customHeight="1" x14ac:dyDescent="0.4">
      <c r="A8" s="550"/>
      <c r="B8" s="551"/>
      <c r="C8" s="549"/>
      <c r="D8" s="25"/>
      <c r="E8" s="25"/>
      <c r="F8" s="25"/>
      <c r="G8" s="25"/>
      <c r="H8" s="25"/>
      <c r="I8" s="25"/>
      <c r="J8" s="25"/>
      <c r="K8" s="25"/>
      <c r="L8" s="25"/>
      <c r="M8" s="25"/>
      <c r="N8" s="25"/>
      <c r="O8" s="26"/>
    </row>
    <row r="9" spans="1:15" ht="26.15" customHeight="1" x14ac:dyDescent="0.4">
      <c r="A9" s="46"/>
      <c r="B9" s="47"/>
      <c r="C9" s="24"/>
      <c r="D9" s="25"/>
      <c r="E9" s="25"/>
      <c r="F9" s="25"/>
      <c r="G9" s="25"/>
      <c r="H9" s="25"/>
      <c r="I9" s="25"/>
      <c r="J9" s="25"/>
      <c r="K9" s="25"/>
      <c r="L9" s="25"/>
      <c r="M9" s="25"/>
      <c r="N9" s="25"/>
      <c r="O9" s="26"/>
    </row>
    <row r="10" spans="1:15" ht="24.75" customHeight="1" thickBot="1" x14ac:dyDescent="0.45">
      <c r="A10" s="27"/>
      <c r="B10" s="25"/>
      <c r="C10" s="43"/>
      <c r="D10" s="25"/>
      <c r="E10" s="25"/>
      <c r="F10" s="80"/>
      <c r="G10" s="80"/>
      <c r="H10" s="25"/>
      <c r="I10" s="80"/>
      <c r="J10" s="80"/>
      <c r="K10" s="80"/>
      <c r="L10" s="80"/>
      <c r="M10" s="80"/>
      <c r="N10" s="80"/>
      <c r="O10" s="26"/>
    </row>
    <row r="11" spans="1:15" ht="65.25" customHeight="1" thickTop="1" x14ac:dyDescent="0.25">
      <c r="A11" s="558"/>
      <c r="B11" s="559"/>
      <c r="C11" s="31" t="s">
        <v>37</v>
      </c>
      <c r="D11" s="17" t="s">
        <v>24</v>
      </c>
      <c r="E11" s="17" t="s">
        <v>38</v>
      </c>
      <c r="F11" s="17" t="s">
        <v>39</v>
      </c>
      <c r="G11" s="17" t="s">
        <v>40</v>
      </c>
      <c r="H11" s="81" t="s">
        <v>41</v>
      </c>
      <c r="I11" s="38" t="s">
        <v>42</v>
      </c>
      <c r="J11" s="35" t="s">
        <v>43</v>
      </c>
      <c r="K11" s="98" t="s">
        <v>61</v>
      </c>
      <c r="L11" s="99" t="s">
        <v>62</v>
      </c>
      <c r="M11" s="99" t="s">
        <v>63</v>
      </c>
      <c r="N11" s="100" t="s">
        <v>19</v>
      </c>
      <c r="O11" s="89" t="s">
        <v>25</v>
      </c>
    </row>
    <row r="12" spans="1:15" s="19" customFormat="1" ht="64.5" customHeight="1" x14ac:dyDescent="0.25">
      <c r="A12" s="560"/>
      <c r="B12" s="561"/>
      <c r="C12" s="95" t="s">
        <v>59</v>
      </c>
      <c r="D12" s="18" t="s">
        <v>26</v>
      </c>
      <c r="E12" s="18" t="s">
        <v>44</v>
      </c>
      <c r="F12" s="18" t="s">
        <v>45</v>
      </c>
      <c r="G12" s="18" t="s">
        <v>46</v>
      </c>
      <c r="H12" s="41" t="s">
        <v>47</v>
      </c>
      <c r="I12" s="40" t="s">
        <v>48</v>
      </c>
      <c r="J12" s="51" t="s">
        <v>49</v>
      </c>
      <c r="K12" s="101"/>
      <c r="L12" s="102"/>
      <c r="M12" s="102"/>
      <c r="N12" s="103"/>
      <c r="O12" s="90" t="s">
        <v>27</v>
      </c>
    </row>
    <row r="13" spans="1:15" s="19" customFormat="1" ht="56.25" customHeight="1" x14ac:dyDescent="0.25">
      <c r="A13" s="562"/>
      <c r="B13" s="563"/>
      <c r="C13" s="96"/>
      <c r="D13" s="18"/>
      <c r="E13" s="18"/>
      <c r="F13" s="18"/>
      <c r="G13" s="18"/>
      <c r="H13" s="41"/>
      <c r="I13" s="40"/>
      <c r="J13" s="97"/>
      <c r="K13" s="101"/>
      <c r="L13" s="102"/>
      <c r="M13" s="102"/>
      <c r="N13" s="103"/>
      <c r="O13" s="90"/>
    </row>
    <row r="14" spans="1:15" s="19" customFormat="1" ht="56.25" customHeight="1" x14ac:dyDescent="0.25">
      <c r="A14" s="562"/>
      <c r="B14" s="563"/>
      <c r="C14" s="96"/>
      <c r="D14" s="18"/>
      <c r="E14" s="18"/>
      <c r="F14" s="18"/>
      <c r="G14" s="18"/>
      <c r="H14" s="41"/>
      <c r="I14" s="40"/>
      <c r="J14" s="97"/>
      <c r="K14" s="101"/>
      <c r="L14" s="102"/>
      <c r="M14" s="102"/>
      <c r="N14" s="103"/>
      <c r="O14" s="90"/>
    </row>
    <row r="15" spans="1:15" s="19" customFormat="1" ht="56.25" customHeight="1" x14ac:dyDescent="0.25">
      <c r="A15" s="562"/>
      <c r="B15" s="563"/>
      <c r="C15" s="96"/>
      <c r="D15" s="18"/>
      <c r="E15" s="18"/>
      <c r="F15" s="18"/>
      <c r="G15" s="18"/>
      <c r="H15" s="41"/>
      <c r="I15" s="40"/>
      <c r="J15" s="97"/>
      <c r="K15" s="101"/>
      <c r="L15" s="102"/>
      <c r="M15" s="102"/>
      <c r="N15" s="103"/>
      <c r="O15" s="90"/>
    </row>
    <row r="16" spans="1:15" s="19" customFormat="1" ht="56.25" customHeight="1" x14ac:dyDescent="0.25">
      <c r="A16" s="562"/>
      <c r="B16" s="563"/>
      <c r="C16" s="96"/>
      <c r="D16" s="18"/>
      <c r="E16" s="18"/>
      <c r="F16" s="18"/>
      <c r="G16" s="18"/>
      <c r="H16" s="41"/>
      <c r="I16" s="40"/>
      <c r="J16" s="97"/>
      <c r="K16" s="101"/>
      <c r="L16" s="102"/>
      <c r="M16" s="102"/>
      <c r="N16" s="103"/>
      <c r="O16" s="90"/>
    </row>
    <row r="17" spans="1:15" s="19" customFormat="1" ht="56.25" customHeight="1" x14ac:dyDescent="0.25">
      <c r="A17" s="562"/>
      <c r="B17" s="563"/>
      <c r="C17" s="96"/>
      <c r="D17" s="18"/>
      <c r="E17" s="18"/>
      <c r="F17" s="18"/>
      <c r="G17" s="18"/>
      <c r="H17" s="41"/>
      <c r="I17" s="40"/>
      <c r="J17" s="97"/>
      <c r="K17" s="101"/>
      <c r="L17" s="102"/>
      <c r="M17" s="102"/>
      <c r="N17" s="103"/>
      <c r="O17" s="90"/>
    </row>
    <row r="18" spans="1:15" s="19" customFormat="1" ht="56.25" customHeight="1" x14ac:dyDescent="0.25">
      <c r="A18" s="562"/>
      <c r="B18" s="563"/>
      <c r="C18" s="96"/>
      <c r="D18" s="18"/>
      <c r="E18" s="18"/>
      <c r="F18" s="18"/>
      <c r="G18" s="18"/>
      <c r="H18" s="41"/>
      <c r="I18" s="40"/>
      <c r="J18" s="97"/>
      <c r="K18" s="101"/>
      <c r="L18" s="102"/>
      <c r="M18" s="102"/>
      <c r="N18" s="103"/>
      <c r="O18" s="90"/>
    </row>
    <row r="19" spans="1:15" s="19" customFormat="1" ht="56.25" customHeight="1" x14ac:dyDescent="0.25">
      <c r="A19" s="562"/>
      <c r="B19" s="563"/>
      <c r="C19" s="96"/>
      <c r="D19" s="18"/>
      <c r="E19" s="18"/>
      <c r="F19" s="18"/>
      <c r="G19" s="18"/>
      <c r="H19" s="41"/>
      <c r="I19" s="40"/>
      <c r="J19" s="97"/>
      <c r="K19" s="101"/>
      <c r="L19" s="102"/>
      <c r="M19" s="102"/>
      <c r="N19" s="103"/>
      <c r="O19" s="90"/>
    </row>
    <row r="20" spans="1:15" s="2" customFormat="1" ht="56.25" customHeight="1" x14ac:dyDescent="0.35">
      <c r="A20" s="552"/>
      <c r="B20" s="553"/>
      <c r="C20" s="49"/>
      <c r="D20" s="64"/>
      <c r="E20" s="61"/>
      <c r="F20" s="37"/>
      <c r="G20" s="37"/>
      <c r="H20" s="15"/>
      <c r="I20" s="15"/>
      <c r="J20" s="16"/>
      <c r="K20" s="92"/>
      <c r="L20" s="93"/>
      <c r="M20" s="93"/>
      <c r="N20" s="94"/>
      <c r="O20" s="91"/>
    </row>
    <row r="21" spans="1:15" s="2" customFormat="1" ht="56.25" customHeight="1" x14ac:dyDescent="0.35">
      <c r="A21" s="552"/>
      <c r="B21" s="553"/>
      <c r="C21" s="50"/>
      <c r="D21" s="64"/>
      <c r="E21" s="64"/>
      <c r="F21" s="48"/>
      <c r="G21" s="48"/>
      <c r="H21" s="15"/>
      <c r="I21" s="15"/>
      <c r="J21" s="16"/>
      <c r="K21" s="92"/>
      <c r="L21" s="93"/>
      <c r="M21" s="93"/>
      <c r="N21" s="94"/>
      <c r="O21" s="91"/>
    </row>
    <row r="22" spans="1:15" s="2" customFormat="1" ht="56.25" customHeight="1" x14ac:dyDescent="0.35">
      <c r="A22" s="552"/>
      <c r="B22" s="553"/>
      <c r="C22" s="50"/>
      <c r="D22" s="88"/>
      <c r="E22" s="61"/>
      <c r="F22" s="14"/>
      <c r="G22" s="14"/>
      <c r="H22" s="15"/>
      <c r="I22" s="15"/>
      <c r="J22" s="16"/>
      <c r="K22" s="92"/>
      <c r="L22" s="93"/>
      <c r="M22" s="93"/>
      <c r="N22" s="94"/>
      <c r="O22" s="91"/>
    </row>
    <row r="23" spans="1:15" ht="13.5" customHeight="1" x14ac:dyDescent="0.35">
      <c r="A23" s="3"/>
      <c r="B23" s="4"/>
      <c r="C23" s="4"/>
      <c r="D23" s="42"/>
      <c r="E23" s="42"/>
      <c r="F23" s="42"/>
      <c r="G23" s="42"/>
      <c r="H23" s="4"/>
      <c r="I23" s="4"/>
      <c r="J23" s="4"/>
      <c r="K23" s="4"/>
      <c r="L23" s="4"/>
      <c r="M23" s="4"/>
      <c r="N23" s="4"/>
      <c r="O23" s="5"/>
    </row>
    <row r="24" spans="1:15" ht="18.75" customHeight="1" x14ac:dyDescent="0.4">
      <c r="A24" s="69"/>
      <c r="B24" s="70"/>
      <c r="C24" s="71"/>
      <c r="D24" s="554" t="s">
        <v>60</v>
      </c>
      <c r="E24" s="554"/>
      <c r="F24" s="554"/>
      <c r="G24" s="554"/>
      <c r="H24" s="554"/>
      <c r="I24" s="554"/>
      <c r="J24" s="554"/>
      <c r="K24" s="554"/>
      <c r="L24" s="554"/>
      <c r="M24" s="554"/>
      <c r="N24" s="554"/>
      <c r="O24" s="555"/>
    </row>
    <row r="25" spans="1:15" ht="18.75" customHeight="1" x14ac:dyDescent="0.35">
      <c r="A25" s="6"/>
      <c r="B25" s="13"/>
      <c r="C25" s="13"/>
      <c r="D25" s="556"/>
      <c r="E25" s="556"/>
      <c r="F25" s="556"/>
      <c r="G25" s="556"/>
      <c r="H25" s="556"/>
      <c r="I25" s="556"/>
      <c r="J25" s="556"/>
      <c r="K25" s="556"/>
      <c r="L25" s="556"/>
      <c r="M25" s="556"/>
      <c r="N25" s="556"/>
      <c r="O25" s="557"/>
    </row>
  </sheetData>
  <sheetProtection sort="0" autoFilter="0"/>
  <dataConsolidate/>
  <mergeCells count="17">
    <mergeCell ref="A21:B21"/>
    <mergeCell ref="A22:B22"/>
    <mergeCell ref="D24:O25"/>
    <mergeCell ref="A11:B12"/>
    <mergeCell ref="A20:B20"/>
    <mergeCell ref="A13:B13"/>
    <mergeCell ref="A14:B14"/>
    <mergeCell ref="A15:B15"/>
    <mergeCell ref="A19:B19"/>
    <mergeCell ref="A16:B16"/>
    <mergeCell ref="A17:B17"/>
    <mergeCell ref="A18:B18"/>
    <mergeCell ref="C2:O2"/>
    <mergeCell ref="C3:O3"/>
    <mergeCell ref="A4:O4"/>
    <mergeCell ref="C7:C8"/>
    <mergeCell ref="A8:B8"/>
  </mergeCells>
  <dataValidations count="1">
    <dataValidation allowBlank="1" showDropDown="1" showInputMessage="1" showErrorMessage="1" sqref="C9" xr:uid="{AAC78057-DC17-472B-9E46-E2A652D3B7CD}"/>
  </dataValidations>
  <printOptions horizontalCentered="1" verticalCentered="1"/>
  <pageMargins left="0.25" right="0.25" top="0.25" bottom="0.25" header="0" footer="0"/>
  <pageSetup paperSize="9" scale="56" orientation="landscape" r:id="rId1"/>
  <headerFooter alignWithMargins="0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6E898E-D4BD-409F-9451-B7D03E4629CF}">
  <sheetPr codeName="Sheet7">
    <pageSetUpPr fitToPage="1"/>
  </sheetPr>
  <dimension ref="A1:N38"/>
  <sheetViews>
    <sheetView view="pageBreakPreview" topLeftCell="A16" zoomScale="71" zoomScaleNormal="71" zoomScaleSheetLayoutView="71" zoomScalePageLayoutView="50" workbookViewId="0">
      <selection activeCell="C59" sqref="C59"/>
    </sheetView>
  </sheetViews>
  <sheetFormatPr defaultColWidth="7" defaultRowHeight="12.5" x14ac:dyDescent="0.25"/>
  <cols>
    <col min="1" max="1" width="4.54296875" style="1" customWidth="1"/>
    <col min="2" max="2" width="5.7265625" style="1" customWidth="1"/>
    <col min="3" max="3" width="99.26953125" style="1" customWidth="1"/>
    <col min="4" max="4" width="11.26953125" style="1" customWidth="1"/>
    <col min="5" max="5" width="24.453125" style="1" customWidth="1"/>
    <col min="6" max="6" width="15.26953125" style="1" customWidth="1"/>
    <col min="7" max="7" width="14.26953125" style="1" customWidth="1"/>
    <col min="8" max="8" width="18.7265625" style="1" customWidth="1"/>
    <col min="9" max="9" width="29.26953125" style="1" customWidth="1"/>
    <col min="10" max="10" width="16.54296875" style="1" customWidth="1"/>
    <col min="11" max="11" width="46.7265625" style="1" customWidth="1"/>
    <col min="12" max="16384" width="7" style="1"/>
  </cols>
  <sheetData>
    <row r="1" spans="1:14" ht="21" customHeight="1" x14ac:dyDescent="0.3">
      <c r="A1" s="44"/>
      <c r="B1" s="45"/>
      <c r="C1" s="45"/>
      <c r="D1" s="45"/>
      <c r="E1" s="45"/>
      <c r="F1" s="45"/>
      <c r="G1" s="45"/>
      <c r="H1" s="45"/>
      <c r="I1" s="45"/>
      <c r="J1" s="45"/>
      <c r="K1" s="87" t="s">
        <v>68</v>
      </c>
    </row>
    <row r="2" spans="1:14" ht="24.75" customHeight="1" x14ac:dyDescent="0.5">
      <c r="A2" s="83"/>
      <c r="B2" s="11"/>
      <c r="C2" s="542" t="s">
        <v>73</v>
      </c>
      <c r="D2" s="542"/>
      <c r="E2" s="542"/>
      <c r="F2" s="542"/>
      <c r="G2" s="542"/>
      <c r="H2" s="542"/>
      <c r="I2" s="542"/>
      <c r="J2" s="542"/>
      <c r="K2" s="543"/>
    </row>
    <row r="3" spans="1:14" ht="24.75" customHeight="1" x14ac:dyDescent="0.5">
      <c r="A3" s="12"/>
      <c r="B3" s="11"/>
      <c r="C3" s="544"/>
      <c r="D3" s="544"/>
      <c r="E3" s="544"/>
      <c r="F3" s="544"/>
      <c r="G3" s="544"/>
      <c r="H3" s="544"/>
      <c r="I3" s="544"/>
      <c r="J3" s="544"/>
      <c r="K3" s="545"/>
    </row>
    <row r="4" spans="1:14" ht="24.75" customHeight="1" x14ac:dyDescent="0.25">
      <c r="A4" s="574" t="s">
        <v>30</v>
      </c>
      <c r="B4" s="575"/>
      <c r="C4" s="575"/>
      <c r="D4" s="575"/>
      <c r="E4" s="575"/>
      <c r="F4" s="575"/>
      <c r="G4" s="575"/>
      <c r="H4" s="575"/>
      <c r="I4" s="575"/>
      <c r="J4" s="575"/>
      <c r="K4" s="576"/>
    </row>
    <row r="5" spans="1:14" ht="24.75" customHeight="1" x14ac:dyDescent="0.6">
      <c r="A5" s="66"/>
      <c r="B5" s="67"/>
      <c r="C5" s="123"/>
      <c r="D5" s="53"/>
      <c r="E5" s="53"/>
      <c r="F5" s="56"/>
      <c r="G5" s="56"/>
      <c r="H5" s="55"/>
      <c r="I5" s="53"/>
      <c r="J5" s="53"/>
      <c r="K5" s="68"/>
    </row>
    <row r="6" spans="1:14" s="13" customFormat="1" ht="24.75" customHeight="1" x14ac:dyDescent="0.4">
      <c r="A6" s="20"/>
      <c r="B6" s="21"/>
      <c r="C6" s="30"/>
      <c r="D6" s="36"/>
      <c r="E6" s="36"/>
      <c r="F6" s="36"/>
      <c r="G6" s="36"/>
      <c r="H6" s="36"/>
      <c r="I6" s="39"/>
      <c r="J6" s="33"/>
      <c r="K6" s="34"/>
    </row>
    <row r="7" spans="1:14" ht="16" customHeight="1" x14ac:dyDescent="0.4">
      <c r="A7" s="23"/>
      <c r="B7" s="21"/>
      <c r="C7" s="549"/>
      <c r="D7" s="21"/>
      <c r="E7" s="21"/>
      <c r="F7" s="21"/>
      <c r="G7" s="21"/>
      <c r="H7" s="21"/>
      <c r="I7" s="21"/>
      <c r="J7" s="21"/>
      <c r="K7" s="22"/>
    </row>
    <row r="8" spans="1:14" ht="26.15" customHeight="1" x14ac:dyDescent="0.4">
      <c r="A8" s="550"/>
      <c r="B8" s="551"/>
      <c r="C8" s="549"/>
      <c r="D8" s="25"/>
      <c r="E8" s="25"/>
      <c r="F8" s="25"/>
      <c r="G8" s="25"/>
      <c r="H8" s="25"/>
      <c r="I8" s="25"/>
      <c r="J8" s="25"/>
      <c r="K8" s="26"/>
    </row>
    <row r="9" spans="1:14" ht="26.15" customHeight="1" x14ac:dyDescent="0.4">
      <c r="A9" s="46"/>
      <c r="B9" s="47"/>
      <c r="C9" s="24"/>
      <c r="D9" s="25"/>
      <c r="E9" s="25"/>
      <c r="F9" s="25"/>
      <c r="G9" s="25"/>
      <c r="H9" s="25"/>
      <c r="I9" s="25"/>
      <c r="J9" s="25"/>
      <c r="K9" s="26"/>
    </row>
    <row r="10" spans="1:14" ht="24.75" customHeight="1" x14ac:dyDescent="0.4">
      <c r="A10" s="27"/>
      <c r="B10" s="25"/>
      <c r="C10" s="43"/>
      <c r="D10" s="25"/>
      <c r="E10" s="25"/>
      <c r="F10" s="80" t="s">
        <v>31</v>
      </c>
      <c r="G10" s="80"/>
      <c r="H10" s="25"/>
      <c r="I10" s="80"/>
      <c r="J10" s="80"/>
      <c r="K10" s="26"/>
    </row>
    <row r="11" spans="1:14" ht="24.75" customHeight="1" x14ac:dyDescent="0.4">
      <c r="A11" s="27"/>
      <c r="B11" s="25"/>
      <c r="C11" s="43"/>
      <c r="D11" s="25"/>
      <c r="E11" s="25"/>
      <c r="F11" s="568" t="s">
        <v>32</v>
      </c>
      <c r="G11" s="568"/>
      <c r="H11" s="568"/>
      <c r="I11" s="568"/>
      <c r="J11" s="80"/>
      <c r="K11" s="26"/>
    </row>
    <row r="12" spans="1:14" ht="24.75" customHeight="1" x14ac:dyDescent="0.5">
      <c r="A12" s="29"/>
      <c r="B12" s="21"/>
      <c r="C12" s="21"/>
      <c r="D12" s="21"/>
      <c r="E12" s="21"/>
      <c r="F12" s="568" t="s">
        <v>33</v>
      </c>
      <c r="G12" s="568"/>
      <c r="H12" s="568"/>
      <c r="I12" s="568"/>
      <c r="J12" s="82"/>
      <c r="K12" s="60"/>
    </row>
    <row r="13" spans="1:14" ht="24.75" customHeight="1" x14ac:dyDescent="0.5">
      <c r="A13" s="29"/>
      <c r="B13" s="21"/>
      <c r="C13" s="21"/>
      <c r="D13" s="21"/>
      <c r="E13" s="21"/>
      <c r="F13" s="569" t="s">
        <v>34</v>
      </c>
      <c r="G13" s="569"/>
      <c r="H13" s="569"/>
      <c r="I13" s="84"/>
      <c r="J13" s="25"/>
      <c r="K13" s="60"/>
    </row>
    <row r="14" spans="1:14" ht="24.75" customHeight="1" x14ac:dyDescent="0.5">
      <c r="A14" s="29"/>
      <c r="B14" s="21"/>
      <c r="C14" s="21"/>
      <c r="D14" s="21"/>
      <c r="E14" s="21"/>
      <c r="F14" s="21"/>
      <c r="G14" s="21"/>
      <c r="H14" s="21"/>
      <c r="I14" s="21"/>
      <c r="J14" s="25"/>
      <c r="K14" s="28"/>
    </row>
    <row r="15" spans="1:14" ht="24.75" customHeight="1" x14ac:dyDescent="0.5">
      <c r="A15" s="57"/>
      <c r="B15" s="570" t="s">
        <v>35</v>
      </c>
      <c r="C15" s="570"/>
      <c r="D15" s="570"/>
      <c r="E15" s="570"/>
      <c r="F15" s="570"/>
      <c r="G15" s="570"/>
      <c r="H15" s="570"/>
      <c r="I15" s="570"/>
      <c r="J15" s="570"/>
      <c r="K15" s="571"/>
      <c r="L15" s="59"/>
      <c r="M15" s="59"/>
      <c r="N15" s="59"/>
    </row>
    <row r="16" spans="1:14" ht="24.75" customHeight="1" x14ac:dyDescent="0.5">
      <c r="A16" s="58"/>
      <c r="B16" s="572" t="s">
        <v>36</v>
      </c>
      <c r="C16" s="572"/>
      <c r="D16" s="572"/>
      <c r="E16" s="572"/>
      <c r="F16" s="572"/>
      <c r="G16" s="572"/>
      <c r="H16" s="572"/>
      <c r="I16" s="572"/>
      <c r="J16" s="572"/>
      <c r="K16" s="573"/>
      <c r="L16" s="59"/>
      <c r="M16" s="59"/>
      <c r="N16" s="59"/>
    </row>
    <row r="17" spans="1:11" ht="65.25" customHeight="1" x14ac:dyDescent="0.25">
      <c r="A17" s="558" t="s">
        <v>59</v>
      </c>
      <c r="B17" s="559"/>
      <c r="C17" s="112" t="s">
        <v>37</v>
      </c>
      <c r="D17" s="17" t="s">
        <v>24</v>
      </c>
      <c r="E17" s="111" t="s">
        <v>66</v>
      </c>
      <c r="F17" s="17" t="s">
        <v>39</v>
      </c>
      <c r="G17" s="111" t="s">
        <v>40</v>
      </c>
      <c r="H17" s="81" t="s">
        <v>41</v>
      </c>
      <c r="I17" s="113" t="s">
        <v>42</v>
      </c>
      <c r="J17" s="35" t="s">
        <v>96</v>
      </c>
      <c r="K17" s="114" t="s">
        <v>195</v>
      </c>
    </row>
    <row r="18" spans="1:11" s="19" customFormat="1" ht="64.5" customHeight="1" x14ac:dyDescent="0.25">
      <c r="A18" s="560"/>
      <c r="B18" s="561"/>
      <c r="C18" s="32"/>
      <c r="D18" s="18" t="s">
        <v>26</v>
      </c>
      <c r="E18" s="18" t="s">
        <v>67</v>
      </c>
      <c r="F18" s="18" t="s">
        <v>45</v>
      </c>
      <c r="G18" s="18" t="s">
        <v>46</v>
      </c>
      <c r="H18" s="41" t="s">
        <v>47</v>
      </c>
      <c r="I18" s="40" t="s">
        <v>48</v>
      </c>
      <c r="J18" s="51" t="s">
        <v>193</v>
      </c>
      <c r="K18" s="18" t="s">
        <v>194</v>
      </c>
    </row>
    <row r="19" spans="1:11" s="2" customFormat="1" ht="43.5" customHeight="1" x14ac:dyDescent="0.35">
      <c r="A19" s="566">
        <v>1</v>
      </c>
      <c r="B19" s="567"/>
      <c r="C19" s="115" t="s">
        <v>21</v>
      </c>
      <c r="D19" s="125" t="s">
        <v>81</v>
      </c>
      <c r="E19" s="61"/>
      <c r="F19" s="37"/>
      <c r="G19" s="37"/>
      <c r="H19" s="15"/>
      <c r="I19" s="15"/>
      <c r="J19" s="133"/>
      <c r="K19" s="52"/>
    </row>
    <row r="20" spans="1:11" s="2" customFormat="1" ht="43.5" customHeight="1" x14ac:dyDescent="0.35">
      <c r="A20" s="566">
        <v>2</v>
      </c>
      <c r="B20" s="567"/>
      <c r="C20" s="116" t="s">
        <v>28</v>
      </c>
      <c r="D20" s="126" t="s">
        <v>83</v>
      </c>
      <c r="E20" s="64"/>
      <c r="F20" s="48"/>
      <c r="G20" s="48"/>
      <c r="H20" s="15"/>
      <c r="I20" s="15"/>
      <c r="J20" s="133"/>
      <c r="K20" s="52"/>
    </row>
    <row r="21" spans="1:11" s="2" customFormat="1" ht="43.5" customHeight="1" x14ac:dyDescent="0.35">
      <c r="A21" s="566">
        <v>3</v>
      </c>
      <c r="B21" s="567"/>
      <c r="C21" s="116" t="s">
        <v>0</v>
      </c>
      <c r="D21" s="127" t="s">
        <v>82</v>
      </c>
      <c r="E21" s="61"/>
      <c r="F21" s="14"/>
      <c r="G21" s="14"/>
      <c r="H21" s="15"/>
      <c r="I21" s="15"/>
      <c r="J21" s="133"/>
      <c r="K21" s="52"/>
    </row>
    <row r="22" spans="1:11" s="2" customFormat="1" ht="43.5" customHeight="1" x14ac:dyDescent="0.35">
      <c r="A22" s="566"/>
      <c r="B22" s="567"/>
      <c r="C22" s="104"/>
      <c r="D22" s="129"/>
      <c r="E22" s="61"/>
      <c r="F22" s="219"/>
      <c r="G22" s="14"/>
      <c r="H22" s="15"/>
      <c r="I22" s="15"/>
      <c r="J22" s="133"/>
      <c r="K22" s="52"/>
    </row>
    <row r="23" spans="1:11" s="2" customFormat="1" ht="43.5" customHeight="1" x14ac:dyDescent="0.35">
      <c r="A23" s="566"/>
      <c r="B23" s="567"/>
      <c r="C23" s="104"/>
      <c r="D23" s="129"/>
      <c r="E23" s="61"/>
      <c r="F23" s="219"/>
      <c r="G23" s="37"/>
      <c r="H23" s="15"/>
      <c r="I23" s="15"/>
      <c r="J23" s="133"/>
      <c r="K23" s="52"/>
    </row>
    <row r="24" spans="1:11" s="2" customFormat="1" ht="43.5" customHeight="1" x14ac:dyDescent="0.35">
      <c r="A24" s="566"/>
      <c r="B24" s="567"/>
      <c r="C24" s="104"/>
      <c r="D24" s="129"/>
      <c r="E24" s="61"/>
      <c r="F24" s="219"/>
      <c r="G24" s="14"/>
      <c r="H24" s="15"/>
      <c r="I24" s="15"/>
      <c r="J24" s="133"/>
      <c r="K24" s="52"/>
    </row>
    <row r="25" spans="1:11" s="2" customFormat="1" ht="43.5" customHeight="1" x14ac:dyDescent="0.35">
      <c r="A25" s="564"/>
      <c r="B25" s="565"/>
      <c r="C25" s="105"/>
      <c r="D25" s="129"/>
      <c r="E25" s="61"/>
      <c r="F25" s="219"/>
      <c r="G25" s="14"/>
      <c r="H25" s="15"/>
      <c r="I25" s="15"/>
      <c r="J25" s="133"/>
      <c r="K25" s="52"/>
    </row>
    <row r="26" spans="1:11" s="2" customFormat="1" ht="43.5" customHeight="1" x14ac:dyDescent="0.35">
      <c r="A26" s="564"/>
      <c r="B26" s="565"/>
      <c r="C26" s="105"/>
      <c r="D26" s="129"/>
      <c r="E26" s="61"/>
      <c r="F26" s="219"/>
      <c r="G26" s="14"/>
      <c r="H26" s="15"/>
      <c r="I26" s="15"/>
      <c r="J26" s="133"/>
      <c r="K26" s="52"/>
    </row>
    <row r="27" spans="1:11" s="2" customFormat="1" ht="43.5" customHeight="1" x14ac:dyDescent="0.35">
      <c r="A27" s="564"/>
      <c r="B27" s="565"/>
      <c r="C27" s="105"/>
      <c r="D27" s="129"/>
      <c r="E27" s="61"/>
      <c r="F27" s="219"/>
      <c r="G27" s="14"/>
      <c r="H27" s="15"/>
      <c r="I27" s="15"/>
      <c r="J27" s="133"/>
      <c r="K27" s="52"/>
    </row>
    <row r="28" spans="1:11" s="2" customFormat="1" ht="43.5" customHeight="1" x14ac:dyDescent="0.35">
      <c r="A28" s="564"/>
      <c r="B28" s="565"/>
      <c r="C28" s="105"/>
      <c r="D28" s="129"/>
      <c r="E28" s="61"/>
      <c r="F28" s="219"/>
      <c r="G28" s="14"/>
      <c r="H28" s="15"/>
      <c r="I28" s="15"/>
      <c r="J28" s="133"/>
      <c r="K28" s="52"/>
    </row>
    <row r="29" spans="1:11" s="2" customFormat="1" ht="43.5" customHeight="1" x14ac:dyDescent="0.35">
      <c r="A29" s="564"/>
      <c r="B29" s="565"/>
      <c r="C29" s="105"/>
      <c r="D29" s="129"/>
      <c r="E29" s="61"/>
      <c r="F29" s="219"/>
      <c r="G29" s="14"/>
      <c r="H29" s="15"/>
      <c r="I29" s="15"/>
      <c r="J29" s="133"/>
      <c r="K29" s="52"/>
    </row>
    <row r="30" spans="1:11" s="2" customFormat="1" ht="43.5" customHeight="1" x14ac:dyDescent="0.35">
      <c r="A30" s="564"/>
      <c r="B30" s="565"/>
      <c r="C30" s="122"/>
      <c r="D30" s="129"/>
      <c r="E30" s="65"/>
      <c r="F30" s="219"/>
      <c r="G30" s="14"/>
      <c r="H30" s="15"/>
      <c r="I30" s="15"/>
      <c r="J30" s="133"/>
      <c r="K30" s="52"/>
    </row>
    <row r="31" spans="1:11" s="2" customFormat="1" ht="43.5" customHeight="1" x14ac:dyDescent="0.35">
      <c r="A31" s="566"/>
      <c r="B31" s="567"/>
      <c r="C31" s="106"/>
      <c r="D31" s="132"/>
      <c r="E31" s="65"/>
      <c r="F31" s="219"/>
      <c r="G31" s="14"/>
      <c r="H31" s="15"/>
      <c r="I31" s="15"/>
      <c r="J31" s="133"/>
      <c r="K31" s="52"/>
    </row>
    <row r="32" spans="1:11" ht="13.5" customHeight="1" x14ac:dyDescent="0.6">
      <c r="A32" s="119"/>
      <c r="B32" s="120"/>
      <c r="C32" s="107"/>
      <c r="D32" s="42"/>
      <c r="E32" s="42"/>
      <c r="F32" s="42"/>
      <c r="G32" s="42"/>
      <c r="H32" s="4"/>
      <c r="I32" s="4"/>
      <c r="J32" s="4"/>
      <c r="K32" s="5"/>
    </row>
    <row r="33" spans="1:11" ht="18.75" customHeight="1" x14ac:dyDescent="0.6">
      <c r="A33" s="124" t="s">
        <v>52</v>
      </c>
      <c r="B33" s="121"/>
      <c r="C33" s="110"/>
      <c r="D33" s="554" t="s">
        <v>60</v>
      </c>
      <c r="E33" s="554"/>
      <c r="F33" s="554"/>
      <c r="G33" s="554"/>
      <c r="H33" s="554"/>
      <c r="I33" s="554"/>
      <c r="J33" s="554"/>
      <c r="K33" s="555"/>
    </row>
    <row r="34" spans="1:11" ht="18.75" customHeight="1" x14ac:dyDescent="0.35">
      <c r="A34" s="6"/>
      <c r="B34" s="13"/>
      <c r="C34" s="13"/>
      <c r="D34" s="556"/>
      <c r="E34" s="556"/>
      <c r="F34" s="556"/>
      <c r="G34" s="556"/>
      <c r="H34" s="556"/>
      <c r="I34" s="556"/>
      <c r="J34" s="556"/>
      <c r="K34" s="557"/>
    </row>
    <row r="35" spans="1:11" ht="18.75" customHeight="1" x14ac:dyDescent="0.35">
      <c r="A35" s="72"/>
      <c r="B35" s="73"/>
      <c r="C35" s="73"/>
      <c r="D35" s="74"/>
      <c r="E35" s="74"/>
      <c r="F35" s="74"/>
      <c r="G35" s="74"/>
      <c r="H35" s="73"/>
      <c r="I35" s="73"/>
      <c r="J35" s="75"/>
      <c r="K35" s="76"/>
    </row>
    <row r="36" spans="1:11" ht="18.75" customHeight="1" x14ac:dyDescent="0.25">
      <c r="A36" s="77"/>
      <c r="B36" s="78"/>
      <c r="C36" s="78"/>
      <c r="D36" s="78"/>
      <c r="E36" s="78"/>
      <c r="F36" s="78"/>
      <c r="G36" s="78"/>
      <c r="H36" s="78"/>
      <c r="I36" s="78"/>
      <c r="J36" s="78"/>
      <c r="K36" s="79"/>
    </row>
    <row r="37" spans="1:11" ht="18.75" customHeight="1" x14ac:dyDescent="0.25">
      <c r="A37" s="7"/>
      <c r="B37" s="8"/>
      <c r="C37" s="8"/>
      <c r="D37" s="8"/>
      <c r="E37" s="8"/>
      <c r="F37" s="8"/>
      <c r="G37" s="8"/>
      <c r="H37" s="8"/>
      <c r="I37" s="8"/>
      <c r="J37" s="8"/>
      <c r="K37" s="9"/>
    </row>
    <row r="38" spans="1:11" ht="20" x14ac:dyDescent="0.4">
      <c r="A38" s="20" t="s">
        <v>74</v>
      </c>
    </row>
  </sheetData>
  <sheetProtection sort="0" autoFilter="0"/>
  <dataConsolidate/>
  <mergeCells count="25">
    <mergeCell ref="F11:I11"/>
    <mergeCell ref="C2:K2"/>
    <mergeCell ref="C3:K3"/>
    <mergeCell ref="A4:K4"/>
    <mergeCell ref="C7:C8"/>
    <mergeCell ref="A8:B8"/>
    <mergeCell ref="A25:B25"/>
    <mergeCell ref="F12:I12"/>
    <mergeCell ref="F13:H13"/>
    <mergeCell ref="B15:K15"/>
    <mergeCell ref="B16:K16"/>
    <mergeCell ref="A17:B18"/>
    <mergeCell ref="A19:B19"/>
    <mergeCell ref="A20:B20"/>
    <mergeCell ref="A21:B21"/>
    <mergeCell ref="A22:B22"/>
    <mergeCell ref="A23:B23"/>
    <mergeCell ref="A24:B24"/>
    <mergeCell ref="D33:K34"/>
    <mergeCell ref="A26:B26"/>
    <mergeCell ref="A27:B27"/>
    <mergeCell ref="A28:B28"/>
    <mergeCell ref="A29:B29"/>
    <mergeCell ref="A30:B30"/>
    <mergeCell ref="A31:B31"/>
  </mergeCells>
  <dataValidations count="1">
    <dataValidation allowBlank="1" showDropDown="1" showInputMessage="1" showErrorMessage="1" sqref="C9" xr:uid="{55E502FF-E0ED-4625-B528-05A5A8047387}"/>
  </dataValidations>
  <printOptions horizontalCentered="1" verticalCentered="1"/>
  <pageMargins left="0" right="0" top="0" bottom="0" header="0" footer="0"/>
  <pageSetup paperSize="9" scale="47" orientation="landscape" r:id="rId1"/>
  <headerFooter alignWithMargins="0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EE81DB-4CCB-4306-8E12-D67464F06BE2}">
  <sheetPr codeName="Sheet8">
    <pageSetUpPr fitToPage="1"/>
  </sheetPr>
  <dimension ref="A1:N38"/>
  <sheetViews>
    <sheetView view="pageBreakPreview" zoomScale="70" zoomScaleNormal="71" zoomScaleSheetLayoutView="70" zoomScalePageLayoutView="50" workbookViewId="0">
      <selection activeCell="E24" sqref="E24"/>
    </sheetView>
  </sheetViews>
  <sheetFormatPr defaultColWidth="7" defaultRowHeight="12.5" x14ac:dyDescent="0.25"/>
  <cols>
    <col min="1" max="1" width="4.54296875" style="1" customWidth="1"/>
    <col min="2" max="2" width="5.7265625" style="1" customWidth="1"/>
    <col min="3" max="3" width="99.26953125" style="1" customWidth="1"/>
    <col min="4" max="4" width="11.26953125" style="1" customWidth="1"/>
    <col min="5" max="5" width="24.453125" style="1" customWidth="1"/>
    <col min="6" max="6" width="15.26953125" style="1" customWidth="1"/>
    <col min="7" max="7" width="14.26953125" style="1" customWidth="1"/>
    <col min="8" max="8" width="18.7265625" style="1" customWidth="1"/>
    <col min="9" max="9" width="29.26953125" style="1" customWidth="1"/>
    <col min="10" max="10" width="16.54296875" style="1" customWidth="1"/>
    <col min="11" max="11" width="46.7265625" style="1" customWidth="1"/>
    <col min="12" max="16384" width="7" style="1"/>
  </cols>
  <sheetData>
    <row r="1" spans="1:14" ht="21" customHeight="1" x14ac:dyDescent="0.3">
      <c r="A1" s="44"/>
      <c r="B1" s="45"/>
      <c r="C1" s="45"/>
      <c r="D1" s="45"/>
      <c r="E1" s="45"/>
      <c r="F1" s="45"/>
      <c r="G1" s="45"/>
      <c r="H1" s="45"/>
      <c r="I1" s="45"/>
      <c r="J1" s="45"/>
      <c r="K1" s="87" t="s">
        <v>68</v>
      </c>
    </row>
    <row r="2" spans="1:14" ht="24.75" customHeight="1" x14ac:dyDescent="0.5">
      <c r="A2" s="83"/>
      <c r="B2" s="11"/>
      <c r="C2" s="542" t="s">
        <v>73</v>
      </c>
      <c r="D2" s="542"/>
      <c r="E2" s="542"/>
      <c r="F2" s="542"/>
      <c r="G2" s="542"/>
      <c r="H2" s="542"/>
      <c r="I2" s="542"/>
      <c r="J2" s="542"/>
      <c r="K2" s="543"/>
    </row>
    <row r="3" spans="1:14" ht="24.75" customHeight="1" x14ac:dyDescent="0.5">
      <c r="A3" s="12"/>
      <c r="B3" s="11"/>
      <c r="C3" s="544"/>
      <c r="D3" s="544"/>
      <c r="E3" s="544"/>
      <c r="F3" s="544"/>
      <c r="G3" s="544"/>
      <c r="H3" s="544"/>
      <c r="I3" s="544"/>
      <c r="J3" s="544"/>
      <c r="K3" s="545"/>
    </row>
    <row r="4" spans="1:14" ht="24.75" customHeight="1" x14ac:dyDescent="0.25">
      <c r="A4" s="574" t="s">
        <v>30</v>
      </c>
      <c r="B4" s="575"/>
      <c r="C4" s="575"/>
      <c r="D4" s="575"/>
      <c r="E4" s="575"/>
      <c r="F4" s="575"/>
      <c r="G4" s="575"/>
      <c r="H4" s="575"/>
      <c r="I4" s="575"/>
      <c r="J4" s="575"/>
      <c r="K4" s="576"/>
    </row>
    <row r="5" spans="1:14" ht="24.75" customHeight="1" x14ac:dyDescent="0.6">
      <c r="A5" s="66"/>
      <c r="B5" s="67"/>
      <c r="C5" s="123" t="s">
        <v>89</v>
      </c>
      <c r="D5" s="53"/>
      <c r="E5" s="53"/>
      <c r="F5" s="56"/>
      <c r="G5" s="56"/>
      <c r="H5" s="55"/>
      <c r="I5" s="53"/>
      <c r="J5" s="53"/>
      <c r="K5" s="68"/>
    </row>
    <row r="6" spans="1:14" s="13" customFormat="1" ht="24.75" customHeight="1" x14ac:dyDescent="0.4">
      <c r="A6" s="20"/>
      <c r="B6" s="21"/>
      <c r="C6" s="30"/>
      <c r="D6" s="36"/>
      <c r="E6" s="36"/>
      <c r="F6" s="36"/>
      <c r="G6" s="36"/>
      <c r="H6" s="36"/>
      <c r="I6" s="39"/>
      <c r="J6" s="33"/>
      <c r="K6" s="34"/>
    </row>
    <row r="7" spans="1:14" ht="16" customHeight="1" x14ac:dyDescent="0.4">
      <c r="A7" s="23"/>
      <c r="B7" s="21"/>
      <c r="C7" s="549"/>
      <c r="D7" s="21"/>
      <c r="E7" s="21"/>
      <c r="F7" s="21"/>
      <c r="G7" s="21"/>
      <c r="H7" s="21"/>
      <c r="I7" s="21"/>
      <c r="J7" s="21"/>
      <c r="K7" s="22"/>
    </row>
    <row r="8" spans="1:14" ht="26.15" customHeight="1" x14ac:dyDescent="0.4">
      <c r="A8" s="550"/>
      <c r="B8" s="551"/>
      <c r="C8" s="549"/>
      <c r="D8" s="25"/>
      <c r="E8" s="25"/>
      <c r="F8" s="25"/>
      <c r="G8" s="25"/>
      <c r="H8" s="25"/>
      <c r="I8" s="25"/>
      <c r="J8" s="25"/>
      <c r="K8" s="26"/>
    </row>
    <row r="9" spans="1:14" ht="26.15" customHeight="1" x14ac:dyDescent="0.4">
      <c r="A9" s="46"/>
      <c r="B9" s="47"/>
      <c r="C9" s="24"/>
      <c r="D9" s="25"/>
      <c r="E9" s="25"/>
      <c r="F9" s="25"/>
      <c r="G9" s="25"/>
      <c r="H9" s="25"/>
      <c r="I9" s="25"/>
      <c r="J9" s="25"/>
      <c r="K9" s="26"/>
    </row>
    <row r="10" spans="1:14" ht="24.75" customHeight="1" x14ac:dyDescent="0.4">
      <c r="A10" s="27"/>
      <c r="B10" s="25"/>
      <c r="C10" s="43"/>
      <c r="D10" s="25"/>
      <c r="E10" s="25"/>
      <c r="F10" s="80" t="s">
        <v>31</v>
      </c>
      <c r="G10" s="80"/>
      <c r="H10" s="25"/>
      <c r="I10" s="80"/>
      <c r="J10" s="80"/>
      <c r="K10" s="26"/>
    </row>
    <row r="11" spans="1:14" ht="24.75" customHeight="1" x14ac:dyDescent="0.4">
      <c r="A11" s="27"/>
      <c r="B11" s="25"/>
      <c r="C11" s="43"/>
      <c r="D11" s="25"/>
      <c r="E11" s="25"/>
      <c r="F11" s="568" t="s">
        <v>32</v>
      </c>
      <c r="G11" s="568"/>
      <c r="H11" s="568"/>
      <c r="I11" s="568"/>
      <c r="J11" s="80"/>
      <c r="K11" s="26"/>
    </row>
    <row r="12" spans="1:14" ht="24.75" customHeight="1" x14ac:dyDescent="0.5">
      <c r="A12" s="29"/>
      <c r="B12" s="21"/>
      <c r="C12" s="21"/>
      <c r="D12" s="21"/>
      <c r="E12" s="21"/>
      <c r="F12" s="568" t="s">
        <v>33</v>
      </c>
      <c r="G12" s="568"/>
      <c r="H12" s="568"/>
      <c r="I12" s="568"/>
      <c r="J12" s="82"/>
      <c r="K12" s="60"/>
    </row>
    <row r="13" spans="1:14" ht="24.75" customHeight="1" x14ac:dyDescent="0.5">
      <c r="A13" s="29"/>
      <c r="B13" s="21"/>
      <c r="C13" s="21"/>
      <c r="D13" s="21"/>
      <c r="E13" s="21"/>
      <c r="F13" s="569" t="s">
        <v>34</v>
      </c>
      <c r="G13" s="569"/>
      <c r="H13" s="569"/>
      <c r="I13" s="84"/>
      <c r="J13" s="25"/>
      <c r="K13" s="60"/>
    </row>
    <row r="14" spans="1:14" ht="24.75" customHeight="1" x14ac:dyDescent="0.5">
      <c r="A14" s="29"/>
      <c r="B14" s="21"/>
      <c r="C14" s="21"/>
      <c r="D14" s="21"/>
      <c r="E14" s="21"/>
      <c r="F14" s="21"/>
      <c r="G14" s="21"/>
      <c r="H14" s="21"/>
      <c r="I14" s="21"/>
      <c r="J14" s="25"/>
      <c r="K14" s="28"/>
    </row>
    <row r="15" spans="1:14" ht="24.75" customHeight="1" x14ac:dyDescent="0.5">
      <c r="A15" s="57"/>
      <c r="B15" s="570" t="s">
        <v>35</v>
      </c>
      <c r="C15" s="570"/>
      <c r="D15" s="570"/>
      <c r="E15" s="570"/>
      <c r="F15" s="570"/>
      <c r="G15" s="570"/>
      <c r="H15" s="570"/>
      <c r="I15" s="570"/>
      <c r="J15" s="570"/>
      <c r="K15" s="571"/>
      <c r="L15" s="59"/>
      <c r="M15" s="59"/>
      <c r="N15" s="59"/>
    </row>
    <row r="16" spans="1:14" ht="24.75" customHeight="1" x14ac:dyDescent="0.5">
      <c r="A16" s="58"/>
      <c r="B16" s="572" t="s">
        <v>36</v>
      </c>
      <c r="C16" s="572"/>
      <c r="D16" s="572"/>
      <c r="E16" s="572"/>
      <c r="F16" s="572"/>
      <c r="G16" s="572"/>
      <c r="H16" s="572"/>
      <c r="I16" s="572"/>
      <c r="J16" s="572"/>
      <c r="K16" s="573"/>
      <c r="L16" s="59"/>
      <c r="M16" s="59"/>
      <c r="N16" s="59"/>
    </row>
    <row r="17" spans="1:11" ht="65.25" customHeight="1" x14ac:dyDescent="0.25">
      <c r="A17" s="558" t="s">
        <v>59</v>
      </c>
      <c r="B17" s="559"/>
      <c r="C17" s="112" t="s">
        <v>37</v>
      </c>
      <c r="D17" s="17" t="s">
        <v>24</v>
      </c>
      <c r="E17" s="111" t="s">
        <v>66</v>
      </c>
      <c r="F17" s="17" t="s">
        <v>39</v>
      </c>
      <c r="G17" s="111" t="s">
        <v>40</v>
      </c>
      <c r="H17" s="81" t="s">
        <v>41</v>
      </c>
      <c r="I17" s="113" t="s">
        <v>42</v>
      </c>
      <c r="J17" s="35" t="s">
        <v>96</v>
      </c>
      <c r="K17" s="114" t="s">
        <v>195</v>
      </c>
    </row>
    <row r="18" spans="1:11" s="19" customFormat="1" ht="64.5" customHeight="1" x14ac:dyDescent="0.25">
      <c r="A18" s="560"/>
      <c r="B18" s="561"/>
      <c r="C18" s="32"/>
      <c r="D18" s="18" t="s">
        <v>26</v>
      </c>
      <c r="E18" s="18" t="s">
        <v>67</v>
      </c>
      <c r="F18" s="18" t="s">
        <v>45</v>
      </c>
      <c r="G18" s="18" t="s">
        <v>46</v>
      </c>
      <c r="H18" s="41" t="s">
        <v>47</v>
      </c>
      <c r="I18" s="40" t="s">
        <v>48</v>
      </c>
      <c r="J18" s="51" t="s">
        <v>193</v>
      </c>
      <c r="K18" s="18" t="s">
        <v>194</v>
      </c>
    </row>
    <row r="19" spans="1:11" s="2" customFormat="1" ht="43.5" customHeight="1" x14ac:dyDescent="0.35">
      <c r="A19" s="566">
        <v>1</v>
      </c>
      <c r="B19" s="567"/>
      <c r="C19" s="115" t="s">
        <v>21</v>
      </c>
      <c r="D19" s="489" t="s">
        <v>81</v>
      </c>
      <c r="E19" s="61"/>
      <c r="F19" s="37"/>
      <c r="G19" s="37"/>
      <c r="H19" s="15"/>
      <c r="I19" s="15"/>
      <c r="J19" s="133">
        <v>50</v>
      </c>
      <c r="K19" s="52"/>
    </row>
    <row r="20" spans="1:11" s="2" customFormat="1" ht="43.5" customHeight="1" x14ac:dyDescent="0.35">
      <c r="A20" s="566">
        <v>2</v>
      </c>
      <c r="B20" s="567"/>
      <c r="C20" s="116" t="s">
        <v>28</v>
      </c>
      <c r="D20" s="490" t="s">
        <v>82</v>
      </c>
      <c r="E20" s="64"/>
      <c r="F20" s="48"/>
      <c r="G20" s="48"/>
      <c r="H20" s="15"/>
      <c r="I20" s="15"/>
      <c r="J20" s="133">
        <v>125</v>
      </c>
      <c r="K20" s="52"/>
    </row>
    <row r="21" spans="1:11" s="2" customFormat="1" ht="43.5" customHeight="1" x14ac:dyDescent="0.35">
      <c r="A21" s="566">
        <v>3</v>
      </c>
      <c r="B21" s="567"/>
      <c r="C21" s="116" t="s">
        <v>0</v>
      </c>
      <c r="D21" s="491" t="s">
        <v>1078</v>
      </c>
      <c r="E21" s="61"/>
      <c r="F21" s="14"/>
      <c r="G21" s="14"/>
      <c r="H21" s="15"/>
      <c r="I21" s="15"/>
      <c r="J21" s="133">
        <v>167</v>
      </c>
      <c r="K21" s="52"/>
    </row>
    <row r="22" spans="1:11" s="2" customFormat="1" ht="43.5" customHeight="1" x14ac:dyDescent="0.35">
      <c r="A22" s="566" t="s">
        <v>5</v>
      </c>
      <c r="B22" s="567"/>
      <c r="C22" s="104" t="s">
        <v>90</v>
      </c>
      <c r="D22" s="493" t="s">
        <v>345</v>
      </c>
      <c r="E22" s="61"/>
      <c r="F22" s="219" t="s">
        <v>189</v>
      </c>
      <c r="G22" s="14"/>
      <c r="H22" s="15"/>
      <c r="I22" s="15"/>
      <c r="J22" s="133">
        <v>26</v>
      </c>
      <c r="K22" s="52"/>
    </row>
    <row r="23" spans="1:11" s="2" customFormat="1" ht="43.5" customHeight="1" x14ac:dyDescent="0.35">
      <c r="A23" s="566" t="s">
        <v>6</v>
      </c>
      <c r="B23" s="567"/>
      <c r="C23" s="104" t="s">
        <v>91</v>
      </c>
      <c r="D23" s="493" t="s">
        <v>345</v>
      </c>
      <c r="E23" s="61"/>
      <c r="F23" s="219" t="s">
        <v>189</v>
      </c>
      <c r="G23" s="37"/>
      <c r="H23" s="15"/>
      <c r="I23" s="15"/>
      <c r="J23" s="133">
        <v>39</v>
      </c>
      <c r="K23" s="52"/>
    </row>
    <row r="24" spans="1:11" s="2" customFormat="1" ht="43.5" customHeight="1" x14ac:dyDescent="0.35">
      <c r="A24" s="566" t="s">
        <v>7</v>
      </c>
      <c r="B24" s="567"/>
      <c r="C24" s="104" t="s">
        <v>92</v>
      </c>
      <c r="D24" s="493" t="s">
        <v>345</v>
      </c>
      <c r="E24" s="61"/>
      <c r="F24" s="219" t="s">
        <v>189</v>
      </c>
      <c r="G24" s="14"/>
      <c r="H24" s="15"/>
      <c r="I24" s="15"/>
      <c r="J24" s="133">
        <v>43</v>
      </c>
      <c r="K24" s="52"/>
    </row>
    <row r="25" spans="1:11" s="2" customFormat="1" ht="43.5" customHeight="1" x14ac:dyDescent="0.35">
      <c r="A25" s="564" t="s">
        <v>75</v>
      </c>
      <c r="B25" s="565"/>
      <c r="C25" s="105" t="s">
        <v>84</v>
      </c>
      <c r="D25" s="493" t="s">
        <v>345</v>
      </c>
      <c r="E25" s="61"/>
      <c r="F25" s="219" t="s">
        <v>189</v>
      </c>
      <c r="G25" s="14"/>
      <c r="H25" s="15"/>
      <c r="I25" s="15"/>
      <c r="J25" s="133">
        <v>7.8</v>
      </c>
      <c r="K25" s="52"/>
    </row>
    <row r="26" spans="1:11" s="2" customFormat="1" ht="43.5" customHeight="1" x14ac:dyDescent="0.35">
      <c r="A26" s="564" t="s">
        <v>76</v>
      </c>
      <c r="B26" s="565"/>
      <c r="C26" s="105" t="s">
        <v>85</v>
      </c>
      <c r="D26" s="493" t="s">
        <v>345</v>
      </c>
      <c r="E26" s="61"/>
      <c r="F26" s="219" t="s">
        <v>189</v>
      </c>
      <c r="G26" s="14"/>
      <c r="H26" s="15"/>
      <c r="I26" s="15"/>
      <c r="J26" s="133">
        <v>7.8</v>
      </c>
      <c r="K26" s="52"/>
    </row>
    <row r="27" spans="1:11" s="2" customFormat="1" ht="43.5" customHeight="1" x14ac:dyDescent="0.35">
      <c r="A27" s="564" t="s">
        <v>77</v>
      </c>
      <c r="B27" s="565"/>
      <c r="C27" s="105" t="s">
        <v>86</v>
      </c>
      <c r="D27" s="493" t="s">
        <v>345</v>
      </c>
      <c r="E27" s="61"/>
      <c r="F27" s="219" t="s">
        <v>189</v>
      </c>
      <c r="G27" s="14"/>
      <c r="H27" s="15"/>
      <c r="I27" s="15"/>
      <c r="J27" s="133">
        <v>6</v>
      </c>
      <c r="K27" s="52"/>
    </row>
    <row r="28" spans="1:11" s="2" customFormat="1" ht="43.5" customHeight="1" x14ac:dyDescent="0.35">
      <c r="A28" s="564" t="s">
        <v>78</v>
      </c>
      <c r="B28" s="565"/>
      <c r="C28" s="105" t="s">
        <v>87</v>
      </c>
      <c r="D28" s="493" t="s">
        <v>345</v>
      </c>
      <c r="E28" s="61"/>
      <c r="F28" s="219" t="s">
        <v>189</v>
      </c>
      <c r="G28" s="14"/>
      <c r="H28" s="15"/>
      <c r="I28" s="15"/>
      <c r="J28" s="133">
        <v>6</v>
      </c>
      <c r="K28" s="52"/>
    </row>
    <row r="29" spans="1:11" s="2" customFormat="1" ht="43.5" customHeight="1" x14ac:dyDescent="0.35">
      <c r="A29" s="564" t="s">
        <v>79</v>
      </c>
      <c r="B29" s="565"/>
      <c r="C29" s="105" t="s">
        <v>93</v>
      </c>
      <c r="D29" s="493" t="s">
        <v>345</v>
      </c>
      <c r="E29" s="61"/>
      <c r="F29" s="219" t="s">
        <v>189</v>
      </c>
      <c r="G29" s="14"/>
      <c r="H29" s="15"/>
      <c r="I29" s="15"/>
      <c r="J29" s="133">
        <v>5.5</v>
      </c>
      <c r="K29" s="52"/>
    </row>
    <row r="30" spans="1:11" s="2" customFormat="1" ht="43.5" customHeight="1" x14ac:dyDescent="0.35">
      <c r="A30" s="564" t="s">
        <v>80</v>
      </c>
      <c r="B30" s="565"/>
      <c r="C30" s="122" t="s">
        <v>94</v>
      </c>
      <c r="D30" s="493" t="s">
        <v>345</v>
      </c>
      <c r="E30" s="65"/>
      <c r="F30" s="219" t="s">
        <v>189</v>
      </c>
      <c r="G30" s="14"/>
      <c r="H30" s="15"/>
      <c r="I30" s="15"/>
      <c r="J30" s="133">
        <v>5.5</v>
      </c>
      <c r="K30" s="52"/>
    </row>
    <row r="31" spans="1:11" s="2" customFormat="1" ht="43.5" customHeight="1" x14ac:dyDescent="0.35">
      <c r="A31" s="566">
        <v>9</v>
      </c>
      <c r="B31" s="567"/>
      <c r="C31" s="106" t="s">
        <v>22</v>
      </c>
      <c r="D31" s="128" t="s">
        <v>88</v>
      </c>
      <c r="E31" s="65"/>
      <c r="F31" s="219" t="s">
        <v>189</v>
      </c>
      <c r="G31" s="14"/>
      <c r="H31" s="15"/>
      <c r="I31" s="15"/>
      <c r="J31" s="133">
        <v>114</v>
      </c>
      <c r="K31" s="52"/>
    </row>
    <row r="32" spans="1:11" ht="13.5" customHeight="1" x14ac:dyDescent="0.6">
      <c r="A32" s="119"/>
      <c r="B32" s="120"/>
      <c r="C32" s="107"/>
      <c r="D32" s="42"/>
      <c r="E32" s="42"/>
      <c r="F32" s="42"/>
      <c r="G32" s="42"/>
      <c r="H32" s="4"/>
      <c r="I32" s="4"/>
      <c r="J32" s="4"/>
      <c r="K32" s="5"/>
    </row>
    <row r="33" spans="1:11" ht="18.75" customHeight="1" x14ac:dyDescent="0.6">
      <c r="A33" s="124" t="s">
        <v>52</v>
      </c>
      <c r="B33" s="121"/>
      <c r="C33" s="110"/>
      <c r="D33" s="554" t="s">
        <v>60</v>
      </c>
      <c r="E33" s="554"/>
      <c r="F33" s="554"/>
      <c r="G33" s="554"/>
      <c r="H33" s="554"/>
      <c r="I33" s="554"/>
      <c r="J33" s="554"/>
      <c r="K33" s="555"/>
    </row>
    <row r="34" spans="1:11" ht="18.75" customHeight="1" x14ac:dyDescent="0.35">
      <c r="A34" s="6"/>
      <c r="B34" s="13"/>
      <c r="C34" s="13"/>
      <c r="D34" s="556"/>
      <c r="E34" s="556"/>
      <c r="F34" s="556"/>
      <c r="G34" s="556"/>
      <c r="H34" s="556"/>
      <c r="I34" s="556"/>
      <c r="J34" s="556"/>
      <c r="K34" s="557"/>
    </row>
    <row r="35" spans="1:11" ht="18.75" customHeight="1" x14ac:dyDescent="0.35">
      <c r="A35" s="72"/>
      <c r="B35" s="73"/>
      <c r="C35" s="73"/>
      <c r="D35" s="74"/>
      <c r="E35" s="74"/>
      <c r="F35" s="74"/>
      <c r="G35" s="74"/>
      <c r="H35" s="73"/>
      <c r="I35" s="73"/>
      <c r="J35" s="75"/>
      <c r="K35" s="76"/>
    </row>
    <row r="36" spans="1:11" ht="18.75" customHeight="1" x14ac:dyDescent="0.25">
      <c r="A36" s="77"/>
      <c r="B36" s="78"/>
      <c r="C36" s="78"/>
      <c r="D36" s="78"/>
      <c r="E36" s="78"/>
      <c r="F36" s="78"/>
      <c r="G36" s="78"/>
      <c r="H36" s="78"/>
      <c r="I36" s="78"/>
      <c r="J36" s="78"/>
      <c r="K36" s="79"/>
    </row>
    <row r="37" spans="1:11" ht="18.75" customHeight="1" x14ac:dyDescent="0.25">
      <c r="A37" s="7"/>
      <c r="B37" s="8"/>
      <c r="C37" s="8"/>
      <c r="D37" s="8"/>
      <c r="E37" s="8"/>
      <c r="F37" s="8"/>
      <c r="G37" s="8"/>
      <c r="H37" s="8"/>
      <c r="I37" s="8"/>
      <c r="J37" s="8"/>
      <c r="K37" s="9"/>
    </row>
    <row r="38" spans="1:11" ht="20" x14ac:dyDescent="0.4">
      <c r="A38" s="20" t="s">
        <v>74</v>
      </c>
    </row>
  </sheetData>
  <sheetProtection sort="0" autoFilter="0"/>
  <dataConsolidate/>
  <mergeCells count="25">
    <mergeCell ref="A19:B19"/>
    <mergeCell ref="C2:K2"/>
    <mergeCell ref="C3:K3"/>
    <mergeCell ref="A4:K4"/>
    <mergeCell ref="C7:C8"/>
    <mergeCell ref="A8:B8"/>
    <mergeCell ref="F11:I11"/>
    <mergeCell ref="F12:I12"/>
    <mergeCell ref="F13:H13"/>
    <mergeCell ref="B15:K15"/>
    <mergeCell ref="B16:K16"/>
    <mergeCell ref="A17:B18"/>
    <mergeCell ref="A20:B20"/>
    <mergeCell ref="A21:B21"/>
    <mergeCell ref="A22:B22"/>
    <mergeCell ref="A23:B23"/>
    <mergeCell ref="A24:B24"/>
    <mergeCell ref="D33:K34"/>
    <mergeCell ref="A25:B25"/>
    <mergeCell ref="A26:B26"/>
    <mergeCell ref="A27:B27"/>
    <mergeCell ref="A28:B28"/>
    <mergeCell ref="A29:B29"/>
    <mergeCell ref="A31:B31"/>
    <mergeCell ref="A30:B30"/>
  </mergeCells>
  <dataValidations count="1">
    <dataValidation allowBlank="1" showDropDown="1" showInputMessage="1" showErrorMessage="1" sqref="C9" xr:uid="{5161939D-D4E2-4394-BBBF-F9B87117F660}"/>
  </dataValidations>
  <hyperlinks>
    <hyperlink ref="D21" r:id="rId1" display="NEXVG#@" xr:uid="{0A9940BC-50B2-4957-A5D1-76EFD8376527}"/>
  </hyperlinks>
  <printOptions horizontalCentered="1" verticalCentered="1"/>
  <pageMargins left="0" right="0" top="0" bottom="0" header="0" footer="0"/>
  <pageSetup paperSize="9" scale="47" orientation="landscape" r:id="rId2"/>
  <headerFooter alignWithMargins="0"/>
  <drawing r:id="rId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2FC4B6-2D72-4583-8D0C-E782A3F019E3}">
  <sheetPr codeName="Sheet9">
    <pageSetUpPr fitToPage="1"/>
  </sheetPr>
  <dimension ref="A1:N38"/>
  <sheetViews>
    <sheetView view="pageBreakPreview" zoomScale="71" zoomScaleNormal="71" zoomScaleSheetLayoutView="71" zoomScalePageLayoutView="50" workbookViewId="0">
      <selection activeCell="I25" sqref="I25"/>
    </sheetView>
  </sheetViews>
  <sheetFormatPr defaultColWidth="7" defaultRowHeight="12.5" x14ac:dyDescent="0.25"/>
  <cols>
    <col min="1" max="1" width="4.54296875" style="1" customWidth="1"/>
    <col min="2" max="2" width="5.7265625" style="1" customWidth="1"/>
    <col min="3" max="3" width="99.26953125" style="1" customWidth="1"/>
    <col min="4" max="4" width="11.26953125" style="1" customWidth="1"/>
    <col min="5" max="5" width="24.453125" style="1" customWidth="1"/>
    <col min="6" max="6" width="15.26953125" style="1" customWidth="1"/>
    <col min="7" max="7" width="14.26953125" style="1" customWidth="1"/>
    <col min="8" max="8" width="18.7265625" style="1" customWidth="1"/>
    <col min="9" max="9" width="29.26953125" style="1" customWidth="1"/>
    <col min="10" max="10" width="16.54296875" style="1" customWidth="1"/>
    <col min="11" max="11" width="46.7265625" style="1" customWidth="1"/>
    <col min="12" max="16384" width="7" style="1"/>
  </cols>
  <sheetData>
    <row r="1" spans="1:14" ht="21" customHeight="1" x14ac:dyDescent="0.3">
      <c r="A1" s="44"/>
      <c r="B1" s="45"/>
      <c r="C1" s="45"/>
      <c r="D1" s="45"/>
      <c r="E1" s="45"/>
      <c r="F1" s="45"/>
      <c r="G1" s="45"/>
      <c r="H1" s="45"/>
      <c r="I1" s="45"/>
      <c r="J1" s="45"/>
      <c r="K1" s="87" t="s">
        <v>68</v>
      </c>
    </row>
    <row r="2" spans="1:14" ht="24.75" customHeight="1" x14ac:dyDescent="0.5">
      <c r="A2" s="83"/>
      <c r="B2" s="11"/>
      <c r="C2" s="542" t="s">
        <v>73</v>
      </c>
      <c r="D2" s="542"/>
      <c r="E2" s="542"/>
      <c r="F2" s="542"/>
      <c r="G2" s="542"/>
      <c r="H2" s="542"/>
      <c r="I2" s="542"/>
      <c r="J2" s="542"/>
      <c r="K2" s="543"/>
    </row>
    <row r="3" spans="1:14" ht="24.75" customHeight="1" x14ac:dyDescent="0.5">
      <c r="A3" s="12"/>
      <c r="B3" s="11"/>
      <c r="C3" s="544"/>
      <c r="D3" s="544"/>
      <c r="E3" s="544"/>
      <c r="F3" s="544"/>
      <c r="G3" s="544"/>
      <c r="H3" s="544"/>
      <c r="I3" s="544"/>
      <c r="J3" s="544"/>
      <c r="K3" s="545"/>
    </row>
    <row r="4" spans="1:14" ht="24.75" customHeight="1" x14ac:dyDescent="0.25">
      <c r="A4" s="574" t="s">
        <v>30</v>
      </c>
      <c r="B4" s="575"/>
      <c r="C4" s="575"/>
      <c r="D4" s="575"/>
      <c r="E4" s="575"/>
      <c r="F4" s="575"/>
      <c r="G4" s="575"/>
      <c r="H4" s="575"/>
      <c r="I4" s="575"/>
      <c r="J4" s="575"/>
      <c r="K4" s="576"/>
    </row>
    <row r="5" spans="1:14" ht="24.75" customHeight="1" x14ac:dyDescent="0.6">
      <c r="A5" s="66"/>
      <c r="B5" s="67"/>
      <c r="C5" s="123" t="s">
        <v>95</v>
      </c>
      <c r="D5" s="53"/>
      <c r="E5" s="53"/>
      <c r="F5" s="56"/>
      <c r="G5" s="56"/>
      <c r="H5" s="55"/>
      <c r="I5" s="53"/>
      <c r="J5" s="53"/>
      <c r="K5" s="68"/>
    </row>
    <row r="6" spans="1:14" s="13" customFormat="1" ht="24.75" customHeight="1" x14ac:dyDescent="0.4">
      <c r="A6" s="20"/>
      <c r="B6" s="21"/>
      <c r="C6" s="30"/>
      <c r="D6" s="36"/>
      <c r="E6" s="36"/>
      <c r="F6" s="36"/>
      <c r="G6" s="36"/>
      <c r="H6" s="36"/>
      <c r="I6" s="39"/>
      <c r="J6" s="33"/>
      <c r="K6" s="34"/>
    </row>
    <row r="7" spans="1:14" ht="16" customHeight="1" x14ac:dyDescent="0.4">
      <c r="A7" s="23"/>
      <c r="B7" s="21"/>
      <c r="C7" s="549"/>
      <c r="D7" s="21"/>
      <c r="E7" s="21"/>
      <c r="F7" s="21"/>
      <c r="G7" s="21"/>
      <c r="H7" s="21"/>
      <c r="I7" s="21"/>
      <c r="J7" s="21"/>
      <c r="K7" s="22"/>
    </row>
    <row r="8" spans="1:14" ht="26.15" customHeight="1" x14ac:dyDescent="0.4">
      <c r="A8" s="550"/>
      <c r="B8" s="551"/>
      <c r="C8" s="549"/>
      <c r="D8" s="25"/>
      <c r="E8" s="25"/>
      <c r="F8" s="25"/>
      <c r="G8" s="25"/>
      <c r="H8" s="25"/>
      <c r="I8" s="25"/>
      <c r="J8" s="25"/>
      <c r="K8" s="26"/>
    </row>
    <row r="9" spans="1:14" ht="26.15" customHeight="1" x14ac:dyDescent="0.4">
      <c r="A9" s="46"/>
      <c r="B9" s="47"/>
      <c r="C9" s="24"/>
      <c r="D9" s="25"/>
      <c r="E9" s="25"/>
      <c r="F9" s="25"/>
      <c r="G9" s="25"/>
      <c r="H9" s="25"/>
      <c r="I9" s="25"/>
      <c r="J9" s="25"/>
      <c r="K9" s="26"/>
    </row>
    <row r="10" spans="1:14" ht="24.75" customHeight="1" x14ac:dyDescent="0.4">
      <c r="A10" s="27"/>
      <c r="B10" s="25"/>
      <c r="C10" s="43"/>
      <c r="D10" s="25"/>
      <c r="E10" s="25"/>
      <c r="F10" s="80" t="s">
        <v>31</v>
      </c>
      <c r="G10" s="80"/>
      <c r="H10" s="25"/>
      <c r="I10" s="80"/>
      <c r="J10" s="80"/>
      <c r="K10" s="26"/>
    </row>
    <row r="11" spans="1:14" ht="24.75" customHeight="1" x14ac:dyDescent="0.4">
      <c r="A11" s="27"/>
      <c r="B11" s="25"/>
      <c r="C11" s="43"/>
      <c r="D11" s="25"/>
      <c r="E11" s="25"/>
      <c r="F11" s="568" t="s">
        <v>32</v>
      </c>
      <c r="G11" s="568"/>
      <c r="H11" s="568"/>
      <c r="I11" s="568"/>
      <c r="J11" s="80"/>
      <c r="K11" s="26"/>
    </row>
    <row r="12" spans="1:14" ht="24.75" customHeight="1" x14ac:dyDescent="0.5">
      <c r="A12" s="29"/>
      <c r="B12" s="21"/>
      <c r="C12" s="21"/>
      <c r="D12" s="21"/>
      <c r="E12" s="21"/>
      <c r="F12" s="568" t="s">
        <v>33</v>
      </c>
      <c r="G12" s="568"/>
      <c r="H12" s="568"/>
      <c r="I12" s="568"/>
      <c r="J12" s="82"/>
      <c r="K12" s="60"/>
    </row>
    <row r="13" spans="1:14" ht="24.75" customHeight="1" x14ac:dyDescent="0.5">
      <c r="A13" s="29"/>
      <c r="B13" s="21"/>
      <c r="C13" s="21"/>
      <c r="D13" s="21"/>
      <c r="E13" s="21"/>
      <c r="F13" s="569" t="s">
        <v>34</v>
      </c>
      <c r="G13" s="569"/>
      <c r="H13" s="569"/>
      <c r="I13" s="84"/>
      <c r="J13" s="25"/>
      <c r="K13" s="60"/>
    </row>
    <row r="14" spans="1:14" ht="24.75" customHeight="1" x14ac:dyDescent="0.5">
      <c r="A14" s="29"/>
      <c r="B14" s="21"/>
      <c r="C14" s="21"/>
      <c r="D14" s="21"/>
      <c r="E14" s="21"/>
      <c r="F14" s="21"/>
      <c r="G14" s="21"/>
      <c r="H14" s="21"/>
      <c r="I14" s="21"/>
      <c r="J14" s="25"/>
      <c r="K14" s="28"/>
    </row>
    <row r="15" spans="1:14" ht="24.75" customHeight="1" x14ac:dyDescent="0.5">
      <c r="A15" s="57"/>
      <c r="B15" s="570" t="s">
        <v>35</v>
      </c>
      <c r="C15" s="570"/>
      <c r="D15" s="570"/>
      <c r="E15" s="570"/>
      <c r="F15" s="570"/>
      <c r="G15" s="570"/>
      <c r="H15" s="570"/>
      <c r="I15" s="570"/>
      <c r="J15" s="570"/>
      <c r="K15" s="571"/>
      <c r="L15" s="59"/>
      <c r="M15" s="59"/>
      <c r="N15" s="59"/>
    </row>
    <row r="16" spans="1:14" ht="24.75" customHeight="1" x14ac:dyDescent="0.5">
      <c r="A16" s="58"/>
      <c r="B16" s="572" t="s">
        <v>36</v>
      </c>
      <c r="C16" s="572"/>
      <c r="D16" s="572"/>
      <c r="E16" s="572"/>
      <c r="F16" s="572"/>
      <c r="G16" s="572"/>
      <c r="H16" s="572"/>
      <c r="I16" s="572"/>
      <c r="J16" s="572"/>
      <c r="K16" s="573"/>
      <c r="L16" s="59"/>
      <c r="M16" s="59"/>
      <c r="N16" s="59"/>
    </row>
    <row r="17" spans="1:11" ht="65.25" customHeight="1" x14ac:dyDescent="0.25">
      <c r="A17" s="558" t="s">
        <v>59</v>
      </c>
      <c r="B17" s="559"/>
      <c r="C17" s="112" t="s">
        <v>37</v>
      </c>
      <c r="D17" s="17" t="s">
        <v>24</v>
      </c>
      <c r="E17" s="111" t="s">
        <v>66</v>
      </c>
      <c r="F17" s="17" t="s">
        <v>39</v>
      </c>
      <c r="G17" s="111" t="s">
        <v>40</v>
      </c>
      <c r="H17" s="81" t="s">
        <v>41</v>
      </c>
      <c r="I17" s="113" t="s">
        <v>42</v>
      </c>
      <c r="J17" s="35" t="s">
        <v>96</v>
      </c>
      <c r="K17" s="114" t="s">
        <v>195</v>
      </c>
    </row>
    <row r="18" spans="1:11" s="19" customFormat="1" ht="64.5" customHeight="1" x14ac:dyDescent="0.25">
      <c r="A18" s="560"/>
      <c r="B18" s="561"/>
      <c r="C18" s="32"/>
      <c r="D18" s="18" t="s">
        <v>26</v>
      </c>
      <c r="E18" s="18" t="s">
        <v>67</v>
      </c>
      <c r="F18" s="18" t="s">
        <v>45</v>
      </c>
      <c r="G18" s="18" t="s">
        <v>46</v>
      </c>
      <c r="H18" s="41" t="s">
        <v>47</v>
      </c>
      <c r="I18" s="40" t="s">
        <v>48</v>
      </c>
      <c r="J18" s="51" t="s">
        <v>193</v>
      </c>
      <c r="K18" s="18" t="s">
        <v>194</v>
      </c>
    </row>
    <row r="19" spans="1:11" s="2" customFormat="1" ht="43.5" customHeight="1" x14ac:dyDescent="0.35">
      <c r="A19" s="566">
        <v>1</v>
      </c>
      <c r="B19" s="567"/>
      <c r="C19" s="115" t="s">
        <v>21</v>
      </c>
      <c r="D19" s="125" t="s">
        <v>81</v>
      </c>
      <c r="E19" s="61"/>
      <c r="F19" s="37"/>
      <c r="G19" s="37"/>
      <c r="H19" s="15"/>
      <c r="I19" s="15"/>
      <c r="J19" s="133">
        <v>60</v>
      </c>
      <c r="K19" s="52"/>
    </row>
    <row r="20" spans="1:11" s="2" customFormat="1" ht="43.5" customHeight="1" x14ac:dyDescent="0.35">
      <c r="A20" s="566">
        <v>2</v>
      </c>
      <c r="B20" s="567"/>
      <c r="C20" s="116" t="s">
        <v>28</v>
      </c>
      <c r="D20" s="127" t="s">
        <v>82</v>
      </c>
      <c r="E20" s="64"/>
      <c r="F20" s="48"/>
      <c r="G20" s="48"/>
      <c r="H20" s="15"/>
      <c r="I20" s="15"/>
      <c r="J20" s="133">
        <v>92</v>
      </c>
      <c r="K20" s="52"/>
    </row>
    <row r="21" spans="1:11" s="2" customFormat="1" ht="43.5" customHeight="1" x14ac:dyDescent="0.35">
      <c r="A21" s="566">
        <v>3</v>
      </c>
      <c r="B21" s="567"/>
      <c r="C21" s="116" t="s">
        <v>0</v>
      </c>
      <c r="D21" s="127" t="s">
        <v>82</v>
      </c>
      <c r="E21" s="61"/>
      <c r="F21" s="14"/>
      <c r="G21" s="14"/>
      <c r="H21" s="15"/>
      <c r="I21" s="15"/>
      <c r="J21" s="133">
        <v>250</v>
      </c>
      <c r="K21" s="52"/>
    </row>
    <row r="22" spans="1:11" s="2" customFormat="1" ht="43.5" customHeight="1" x14ac:dyDescent="0.35">
      <c r="A22" s="566" t="s">
        <v>4</v>
      </c>
      <c r="B22" s="567"/>
      <c r="C22" s="104" t="s">
        <v>1</v>
      </c>
      <c r="D22" s="127" t="s">
        <v>82</v>
      </c>
      <c r="E22" s="61"/>
      <c r="F22" s="219" t="s">
        <v>189</v>
      </c>
      <c r="G22" s="14"/>
      <c r="H22" s="15"/>
      <c r="I22" s="15"/>
      <c r="J22" s="133">
        <v>68</v>
      </c>
      <c r="K22" s="52"/>
    </row>
    <row r="23" spans="1:11" s="2" customFormat="1" ht="43.5" customHeight="1" x14ac:dyDescent="0.35">
      <c r="A23" s="566" t="s">
        <v>6</v>
      </c>
      <c r="B23" s="567"/>
      <c r="C23" s="104" t="s">
        <v>91</v>
      </c>
      <c r="D23" s="126" t="s">
        <v>345</v>
      </c>
      <c r="E23" s="61"/>
      <c r="F23" s="219" t="s">
        <v>189</v>
      </c>
      <c r="G23" s="37"/>
      <c r="H23" s="15"/>
      <c r="I23" s="15"/>
      <c r="J23" s="133">
        <v>60</v>
      </c>
      <c r="K23" s="52"/>
    </row>
    <row r="24" spans="1:11" s="2" customFormat="1" ht="43.5" customHeight="1" x14ac:dyDescent="0.35">
      <c r="A24" s="564" t="s">
        <v>77</v>
      </c>
      <c r="B24" s="565"/>
      <c r="C24" s="105" t="s">
        <v>86</v>
      </c>
      <c r="D24" s="126" t="s">
        <v>345</v>
      </c>
      <c r="E24" s="61"/>
      <c r="F24" s="219" t="s">
        <v>189</v>
      </c>
      <c r="G24" s="14"/>
      <c r="H24" s="15"/>
      <c r="I24" s="15"/>
      <c r="J24" s="133">
        <v>28</v>
      </c>
      <c r="K24" s="52"/>
    </row>
    <row r="25" spans="1:11" s="2" customFormat="1" ht="43.5" customHeight="1" x14ac:dyDescent="0.35">
      <c r="A25" s="564" t="s">
        <v>78</v>
      </c>
      <c r="B25" s="565"/>
      <c r="C25" s="105" t="s">
        <v>87</v>
      </c>
      <c r="D25" s="126" t="s">
        <v>345</v>
      </c>
      <c r="E25" s="61"/>
      <c r="F25" s="219" t="s">
        <v>189</v>
      </c>
      <c r="G25" s="14"/>
      <c r="H25" s="15"/>
      <c r="I25" s="15"/>
      <c r="J25" s="133">
        <v>28</v>
      </c>
      <c r="K25" s="52"/>
    </row>
    <row r="26" spans="1:11" s="2" customFormat="1" ht="43.5" customHeight="1" x14ac:dyDescent="0.35">
      <c r="A26" s="566">
        <v>8</v>
      </c>
      <c r="B26" s="567"/>
      <c r="C26" s="104" t="s">
        <v>3</v>
      </c>
      <c r="D26" s="130">
        <v>46</v>
      </c>
      <c r="E26" s="61"/>
      <c r="F26" s="219" t="s">
        <v>189</v>
      </c>
      <c r="G26" s="14"/>
      <c r="H26" s="15"/>
      <c r="I26" s="15"/>
      <c r="J26" s="133">
        <v>0.125</v>
      </c>
      <c r="K26" s="52"/>
    </row>
    <row r="27" spans="1:11" s="2" customFormat="1" ht="43.5" customHeight="1" x14ac:dyDescent="0.35">
      <c r="A27" s="566">
        <v>9</v>
      </c>
      <c r="B27" s="567"/>
      <c r="C27" s="106" t="s">
        <v>22</v>
      </c>
      <c r="D27" s="128" t="s">
        <v>88</v>
      </c>
      <c r="E27" s="61"/>
      <c r="F27" s="219" t="s">
        <v>189</v>
      </c>
      <c r="G27" s="14"/>
      <c r="H27" s="15"/>
      <c r="I27" s="15"/>
      <c r="J27" s="133">
        <v>136</v>
      </c>
      <c r="K27" s="52"/>
    </row>
    <row r="28" spans="1:11" s="2" customFormat="1" ht="43.5" customHeight="1" x14ac:dyDescent="0.35">
      <c r="A28" s="564"/>
      <c r="B28" s="565"/>
      <c r="C28" s="105"/>
      <c r="D28" s="129"/>
      <c r="E28" s="61"/>
      <c r="F28" s="14"/>
      <c r="G28" s="14"/>
      <c r="H28" s="15"/>
      <c r="I28" s="15"/>
      <c r="J28" s="16"/>
      <c r="K28" s="52"/>
    </row>
    <row r="29" spans="1:11" s="2" customFormat="1" ht="43.5" customHeight="1" x14ac:dyDescent="0.35">
      <c r="A29" s="564"/>
      <c r="B29" s="565"/>
      <c r="C29" s="105"/>
      <c r="D29" s="129"/>
      <c r="E29" s="61"/>
      <c r="F29" s="14"/>
      <c r="G29" s="14"/>
      <c r="H29" s="15"/>
      <c r="I29" s="15"/>
      <c r="J29" s="16"/>
      <c r="K29" s="52"/>
    </row>
    <row r="30" spans="1:11" s="2" customFormat="1" ht="43.5" customHeight="1" x14ac:dyDescent="0.35">
      <c r="A30" s="566"/>
      <c r="B30" s="567"/>
      <c r="C30" s="104"/>
      <c r="D30" s="131"/>
      <c r="E30" s="65"/>
      <c r="F30" s="14"/>
      <c r="G30" s="14"/>
      <c r="H30" s="15"/>
      <c r="I30" s="15"/>
      <c r="J30" s="16"/>
      <c r="K30" s="52"/>
    </row>
    <row r="31" spans="1:11" s="2" customFormat="1" ht="43.5" customHeight="1" x14ac:dyDescent="0.35">
      <c r="A31" s="566"/>
      <c r="B31" s="567"/>
      <c r="C31" s="106"/>
      <c r="D31" s="132"/>
      <c r="E31" s="65"/>
      <c r="F31" s="14"/>
      <c r="G31" s="14"/>
      <c r="H31" s="15"/>
      <c r="I31" s="15"/>
      <c r="J31" s="16"/>
      <c r="K31" s="52"/>
    </row>
    <row r="32" spans="1:11" ht="13.5" customHeight="1" x14ac:dyDescent="0.6">
      <c r="A32" s="119"/>
      <c r="B32" s="120"/>
      <c r="C32" s="107"/>
      <c r="D32" s="42"/>
      <c r="E32" s="42"/>
      <c r="F32" s="42"/>
      <c r="G32" s="42"/>
      <c r="H32" s="4"/>
      <c r="I32" s="4"/>
      <c r="J32" s="4"/>
      <c r="K32" s="5"/>
    </row>
    <row r="33" spans="1:11" ht="18.75" customHeight="1" x14ac:dyDescent="0.6">
      <c r="A33" s="124" t="s">
        <v>52</v>
      </c>
      <c r="B33" s="121"/>
      <c r="C33" s="110"/>
      <c r="D33" s="554" t="s">
        <v>60</v>
      </c>
      <c r="E33" s="554"/>
      <c r="F33" s="554"/>
      <c r="G33" s="554"/>
      <c r="H33" s="554"/>
      <c r="I33" s="554"/>
      <c r="J33" s="554"/>
      <c r="K33" s="555"/>
    </row>
    <row r="34" spans="1:11" ht="18.75" customHeight="1" x14ac:dyDescent="0.35">
      <c r="A34" s="6"/>
      <c r="B34" s="13"/>
      <c r="C34" s="13"/>
      <c r="D34" s="556"/>
      <c r="E34" s="556"/>
      <c r="F34" s="556"/>
      <c r="G34" s="556"/>
      <c r="H34" s="556"/>
      <c r="I34" s="556"/>
      <c r="J34" s="556"/>
      <c r="K34" s="557"/>
    </row>
    <row r="35" spans="1:11" ht="18.75" customHeight="1" x14ac:dyDescent="0.35">
      <c r="A35" s="72"/>
      <c r="B35" s="73"/>
      <c r="C35" s="73"/>
      <c r="D35" s="74"/>
      <c r="E35" s="74"/>
      <c r="F35" s="74"/>
      <c r="G35" s="74"/>
      <c r="H35" s="73"/>
      <c r="I35" s="73"/>
      <c r="J35" s="75"/>
      <c r="K35" s="76"/>
    </row>
    <row r="36" spans="1:11" ht="18.75" customHeight="1" x14ac:dyDescent="0.25">
      <c r="A36" s="77"/>
      <c r="B36" s="78"/>
      <c r="C36" s="78"/>
      <c r="D36" s="78"/>
      <c r="E36" s="78"/>
      <c r="F36" s="78"/>
      <c r="G36" s="78"/>
      <c r="H36" s="78"/>
      <c r="I36" s="78"/>
      <c r="J36" s="78"/>
      <c r="K36" s="79"/>
    </row>
    <row r="37" spans="1:11" ht="18.75" customHeight="1" x14ac:dyDescent="0.25">
      <c r="A37" s="7"/>
      <c r="B37" s="8"/>
      <c r="C37" s="8"/>
      <c r="D37" s="8"/>
      <c r="E37" s="8"/>
      <c r="F37" s="8"/>
      <c r="G37" s="8"/>
      <c r="H37" s="8"/>
      <c r="I37" s="8"/>
      <c r="J37" s="8"/>
      <c r="K37" s="9"/>
    </row>
    <row r="38" spans="1:11" ht="20" x14ac:dyDescent="0.4">
      <c r="A38" s="20" t="s">
        <v>74</v>
      </c>
    </row>
  </sheetData>
  <sheetProtection sort="0" autoFilter="0"/>
  <dataConsolidate/>
  <mergeCells count="25">
    <mergeCell ref="D33:K34"/>
    <mergeCell ref="A26:B26"/>
    <mergeCell ref="A27:B27"/>
    <mergeCell ref="A28:B28"/>
    <mergeCell ref="A29:B29"/>
    <mergeCell ref="A30:B30"/>
    <mergeCell ref="A31:B31"/>
    <mergeCell ref="A25:B25"/>
    <mergeCell ref="F12:I12"/>
    <mergeCell ref="F13:H13"/>
    <mergeCell ref="B15:K15"/>
    <mergeCell ref="B16:K16"/>
    <mergeCell ref="A17:B18"/>
    <mergeCell ref="A19:B19"/>
    <mergeCell ref="A20:B20"/>
    <mergeCell ref="A21:B21"/>
    <mergeCell ref="A22:B22"/>
    <mergeCell ref="A23:B23"/>
    <mergeCell ref="A24:B24"/>
    <mergeCell ref="F11:I11"/>
    <mergeCell ref="C2:K2"/>
    <mergeCell ref="C3:K3"/>
    <mergeCell ref="A4:K4"/>
    <mergeCell ref="C7:C8"/>
    <mergeCell ref="A8:B8"/>
  </mergeCells>
  <conditionalFormatting sqref="C26">
    <cfRule type="cellIs" dxfId="5" priority="1" operator="equal">
      <formula>0</formula>
    </cfRule>
  </conditionalFormatting>
  <conditionalFormatting sqref="C30">
    <cfRule type="cellIs" dxfId="4" priority="2" operator="equal">
      <formula>0</formula>
    </cfRule>
  </conditionalFormatting>
  <dataValidations disablePrompts="1" count="1">
    <dataValidation allowBlank="1" showDropDown="1" showInputMessage="1" showErrorMessage="1" sqref="C9" xr:uid="{289502E2-58B5-4780-B001-02D2028329F3}"/>
  </dataValidations>
  <printOptions horizontalCentered="1" verticalCentered="1"/>
  <pageMargins left="0" right="0" top="0" bottom="0" header="0" footer="0"/>
  <pageSetup paperSize="9" scale="47" orientation="landscape" r:id="rId1"/>
  <headerFooter alignWithMargins="0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BFA04D-7D0D-4190-930A-FFCD37F3905D}">
  <sheetPr codeName="Sheet10">
    <pageSetUpPr fitToPage="1"/>
  </sheetPr>
  <dimension ref="A1:N38"/>
  <sheetViews>
    <sheetView view="pageBreakPreview" zoomScale="44" zoomScaleNormal="71" zoomScaleSheetLayoutView="71" zoomScalePageLayoutView="50" workbookViewId="0">
      <selection activeCell="C23" sqref="C23"/>
    </sheetView>
  </sheetViews>
  <sheetFormatPr defaultColWidth="7" defaultRowHeight="12.5" x14ac:dyDescent="0.25"/>
  <cols>
    <col min="1" max="1" width="4.54296875" style="1" customWidth="1"/>
    <col min="2" max="2" width="5.7265625" style="1" customWidth="1"/>
    <col min="3" max="3" width="99.26953125" style="1" customWidth="1"/>
    <col min="4" max="4" width="11.26953125" style="1" customWidth="1"/>
    <col min="5" max="5" width="24.453125" style="1" customWidth="1"/>
    <col min="6" max="6" width="15.26953125" style="1" customWidth="1"/>
    <col min="7" max="7" width="14.26953125" style="1" customWidth="1"/>
    <col min="8" max="8" width="18.7265625" style="1" customWidth="1"/>
    <col min="9" max="9" width="29.26953125" style="1" customWidth="1"/>
    <col min="10" max="10" width="16.54296875" style="1" customWidth="1"/>
    <col min="11" max="11" width="46.7265625" style="1" customWidth="1"/>
    <col min="12" max="16384" width="7" style="1"/>
  </cols>
  <sheetData>
    <row r="1" spans="1:14" ht="21" customHeight="1" x14ac:dyDescent="0.3">
      <c r="A1" s="44"/>
      <c r="B1" s="45"/>
      <c r="C1" s="45"/>
      <c r="D1" s="45"/>
      <c r="E1" s="45"/>
      <c r="F1" s="45"/>
      <c r="G1" s="45"/>
      <c r="H1" s="45"/>
      <c r="I1" s="45"/>
      <c r="J1" s="45"/>
      <c r="K1" s="87" t="s">
        <v>68</v>
      </c>
    </row>
    <row r="2" spans="1:14" ht="24.75" customHeight="1" x14ac:dyDescent="0.5">
      <c r="A2" s="83"/>
      <c r="B2" s="11"/>
      <c r="C2" s="542" t="s">
        <v>73</v>
      </c>
      <c r="D2" s="542"/>
      <c r="E2" s="542"/>
      <c r="F2" s="542"/>
      <c r="G2" s="542"/>
      <c r="H2" s="542"/>
      <c r="I2" s="542"/>
      <c r="J2" s="542"/>
      <c r="K2" s="543"/>
    </row>
    <row r="3" spans="1:14" ht="24.75" customHeight="1" x14ac:dyDescent="0.5">
      <c r="A3" s="12"/>
      <c r="B3" s="11"/>
      <c r="C3" s="544"/>
      <c r="D3" s="544"/>
      <c r="E3" s="544"/>
      <c r="F3" s="544"/>
      <c r="G3" s="544"/>
      <c r="H3" s="544"/>
      <c r="I3" s="544"/>
      <c r="J3" s="544"/>
      <c r="K3" s="545"/>
    </row>
    <row r="4" spans="1:14" ht="24.75" customHeight="1" x14ac:dyDescent="0.25">
      <c r="A4" s="574" t="s">
        <v>30</v>
      </c>
      <c r="B4" s="575"/>
      <c r="C4" s="575"/>
      <c r="D4" s="575"/>
      <c r="E4" s="575"/>
      <c r="F4" s="575"/>
      <c r="G4" s="575"/>
      <c r="H4" s="575"/>
      <c r="I4" s="575"/>
      <c r="J4" s="575"/>
      <c r="K4" s="576"/>
    </row>
    <row r="5" spans="1:14" ht="24.75" customHeight="1" x14ac:dyDescent="0.6">
      <c r="A5" s="66"/>
      <c r="B5" s="67"/>
      <c r="C5" s="123" t="s">
        <v>97</v>
      </c>
      <c r="D5" s="53"/>
      <c r="E5" s="53"/>
      <c r="F5" s="56"/>
      <c r="G5" s="56"/>
      <c r="H5" s="55"/>
      <c r="I5" s="53"/>
      <c r="J5" s="53"/>
      <c r="K5" s="68"/>
    </row>
    <row r="6" spans="1:14" s="13" customFormat="1" ht="24.75" customHeight="1" x14ac:dyDescent="0.4">
      <c r="A6" s="20"/>
      <c r="B6" s="21"/>
      <c r="C6" s="30"/>
      <c r="D6" s="36"/>
      <c r="E6" s="36"/>
      <c r="F6" s="36"/>
      <c r="G6" s="36"/>
      <c r="H6" s="36"/>
      <c r="I6" s="39"/>
      <c r="J6" s="33"/>
      <c r="K6" s="34"/>
    </row>
    <row r="7" spans="1:14" ht="16" customHeight="1" x14ac:dyDescent="0.4">
      <c r="A7" s="23"/>
      <c r="B7" s="21"/>
      <c r="C7" s="549"/>
      <c r="D7" s="21"/>
      <c r="E7" s="21"/>
      <c r="F7" s="21"/>
      <c r="G7" s="21"/>
      <c r="H7" s="21"/>
      <c r="I7" s="21"/>
      <c r="J7" s="21"/>
      <c r="K7" s="22"/>
    </row>
    <row r="8" spans="1:14" ht="26.15" customHeight="1" x14ac:dyDescent="0.4">
      <c r="A8" s="550"/>
      <c r="B8" s="551"/>
      <c r="C8" s="549"/>
      <c r="D8" s="25"/>
      <c r="E8" s="25"/>
      <c r="F8" s="25"/>
      <c r="G8" s="25"/>
      <c r="H8" s="25"/>
      <c r="I8" s="25"/>
      <c r="J8" s="25"/>
      <c r="K8" s="26"/>
    </row>
    <row r="9" spans="1:14" ht="26.15" customHeight="1" x14ac:dyDescent="0.4">
      <c r="A9" s="46"/>
      <c r="B9" s="47"/>
      <c r="C9" s="24"/>
      <c r="D9" s="25"/>
      <c r="E9" s="25"/>
      <c r="F9" s="25"/>
      <c r="G9" s="25"/>
      <c r="H9" s="25"/>
      <c r="I9" s="25"/>
      <c r="J9" s="25"/>
      <c r="K9" s="26"/>
    </row>
    <row r="10" spans="1:14" ht="24.75" customHeight="1" x14ac:dyDescent="0.4">
      <c r="A10" s="27"/>
      <c r="B10" s="25"/>
      <c r="C10" s="43"/>
      <c r="D10" s="25"/>
      <c r="E10" s="25"/>
      <c r="F10" s="80" t="s">
        <v>31</v>
      </c>
      <c r="G10" s="80"/>
      <c r="H10" s="25"/>
      <c r="I10" s="80"/>
      <c r="J10" s="80"/>
      <c r="K10" s="26"/>
    </row>
    <row r="11" spans="1:14" ht="24.75" customHeight="1" x14ac:dyDescent="0.4">
      <c r="A11" s="27"/>
      <c r="B11" s="25"/>
      <c r="C11" s="43"/>
      <c r="D11" s="25"/>
      <c r="E11" s="25"/>
      <c r="F11" s="568" t="s">
        <v>32</v>
      </c>
      <c r="G11" s="568"/>
      <c r="H11" s="568"/>
      <c r="I11" s="568"/>
      <c r="J11" s="80"/>
      <c r="K11" s="26"/>
    </row>
    <row r="12" spans="1:14" ht="24.75" customHeight="1" x14ac:dyDescent="0.5">
      <c r="A12" s="29"/>
      <c r="B12" s="21"/>
      <c r="C12" s="21"/>
      <c r="D12" s="21"/>
      <c r="E12" s="21"/>
      <c r="F12" s="568" t="s">
        <v>33</v>
      </c>
      <c r="G12" s="568"/>
      <c r="H12" s="568"/>
      <c r="I12" s="568"/>
      <c r="J12" s="82"/>
      <c r="K12" s="60"/>
    </row>
    <row r="13" spans="1:14" ht="24.75" customHeight="1" x14ac:dyDescent="0.5">
      <c r="A13" s="29"/>
      <c r="B13" s="21"/>
      <c r="C13" s="21"/>
      <c r="D13" s="21"/>
      <c r="E13" s="21"/>
      <c r="F13" s="569" t="s">
        <v>34</v>
      </c>
      <c r="G13" s="569"/>
      <c r="H13" s="569"/>
      <c r="I13" s="84"/>
      <c r="J13" s="25"/>
      <c r="K13" s="60"/>
    </row>
    <row r="14" spans="1:14" ht="24.75" customHeight="1" x14ac:dyDescent="0.5">
      <c r="A14" s="29"/>
      <c r="B14" s="21"/>
      <c r="C14" s="21"/>
      <c r="D14" s="21"/>
      <c r="E14" s="21"/>
      <c r="F14" s="21"/>
      <c r="G14" s="21"/>
      <c r="H14" s="21"/>
      <c r="I14" s="21"/>
      <c r="J14" s="25"/>
      <c r="K14" s="28"/>
    </row>
    <row r="15" spans="1:14" ht="24.75" customHeight="1" x14ac:dyDescent="0.5">
      <c r="A15" s="57"/>
      <c r="B15" s="570" t="s">
        <v>35</v>
      </c>
      <c r="C15" s="570"/>
      <c r="D15" s="570"/>
      <c r="E15" s="570"/>
      <c r="F15" s="570"/>
      <c r="G15" s="570"/>
      <c r="H15" s="570"/>
      <c r="I15" s="570"/>
      <c r="J15" s="570"/>
      <c r="K15" s="571"/>
      <c r="L15" s="59"/>
      <c r="M15" s="59"/>
      <c r="N15" s="59"/>
    </row>
    <row r="16" spans="1:14" ht="24.75" customHeight="1" x14ac:dyDescent="0.5">
      <c r="A16" s="58"/>
      <c r="B16" s="572" t="s">
        <v>36</v>
      </c>
      <c r="C16" s="572"/>
      <c r="D16" s="572"/>
      <c r="E16" s="572"/>
      <c r="F16" s="572"/>
      <c r="G16" s="572"/>
      <c r="H16" s="572"/>
      <c r="I16" s="572"/>
      <c r="J16" s="572"/>
      <c r="K16" s="573"/>
      <c r="L16" s="59"/>
      <c r="M16" s="59"/>
      <c r="N16" s="59"/>
    </row>
    <row r="17" spans="1:11" ht="65.25" customHeight="1" x14ac:dyDescent="0.25">
      <c r="A17" s="558" t="s">
        <v>59</v>
      </c>
      <c r="B17" s="559"/>
      <c r="C17" s="112" t="s">
        <v>37</v>
      </c>
      <c r="D17" s="17" t="s">
        <v>24</v>
      </c>
      <c r="E17" s="111" t="s">
        <v>66</v>
      </c>
      <c r="F17" s="17" t="s">
        <v>39</v>
      </c>
      <c r="G17" s="111" t="s">
        <v>40</v>
      </c>
      <c r="H17" s="81" t="s">
        <v>41</v>
      </c>
      <c r="I17" s="113" t="s">
        <v>42</v>
      </c>
      <c r="J17" s="35" t="s">
        <v>96</v>
      </c>
      <c r="K17" s="114" t="s">
        <v>195</v>
      </c>
    </row>
    <row r="18" spans="1:11" s="19" customFormat="1" ht="64.5" customHeight="1" x14ac:dyDescent="0.25">
      <c r="A18" s="560"/>
      <c r="B18" s="561"/>
      <c r="C18" s="32"/>
      <c r="D18" s="18" t="s">
        <v>26</v>
      </c>
      <c r="E18" s="18" t="s">
        <v>67</v>
      </c>
      <c r="F18" s="18" t="s">
        <v>45</v>
      </c>
      <c r="G18" s="18" t="s">
        <v>46</v>
      </c>
      <c r="H18" s="41" t="s">
        <v>47</v>
      </c>
      <c r="I18" s="40" t="s">
        <v>48</v>
      </c>
      <c r="J18" s="51" t="s">
        <v>193</v>
      </c>
      <c r="K18" s="18" t="s">
        <v>194</v>
      </c>
    </row>
    <row r="19" spans="1:11" s="2" customFormat="1" ht="43.5" customHeight="1" x14ac:dyDescent="0.35">
      <c r="A19" s="566">
        <v>1</v>
      </c>
      <c r="B19" s="567"/>
      <c r="C19" s="115" t="s">
        <v>21</v>
      </c>
      <c r="D19" s="125" t="s">
        <v>81</v>
      </c>
      <c r="E19" s="61"/>
      <c r="F19" s="37"/>
      <c r="G19" s="37"/>
      <c r="H19" s="15"/>
      <c r="I19" s="15"/>
      <c r="J19" s="133">
        <v>53</v>
      </c>
      <c r="K19" s="52"/>
    </row>
    <row r="20" spans="1:11" s="2" customFormat="1" ht="43.5" customHeight="1" x14ac:dyDescent="0.35">
      <c r="A20" s="577">
        <v>3</v>
      </c>
      <c r="B20" s="578"/>
      <c r="C20" s="116" t="s">
        <v>0</v>
      </c>
      <c r="D20" s="127" t="s">
        <v>82</v>
      </c>
      <c r="E20" s="64"/>
      <c r="F20" s="48"/>
      <c r="G20" s="48"/>
      <c r="H20" s="15"/>
      <c r="I20" s="15"/>
      <c r="J20" s="133">
        <v>470</v>
      </c>
      <c r="K20" s="52"/>
    </row>
    <row r="21" spans="1:11" s="2" customFormat="1" ht="43.5" customHeight="1" x14ac:dyDescent="0.35">
      <c r="A21" s="564" t="s">
        <v>75</v>
      </c>
      <c r="B21" s="565"/>
      <c r="C21" s="105" t="s">
        <v>84</v>
      </c>
      <c r="D21" s="127" t="s">
        <v>82</v>
      </c>
      <c r="E21" s="61"/>
      <c r="F21" s="219" t="s">
        <v>189</v>
      </c>
      <c r="G21" s="14"/>
      <c r="H21" s="15"/>
      <c r="I21" s="15"/>
      <c r="J21" s="133">
        <v>20</v>
      </c>
      <c r="K21" s="52"/>
    </row>
    <row r="22" spans="1:11" s="2" customFormat="1" ht="43.5" customHeight="1" x14ac:dyDescent="0.35">
      <c r="A22" s="564" t="s">
        <v>76</v>
      </c>
      <c r="B22" s="565"/>
      <c r="C22" s="105" t="s">
        <v>85</v>
      </c>
      <c r="D22" s="127" t="s">
        <v>82</v>
      </c>
      <c r="E22" s="61"/>
      <c r="F22" s="219" t="s">
        <v>189</v>
      </c>
      <c r="G22" s="14"/>
      <c r="H22" s="15"/>
      <c r="I22" s="15"/>
      <c r="J22" s="133">
        <v>20</v>
      </c>
      <c r="K22" s="52"/>
    </row>
    <row r="23" spans="1:11" s="2" customFormat="1" ht="43.5" customHeight="1" x14ac:dyDescent="0.35">
      <c r="A23" s="566" t="s">
        <v>14</v>
      </c>
      <c r="B23" s="567"/>
      <c r="C23" s="104" t="s">
        <v>55</v>
      </c>
      <c r="D23" s="127" t="s">
        <v>82</v>
      </c>
      <c r="E23" s="61"/>
      <c r="F23" s="219" t="s">
        <v>189</v>
      </c>
      <c r="G23" s="37"/>
      <c r="H23" s="15"/>
      <c r="I23" s="15"/>
      <c r="J23" s="133">
        <v>24.5</v>
      </c>
      <c r="K23" s="52"/>
    </row>
    <row r="24" spans="1:11" s="2" customFormat="1" ht="43.5" customHeight="1" x14ac:dyDescent="0.35">
      <c r="A24" s="566" t="s">
        <v>15</v>
      </c>
      <c r="B24" s="567"/>
      <c r="C24" s="104" t="s">
        <v>56</v>
      </c>
      <c r="D24" s="127" t="s">
        <v>82</v>
      </c>
      <c r="E24" s="61"/>
      <c r="F24" s="219" t="s">
        <v>189</v>
      </c>
      <c r="G24" s="14"/>
      <c r="H24" s="15"/>
      <c r="I24" s="15"/>
      <c r="J24" s="133">
        <v>24.5</v>
      </c>
      <c r="K24" s="52"/>
    </row>
    <row r="25" spans="1:11" s="2" customFormat="1" ht="43.5" customHeight="1" x14ac:dyDescent="0.35">
      <c r="A25" s="566">
        <v>9</v>
      </c>
      <c r="B25" s="567"/>
      <c r="C25" s="106" t="s">
        <v>22</v>
      </c>
      <c r="D25" s="128" t="s">
        <v>88</v>
      </c>
      <c r="E25" s="61"/>
      <c r="F25" s="219" t="s">
        <v>189</v>
      </c>
      <c r="G25" s="14"/>
      <c r="H25" s="15"/>
      <c r="I25" s="15"/>
      <c r="J25" s="133">
        <v>104</v>
      </c>
      <c r="K25" s="52"/>
    </row>
    <row r="26" spans="1:11" s="2" customFormat="1" ht="43.5" customHeight="1" x14ac:dyDescent="0.35">
      <c r="A26" s="566"/>
      <c r="B26" s="567"/>
      <c r="C26" s="106"/>
      <c r="D26" s="132"/>
      <c r="E26" s="61"/>
      <c r="F26" s="14"/>
      <c r="G26" s="14"/>
      <c r="H26" s="15"/>
      <c r="I26" s="15"/>
      <c r="J26" s="133"/>
      <c r="K26" s="52"/>
    </row>
    <row r="27" spans="1:11" s="2" customFormat="1" ht="43.5" customHeight="1" x14ac:dyDescent="0.35">
      <c r="A27" s="566"/>
      <c r="B27" s="567"/>
      <c r="C27" s="106"/>
      <c r="D27" s="132"/>
      <c r="E27" s="61"/>
      <c r="F27" s="14"/>
      <c r="G27" s="14"/>
      <c r="H27" s="15"/>
      <c r="I27" s="15"/>
      <c r="J27" s="133"/>
      <c r="K27" s="52"/>
    </row>
    <row r="28" spans="1:11" s="2" customFormat="1" ht="43.5" customHeight="1" x14ac:dyDescent="0.35">
      <c r="A28" s="564"/>
      <c r="B28" s="565"/>
      <c r="C28" s="105"/>
      <c r="D28" s="129"/>
      <c r="E28" s="61"/>
      <c r="F28" s="14"/>
      <c r="G28" s="14"/>
      <c r="H28" s="15"/>
      <c r="I28" s="15"/>
      <c r="J28" s="16"/>
      <c r="K28" s="52"/>
    </row>
    <row r="29" spans="1:11" s="2" customFormat="1" ht="43.5" customHeight="1" x14ac:dyDescent="0.35">
      <c r="A29" s="564"/>
      <c r="B29" s="565"/>
      <c r="C29" s="105"/>
      <c r="D29" s="129"/>
      <c r="E29" s="61"/>
      <c r="F29" s="14"/>
      <c r="G29" s="14"/>
      <c r="H29" s="15"/>
      <c r="I29" s="15"/>
      <c r="J29" s="16"/>
      <c r="K29" s="52"/>
    </row>
    <row r="30" spans="1:11" s="2" customFormat="1" ht="43.5" customHeight="1" x14ac:dyDescent="0.35">
      <c r="A30" s="566"/>
      <c r="B30" s="567"/>
      <c r="C30" s="104"/>
      <c r="D30" s="131"/>
      <c r="E30" s="65"/>
      <c r="F30" s="14"/>
      <c r="G30" s="14"/>
      <c r="H30" s="15"/>
      <c r="I30" s="15"/>
      <c r="J30" s="16"/>
      <c r="K30" s="52"/>
    </row>
    <row r="31" spans="1:11" s="2" customFormat="1" ht="43.5" customHeight="1" x14ac:dyDescent="0.35">
      <c r="A31" s="566"/>
      <c r="B31" s="567"/>
      <c r="C31" s="106"/>
      <c r="D31" s="132"/>
      <c r="E31" s="65"/>
      <c r="F31" s="14"/>
      <c r="G31" s="14"/>
      <c r="H31" s="15"/>
      <c r="I31" s="15"/>
      <c r="J31" s="16"/>
      <c r="K31" s="52"/>
    </row>
    <row r="32" spans="1:11" ht="13.5" customHeight="1" x14ac:dyDescent="0.6">
      <c r="A32" s="119"/>
      <c r="B32" s="120"/>
      <c r="C32" s="107"/>
      <c r="D32" s="42"/>
      <c r="E32" s="42"/>
      <c r="F32" s="42"/>
      <c r="G32" s="42"/>
      <c r="H32" s="4"/>
      <c r="I32" s="4"/>
      <c r="J32" s="4"/>
      <c r="K32" s="5"/>
    </row>
    <row r="33" spans="1:11" ht="18.75" customHeight="1" x14ac:dyDescent="0.6">
      <c r="A33" s="124" t="s">
        <v>52</v>
      </c>
      <c r="B33" s="121"/>
      <c r="C33" s="110"/>
      <c r="D33" s="554" t="s">
        <v>60</v>
      </c>
      <c r="E33" s="554"/>
      <c r="F33" s="554"/>
      <c r="G33" s="554"/>
      <c r="H33" s="554"/>
      <c r="I33" s="554"/>
      <c r="J33" s="554"/>
      <c r="K33" s="555"/>
    </row>
    <row r="34" spans="1:11" ht="18.75" customHeight="1" x14ac:dyDescent="0.35">
      <c r="A34" s="6"/>
      <c r="B34" s="13"/>
      <c r="C34" s="13"/>
      <c r="D34" s="556"/>
      <c r="E34" s="556"/>
      <c r="F34" s="556"/>
      <c r="G34" s="556"/>
      <c r="H34" s="556"/>
      <c r="I34" s="556"/>
      <c r="J34" s="556"/>
      <c r="K34" s="557"/>
    </row>
    <row r="35" spans="1:11" ht="18.75" customHeight="1" x14ac:dyDescent="0.35">
      <c r="A35" s="72"/>
      <c r="B35" s="73"/>
      <c r="C35" s="73"/>
      <c r="D35" s="74"/>
      <c r="E35" s="74"/>
      <c r="F35" s="74"/>
      <c r="G35" s="74"/>
      <c r="H35" s="73"/>
      <c r="I35" s="73"/>
      <c r="J35" s="75"/>
      <c r="K35" s="76"/>
    </row>
    <row r="36" spans="1:11" ht="18.75" customHeight="1" x14ac:dyDescent="0.25">
      <c r="A36" s="77"/>
      <c r="B36" s="78"/>
      <c r="C36" s="78"/>
      <c r="D36" s="78"/>
      <c r="E36" s="78"/>
      <c r="F36" s="78"/>
      <c r="G36" s="78"/>
      <c r="H36" s="78"/>
      <c r="I36" s="78"/>
      <c r="J36" s="78"/>
      <c r="K36" s="79"/>
    </row>
    <row r="37" spans="1:11" ht="18.75" customHeight="1" x14ac:dyDescent="0.25">
      <c r="A37" s="7"/>
      <c r="B37" s="8"/>
      <c r="C37" s="8"/>
      <c r="D37" s="8"/>
      <c r="E37" s="8"/>
      <c r="F37" s="8"/>
      <c r="G37" s="8"/>
      <c r="H37" s="8"/>
      <c r="I37" s="8"/>
      <c r="J37" s="8"/>
      <c r="K37" s="9"/>
    </row>
    <row r="38" spans="1:11" ht="20" x14ac:dyDescent="0.4">
      <c r="A38" s="20" t="s">
        <v>74</v>
      </c>
    </row>
  </sheetData>
  <sheetProtection sort="0" autoFilter="0"/>
  <dataConsolidate/>
  <mergeCells count="25">
    <mergeCell ref="F11:I11"/>
    <mergeCell ref="C2:K2"/>
    <mergeCell ref="C3:K3"/>
    <mergeCell ref="A4:K4"/>
    <mergeCell ref="C7:C8"/>
    <mergeCell ref="A8:B8"/>
    <mergeCell ref="A25:B25"/>
    <mergeCell ref="F12:I12"/>
    <mergeCell ref="F13:H13"/>
    <mergeCell ref="B15:K15"/>
    <mergeCell ref="B16:K16"/>
    <mergeCell ref="A17:B18"/>
    <mergeCell ref="A19:B19"/>
    <mergeCell ref="A20:B20"/>
    <mergeCell ref="A21:B21"/>
    <mergeCell ref="A22:B22"/>
    <mergeCell ref="A23:B23"/>
    <mergeCell ref="A24:B24"/>
    <mergeCell ref="D33:K34"/>
    <mergeCell ref="A26:B26"/>
    <mergeCell ref="A27:B27"/>
    <mergeCell ref="A28:B28"/>
    <mergeCell ref="A29:B29"/>
    <mergeCell ref="A30:B30"/>
    <mergeCell ref="A31:B31"/>
  </mergeCells>
  <conditionalFormatting sqref="C30">
    <cfRule type="cellIs" dxfId="3" priority="2" operator="equal">
      <formula>0</formula>
    </cfRule>
  </conditionalFormatting>
  <dataValidations count="1">
    <dataValidation allowBlank="1" showDropDown="1" showInputMessage="1" showErrorMessage="1" sqref="C9" xr:uid="{B8AB8D82-7DDE-4D40-A251-30759F87EDBE}"/>
  </dataValidations>
  <printOptions horizontalCentered="1" verticalCentered="1"/>
  <pageMargins left="0" right="0" top="0" bottom="0" header="0" footer="0"/>
  <pageSetup paperSize="9" scale="47" orientation="landscape" r:id="rId1"/>
  <headerFooter alignWithMargins="0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DCE572-9F08-440B-AA9C-95654152A0B8}">
  <sheetPr codeName="Sheet11">
    <pageSetUpPr fitToPage="1"/>
  </sheetPr>
  <dimension ref="A1:N38"/>
  <sheetViews>
    <sheetView view="pageBreakPreview" zoomScale="71" zoomScaleNormal="71" zoomScaleSheetLayoutView="71" zoomScalePageLayoutView="50" workbookViewId="0">
      <selection activeCell="C23" sqref="C23"/>
    </sheetView>
  </sheetViews>
  <sheetFormatPr defaultColWidth="7" defaultRowHeight="12.5" x14ac:dyDescent="0.25"/>
  <cols>
    <col min="1" max="1" width="4.54296875" style="1" customWidth="1"/>
    <col min="2" max="2" width="5.7265625" style="1" customWidth="1"/>
    <col min="3" max="3" width="99.26953125" style="1" customWidth="1"/>
    <col min="4" max="4" width="11.26953125" style="1" customWidth="1"/>
    <col min="5" max="5" width="24.453125" style="1" customWidth="1"/>
    <col min="6" max="6" width="15.26953125" style="1" customWidth="1"/>
    <col min="7" max="7" width="14.26953125" style="1" customWidth="1"/>
    <col min="8" max="8" width="18.7265625" style="1" customWidth="1"/>
    <col min="9" max="9" width="29.26953125" style="1" customWidth="1"/>
    <col min="10" max="10" width="16.54296875" style="1" customWidth="1"/>
    <col min="11" max="11" width="46.7265625" style="1" customWidth="1"/>
    <col min="12" max="16384" width="7" style="1"/>
  </cols>
  <sheetData>
    <row r="1" spans="1:14" ht="21" customHeight="1" x14ac:dyDescent="0.3">
      <c r="A1" s="44"/>
      <c r="B1" s="45"/>
      <c r="C1" s="45"/>
      <c r="D1" s="45"/>
      <c r="E1" s="45"/>
      <c r="F1" s="45"/>
      <c r="G1" s="45"/>
      <c r="H1" s="45"/>
      <c r="I1" s="45"/>
      <c r="J1" s="45"/>
      <c r="K1" s="87" t="s">
        <v>68</v>
      </c>
    </row>
    <row r="2" spans="1:14" ht="24.75" customHeight="1" x14ac:dyDescent="0.5">
      <c r="A2" s="83"/>
      <c r="B2" s="11"/>
      <c r="C2" s="542" t="s">
        <v>73</v>
      </c>
      <c r="D2" s="542"/>
      <c r="E2" s="542"/>
      <c r="F2" s="542"/>
      <c r="G2" s="542"/>
      <c r="H2" s="542"/>
      <c r="I2" s="542"/>
      <c r="J2" s="542"/>
      <c r="K2" s="543"/>
    </row>
    <row r="3" spans="1:14" ht="24.75" customHeight="1" x14ac:dyDescent="0.5">
      <c r="A3" s="12"/>
      <c r="B3" s="11"/>
      <c r="C3" s="544"/>
      <c r="D3" s="544"/>
      <c r="E3" s="544"/>
      <c r="F3" s="544"/>
      <c r="G3" s="544"/>
      <c r="H3" s="544"/>
      <c r="I3" s="544"/>
      <c r="J3" s="544"/>
      <c r="K3" s="545"/>
    </row>
    <row r="4" spans="1:14" ht="24.75" customHeight="1" x14ac:dyDescent="0.25">
      <c r="A4" s="574" t="s">
        <v>30</v>
      </c>
      <c r="B4" s="575"/>
      <c r="C4" s="575"/>
      <c r="D4" s="575"/>
      <c r="E4" s="575"/>
      <c r="F4" s="575"/>
      <c r="G4" s="575"/>
      <c r="H4" s="575"/>
      <c r="I4" s="575"/>
      <c r="J4" s="575"/>
      <c r="K4" s="576"/>
    </row>
    <row r="5" spans="1:14" ht="24.75" customHeight="1" x14ac:dyDescent="0.6">
      <c r="A5" s="66"/>
      <c r="B5" s="67"/>
      <c r="C5" s="123" t="s">
        <v>98</v>
      </c>
      <c r="D5" s="53"/>
      <c r="E5" s="53"/>
      <c r="F5" s="56"/>
      <c r="G5" s="56"/>
      <c r="H5" s="55"/>
      <c r="I5" s="53"/>
      <c r="J5" s="53"/>
      <c r="K5" s="68"/>
    </row>
    <row r="6" spans="1:14" s="13" customFormat="1" ht="24.75" customHeight="1" x14ac:dyDescent="0.4">
      <c r="A6" s="20"/>
      <c r="B6" s="21"/>
      <c r="C6" s="30"/>
      <c r="D6" s="36"/>
      <c r="E6" s="36"/>
      <c r="F6" s="36"/>
      <c r="G6" s="36"/>
      <c r="H6" s="36"/>
      <c r="I6" s="39"/>
      <c r="J6" s="33"/>
      <c r="K6" s="34"/>
    </row>
    <row r="7" spans="1:14" ht="16" customHeight="1" x14ac:dyDescent="0.4">
      <c r="A7" s="23"/>
      <c r="B7" s="21"/>
      <c r="C7" s="549"/>
      <c r="D7" s="21"/>
      <c r="E7" s="21"/>
      <c r="F7" s="21"/>
      <c r="G7" s="21"/>
      <c r="H7" s="21"/>
      <c r="I7" s="21"/>
      <c r="J7" s="21"/>
      <c r="K7" s="22"/>
    </row>
    <row r="8" spans="1:14" ht="26.15" customHeight="1" x14ac:dyDescent="0.4">
      <c r="A8" s="550"/>
      <c r="B8" s="551"/>
      <c r="C8" s="549"/>
      <c r="D8" s="25"/>
      <c r="E8" s="25"/>
      <c r="F8" s="25"/>
      <c r="G8" s="25"/>
      <c r="H8" s="25"/>
      <c r="I8" s="25"/>
      <c r="J8" s="25"/>
      <c r="K8" s="26"/>
    </row>
    <row r="9" spans="1:14" ht="26.15" customHeight="1" x14ac:dyDescent="0.4">
      <c r="A9" s="46"/>
      <c r="B9" s="47"/>
      <c r="C9" s="24"/>
      <c r="D9" s="25"/>
      <c r="E9" s="25"/>
      <c r="F9" s="25"/>
      <c r="G9" s="25"/>
      <c r="H9" s="25"/>
      <c r="I9" s="25"/>
      <c r="J9" s="25"/>
      <c r="K9" s="26"/>
    </row>
    <row r="10" spans="1:14" ht="24.75" customHeight="1" x14ac:dyDescent="0.4">
      <c r="A10" s="27"/>
      <c r="B10" s="25"/>
      <c r="C10" s="43"/>
      <c r="D10" s="25"/>
      <c r="E10" s="25"/>
      <c r="F10" s="80" t="s">
        <v>31</v>
      </c>
      <c r="G10" s="80"/>
      <c r="H10" s="25"/>
      <c r="I10" s="80"/>
      <c r="J10" s="80"/>
      <c r="K10" s="26"/>
    </row>
    <row r="11" spans="1:14" ht="24.75" customHeight="1" x14ac:dyDescent="0.4">
      <c r="A11" s="27"/>
      <c r="B11" s="25"/>
      <c r="C11" s="43"/>
      <c r="D11" s="25"/>
      <c r="E11" s="25"/>
      <c r="F11" s="568" t="s">
        <v>32</v>
      </c>
      <c r="G11" s="568"/>
      <c r="H11" s="568"/>
      <c r="I11" s="568"/>
      <c r="J11" s="80"/>
      <c r="K11" s="26"/>
    </row>
    <row r="12" spans="1:14" ht="24.75" customHeight="1" x14ac:dyDescent="0.5">
      <c r="A12" s="29"/>
      <c r="B12" s="21"/>
      <c r="C12" s="21"/>
      <c r="D12" s="21"/>
      <c r="E12" s="21"/>
      <c r="F12" s="568" t="s">
        <v>33</v>
      </c>
      <c r="G12" s="568"/>
      <c r="H12" s="568"/>
      <c r="I12" s="568"/>
      <c r="J12" s="82"/>
      <c r="K12" s="60"/>
    </row>
    <row r="13" spans="1:14" ht="24.75" customHeight="1" x14ac:dyDescent="0.5">
      <c r="A13" s="29"/>
      <c r="B13" s="21"/>
      <c r="C13" s="21"/>
      <c r="D13" s="21"/>
      <c r="E13" s="21"/>
      <c r="F13" s="569" t="s">
        <v>34</v>
      </c>
      <c r="G13" s="569"/>
      <c r="H13" s="569"/>
      <c r="I13" s="84"/>
      <c r="J13" s="25"/>
      <c r="K13" s="60"/>
    </row>
    <row r="14" spans="1:14" ht="24.75" customHeight="1" x14ac:dyDescent="0.5">
      <c r="A14" s="29"/>
      <c r="B14" s="21"/>
      <c r="C14" s="21"/>
      <c r="D14" s="21"/>
      <c r="E14" s="21"/>
      <c r="F14" s="21"/>
      <c r="G14" s="21"/>
      <c r="H14" s="21"/>
      <c r="I14" s="21"/>
      <c r="J14" s="25"/>
      <c r="K14" s="28"/>
    </row>
    <row r="15" spans="1:14" ht="24.75" customHeight="1" x14ac:dyDescent="0.5">
      <c r="A15" s="57"/>
      <c r="B15" s="570" t="s">
        <v>35</v>
      </c>
      <c r="C15" s="570"/>
      <c r="D15" s="570"/>
      <c r="E15" s="570"/>
      <c r="F15" s="570"/>
      <c r="G15" s="570"/>
      <c r="H15" s="570"/>
      <c r="I15" s="570"/>
      <c r="J15" s="570"/>
      <c r="K15" s="571"/>
      <c r="L15" s="59"/>
      <c r="M15" s="59"/>
      <c r="N15" s="59"/>
    </row>
    <row r="16" spans="1:14" ht="24.75" customHeight="1" x14ac:dyDescent="0.5">
      <c r="A16" s="58"/>
      <c r="B16" s="572" t="s">
        <v>36</v>
      </c>
      <c r="C16" s="572"/>
      <c r="D16" s="572"/>
      <c r="E16" s="572"/>
      <c r="F16" s="572"/>
      <c r="G16" s="572"/>
      <c r="H16" s="572"/>
      <c r="I16" s="572"/>
      <c r="J16" s="572"/>
      <c r="K16" s="573"/>
      <c r="L16" s="59"/>
      <c r="M16" s="59"/>
      <c r="N16" s="59"/>
    </row>
    <row r="17" spans="1:11" ht="65.25" customHeight="1" x14ac:dyDescent="0.25">
      <c r="A17" s="558" t="s">
        <v>59</v>
      </c>
      <c r="B17" s="559"/>
      <c r="C17" s="112" t="s">
        <v>37</v>
      </c>
      <c r="D17" s="17" t="s">
        <v>24</v>
      </c>
      <c r="E17" s="111" t="s">
        <v>66</v>
      </c>
      <c r="F17" s="17" t="s">
        <v>39</v>
      </c>
      <c r="G17" s="111" t="s">
        <v>40</v>
      </c>
      <c r="H17" s="81" t="s">
        <v>41</v>
      </c>
      <c r="I17" s="113" t="s">
        <v>42</v>
      </c>
      <c r="J17" s="35" t="s">
        <v>96</v>
      </c>
      <c r="K17" s="114" t="s">
        <v>195</v>
      </c>
    </row>
    <row r="18" spans="1:11" s="19" customFormat="1" ht="64.5" customHeight="1" x14ac:dyDescent="0.25">
      <c r="A18" s="560"/>
      <c r="B18" s="561"/>
      <c r="C18" s="32"/>
      <c r="D18" s="18" t="s">
        <v>26</v>
      </c>
      <c r="E18" s="18" t="s">
        <v>67</v>
      </c>
      <c r="F18" s="18" t="s">
        <v>45</v>
      </c>
      <c r="G18" s="18" t="s">
        <v>46</v>
      </c>
      <c r="H18" s="41" t="s">
        <v>47</v>
      </c>
      <c r="I18" s="40" t="s">
        <v>48</v>
      </c>
      <c r="J18" s="51" t="s">
        <v>193</v>
      </c>
      <c r="K18" s="18" t="s">
        <v>194</v>
      </c>
    </row>
    <row r="19" spans="1:11" s="2" customFormat="1" ht="43.5" customHeight="1" x14ac:dyDescent="0.35">
      <c r="A19" s="566">
        <v>1</v>
      </c>
      <c r="B19" s="567"/>
      <c r="C19" s="115" t="s">
        <v>21</v>
      </c>
      <c r="D19" s="125" t="s">
        <v>81</v>
      </c>
      <c r="E19" s="61"/>
      <c r="F19" s="37"/>
      <c r="G19" s="37"/>
      <c r="H19" s="15"/>
      <c r="I19" s="15"/>
      <c r="J19" s="133">
        <v>120</v>
      </c>
      <c r="K19" s="52"/>
    </row>
    <row r="20" spans="1:11" s="2" customFormat="1" ht="43.5" customHeight="1" x14ac:dyDescent="0.35">
      <c r="A20" s="577">
        <v>3</v>
      </c>
      <c r="B20" s="578"/>
      <c r="C20" s="116" t="s">
        <v>0</v>
      </c>
      <c r="D20" s="127" t="s">
        <v>82</v>
      </c>
      <c r="E20" s="64"/>
      <c r="F20" s="48"/>
      <c r="G20" s="48"/>
      <c r="H20" s="15"/>
      <c r="I20" s="15"/>
      <c r="J20" s="133">
        <v>1300</v>
      </c>
      <c r="K20" s="52"/>
    </row>
    <row r="21" spans="1:11" s="2" customFormat="1" ht="43.5" customHeight="1" x14ac:dyDescent="0.35">
      <c r="A21" s="564" t="s">
        <v>75</v>
      </c>
      <c r="B21" s="565"/>
      <c r="C21" s="105" t="s">
        <v>84</v>
      </c>
      <c r="D21" s="127" t="s">
        <v>82</v>
      </c>
      <c r="E21" s="61"/>
      <c r="F21" s="219" t="s">
        <v>189</v>
      </c>
      <c r="G21" s="14"/>
      <c r="H21" s="15"/>
      <c r="I21" s="15"/>
      <c r="J21" s="133">
        <v>85</v>
      </c>
      <c r="K21" s="52"/>
    </row>
    <row r="22" spans="1:11" s="2" customFormat="1" ht="43.5" customHeight="1" x14ac:dyDescent="0.35">
      <c r="A22" s="564" t="s">
        <v>76</v>
      </c>
      <c r="B22" s="565"/>
      <c r="C22" s="105" t="s">
        <v>85</v>
      </c>
      <c r="D22" s="127" t="s">
        <v>82</v>
      </c>
      <c r="E22" s="61"/>
      <c r="F22" s="219" t="s">
        <v>189</v>
      </c>
      <c r="G22" s="14"/>
      <c r="H22" s="15"/>
      <c r="I22" s="15"/>
      <c r="J22" s="133">
        <v>85</v>
      </c>
      <c r="K22" s="52"/>
    </row>
    <row r="23" spans="1:11" s="2" customFormat="1" ht="43.5" customHeight="1" x14ac:dyDescent="0.35">
      <c r="A23" s="566">
        <v>5</v>
      </c>
      <c r="B23" s="567"/>
      <c r="C23" s="104" t="s">
        <v>99</v>
      </c>
      <c r="D23" s="127" t="s">
        <v>82</v>
      </c>
      <c r="E23" s="61"/>
      <c r="F23" s="219" t="s">
        <v>189</v>
      </c>
      <c r="G23" s="37"/>
      <c r="H23" s="15"/>
      <c r="I23" s="15"/>
      <c r="J23" s="133">
        <v>36</v>
      </c>
      <c r="K23" s="52"/>
    </row>
    <row r="24" spans="1:11" s="2" customFormat="1" ht="43.5" customHeight="1" x14ac:dyDescent="0.35">
      <c r="A24" s="566" t="s">
        <v>14</v>
      </c>
      <c r="B24" s="567"/>
      <c r="C24" s="104" t="s">
        <v>55</v>
      </c>
      <c r="D24" s="127" t="s">
        <v>82</v>
      </c>
      <c r="E24" s="61"/>
      <c r="F24" s="219" t="s">
        <v>189</v>
      </c>
      <c r="G24" s="14"/>
      <c r="H24" s="15"/>
      <c r="I24" s="15"/>
      <c r="J24" s="133">
        <v>30</v>
      </c>
      <c r="K24" s="52"/>
    </row>
    <row r="25" spans="1:11" s="2" customFormat="1" ht="43.5" customHeight="1" x14ac:dyDescent="0.35">
      <c r="A25" s="566" t="s">
        <v>15</v>
      </c>
      <c r="B25" s="567"/>
      <c r="C25" s="104" t="s">
        <v>56</v>
      </c>
      <c r="D25" s="127" t="s">
        <v>82</v>
      </c>
      <c r="E25" s="61"/>
      <c r="F25" s="219" t="s">
        <v>189</v>
      </c>
      <c r="G25" s="14"/>
      <c r="H25" s="15"/>
      <c r="I25" s="15"/>
      <c r="J25" s="133">
        <v>30</v>
      </c>
      <c r="K25" s="52"/>
    </row>
    <row r="26" spans="1:11" s="2" customFormat="1" ht="43.5" customHeight="1" x14ac:dyDescent="0.35">
      <c r="A26" s="566">
        <v>9</v>
      </c>
      <c r="B26" s="567"/>
      <c r="C26" s="106" t="s">
        <v>22</v>
      </c>
      <c r="D26" s="128" t="s">
        <v>88</v>
      </c>
      <c r="E26" s="61"/>
      <c r="F26" s="219" t="s">
        <v>189</v>
      </c>
      <c r="G26" s="14"/>
      <c r="H26" s="15"/>
      <c r="I26" s="15"/>
      <c r="J26" s="133">
        <v>180</v>
      </c>
      <c r="K26" s="52"/>
    </row>
    <row r="27" spans="1:11" s="2" customFormat="1" ht="43.5" customHeight="1" x14ac:dyDescent="0.35">
      <c r="A27" s="566"/>
      <c r="B27" s="567"/>
      <c r="C27" s="106"/>
      <c r="D27" s="132"/>
      <c r="E27" s="61"/>
      <c r="F27" s="14"/>
      <c r="G27" s="14"/>
      <c r="H27" s="15"/>
      <c r="I27" s="15"/>
      <c r="J27" s="133"/>
      <c r="K27" s="52"/>
    </row>
    <row r="28" spans="1:11" s="2" customFormat="1" ht="43.5" customHeight="1" x14ac:dyDescent="0.35">
      <c r="A28" s="564"/>
      <c r="B28" s="565"/>
      <c r="C28" s="105"/>
      <c r="D28" s="129"/>
      <c r="E28" s="61"/>
      <c r="F28" s="14"/>
      <c r="G28" s="14"/>
      <c r="H28" s="15"/>
      <c r="I28" s="15"/>
      <c r="J28" s="16"/>
      <c r="K28" s="52"/>
    </row>
    <row r="29" spans="1:11" s="2" customFormat="1" ht="43.5" customHeight="1" x14ac:dyDescent="0.35">
      <c r="A29" s="564"/>
      <c r="B29" s="565"/>
      <c r="C29" s="105"/>
      <c r="D29" s="129"/>
      <c r="E29" s="61"/>
      <c r="F29" s="14"/>
      <c r="G29" s="14"/>
      <c r="H29" s="15"/>
      <c r="I29" s="15"/>
      <c r="J29" s="16"/>
      <c r="K29" s="52"/>
    </row>
    <row r="30" spans="1:11" s="2" customFormat="1" ht="43.5" customHeight="1" x14ac:dyDescent="0.35">
      <c r="A30" s="566"/>
      <c r="B30" s="567"/>
      <c r="C30" s="104"/>
      <c r="D30" s="131"/>
      <c r="E30" s="65"/>
      <c r="F30" s="14"/>
      <c r="G30" s="14"/>
      <c r="H30" s="15"/>
      <c r="I30" s="15"/>
      <c r="J30" s="16"/>
      <c r="K30" s="52"/>
    </row>
    <row r="31" spans="1:11" s="2" customFormat="1" ht="43.5" customHeight="1" x14ac:dyDescent="0.35">
      <c r="A31" s="566"/>
      <c r="B31" s="567"/>
      <c r="C31" s="106"/>
      <c r="D31" s="132"/>
      <c r="E31" s="65"/>
      <c r="F31" s="14"/>
      <c r="G31" s="14"/>
      <c r="H31" s="15"/>
      <c r="I31" s="15"/>
      <c r="J31" s="16"/>
      <c r="K31" s="52"/>
    </row>
    <row r="32" spans="1:11" ht="13.5" customHeight="1" x14ac:dyDescent="0.6">
      <c r="A32" s="119"/>
      <c r="B32" s="120"/>
      <c r="C32" s="107"/>
      <c r="D32" s="42"/>
      <c r="E32" s="42"/>
      <c r="F32" s="42"/>
      <c r="G32" s="42"/>
      <c r="H32" s="4"/>
      <c r="I32" s="4"/>
      <c r="J32" s="4"/>
      <c r="K32" s="5"/>
    </row>
    <row r="33" spans="1:11" ht="18.75" customHeight="1" x14ac:dyDescent="0.6">
      <c r="A33" s="124" t="s">
        <v>52</v>
      </c>
      <c r="B33" s="121"/>
      <c r="C33" s="110"/>
      <c r="D33" s="554" t="s">
        <v>60</v>
      </c>
      <c r="E33" s="554"/>
      <c r="F33" s="554"/>
      <c r="G33" s="554"/>
      <c r="H33" s="554"/>
      <c r="I33" s="554"/>
      <c r="J33" s="554"/>
      <c r="K33" s="555"/>
    </row>
    <row r="34" spans="1:11" ht="18.75" customHeight="1" x14ac:dyDescent="0.35">
      <c r="A34" s="6"/>
      <c r="B34" s="13"/>
      <c r="C34" s="13"/>
      <c r="D34" s="556"/>
      <c r="E34" s="556"/>
      <c r="F34" s="556"/>
      <c r="G34" s="556"/>
      <c r="H34" s="556"/>
      <c r="I34" s="556"/>
      <c r="J34" s="556"/>
      <c r="K34" s="557"/>
    </row>
    <row r="35" spans="1:11" ht="18.75" customHeight="1" x14ac:dyDescent="0.35">
      <c r="A35" s="72"/>
      <c r="B35" s="73"/>
      <c r="C35" s="73"/>
      <c r="D35" s="74"/>
      <c r="E35" s="74"/>
      <c r="F35" s="74"/>
      <c r="G35" s="74"/>
      <c r="H35" s="73"/>
      <c r="I35" s="73"/>
      <c r="J35" s="75"/>
      <c r="K35" s="76"/>
    </row>
    <row r="36" spans="1:11" ht="18.75" customHeight="1" x14ac:dyDescent="0.25">
      <c r="A36" s="77"/>
      <c r="B36" s="78"/>
      <c r="C36" s="78"/>
      <c r="D36" s="78"/>
      <c r="E36" s="78"/>
      <c r="F36" s="78"/>
      <c r="G36" s="78"/>
      <c r="H36" s="78"/>
      <c r="I36" s="78"/>
      <c r="J36" s="78"/>
      <c r="K36" s="79"/>
    </row>
    <row r="37" spans="1:11" ht="18.75" customHeight="1" x14ac:dyDescent="0.25">
      <c r="A37" s="7"/>
      <c r="B37" s="8"/>
      <c r="C37" s="8"/>
      <c r="D37" s="8"/>
      <c r="E37" s="8"/>
      <c r="F37" s="8"/>
      <c r="G37" s="8"/>
      <c r="H37" s="8"/>
      <c r="I37" s="8"/>
      <c r="J37" s="8"/>
      <c r="K37" s="9"/>
    </row>
    <row r="38" spans="1:11" ht="20" x14ac:dyDescent="0.4">
      <c r="A38" s="20" t="s">
        <v>74</v>
      </c>
    </row>
  </sheetData>
  <sheetProtection sort="0" autoFilter="0"/>
  <dataConsolidate/>
  <mergeCells count="25">
    <mergeCell ref="F11:I11"/>
    <mergeCell ref="C2:K2"/>
    <mergeCell ref="C3:K3"/>
    <mergeCell ref="A4:K4"/>
    <mergeCell ref="C7:C8"/>
    <mergeCell ref="A8:B8"/>
    <mergeCell ref="A25:B25"/>
    <mergeCell ref="F12:I12"/>
    <mergeCell ref="F13:H13"/>
    <mergeCell ref="B15:K15"/>
    <mergeCell ref="B16:K16"/>
    <mergeCell ref="A17:B18"/>
    <mergeCell ref="A19:B19"/>
    <mergeCell ref="A20:B20"/>
    <mergeCell ref="A21:B21"/>
    <mergeCell ref="A22:B22"/>
    <mergeCell ref="A23:B23"/>
    <mergeCell ref="A24:B24"/>
    <mergeCell ref="D33:K34"/>
    <mergeCell ref="A26:B26"/>
    <mergeCell ref="A27:B27"/>
    <mergeCell ref="A28:B28"/>
    <mergeCell ref="A29:B29"/>
    <mergeCell ref="A30:B30"/>
    <mergeCell ref="A31:B31"/>
  </mergeCells>
  <conditionalFormatting sqref="C30">
    <cfRule type="cellIs" dxfId="2" priority="1" operator="equal">
      <formula>0</formula>
    </cfRule>
  </conditionalFormatting>
  <dataValidations count="1">
    <dataValidation allowBlank="1" showDropDown="1" showInputMessage="1" showErrorMessage="1" sqref="C9" xr:uid="{90A6B123-E5C6-4E04-94D1-C41E74A3A52E}"/>
  </dataValidations>
  <printOptions horizontalCentered="1" verticalCentered="1"/>
  <pageMargins left="0" right="0" top="0" bottom="0" header="0" footer="0"/>
  <pageSetup paperSize="9" scale="47" orientation="landscape" r:id="rId1"/>
  <headerFooter alignWithMargins="0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A59E7F-E4B7-41A9-85AD-5679C3F934CD}">
  <sheetPr codeName="Sheet12">
    <pageSetUpPr fitToPage="1"/>
  </sheetPr>
  <dimension ref="A1:N38"/>
  <sheetViews>
    <sheetView view="pageBreakPreview" zoomScale="41" zoomScaleNormal="71" zoomScaleSheetLayoutView="71" zoomScalePageLayoutView="50" workbookViewId="0">
      <selection activeCell="C23" sqref="C23"/>
    </sheetView>
  </sheetViews>
  <sheetFormatPr defaultColWidth="7" defaultRowHeight="12.5" x14ac:dyDescent="0.25"/>
  <cols>
    <col min="1" max="1" width="4.54296875" style="1" customWidth="1"/>
    <col min="2" max="2" width="5.7265625" style="1" customWidth="1"/>
    <col min="3" max="3" width="99.26953125" style="1" customWidth="1"/>
    <col min="4" max="4" width="11.26953125" style="1" customWidth="1"/>
    <col min="5" max="5" width="24.453125" style="1" customWidth="1"/>
    <col min="6" max="6" width="15.26953125" style="1" customWidth="1"/>
    <col min="7" max="7" width="14.26953125" style="1" customWidth="1"/>
    <col min="8" max="8" width="18.7265625" style="1" customWidth="1"/>
    <col min="9" max="9" width="29.26953125" style="1" customWidth="1"/>
    <col min="10" max="10" width="16.54296875" style="1" customWidth="1"/>
    <col min="11" max="11" width="46.7265625" style="1" customWidth="1"/>
    <col min="12" max="16384" width="7" style="1"/>
  </cols>
  <sheetData>
    <row r="1" spans="1:14" ht="21" customHeight="1" x14ac:dyDescent="0.3">
      <c r="A1" s="44"/>
      <c r="B1" s="45"/>
      <c r="C1" s="45"/>
      <c r="D1" s="45"/>
      <c r="E1" s="45"/>
      <c r="F1" s="45"/>
      <c r="G1" s="45"/>
      <c r="H1" s="45"/>
      <c r="I1" s="45"/>
      <c r="J1" s="45"/>
      <c r="K1" s="87" t="s">
        <v>68</v>
      </c>
    </row>
    <row r="2" spans="1:14" ht="24.75" customHeight="1" x14ac:dyDescent="0.5">
      <c r="A2" s="83"/>
      <c r="B2" s="11"/>
      <c r="C2" s="542" t="s">
        <v>73</v>
      </c>
      <c r="D2" s="542"/>
      <c r="E2" s="542"/>
      <c r="F2" s="542"/>
      <c r="G2" s="542"/>
      <c r="H2" s="542"/>
      <c r="I2" s="542"/>
      <c r="J2" s="542"/>
      <c r="K2" s="543"/>
    </row>
    <row r="3" spans="1:14" ht="24.75" customHeight="1" x14ac:dyDescent="0.5">
      <c r="A3" s="12"/>
      <c r="B3" s="11"/>
      <c r="C3" s="544"/>
      <c r="D3" s="544"/>
      <c r="E3" s="544"/>
      <c r="F3" s="544"/>
      <c r="G3" s="544"/>
      <c r="H3" s="544"/>
      <c r="I3" s="544"/>
      <c r="J3" s="544"/>
      <c r="K3" s="545"/>
    </row>
    <row r="4" spans="1:14" ht="24.75" customHeight="1" x14ac:dyDescent="0.25">
      <c r="A4" s="574" t="s">
        <v>30</v>
      </c>
      <c r="B4" s="575"/>
      <c r="C4" s="575"/>
      <c r="D4" s="575"/>
      <c r="E4" s="575"/>
      <c r="F4" s="575"/>
      <c r="G4" s="575"/>
      <c r="H4" s="575"/>
      <c r="I4" s="575"/>
      <c r="J4" s="575"/>
      <c r="K4" s="576"/>
    </row>
    <row r="5" spans="1:14" ht="24.75" customHeight="1" x14ac:dyDescent="0.6">
      <c r="A5" s="66"/>
      <c r="B5" s="67"/>
      <c r="C5" s="123" t="s">
        <v>102</v>
      </c>
      <c r="D5" s="53"/>
      <c r="E5" s="53"/>
      <c r="F5" s="56"/>
      <c r="G5" s="56"/>
      <c r="H5" s="55"/>
      <c r="I5" s="53"/>
      <c r="J5" s="53"/>
      <c r="K5" s="68"/>
    </row>
    <row r="6" spans="1:14" s="13" customFormat="1" ht="24.75" customHeight="1" x14ac:dyDescent="0.4">
      <c r="A6" s="20"/>
      <c r="B6" s="21"/>
      <c r="C6" s="30"/>
      <c r="D6" s="36"/>
      <c r="E6" s="36"/>
      <c r="F6" s="36"/>
      <c r="G6" s="36"/>
      <c r="H6" s="36"/>
      <c r="I6" s="39"/>
      <c r="J6" s="33"/>
      <c r="K6" s="34"/>
    </row>
    <row r="7" spans="1:14" ht="16" customHeight="1" x14ac:dyDescent="0.4">
      <c r="A7" s="23"/>
      <c r="B7" s="21"/>
      <c r="C7" s="549"/>
      <c r="D7" s="21"/>
      <c r="E7" s="21"/>
      <c r="F7" s="21"/>
      <c r="G7" s="21"/>
      <c r="H7" s="21"/>
      <c r="I7" s="21"/>
      <c r="J7" s="21"/>
      <c r="K7" s="22"/>
    </row>
    <row r="8" spans="1:14" ht="26.15" customHeight="1" x14ac:dyDescent="0.4">
      <c r="A8" s="550"/>
      <c r="B8" s="551"/>
      <c r="C8" s="549"/>
      <c r="D8" s="25"/>
      <c r="E8" s="25"/>
      <c r="F8" s="25"/>
      <c r="G8" s="25"/>
      <c r="H8" s="25"/>
      <c r="I8" s="25"/>
      <c r="J8" s="25"/>
      <c r="K8" s="26"/>
    </row>
    <row r="9" spans="1:14" ht="26.15" customHeight="1" x14ac:dyDescent="0.4">
      <c r="A9" s="46"/>
      <c r="B9" s="47"/>
      <c r="C9" s="24"/>
      <c r="D9" s="25"/>
      <c r="E9" s="25"/>
      <c r="F9" s="25"/>
      <c r="G9" s="25"/>
      <c r="H9" s="25"/>
      <c r="I9" s="25"/>
      <c r="J9" s="25"/>
      <c r="K9" s="26"/>
    </row>
    <row r="10" spans="1:14" ht="24.75" customHeight="1" x14ac:dyDescent="0.4">
      <c r="A10" s="27"/>
      <c r="B10" s="25"/>
      <c r="C10" s="43"/>
      <c r="D10" s="25"/>
      <c r="E10" s="25"/>
      <c r="F10" s="80" t="s">
        <v>31</v>
      </c>
      <c r="G10" s="80"/>
      <c r="H10" s="25"/>
      <c r="I10" s="80"/>
      <c r="J10" s="80"/>
      <c r="K10" s="26"/>
    </row>
    <row r="11" spans="1:14" ht="24.75" customHeight="1" x14ac:dyDescent="0.4">
      <c r="A11" s="27"/>
      <c r="B11" s="25"/>
      <c r="C11" s="43"/>
      <c r="D11" s="25"/>
      <c r="E11" s="25"/>
      <c r="F11" s="568" t="s">
        <v>32</v>
      </c>
      <c r="G11" s="568"/>
      <c r="H11" s="568"/>
      <c r="I11" s="568"/>
      <c r="J11" s="80"/>
      <c r="K11" s="26"/>
    </row>
    <row r="12" spans="1:14" ht="24.75" customHeight="1" x14ac:dyDescent="0.5">
      <c r="A12" s="29"/>
      <c r="B12" s="21"/>
      <c r="C12" s="21"/>
      <c r="D12" s="21"/>
      <c r="E12" s="21"/>
      <c r="F12" s="568" t="s">
        <v>33</v>
      </c>
      <c r="G12" s="568"/>
      <c r="H12" s="568"/>
      <c r="I12" s="568"/>
      <c r="J12" s="82"/>
      <c r="K12" s="60"/>
    </row>
    <row r="13" spans="1:14" ht="24.75" customHeight="1" x14ac:dyDescent="0.5">
      <c r="A13" s="29"/>
      <c r="B13" s="21"/>
      <c r="C13" s="21"/>
      <c r="D13" s="21"/>
      <c r="E13" s="21"/>
      <c r="F13" s="569" t="s">
        <v>34</v>
      </c>
      <c r="G13" s="569"/>
      <c r="H13" s="569"/>
      <c r="I13" s="84"/>
      <c r="J13" s="25"/>
      <c r="K13" s="60"/>
    </row>
    <row r="14" spans="1:14" ht="24.75" customHeight="1" x14ac:dyDescent="0.5">
      <c r="A14" s="29"/>
      <c r="B14" s="21"/>
      <c r="C14" s="21"/>
      <c r="D14" s="21"/>
      <c r="E14" s="21"/>
      <c r="F14" s="21"/>
      <c r="G14" s="21"/>
      <c r="H14" s="21"/>
      <c r="I14" s="21"/>
      <c r="J14" s="25"/>
      <c r="K14" s="28"/>
    </row>
    <row r="15" spans="1:14" ht="24.75" customHeight="1" x14ac:dyDescent="0.5">
      <c r="A15" s="57"/>
      <c r="B15" s="570" t="s">
        <v>35</v>
      </c>
      <c r="C15" s="570"/>
      <c r="D15" s="570"/>
      <c r="E15" s="570"/>
      <c r="F15" s="570"/>
      <c r="G15" s="570"/>
      <c r="H15" s="570"/>
      <c r="I15" s="570"/>
      <c r="J15" s="570"/>
      <c r="K15" s="571"/>
      <c r="L15" s="59"/>
      <c r="M15" s="59"/>
      <c r="N15" s="59"/>
    </row>
    <row r="16" spans="1:14" ht="24.75" customHeight="1" x14ac:dyDescent="0.5">
      <c r="A16" s="58"/>
      <c r="B16" s="572" t="s">
        <v>36</v>
      </c>
      <c r="C16" s="572"/>
      <c r="D16" s="572"/>
      <c r="E16" s="572"/>
      <c r="F16" s="572"/>
      <c r="G16" s="572"/>
      <c r="H16" s="572"/>
      <c r="I16" s="572"/>
      <c r="J16" s="572"/>
      <c r="K16" s="573"/>
      <c r="L16" s="59"/>
      <c r="M16" s="59"/>
      <c r="N16" s="59"/>
    </row>
    <row r="17" spans="1:11" ht="65.25" customHeight="1" x14ac:dyDescent="0.25">
      <c r="A17" s="558" t="s">
        <v>59</v>
      </c>
      <c r="B17" s="559"/>
      <c r="C17" s="112" t="s">
        <v>37</v>
      </c>
      <c r="D17" s="17" t="s">
        <v>24</v>
      </c>
      <c r="E17" s="111" t="s">
        <v>66</v>
      </c>
      <c r="F17" s="17" t="s">
        <v>39</v>
      </c>
      <c r="G17" s="111" t="s">
        <v>40</v>
      </c>
      <c r="H17" s="81" t="s">
        <v>41</v>
      </c>
      <c r="I17" s="113" t="s">
        <v>42</v>
      </c>
      <c r="J17" s="35" t="s">
        <v>96</v>
      </c>
      <c r="K17" s="114" t="s">
        <v>195</v>
      </c>
    </row>
    <row r="18" spans="1:11" s="19" customFormat="1" ht="64.5" customHeight="1" x14ac:dyDescent="0.25">
      <c r="A18" s="560"/>
      <c r="B18" s="561"/>
      <c r="C18" s="32"/>
      <c r="D18" s="18" t="s">
        <v>26</v>
      </c>
      <c r="E18" s="18" t="s">
        <v>67</v>
      </c>
      <c r="F18" s="18" t="s">
        <v>45</v>
      </c>
      <c r="G18" s="18" t="s">
        <v>46</v>
      </c>
      <c r="H18" s="41" t="s">
        <v>47</v>
      </c>
      <c r="I18" s="40" t="s">
        <v>48</v>
      </c>
      <c r="J18" s="51" t="s">
        <v>193</v>
      </c>
      <c r="K18" s="18" t="s">
        <v>194</v>
      </c>
    </row>
    <row r="19" spans="1:11" s="2" customFormat="1" ht="43.5" customHeight="1" x14ac:dyDescent="0.35">
      <c r="A19" s="566">
        <v>1</v>
      </c>
      <c r="B19" s="567"/>
      <c r="C19" s="115" t="s">
        <v>21</v>
      </c>
      <c r="D19" s="125" t="s">
        <v>81</v>
      </c>
      <c r="E19" s="61"/>
      <c r="F19" s="37"/>
      <c r="G19" s="37"/>
      <c r="H19" s="15"/>
      <c r="I19" s="15"/>
      <c r="J19" s="133">
        <v>55</v>
      </c>
      <c r="K19" s="52"/>
    </row>
    <row r="20" spans="1:11" s="2" customFormat="1" ht="43.5" customHeight="1" x14ac:dyDescent="0.35">
      <c r="A20" s="566">
        <v>2</v>
      </c>
      <c r="B20" s="567"/>
      <c r="C20" s="116" t="s">
        <v>28</v>
      </c>
      <c r="D20" s="127" t="s">
        <v>82</v>
      </c>
      <c r="E20" s="64"/>
      <c r="F20" s="48"/>
      <c r="G20" s="48"/>
      <c r="H20" s="15"/>
      <c r="I20" s="15"/>
      <c r="J20" s="133">
        <v>220</v>
      </c>
      <c r="K20" s="52"/>
    </row>
    <row r="21" spans="1:11" s="2" customFormat="1" ht="43.5" customHeight="1" x14ac:dyDescent="0.35">
      <c r="A21" s="577">
        <v>3</v>
      </c>
      <c r="B21" s="578"/>
      <c r="C21" s="116" t="s">
        <v>0</v>
      </c>
      <c r="D21" s="127" t="s">
        <v>82</v>
      </c>
      <c r="E21" s="61"/>
      <c r="F21" s="14"/>
      <c r="G21" s="14"/>
      <c r="H21" s="15"/>
      <c r="I21" s="15"/>
      <c r="J21" s="133">
        <v>80</v>
      </c>
      <c r="K21" s="52"/>
    </row>
    <row r="22" spans="1:11" s="2" customFormat="1" ht="43.5" customHeight="1" x14ac:dyDescent="0.35">
      <c r="A22" s="564" t="s">
        <v>75</v>
      </c>
      <c r="B22" s="565"/>
      <c r="C22" s="105" t="s">
        <v>84</v>
      </c>
      <c r="D22" s="127" t="s">
        <v>82</v>
      </c>
      <c r="E22" s="61"/>
      <c r="F22" s="14"/>
      <c r="G22" s="14"/>
      <c r="H22" s="15"/>
      <c r="I22" s="15"/>
      <c r="J22" s="133">
        <v>23</v>
      </c>
      <c r="K22" s="52"/>
    </row>
    <row r="23" spans="1:11" s="2" customFormat="1" ht="43.5" customHeight="1" x14ac:dyDescent="0.35">
      <c r="A23" s="564" t="s">
        <v>76</v>
      </c>
      <c r="B23" s="565"/>
      <c r="C23" s="105" t="s">
        <v>85</v>
      </c>
      <c r="D23" s="127" t="s">
        <v>82</v>
      </c>
      <c r="E23" s="61"/>
      <c r="F23" s="37"/>
      <c r="G23" s="37"/>
      <c r="H23" s="15"/>
      <c r="I23" s="15"/>
      <c r="J23" s="133">
        <v>23</v>
      </c>
      <c r="K23" s="52"/>
    </row>
    <row r="24" spans="1:11" s="2" customFormat="1" ht="43.5" customHeight="1" x14ac:dyDescent="0.35">
      <c r="A24" s="566">
        <v>9</v>
      </c>
      <c r="B24" s="567"/>
      <c r="C24" s="106" t="s">
        <v>22</v>
      </c>
      <c r="D24" s="128" t="s">
        <v>88</v>
      </c>
      <c r="E24" s="61"/>
      <c r="F24" s="14"/>
      <c r="G24" s="14"/>
      <c r="H24" s="15"/>
      <c r="I24" s="15"/>
      <c r="J24" s="133">
        <v>140</v>
      </c>
      <c r="K24" s="52"/>
    </row>
    <row r="25" spans="1:11" s="2" customFormat="1" ht="43.5" customHeight="1" x14ac:dyDescent="0.35">
      <c r="A25" s="117"/>
      <c r="B25" s="118"/>
      <c r="C25" s="104"/>
      <c r="D25" s="129"/>
      <c r="E25" s="61"/>
      <c r="F25" s="14"/>
      <c r="G25" s="14"/>
      <c r="H25" s="15"/>
      <c r="I25" s="15"/>
      <c r="J25" s="133"/>
      <c r="K25" s="52"/>
    </row>
    <row r="26" spans="1:11" s="2" customFormat="1" ht="43.5" customHeight="1" x14ac:dyDescent="0.35">
      <c r="A26" s="117"/>
      <c r="B26" s="118"/>
      <c r="C26" s="104"/>
      <c r="D26" s="129"/>
      <c r="E26" s="61"/>
      <c r="F26" s="14"/>
      <c r="G26" s="14"/>
      <c r="H26" s="15"/>
      <c r="I26" s="15"/>
      <c r="J26" s="133"/>
      <c r="K26" s="52"/>
    </row>
    <row r="27" spans="1:11" s="2" customFormat="1" ht="43.5" customHeight="1" x14ac:dyDescent="0.35">
      <c r="A27" s="117"/>
      <c r="B27" s="118"/>
      <c r="C27" s="106"/>
      <c r="D27" s="132"/>
      <c r="E27" s="61"/>
      <c r="F27" s="14"/>
      <c r="G27" s="14"/>
      <c r="H27" s="15"/>
      <c r="I27" s="15"/>
      <c r="J27" s="133"/>
      <c r="K27" s="52"/>
    </row>
    <row r="28" spans="1:11" s="2" customFormat="1" ht="43.5" customHeight="1" x14ac:dyDescent="0.35">
      <c r="A28" s="564"/>
      <c r="B28" s="565"/>
      <c r="C28" s="105"/>
      <c r="D28" s="129"/>
      <c r="E28" s="61"/>
      <c r="F28" s="14"/>
      <c r="G28" s="14"/>
      <c r="H28" s="15"/>
      <c r="I28" s="15"/>
      <c r="J28" s="16"/>
      <c r="K28" s="52"/>
    </row>
    <row r="29" spans="1:11" s="2" customFormat="1" ht="43.5" customHeight="1" x14ac:dyDescent="0.35">
      <c r="A29" s="564"/>
      <c r="B29" s="565"/>
      <c r="C29" s="105"/>
      <c r="D29" s="129"/>
      <c r="E29" s="61"/>
      <c r="F29" s="14"/>
      <c r="G29" s="14"/>
      <c r="H29" s="15"/>
      <c r="I29" s="15"/>
      <c r="J29" s="16"/>
      <c r="K29" s="52"/>
    </row>
    <row r="30" spans="1:11" s="2" customFormat="1" ht="43.5" customHeight="1" x14ac:dyDescent="0.35">
      <c r="A30" s="566"/>
      <c r="B30" s="567"/>
      <c r="C30" s="104"/>
      <c r="D30" s="131"/>
      <c r="E30" s="65"/>
      <c r="F30" s="14"/>
      <c r="G30" s="14"/>
      <c r="H30" s="15"/>
      <c r="I30" s="15"/>
      <c r="J30" s="16"/>
      <c r="K30" s="52"/>
    </row>
    <row r="31" spans="1:11" s="2" customFormat="1" ht="43.5" customHeight="1" x14ac:dyDescent="0.35">
      <c r="A31" s="566"/>
      <c r="B31" s="567"/>
      <c r="C31" s="106"/>
      <c r="D31" s="132"/>
      <c r="E31" s="65"/>
      <c r="F31" s="14"/>
      <c r="G31" s="14"/>
      <c r="H31" s="15"/>
      <c r="I31" s="15"/>
      <c r="J31" s="16"/>
      <c r="K31" s="52"/>
    </row>
    <row r="32" spans="1:11" ht="13.5" customHeight="1" x14ac:dyDescent="0.6">
      <c r="A32" s="119"/>
      <c r="B32" s="120"/>
      <c r="C32" s="107"/>
      <c r="D32" s="42"/>
      <c r="E32" s="42"/>
      <c r="F32" s="42"/>
      <c r="G32" s="42"/>
      <c r="H32" s="4"/>
      <c r="I32" s="4"/>
      <c r="J32" s="4"/>
      <c r="K32" s="5"/>
    </row>
    <row r="33" spans="1:11" ht="18.75" customHeight="1" x14ac:dyDescent="0.6">
      <c r="A33" s="124" t="s">
        <v>52</v>
      </c>
      <c r="B33" s="121"/>
      <c r="C33" s="110"/>
      <c r="D33" s="554" t="s">
        <v>60</v>
      </c>
      <c r="E33" s="554"/>
      <c r="F33" s="554"/>
      <c r="G33" s="554"/>
      <c r="H33" s="554"/>
      <c r="I33" s="554"/>
      <c r="J33" s="554"/>
      <c r="K33" s="555"/>
    </row>
    <row r="34" spans="1:11" ht="18.75" customHeight="1" x14ac:dyDescent="0.35">
      <c r="A34" s="6"/>
      <c r="B34" s="13"/>
      <c r="C34" s="13"/>
      <c r="D34" s="556"/>
      <c r="E34" s="556"/>
      <c r="F34" s="556"/>
      <c r="G34" s="556"/>
      <c r="H34" s="556"/>
      <c r="I34" s="556"/>
      <c r="J34" s="556"/>
      <c r="K34" s="557"/>
    </row>
    <row r="35" spans="1:11" ht="18.75" customHeight="1" x14ac:dyDescent="0.35">
      <c r="A35" s="72"/>
      <c r="B35" s="73"/>
      <c r="C35" s="73"/>
      <c r="D35" s="74"/>
      <c r="E35" s="74"/>
      <c r="F35" s="74"/>
      <c r="G35" s="74"/>
      <c r="H35" s="73"/>
      <c r="I35" s="73"/>
      <c r="J35" s="75"/>
      <c r="K35" s="76"/>
    </row>
    <row r="36" spans="1:11" ht="18.75" customHeight="1" x14ac:dyDescent="0.25">
      <c r="A36" s="77"/>
      <c r="B36" s="78"/>
      <c r="C36" s="78"/>
      <c r="D36" s="78"/>
      <c r="E36" s="78"/>
      <c r="F36" s="78"/>
      <c r="G36" s="78"/>
      <c r="H36" s="78"/>
      <c r="I36" s="78"/>
      <c r="J36" s="78"/>
      <c r="K36" s="79"/>
    </row>
    <row r="37" spans="1:11" ht="18.75" customHeight="1" x14ac:dyDescent="0.25">
      <c r="A37" s="7"/>
      <c r="B37" s="8"/>
      <c r="C37" s="8"/>
      <c r="D37" s="8"/>
      <c r="E37" s="8"/>
      <c r="F37" s="8"/>
      <c r="G37" s="8"/>
      <c r="H37" s="8"/>
      <c r="I37" s="8"/>
      <c r="J37" s="8"/>
      <c r="K37" s="9"/>
    </row>
    <row r="38" spans="1:11" ht="20" x14ac:dyDescent="0.4">
      <c r="A38" s="20" t="s">
        <v>74</v>
      </c>
    </row>
  </sheetData>
  <sheetProtection sort="0" autoFilter="0"/>
  <dataConsolidate/>
  <mergeCells count="22">
    <mergeCell ref="A19:B19"/>
    <mergeCell ref="C2:K2"/>
    <mergeCell ref="C3:K3"/>
    <mergeCell ref="A4:K4"/>
    <mergeCell ref="C7:C8"/>
    <mergeCell ref="A8:B8"/>
    <mergeCell ref="F11:I11"/>
    <mergeCell ref="F12:I12"/>
    <mergeCell ref="F13:H13"/>
    <mergeCell ref="B15:K15"/>
    <mergeCell ref="B16:K16"/>
    <mergeCell ref="A17:B18"/>
    <mergeCell ref="A20:B20"/>
    <mergeCell ref="A21:B21"/>
    <mergeCell ref="A22:B22"/>
    <mergeCell ref="A23:B23"/>
    <mergeCell ref="A24:B24"/>
    <mergeCell ref="D33:K34"/>
    <mergeCell ref="A28:B28"/>
    <mergeCell ref="A29:B29"/>
    <mergeCell ref="A30:B30"/>
    <mergeCell ref="A31:B31"/>
  </mergeCells>
  <conditionalFormatting sqref="C30">
    <cfRule type="cellIs" dxfId="1" priority="1" operator="equal">
      <formula>0</formula>
    </cfRule>
  </conditionalFormatting>
  <dataValidations count="1">
    <dataValidation allowBlank="1" showDropDown="1" showInputMessage="1" showErrorMessage="1" sqref="C9" xr:uid="{4F69556B-BED0-478F-8169-E0AEF4A42934}"/>
  </dataValidations>
  <printOptions horizontalCentered="1" verticalCentered="1"/>
  <pageMargins left="0" right="0" top="0" bottom="0" header="0" footer="0"/>
  <pageSetup paperSize="9" scale="47" orientation="landscape" r:id="rId1"/>
  <headerFooter alignWithMargins="0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D7C26D-A568-47DF-8DFA-9B3280D749AE}">
  <sheetPr codeName="Sheet13">
    <pageSetUpPr fitToPage="1"/>
  </sheetPr>
  <dimension ref="A1:N38"/>
  <sheetViews>
    <sheetView zoomScale="43" zoomScaleNormal="71" zoomScaleSheetLayoutView="71" zoomScalePageLayoutView="50" workbookViewId="0">
      <selection activeCell="C26" sqref="C26"/>
    </sheetView>
  </sheetViews>
  <sheetFormatPr defaultColWidth="7" defaultRowHeight="12.5" x14ac:dyDescent="0.25"/>
  <cols>
    <col min="1" max="1" width="4.54296875" style="1" customWidth="1"/>
    <col min="2" max="2" width="5.7265625" style="1" customWidth="1"/>
    <col min="3" max="3" width="99.26953125" style="1" customWidth="1"/>
    <col min="4" max="4" width="11.26953125" style="1" customWidth="1"/>
    <col min="5" max="5" width="24.453125" style="1" customWidth="1"/>
    <col min="6" max="6" width="15.26953125" style="1" customWidth="1"/>
    <col min="7" max="7" width="14.26953125" style="1" customWidth="1"/>
    <col min="8" max="8" width="18.7265625" style="1" customWidth="1"/>
    <col min="9" max="9" width="29.26953125" style="1" customWidth="1"/>
    <col min="10" max="10" width="16.54296875" style="1" customWidth="1"/>
    <col min="11" max="11" width="46.7265625" style="1" customWidth="1"/>
    <col min="12" max="16384" width="7" style="1"/>
  </cols>
  <sheetData>
    <row r="1" spans="1:14" ht="21" customHeight="1" x14ac:dyDescent="0.3">
      <c r="A1" s="44"/>
      <c r="B1" s="45"/>
      <c r="C1" s="45"/>
      <c r="D1" s="45"/>
      <c r="E1" s="45"/>
      <c r="F1" s="45"/>
      <c r="G1" s="45"/>
      <c r="H1" s="45"/>
      <c r="I1" s="45"/>
      <c r="J1" s="45"/>
      <c r="K1" s="87" t="s">
        <v>68</v>
      </c>
    </row>
    <row r="2" spans="1:14" ht="24.75" customHeight="1" x14ac:dyDescent="0.5">
      <c r="A2" s="83"/>
      <c r="B2" s="11"/>
      <c r="C2" s="542" t="s">
        <v>73</v>
      </c>
      <c r="D2" s="542"/>
      <c r="E2" s="542"/>
      <c r="F2" s="542"/>
      <c r="G2" s="542"/>
      <c r="H2" s="542"/>
      <c r="I2" s="542"/>
      <c r="J2" s="542"/>
      <c r="K2" s="543"/>
    </row>
    <row r="3" spans="1:14" ht="24.75" customHeight="1" x14ac:dyDescent="0.5">
      <c r="A3" s="12"/>
      <c r="B3" s="11"/>
      <c r="C3" s="544"/>
      <c r="D3" s="544"/>
      <c r="E3" s="544"/>
      <c r="F3" s="544"/>
      <c r="G3" s="544"/>
      <c r="H3" s="544"/>
      <c r="I3" s="544"/>
      <c r="J3" s="544"/>
      <c r="K3" s="545"/>
    </row>
    <row r="4" spans="1:14" ht="24.75" customHeight="1" x14ac:dyDescent="0.25">
      <c r="A4" s="574" t="s">
        <v>30</v>
      </c>
      <c r="B4" s="575"/>
      <c r="C4" s="575"/>
      <c r="D4" s="575"/>
      <c r="E4" s="575"/>
      <c r="F4" s="575"/>
      <c r="G4" s="575"/>
      <c r="H4" s="575"/>
      <c r="I4" s="575"/>
      <c r="J4" s="575"/>
      <c r="K4" s="576"/>
    </row>
    <row r="5" spans="1:14" ht="24.75" customHeight="1" x14ac:dyDescent="0.6">
      <c r="A5" s="66"/>
      <c r="B5" s="67"/>
      <c r="C5" s="123" t="s">
        <v>101</v>
      </c>
      <c r="D5" s="53"/>
      <c r="E5" s="53"/>
      <c r="F5" s="56"/>
      <c r="G5" s="56"/>
      <c r="H5" s="55"/>
      <c r="I5" s="53"/>
      <c r="J5" s="53"/>
      <c r="K5" s="68"/>
    </row>
    <row r="6" spans="1:14" s="13" customFormat="1" ht="24.75" customHeight="1" x14ac:dyDescent="0.4">
      <c r="A6" s="20"/>
      <c r="B6" s="21"/>
      <c r="C6" s="30"/>
      <c r="D6" s="36"/>
      <c r="E6" s="36"/>
      <c r="F6" s="36"/>
      <c r="G6" s="36"/>
      <c r="H6" s="36"/>
      <c r="I6" s="39"/>
      <c r="J6" s="33"/>
      <c r="K6" s="34"/>
    </row>
    <row r="7" spans="1:14" ht="16" customHeight="1" x14ac:dyDescent="0.4">
      <c r="A7" s="23"/>
      <c r="B7" s="21"/>
      <c r="C7" s="549"/>
      <c r="D7" s="21"/>
      <c r="E7" s="21"/>
      <c r="F7" s="21"/>
      <c r="G7" s="21"/>
      <c r="H7" s="21"/>
      <c r="I7" s="21"/>
      <c r="J7" s="21"/>
      <c r="K7" s="22"/>
    </row>
    <row r="8" spans="1:14" ht="26.15" customHeight="1" x14ac:dyDescent="0.4">
      <c r="A8" s="550"/>
      <c r="B8" s="551"/>
      <c r="C8" s="549"/>
      <c r="D8" s="25"/>
      <c r="E8" s="25"/>
      <c r="F8" s="25"/>
      <c r="G8" s="25"/>
      <c r="H8" s="25"/>
      <c r="I8" s="25"/>
      <c r="J8" s="25"/>
      <c r="K8" s="26"/>
    </row>
    <row r="9" spans="1:14" ht="26.15" customHeight="1" x14ac:dyDescent="0.4">
      <c r="A9" s="46"/>
      <c r="B9" s="47"/>
      <c r="C9" s="24"/>
      <c r="D9" s="25"/>
      <c r="E9" s="25"/>
      <c r="F9" s="25"/>
      <c r="G9" s="25"/>
      <c r="H9" s="25"/>
      <c r="I9" s="25"/>
      <c r="J9" s="25"/>
      <c r="K9" s="26"/>
    </row>
    <row r="10" spans="1:14" ht="24.75" customHeight="1" x14ac:dyDescent="0.4">
      <c r="A10" s="27"/>
      <c r="B10" s="25"/>
      <c r="C10" s="43"/>
      <c r="D10" s="25"/>
      <c r="E10" s="25"/>
      <c r="F10" s="80" t="s">
        <v>31</v>
      </c>
      <c r="G10" s="80"/>
      <c r="H10" s="25"/>
      <c r="I10" s="80"/>
      <c r="J10" s="80"/>
      <c r="K10" s="26"/>
    </row>
    <row r="11" spans="1:14" ht="24.75" customHeight="1" x14ac:dyDescent="0.4">
      <c r="A11" s="27"/>
      <c r="B11" s="25"/>
      <c r="C11" s="43"/>
      <c r="D11" s="25"/>
      <c r="E11" s="25"/>
      <c r="F11" s="568" t="s">
        <v>32</v>
      </c>
      <c r="G11" s="568"/>
      <c r="H11" s="568"/>
      <c r="I11" s="568"/>
      <c r="J11" s="80"/>
      <c r="K11" s="26"/>
    </row>
    <row r="12" spans="1:14" ht="24.75" customHeight="1" x14ac:dyDescent="0.5">
      <c r="A12" s="29"/>
      <c r="B12" s="21"/>
      <c r="C12" s="21"/>
      <c r="D12" s="21"/>
      <c r="E12" s="21"/>
      <c r="F12" s="568" t="s">
        <v>33</v>
      </c>
      <c r="G12" s="568"/>
      <c r="H12" s="568"/>
      <c r="I12" s="568"/>
      <c r="J12" s="82"/>
      <c r="K12" s="60"/>
    </row>
    <row r="13" spans="1:14" ht="24.75" customHeight="1" x14ac:dyDescent="0.5">
      <c r="A13" s="29"/>
      <c r="B13" s="21"/>
      <c r="C13" s="21"/>
      <c r="D13" s="21"/>
      <c r="E13" s="21"/>
      <c r="F13" s="569" t="s">
        <v>34</v>
      </c>
      <c r="G13" s="569"/>
      <c r="H13" s="569"/>
      <c r="I13" s="84"/>
      <c r="J13" s="25"/>
      <c r="K13" s="60"/>
    </row>
    <row r="14" spans="1:14" ht="24.75" customHeight="1" x14ac:dyDescent="0.5">
      <c r="A14" s="29"/>
      <c r="B14" s="21"/>
      <c r="C14" s="21"/>
      <c r="D14" s="21"/>
      <c r="E14" s="21"/>
      <c r="F14" s="21"/>
      <c r="G14" s="21"/>
      <c r="H14" s="21"/>
      <c r="I14" s="21"/>
      <c r="J14" s="25"/>
      <c r="K14" s="28"/>
    </row>
    <row r="15" spans="1:14" ht="24.75" customHeight="1" x14ac:dyDescent="0.5">
      <c r="A15" s="57"/>
      <c r="B15" s="570" t="s">
        <v>35</v>
      </c>
      <c r="C15" s="570"/>
      <c r="D15" s="570"/>
      <c r="E15" s="570"/>
      <c r="F15" s="570"/>
      <c r="G15" s="570"/>
      <c r="H15" s="570"/>
      <c r="I15" s="570"/>
      <c r="J15" s="570"/>
      <c r="K15" s="571"/>
      <c r="L15" s="59"/>
      <c r="M15" s="59"/>
      <c r="N15" s="59"/>
    </row>
    <row r="16" spans="1:14" ht="24.75" customHeight="1" x14ac:dyDescent="0.5">
      <c r="A16" s="58"/>
      <c r="B16" s="572" t="s">
        <v>36</v>
      </c>
      <c r="C16" s="572"/>
      <c r="D16" s="572"/>
      <c r="E16" s="572"/>
      <c r="F16" s="572"/>
      <c r="G16" s="572"/>
      <c r="H16" s="572"/>
      <c r="I16" s="572"/>
      <c r="J16" s="572"/>
      <c r="K16" s="573"/>
      <c r="L16" s="59"/>
      <c r="M16" s="59"/>
      <c r="N16" s="59"/>
    </row>
    <row r="17" spans="1:11" ht="65.25" customHeight="1" x14ac:dyDescent="0.25">
      <c r="A17" s="558" t="s">
        <v>59</v>
      </c>
      <c r="B17" s="559"/>
      <c r="C17" s="112" t="s">
        <v>37</v>
      </c>
      <c r="D17" s="17" t="s">
        <v>24</v>
      </c>
      <c r="E17" s="111" t="s">
        <v>66</v>
      </c>
      <c r="F17" s="17" t="s">
        <v>39</v>
      </c>
      <c r="G17" s="111" t="s">
        <v>40</v>
      </c>
      <c r="H17" s="81" t="s">
        <v>41</v>
      </c>
      <c r="I17" s="113" t="s">
        <v>42</v>
      </c>
      <c r="J17" s="35" t="s">
        <v>96</v>
      </c>
      <c r="K17" s="114" t="s">
        <v>195</v>
      </c>
    </row>
    <row r="18" spans="1:11" s="19" customFormat="1" ht="64.5" customHeight="1" x14ac:dyDescent="0.25">
      <c r="A18" s="560"/>
      <c r="B18" s="561"/>
      <c r="C18" s="32"/>
      <c r="D18" s="18" t="s">
        <v>26</v>
      </c>
      <c r="E18" s="18" t="s">
        <v>67</v>
      </c>
      <c r="F18" s="18" t="s">
        <v>45</v>
      </c>
      <c r="G18" s="18" t="s">
        <v>46</v>
      </c>
      <c r="H18" s="41" t="s">
        <v>47</v>
      </c>
      <c r="I18" s="40" t="s">
        <v>48</v>
      </c>
      <c r="J18" s="51" t="s">
        <v>193</v>
      </c>
      <c r="K18" s="18" t="s">
        <v>194</v>
      </c>
    </row>
    <row r="19" spans="1:11" s="2" customFormat="1" ht="43.5" customHeight="1" x14ac:dyDescent="0.35">
      <c r="A19" s="566">
        <v>1</v>
      </c>
      <c r="B19" s="567"/>
      <c r="C19" s="115" t="s">
        <v>21</v>
      </c>
      <c r="D19" s="125" t="s">
        <v>81</v>
      </c>
      <c r="E19" s="61"/>
      <c r="F19" s="37"/>
      <c r="G19" s="37"/>
      <c r="H19" s="15"/>
      <c r="I19" s="15"/>
      <c r="J19" s="133">
        <v>70</v>
      </c>
      <c r="K19" s="52"/>
    </row>
    <row r="20" spans="1:11" s="2" customFormat="1" ht="43.5" customHeight="1" x14ac:dyDescent="0.35">
      <c r="A20" s="577">
        <v>3</v>
      </c>
      <c r="B20" s="578"/>
      <c r="C20" s="116" t="s">
        <v>0</v>
      </c>
      <c r="D20" s="127" t="s">
        <v>82</v>
      </c>
      <c r="E20" s="64"/>
      <c r="F20" s="48"/>
      <c r="G20" s="48"/>
      <c r="H20" s="15"/>
      <c r="I20" s="15"/>
      <c r="J20" s="133">
        <v>1350</v>
      </c>
      <c r="K20" s="52"/>
    </row>
    <row r="21" spans="1:11" s="2" customFormat="1" ht="43.5" customHeight="1" x14ac:dyDescent="0.35">
      <c r="A21" s="564" t="s">
        <v>75</v>
      </c>
      <c r="B21" s="565"/>
      <c r="C21" s="105" t="s">
        <v>84</v>
      </c>
      <c r="D21" s="127" t="s">
        <v>82</v>
      </c>
      <c r="E21" s="61"/>
      <c r="F21" s="14"/>
      <c r="G21" s="14"/>
      <c r="H21" s="15"/>
      <c r="I21" s="15"/>
      <c r="J21" s="133">
        <v>43</v>
      </c>
      <c r="K21" s="52"/>
    </row>
    <row r="22" spans="1:11" s="2" customFormat="1" ht="43.5" customHeight="1" x14ac:dyDescent="0.35">
      <c r="A22" s="564" t="s">
        <v>76</v>
      </c>
      <c r="B22" s="565"/>
      <c r="C22" s="105" t="s">
        <v>85</v>
      </c>
      <c r="D22" s="127" t="s">
        <v>82</v>
      </c>
      <c r="E22" s="61"/>
      <c r="F22" s="14"/>
      <c r="G22" s="14"/>
      <c r="H22" s="15"/>
      <c r="I22" s="15"/>
      <c r="J22" s="133">
        <v>43</v>
      </c>
      <c r="K22" s="52"/>
    </row>
    <row r="23" spans="1:11" s="2" customFormat="1" ht="43.5" customHeight="1" x14ac:dyDescent="0.35">
      <c r="A23" s="566" t="s">
        <v>12</v>
      </c>
      <c r="B23" s="567"/>
      <c r="C23" s="104" t="s">
        <v>100</v>
      </c>
      <c r="D23" s="127" t="s">
        <v>82</v>
      </c>
      <c r="E23" s="61"/>
      <c r="F23" s="37"/>
      <c r="G23" s="37"/>
      <c r="H23" s="15"/>
      <c r="I23" s="15"/>
      <c r="J23" s="133">
        <v>15</v>
      </c>
      <c r="K23" s="52"/>
    </row>
    <row r="24" spans="1:11" s="2" customFormat="1" ht="43.5" customHeight="1" x14ac:dyDescent="0.35">
      <c r="A24" s="566" t="s">
        <v>14</v>
      </c>
      <c r="B24" s="567"/>
      <c r="C24" s="104" t="s">
        <v>55</v>
      </c>
      <c r="D24" s="127" t="s">
        <v>82</v>
      </c>
      <c r="E24" s="61"/>
      <c r="F24" s="14"/>
      <c r="G24" s="14"/>
      <c r="H24" s="15"/>
      <c r="I24" s="15"/>
      <c r="J24" s="133">
        <v>25</v>
      </c>
      <c r="K24" s="52"/>
    </row>
    <row r="25" spans="1:11" s="2" customFormat="1" ht="43.5" customHeight="1" x14ac:dyDescent="0.35">
      <c r="A25" s="566" t="s">
        <v>15</v>
      </c>
      <c r="B25" s="567"/>
      <c r="C25" s="104" t="s">
        <v>56</v>
      </c>
      <c r="D25" s="127" t="s">
        <v>82</v>
      </c>
      <c r="E25" s="61"/>
      <c r="F25" s="14"/>
      <c r="G25" s="14"/>
      <c r="H25" s="15"/>
      <c r="I25" s="15"/>
      <c r="J25" s="133">
        <v>25</v>
      </c>
      <c r="K25" s="52"/>
    </row>
    <row r="26" spans="1:11" s="2" customFormat="1" ht="43.5" customHeight="1" x14ac:dyDescent="0.35">
      <c r="A26" s="566">
        <v>9</v>
      </c>
      <c r="B26" s="567"/>
      <c r="C26" s="106" t="s">
        <v>22</v>
      </c>
      <c r="D26" s="128" t="s">
        <v>88</v>
      </c>
      <c r="E26" s="61"/>
      <c r="F26" s="14"/>
      <c r="G26" s="14"/>
      <c r="H26" s="15"/>
      <c r="I26" s="15"/>
      <c r="J26" s="133">
        <v>139</v>
      </c>
      <c r="K26" s="52"/>
    </row>
    <row r="27" spans="1:11" s="2" customFormat="1" ht="43.5" customHeight="1" x14ac:dyDescent="0.35">
      <c r="A27" s="566"/>
      <c r="B27" s="567"/>
      <c r="C27" s="106"/>
      <c r="D27" s="132"/>
      <c r="E27" s="61"/>
      <c r="F27" s="14"/>
      <c r="G27" s="14"/>
      <c r="H27" s="15"/>
      <c r="I27" s="15"/>
      <c r="J27" s="133"/>
      <c r="K27" s="52"/>
    </row>
    <row r="28" spans="1:11" s="2" customFormat="1" ht="43.5" customHeight="1" x14ac:dyDescent="0.35">
      <c r="A28" s="564"/>
      <c r="B28" s="565"/>
      <c r="C28" s="105"/>
      <c r="D28" s="129"/>
      <c r="E28" s="61"/>
      <c r="F28" s="14"/>
      <c r="G28" s="14"/>
      <c r="H28" s="15"/>
      <c r="I28" s="15"/>
      <c r="J28" s="16"/>
      <c r="K28" s="52"/>
    </row>
    <row r="29" spans="1:11" s="2" customFormat="1" ht="43.5" customHeight="1" x14ac:dyDescent="0.35">
      <c r="A29" s="564"/>
      <c r="B29" s="565"/>
      <c r="C29" s="105"/>
      <c r="D29" s="129"/>
      <c r="E29" s="61"/>
      <c r="F29" s="14"/>
      <c r="G29" s="14"/>
      <c r="H29" s="15"/>
      <c r="I29" s="15"/>
      <c r="J29" s="16"/>
      <c r="K29" s="52"/>
    </row>
    <row r="30" spans="1:11" s="2" customFormat="1" ht="43.5" customHeight="1" x14ac:dyDescent="0.35">
      <c r="A30" s="566"/>
      <c r="B30" s="567"/>
      <c r="C30" s="104"/>
      <c r="D30" s="131"/>
      <c r="E30" s="65"/>
      <c r="F30" s="14"/>
      <c r="G30" s="14"/>
      <c r="H30" s="15"/>
      <c r="I30" s="15"/>
      <c r="J30" s="16"/>
      <c r="K30" s="52"/>
    </row>
    <row r="31" spans="1:11" s="2" customFormat="1" ht="43.5" customHeight="1" x14ac:dyDescent="0.35">
      <c r="A31" s="566"/>
      <c r="B31" s="567"/>
      <c r="C31" s="106"/>
      <c r="D31" s="132"/>
      <c r="E31" s="65"/>
      <c r="F31" s="14"/>
      <c r="G31" s="14"/>
      <c r="H31" s="15"/>
      <c r="I31" s="15"/>
      <c r="J31" s="16"/>
      <c r="K31" s="52"/>
    </row>
    <row r="32" spans="1:11" ht="13.5" customHeight="1" x14ac:dyDescent="0.6">
      <c r="A32" s="119"/>
      <c r="B32" s="120"/>
      <c r="C32" s="107"/>
      <c r="D32" s="42"/>
      <c r="E32" s="42"/>
      <c r="F32" s="42"/>
      <c r="G32" s="42"/>
      <c r="H32" s="4"/>
      <c r="I32" s="4"/>
      <c r="J32" s="4"/>
      <c r="K32" s="5"/>
    </row>
    <row r="33" spans="1:11" ht="18.75" customHeight="1" x14ac:dyDescent="0.6">
      <c r="A33" s="124" t="s">
        <v>52</v>
      </c>
      <c r="B33" s="121"/>
      <c r="C33" s="110"/>
      <c r="D33" s="554" t="s">
        <v>60</v>
      </c>
      <c r="E33" s="554"/>
      <c r="F33" s="554"/>
      <c r="G33" s="554"/>
      <c r="H33" s="554"/>
      <c r="I33" s="554"/>
      <c r="J33" s="554"/>
      <c r="K33" s="555"/>
    </row>
    <row r="34" spans="1:11" ht="18.75" customHeight="1" x14ac:dyDescent="0.35">
      <c r="A34" s="6"/>
      <c r="B34" s="13"/>
      <c r="C34" s="13"/>
      <c r="D34" s="556"/>
      <c r="E34" s="556"/>
      <c r="F34" s="556"/>
      <c r="G34" s="556"/>
      <c r="H34" s="556"/>
      <c r="I34" s="556"/>
      <c r="J34" s="556"/>
      <c r="K34" s="557"/>
    </row>
    <row r="35" spans="1:11" ht="18.75" customHeight="1" x14ac:dyDescent="0.35">
      <c r="A35" s="72"/>
      <c r="B35" s="73"/>
      <c r="C35" s="73"/>
      <c r="D35" s="74"/>
      <c r="E35" s="74"/>
      <c r="F35" s="74"/>
      <c r="G35" s="74"/>
      <c r="H35" s="73"/>
      <c r="I35" s="73"/>
      <c r="J35" s="75"/>
      <c r="K35" s="76"/>
    </row>
    <row r="36" spans="1:11" ht="18.75" customHeight="1" x14ac:dyDescent="0.25">
      <c r="A36" s="77"/>
      <c r="B36" s="78"/>
      <c r="C36" s="78"/>
      <c r="D36" s="78"/>
      <c r="E36" s="78"/>
      <c r="F36" s="78"/>
      <c r="G36" s="78"/>
      <c r="H36" s="78"/>
      <c r="I36" s="78"/>
      <c r="J36" s="78"/>
      <c r="K36" s="79"/>
    </row>
    <row r="37" spans="1:11" ht="18.75" customHeight="1" x14ac:dyDescent="0.25">
      <c r="A37" s="7"/>
      <c r="B37" s="8"/>
      <c r="C37" s="8"/>
      <c r="D37" s="8"/>
      <c r="E37" s="8"/>
      <c r="F37" s="8"/>
      <c r="G37" s="8"/>
      <c r="H37" s="8"/>
      <c r="I37" s="8"/>
      <c r="J37" s="8"/>
      <c r="K37" s="9"/>
    </row>
    <row r="38" spans="1:11" ht="20" x14ac:dyDescent="0.4">
      <c r="A38" s="20" t="s">
        <v>74</v>
      </c>
    </row>
  </sheetData>
  <sheetProtection sort="0" autoFilter="0"/>
  <dataConsolidate/>
  <mergeCells count="25">
    <mergeCell ref="F11:I11"/>
    <mergeCell ref="C2:K2"/>
    <mergeCell ref="C3:K3"/>
    <mergeCell ref="A4:K4"/>
    <mergeCell ref="C7:C8"/>
    <mergeCell ref="A8:B8"/>
    <mergeCell ref="A25:B25"/>
    <mergeCell ref="F12:I12"/>
    <mergeCell ref="F13:H13"/>
    <mergeCell ref="B15:K15"/>
    <mergeCell ref="B16:K16"/>
    <mergeCell ref="A17:B18"/>
    <mergeCell ref="A19:B19"/>
    <mergeCell ref="A20:B20"/>
    <mergeCell ref="A21:B21"/>
    <mergeCell ref="A22:B22"/>
    <mergeCell ref="A23:B23"/>
    <mergeCell ref="A24:B24"/>
    <mergeCell ref="D33:K34"/>
    <mergeCell ref="A26:B26"/>
    <mergeCell ref="A27:B27"/>
    <mergeCell ref="A28:B28"/>
    <mergeCell ref="A29:B29"/>
    <mergeCell ref="A30:B30"/>
    <mergeCell ref="A31:B31"/>
  </mergeCells>
  <conditionalFormatting sqref="C30">
    <cfRule type="cellIs" dxfId="0" priority="1" operator="equal">
      <formula>0</formula>
    </cfRule>
  </conditionalFormatting>
  <dataValidations count="1">
    <dataValidation allowBlank="1" showDropDown="1" showInputMessage="1" showErrorMessage="1" sqref="C9" xr:uid="{EB000E9E-CA83-46D8-B893-F1F112A20212}"/>
  </dataValidations>
  <printOptions horizontalCentered="1" verticalCentered="1"/>
  <pageMargins left="0" right="0" top="0" bottom="0" header="0" footer="0"/>
  <pageSetup paperSize="9" scale="12" orientation="landscape" r:id="rId1"/>
  <headerFooter alignWithMargins="0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1F6623-ADE9-477E-AD9F-F6AC7EBD7FF2}">
  <sheetPr codeName="Sheet4">
    <pageSetUpPr fitToPage="1"/>
  </sheetPr>
  <dimension ref="A1:N42"/>
  <sheetViews>
    <sheetView view="pageBreakPreview" zoomScale="71" zoomScaleNormal="71" zoomScaleSheetLayoutView="71" zoomScalePageLayoutView="50" workbookViewId="0">
      <selection activeCell="A23" sqref="A23:B23"/>
    </sheetView>
  </sheetViews>
  <sheetFormatPr defaultColWidth="7" defaultRowHeight="12.5" x14ac:dyDescent="0.25"/>
  <cols>
    <col min="1" max="1" width="4.54296875" style="1" customWidth="1"/>
    <col min="2" max="2" width="5.7265625" style="1" customWidth="1"/>
    <col min="3" max="3" width="99.26953125" style="1" customWidth="1"/>
    <col min="4" max="4" width="7.7265625" style="1" customWidth="1"/>
    <col min="5" max="5" width="24.453125" style="1" customWidth="1"/>
    <col min="6" max="6" width="15.26953125" style="1" customWidth="1"/>
    <col min="7" max="7" width="14.26953125" style="1" customWidth="1"/>
    <col min="8" max="8" width="16.7265625" style="1" customWidth="1"/>
    <col min="9" max="9" width="26.54296875" style="1" customWidth="1"/>
    <col min="10" max="10" width="17.54296875" style="1" customWidth="1"/>
    <col min="11" max="11" width="44.7265625" style="1" customWidth="1"/>
    <col min="12" max="16384" width="7" style="1"/>
  </cols>
  <sheetData>
    <row r="1" spans="1:14" ht="21" customHeight="1" x14ac:dyDescent="0.3">
      <c r="A1" s="44"/>
      <c r="B1" s="45"/>
      <c r="C1" s="45"/>
      <c r="D1" s="45"/>
      <c r="E1" s="45"/>
      <c r="F1" s="45"/>
      <c r="G1" s="45"/>
      <c r="H1" s="45"/>
      <c r="I1" s="45"/>
      <c r="J1" s="45"/>
      <c r="K1" s="87" t="s">
        <v>68</v>
      </c>
    </row>
    <row r="2" spans="1:14" ht="24.75" customHeight="1" x14ac:dyDescent="0.5">
      <c r="A2" s="83"/>
      <c r="B2" s="11"/>
      <c r="C2" s="542" t="s">
        <v>73</v>
      </c>
      <c r="D2" s="542"/>
      <c r="E2" s="542"/>
      <c r="F2" s="542"/>
      <c r="G2" s="542"/>
      <c r="H2" s="542"/>
      <c r="I2" s="542"/>
      <c r="J2" s="542"/>
      <c r="K2" s="543"/>
    </row>
    <row r="3" spans="1:14" ht="24.75" customHeight="1" x14ac:dyDescent="0.5">
      <c r="A3" s="12"/>
      <c r="B3" s="11"/>
      <c r="C3" s="544"/>
      <c r="D3" s="544"/>
      <c r="E3" s="544"/>
      <c r="F3" s="544"/>
      <c r="G3" s="544"/>
      <c r="H3" s="544"/>
      <c r="I3" s="544"/>
      <c r="J3" s="544"/>
      <c r="K3" s="545"/>
    </row>
    <row r="4" spans="1:14" ht="24.75" customHeight="1" x14ac:dyDescent="0.25">
      <c r="A4" s="546" t="s">
        <v>30</v>
      </c>
      <c r="B4" s="547"/>
      <c r="C4" s="547"/>
      <c r="D4" s="547"/>
      <c r="E4" s="547"/>
      <c r="F4" s="547"/>
      <c r="G4" s="547"/>
      <c r="H4" s="547"/>
      <c r="I4" s="547"/>
      <c r="J4" s="547"/>
      <c r="K4" s="548"/>
    </row>
    <row r="5" spans="1:14" ht="24.75" customHeight="1" x14ac:dyDescent="0.6">
      <c r="A5" s="66"/>
      <c r="B5" s="67"/>
      <c r="C5" s="54" t="s">
        <v>57</v>
      </c>
      <c r="D5" s="53"/>
      <c r="E5" s="53"/>
      <c r="F5" s="56"/>
      <c r="G5" s="56"/>
      <c r="H5" s="55"/>
      <c r="I5" s="53"/>
      <c r="J5" s="53"/>
      <c r="K5" s="68"/>
    </row>
    <row r="6" spans="1:14" s="13" customFormat="1" ht="24.75" customHeight="1" x14ac:dyDescent="0.4">
      <c r="A6" s="20"/>
      <c r="B6" s="21"/>
      <c r="C6" s="30"/>
      <c r="D6" s="36"/>
      <c r="E6" s="36"/>
      <c r="F6" s="36"/>
      <c r="G6" s="36"/>
      <c r="H6" s="36"/>
      <c r="I6" s="39"/>
      <c r="J6" s="33"/>
      <c r="K6" s="34"/>
    </row>
    <row r="7" spans="1:14" ht="16" customHeight="1" x14ac:dyDescent="0.4">
      <c r="A7" s="23"/>
      <c r="B7" s="21"/>
      <c r="C7" s="549"/>
      <c r="D7" s="21"/>
      <c r="E7" s="21"/>
      <c r="F7" s="21"/>
      <c r="G7" s="21"/>
      <c r="H7" s="21"/>
      <c r="I7" s="21"/>
      <c r="J7" s="21"/>
      <c r="K7" s="22"/>
    </row>
    <row r="8" spans="1:14" ht="26.15" customHeight="1" x14ac:dyDescent="0.4">
      <c r="A8" s="550"/>
      <c r="B8" s="551"/>
      <c r="C8" s="549"/>
      <c r="D8" s="25"/>
      <c r="E8" s="25"/>
      <c r="F8" s="25"/>
      <c r="G8" s="25"/>
      <c r="H8" s="25"/>
      <c r="I8" s="25"/>
      <c r="J8" s="25"/>
      <c r="K8" s="26"/>
    </row>
    <row r="9" spans="1:14" ht="26.15" customHeight="1" x14ac:dyDescent="0.4">
      <c r="A9" s="46"/>
      <c r="B9" s="47"/>
      <c r="C9" s="24"/>
      <c r="D9" s="25"/>
      <c r="E9" s="25"/>
      <c r="F9" s="25"/>
      <c r="G9" s="25"/>
      <c r="H9" s="25"/>
      <c r="I9" s="25"/>
      <c r="J9" s="25"/>
      <c r="K9" s="26"/>
    </row>
    <row r="10" spans="1:14" ht="24.75" customHeight="1" x14ac:dyDescent="0.4">
      <c r="A10" s="27"/>
      <c r="B10" s="25"/>
      <c r="C10" s="43"/>
      <c r="D10" s="25"/>
      <c r="E10" s="25"/>
      <c r="F10" s="80" t="s">
        <v>31</v>
      </c>
      <c r="G10" s="80"/>
      <c r="H10" s="25"/>
      <c r="I10" s="80"/>
      <c r="J10" s="80"/>
      <c r="K10" s="26"/>
    </row>
    <row r="11" spans="1:14" ht="24.75" customHeight="1" x14ac:dyDescent="0.4">
      <c r="A11" s="27"/>
      <c r="B11" s="25"/>
      <c r="C11" s="43"/>
      <c r="D11" s="25"/>
      <c r="E11" s="25"/>
      <c r="F11" s="568" t="s">
        <v>32</v>
      </c>
      <c r="G11" s="568"/>
      <c r="H11" s="568"/>
      <c r="I11" s="568"/>
      <c r="J11" s="80"/>
      <c r="K11" s="26"/>
    </row>
    <row r="12" spans="1:14" ht="24.75" customHeight="1" x14ac:dyDescent="0.5">
      <c r="A12" s="29"/>
      <c r="B12" s="21"/>
      <c r="C12" s="21"/>
      <c r="D12" s="21"/>
      <c r="E12" s="21"/>
      <c r="F12" s="568" t="s">
        <v>33</v>
      </c>
      <c r="G12" s="568"/>
      <c r="H12" s="568"/>
      <c r="I12" s="568"/>
      <c r="J12" s="82"/>
      <c r="K12" s="60"/>
    </row>
    <row r="13" spans="1:14" ht="24.75" customHeight="1" x14ac:dyDescent="0.5">
      <c r="A13" s="29"/>
      <c r="B13" s="21"/>
      <c r="C13" s="21"/>
      <c r="D13" s="21"/>
      <c r="E13" s="21"/>
      <c r="F13" s="569" t="s">
        <v>34</v>
      </c>
      <c r="G13" s="569"/>
      <c r="H13" s="569"/>
      <c r="I13" s="84"/>
      <c r="J13" s="25"/>
      <c r="K13" s="60"/>
    </row>
    <row r="14" spans="1:14" ht="24.75" customHeight="1" x14ac:dyDescent="0.5">
      <c r="A14" s="29"/>
      <c r="B14" s="21"/>
      <c r="C14" s="21"/>
      <c r="D14" s="21"/>
      <c r="E14" s="21"/>
      <c r="F14" s="21"/>
      <c r="G14" s="21"/>
      <c r="H14" s="21"/>
      <c r="I14" s="21"/>
      <c r="J14" s="25"/>
      <c r="K14" s="28"/>
    </row>
    <row r="15" spans="1:14" ht="24.75" customHeight="1" x14ac:dyDescent="0.5">
      <c r="A15" s="57"/>
      <c r="B15" s="570" t="s">
        <v>35</v>
      </c>
      <c r="C15" s="570"/>
      <c r="D15" s="570"/>
      <c r="E15" s="570"/>
      <c r="F15" s="570"/>
      <c r="G15" s="570"/>
      <c r="H15" s="570"/>
      <c r="I15" s="570"/>
      <c r="J15" s="570"/>
      <c r="K15" s="571"/>
      <c r="L15" s="59"/>
      <c r="M15" s="59"/>
      <c r="N15" s="59"/>
    </row>
    <row r="16" spans="1:14" ht="24.75" customHeight="1" x14ac:dyDescent="0.5">
      <c r="A16" s="58"/>
      <c r="B16" s="572" t="s">
        <v>36</v>
      </c>
      <c r="C16" s="572"/>
      <c r="D16" s="572"/>
      <c r="E16" s="572"/>
      <c r="F16" s="572"/>
      <c r="G16" s="572"/>
      <c r="H16" s="572"/>
      <c r="I16" s="572"/>
      <c r="J16" s="572"/>
      <c r="K16" s="573"/>
      <c r="L16" s="59"/>
      <c r="M16" s="59"/>
      <c r="N16" s="59"/>
    </row>
    <row r="17" spans="1:11" ht="65.25" customHeight="1" x14ac:dyDescent="0.25">
      <c r="A17" s="558" t="s">
        <v>59</v>
      </c>
      <c r="B17" s="559"/>
      <c r="C17" s="112" t="s">
        <v>37</v>
      </c>
      <c r="D17" s="17" t="s">
        <v>24</v>
      </c>
      <c r="E17" s="111" t="s">
        <v>66</v>
      </c>
      <c r="F17" s="17" t="s">
        <v>39</v>
      </c>
      <c r="G17" s="111" t="s">
        <v>40</v>
      </c>
      <c r="H17" s="81" t="s">
        <v>41</v>
      </c>
      <c r="I17" s="113" t="s">
        <v>42</v>
      </c>
      <c r="J17" s="35" t="s">
        <v>43</v>
      </c>
      <c r="K17" s="114" t="s">
        <v>195</v>
      </c>
    </row>
    <row r="18" spans="1:11" s="19" customFormat="1" ht="64.5" customHeight="1" x14ac:dyDescent="0.25">
      <c r="A18" s="560"/>
      <c r="B18" s="561"/>
      <c r="C18" s="32"/>
      <c r="D18" s="18" t="s">
        <v>26</v>
      </c>
      <c r="E18" s="18" t="s">
        <v>67</v>
      </c>
      <c r="F18" s="18" t="s">
        <v>45</v>
      </c>
      <c r="G18" s="18" t="s">
        <v>46</v>
      </c>
      <c r="H18" s="41" t="s">
        <v>47</v>
      </c>
      <c r="I18" s="40" t="s">
        <v>48</v>
      </c>
      <c r="J18" s="51" t="s">
        <v>193</v>
      </c>
      <c r="K18" s="18" t="s">
        <v>194</v>
      </c>
    </row>
    <row r="19" spans="1:11" s="2" customFormat="1" ht="43.5" customHeight="1" x14ac:dyDescent="0.35">
      <c r="A19" s="566">
        <v>1</v>
      </c>
      <c r="B19" s="567"/>
      <c r="C19" s="115" t="s">
        <v>21</v>
      </c>
      <c r="D19" s="85" t="s">
        <v>16</v>
      </c>
      <c r="E19" s="61"/>
      <c r="F19" s="37"/>
      <c r="G19" s="37"/>
      <c r="H19" s="15"/>
      <c r="I19" s="15"/>
      <c r="J19" s="16"/>
      <c r="K19" s="52"/>
    </row>
    <row r="20" spans="1:11" s="2" customFormat="1" ht="43.5" customHeight="1" x14ac:dyDescent="0.35">
      <c r="A20" s="566">
        <v>2</v>
      </c>
      <c r="B20" s="567"/>
      <c r="C20" s="116" t="s">
        <v>28</v>
      </c>
      <c r="D20" s="62" t="s">
        <v>50</v>
      </c>
      <c r="E20" s="64"/>
      <c r="F20" s="48"/>
      <c r="G20" s="48"/>
      <c r="H20" s="15"/>
      <c r="I20" s="15"/>
      <c r="J20" s="16"/>
      <c r="K20" s="52"/>
    </row>
    <row r="21" spans="1:11" s="2" customFormat="1" ht="43.5" customHeight="1" x14ac:dyDescent="0.35">
      <c r="A21" s="566">
        <v>3</v>
      </c>
      <c r="B21" s="567"/>
      <c r="C21" s="116" t="s">
        <v>0</v>
      </c>
      <c r="D21" s="86" t="s">
        <v>20</v>
      </c>
      <c r="E21" s="61"/>
      <c r="F21" s="14"/>
      <c r="G21" s="14"/>
      <c r="H21" s="15"/>
      <c r="I21" s="15"/>
      <c r="J21" s="16"/>
      <c r="K21" s="52"/>
    </row>
    <row r="22" spans="1:11" s="2" customFormat="1" ht="43.5" customHeight="1" x14ac:dyDescent="0.35">
      <c r="A22" s="566" t="s">
        <v>8</v>
      </c>
      <c r="B22" s="567"/>
      <c r="C22" s="104" t="s">
        <v>69</v>
      </c>
      <c r="D22" s="62" t="s">
        <v>50</v>
      </c>
      <c r="E22" s="61"/>
      <c r="F22" s="14"/>
      <c r="G22" s="14"/>
      <c r="H22" s="15"/>
      <c r="I22" s="15"/>
      <c r="J22" s="16"/>
      <c r="K22" s="52"/>
    </row>
    <row r="23" spans="1:11" s="2" customFormat="1" ht="43.5" customHeight="1" x14ac:dyDescent="0.35">
      <c r="A23" s="566" t="s">
        <v>9</v>
      </c>
      <c r="B23" s="567"/>
      <c r="C23" s="104" t="s">
        <v>70</v>
      </c>
      <c r="D23" s="62" t="s">
        <v>50</v>
      </c>
      <c r="E23" s="61"/>
      <c r="F23" s="14"/>
      <c r="G23" s="14"/>
      <c r="H23" s="15"/>
      <c r="I23" s="15"/>
      <c r="J23" s="16"/>
      <c r="K23" s="52"/>
    </row>
    <row r="24" spans="1:11" s="2" customFormat="1" ht="43.5" customHeight="1" x14ac:dyDescent="0.35">
      <c r="A24" s="566">
        <v>9</v>
      </c>
      <c r="B24" s="567"/>
      <c r="C24" s="106" t="s">
        <v>22</v>
      </c>
      <c r="D24" s="63" t="s">
        <v>23</v>
      </c>
      <c r="E24" s="65"/>
      <c r="F24" s="14"/>
      <c r="G24" s="14"/>
      <c r="H24" s="15"/>
      <c r="I24" s="15"/>
      <c r="J24" s="16"/>
      <c r="K24" s="52"/>
    </row>
    <row r="25" spans="1:11" s="2" customFormat="1" ht="43.5" customHeight="1" x14ac:dyDescent="0.35">
      <c r="A25" s="117"/>
      <c r="B25" s="118"/>
      <c r="C25" s="106"/>
      <c r="D25" s="65"/>
      <c r="E25" s="65"/>
      <c r="F25" s="14"/>
      <c r="G25" s="14"/>
      <c r="H25" s="15"/>
      <c r="I25" s="15"/>
      <c r="J25" s="16"/>
      <c r="K25" s="52"/>
    </row>
    <row r="26" spans="1:11" s="2" customFormat="1" ht="43.5" customHeight="1" x14ac:dyDescent="0.35">
      <c r="A26" s="117"/>
      <c r="B26" s="118"/>
      <c r="C26" s="106"/>
      <c r="D26" s="65"/>
      <c r="E26" s="65"/>
      <c r="F26" s="14"/>
      <c r="G26" s="14"/>
      <c r="H26" s="15"/>
      <c r="I26" s="15"/>
      <c r="J26" s="16"/>
      <c r="K26" s="52"/>
    </row>
    <row r="27" spans="1:11" s="2" customFormat="1" ht="43.5" customHeight="1" x14ac:dyDescent="0.35">
      <c r="A27" s="117"/>
      <c r="B27" s="118"/>
      <c r="C27" s="106"/>
      <c r="D27" s="65"/>
      <c r="E27" s="65"/>
      <c r="F27" s="14"/>
      <c r="G27" s="14"/>
      <c r="H27" s="15"/>
      <c r="I27" s="15"/>
      <c r="J27" s="16"/>
      <c r="K27" s="52"/>
    </row>
    <row r="28" spans="1:11" s="2" customFormat="1" ht="43.5" customHeight="1" x14ac:dyDescent="0.35">
      <c r="A28" s="117"/>
      <c r="B28" s="118"/>
      <c r="C28" s="106"/>
      <c r="D28" s="65"/>
      <c r="E28" s="65"/>
      <c r="F28" s="14"/>
      <c r="G28" s="14"/>
      <c r="H28" s="15"/>
      <c r="I28" s="15"/>
      <c r="J28" s="16"/>
      <c r="K28" s="52"/>
    </row>
    <row r="29" spans="1:11" s="2" customFormat="1" ht="43.5" customHeight="1" x14ac:dyDescent="0.35">
      <c r="A29" s="579" t="s">
        <v>51</v>
      </c>
      <c r="B29" s="580"/>
      <c r="C29" s="109"/>
      <c r="D29" s="14" t="s">
        <v>51</v>
      </c>
      <c r="E29" s="14"/>
      <c r="F29" s="14"/>
      <c r="G29" s="14"/>
      <c r="H29" s="15"/>
      <c r="I29" s="15"/>
      <c r="J29" s="16"/>
      <c r="K29" s="52"/>
    </row>
    <row r="30" spans="1:11" ht="13.5" customHeight="1" x14ac:dyDescent="0.35">
      <c r="A30" s="3"/>
      <c r="B30" s="4"/>
      <c r="C30" s="4"/>
      <c r="D30" s="42"/>
      <c r="E30" s="42"/>
      <c r="F30" s="42"/>
      <c r="G30" s="42"/>
      <c r="H30" s="4"/>
      <c r="I30" s="4"/>
      <c r="J30" s="4"/>
      <c r="K30" s="5"/>
    </row>
    <row r="31" spans="1:11" ht="18.75" customHeight="1" x14ac:dyDescent="0.4">
      <c r="A31" s="69" t="s">
        <v>52</v>
      </c>
      <c r="B31" s="70"/>
      <c r="C31" s="71"/>
      <c r="D31" s="554" t="s">
        <v>60</v>
      </c>
      <c r="E31" s="554"/>
      <c r="F31" s="554"/>
      <c r="G31" s="554"/>
      <c r="H31" s="554"/>
      <c r="I31" s="554"/>
      <c r="J31" s="554"/>
      <c r="K31" s="555"/>
    </row>
    <row r="32" spans="1:11" ht="18.75" customHeight="1" x14ac:dyDescent="0.35">
      <c r="A32" s="6"/>
      <c r="B32" s="13"/>
      <c r="C32" s="13"/>
      <c r="D32" s="556"/>
      <c r="E32" s="556"/>
      <c r="F32" s="556"/>
      <c r="G32" s="556"/>
      <c r="H32" s="556"/>
      <c r="I32" s="556"/>
      <c r="J32" s="556"/>
      <c r="K32" s="557"/>
    </row>
    <row r="33" spans="1:11" ht="18.75" customHeight="1" x14ac:dyDescent="0.35">
      <c r="A33" s="72"/>
      <c r="B33" s="73"/>
      <c r="C33" s="73"/>
      <c r="D33" s="74"/>
      <c r="E33" s="74"/>
      <c r="F33" s="74"/>
      <c r="G33" s="74"/>
      <c r="H33" s="73"/>
      <c r="I33" s="73"/>
      <c r="J33" s="75"/>
      <c r="K33" s="76"/>
    </row>
    <row r="34" spans="1:11" ht="18.75" customHeight="1" x14ac:dyDescent="0.25">
      <c r="A34" s="77"/>
      <c r="B34" s="78"/>
      <c r="C34" s="78"/>
      <c r="D34" s="78"/>
      <c r="E34" s="78"/>
      <c r="F34" s="78"/>
      <c r="G34" s="78"/>
      <c r="H34" s="78"/>
      <c r="I34" s="78"/>
      <c r="J34" s="78"/>
      <c r="K34" s="79"/>
    </row>
    <row r="35" spans="1:11" ht="18.75" customHeight="1" x14ac:dyDescent="0.25">
      <c r="A35" s="77"/>
      <c r="B35" s="78"/>
      <c r="C35" s="78"/>
      <c r="D35" s="78"/>
      <c r="E35" s="78"/>
      <c r="F35" s="78"/>
      <c r="G35" s="78"/>
      <c r="H35" s="78"/>
      <c r="I35" s="78"/>
      <c r="J35" s="78"/>
      <c r="K35" s="79"/>
    </row>
    <row r="36" spans="1:11" ht="18.75" customHeight="1" x14ac:dyDescent="0.25">
      <c r="A36" s="77"/>
      <c r="B36" s="78"/>
      <c r="C36" s="78"/>
      <c r="D36" s="78"/>
      <c r="E36" s="78"/>
      <c r="F36" s="78"/>
      <c r="G36" s="78"/>
      <c r="H36" s="78"/>
      <c r="I36" s="78"/>
      <c r="J36" s="78"/>
      <c r="K36" s="79"/>
    </row>
    <row r="37" spans="1:11" ht="18.75" customHeight="1" x14ac:dyDescent="0.25">
      <c r="A37" s="77"/>
      <c r="B37" s="78"/>
      <c r="C37" s="78"/>
      <c r="D37" s="78"/>
      <c r="E37" s="78"/>
      <c r="F37" s="78"/>
      <c r="G37" s="78"/>
      <c r="H37" s="78"/>
      <c r="I37" s="78"/>
      <c r="J37" s="78"/>
      <c r="K37" s="79"/>
    </row>
    <row r="38" spans="1:11" ht="18.75" customHeight="1" x14ac:dyDescent="0.25">
      <c r="A38" s="77"/>
      <c r="B38" s="78"/>
      <c r="C38" s="78"/>
      <c r="D38" s="78"/>
      <c r="E38" s="78"/>
      <c r="F38" s="78"/>
      <c r="G38" s="78"/>
      <c r="H38" s="78"/>
      <c r="I38" s="78"/>
      <c r="J38" s="78"/>
      <c r="K38" s="79"/>
    </row>
    <row r="39" spans="1:11" ht="18.75" customHeight="1" x14ac:dyDescent="0.25">
      <c r="A39" s="7"/>
      <c r="B39" s="8"/>
      <c r="C39" s="8"/>
      <c r="D39" s="8"/>
      <c r="E39" s="8"/>
      <c r="F39" s="8"/>
      <c r="G39" s="8"/>
      <c r="H39" s="8"/>
      <c r="I39" s="8"/>
      <c r="J39" s="8"/>
      <c r="K39" s="9"/>
    </row>
    <row r="40" spans="1:11" ht="18.75" customHeight="1" x14ac:dyDescent="0.25">
      <c r="A40" s="12"/>
      <c r="K40" s="10"/>
    </row>
    <row r="41" spans="1:11" ht="18.75" customHeight="1" x14ac:dyDescent="0.4">
      <c r="A41" s="20" t="s">
        <v>71</v>
      </c>
      <c r="K41" s="10"/>
    </row>
    <row r="42" spans="1:11" ht="18.75" customHeight="1" x14ac:dyDescent="0.25">
      <c r="A42" s="7"/>
      <c r="B42" s="8"/>
      <c r="C42" s="8"/>
      <c r="D42" s="8"/>
      <c r="E42" s="8"/>
      <c r="F42" s="8"/>
      <c r="G42" s="8"/>
      <c r="H42" s="8"/>
      <c r="I42" s="8"/>
      <c r="J42" s="8"/>
      <c r="K42" s="9"/>
    </row>
  </sheetData>
  <sheetProtection sort="0" autoFilter="0"/>
  <dataConsolidate/>
  <mergeCells count="19">
    <mergeCell ref="A19:B19"/>
    <mergeCell ref="C2:K2"/>
    <mergeCell ref="C3:K3"/>
    <mergeCell ref="A4:K4"/>
    <mergeCell ref="C7:C8"/>
    <mergeCell ref="A8:B8"/>
    <mergeCell ref="F11:I11"/>
    <mergeCell ref="F12:I12"/>
    <mergeCell ref="F13:H13"/>
    <mergeCell ref="B15:K15"/>
    <mergeCell ref="B16:K16"/>
    <mergeCell ref="A17:B18"/>
    <mergeCell ref="D31:K32"/>
    <mergeCell ref="A24:B24"/>
    <mergeCell ref="A29:B29"/>
    <mergeCell ref="A20:B20"/>
    <mergeCell ref="A21:B21"/>
    <mergeCell ref="A22:B22"/>
    <mergeCell ref="A23:B23"/>
  </mergeCells>
  <dataValidations disablePrompts="1" count="1">
    <dataValidation allowBlank="1" showDropDown="1" showInputMessage="1" showErrorMessage="1" sqref="C9" xr:uid="{613CCD6F-FED7-4C89-9A2A-D908AC6E5723}"/>
  </dataValidations>
  <printOptions horizontalCentered="1" verticalCentered="1"/>
  <pageMargins left="0.25" right="0.25" top="0.25" bottom="0.25" header="0" footer="0"/>
  <pageSetup paperSize="9" scale="45" orientation="landscape" r:id="rId1"/>
  <headerFooter alignWithMargins="0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35F4AF-8D95-46E8-AD57-8C7C2F67D9F7}">
  <sheetPr codeName="Sheet6">
    <pageSetUpPr fitToPage="1"/>
  </sheetPr>
  <dimension ref="A1:N41"/>
  <sheetViews>
    <sheetView view="pageBreakPreview" zoomScale="71" zoomScaleNormal="71" zoomScaleSheetLayoutView="71" zoomScalePageLayoutView="50" workbookViewId="0">
      <selection activeCell="C22" sqref="C22"/>
    </sheetView>
  </sheetViews>
  <sheetFormatPr defaultColWidth="7" defaultRowHeight="12.5" x14ac:dyDescent="0.25"/>
  <cols>
    <col min="1" max="1" width="4.54296875" style="1" customWidth="1"/>
    <col min="2" max="2" width="5.7265625" style="1" customWidth="1"/>
    <col min="3" max="3" width="99.26953125" style="1" customWidth="1"/>
    <col min="4" max="4" width="7.7265625" style="1" customWidth="1"/>
    <col min="5" max="5" width="24.453125" style="1" customWidth="1"/>
    <col min="6" max="6" width="15.26953125" style="1" customWidth="1"/>
    <col min="7" max="7" width="14.26953125" style="1" customWidth="1"/>
    <col min="8" max="8" width="16.7265625" style="1" customWidth="1"/>
    <col min="9" max="9" width="26.54296875" style="1" customWidth="1"/>
    <col min="10" max="10" width="17.54296875" style="1" customWidth="1"/>
    <col min="11" max="11" width="44.7265625" style="1" customWidth="1"/>
    <col min="12" max="16384" width="7" style="1"/>
  </cols>
  <sheetData>
    <row r="1" spans="1:14" ht="21" customHeight="1" x14ac:dyDescent="0.3">
      <c r="A1" s="44"/>
      <c r="B1" s="45"/>
      <c r="C1" s="45"/>
      <c r="D1" s="45"/>
      <c r="E1" s="45"/>
      <c r="F1" s="45"/>
      <c r="G1" s="45"/>
      <c r="H1" s="45"/>
      <c r="I1" s="45"/>
      <c r="J1" s="45"/>
      <c r="K1" s="87" t="s">
        <v>68</v>
      </c>
    </row>
    <row r="2" spans="1:14" ht="24.75" customHeight="1" x14ac:dyDescent="0.5">
      <c r="A2" s="83"/>
      <c r="B2" s="11"/>
      <c r="C2" s="542" t="s">
        <v>73</v>
      </c>
      <c r="D2" s="542"/>
      <c r="E2" s="542"/>
      <c r="F2" s="542"/>
      <c r="G2" s="542"/>
      <c r="H2" s="542"/>
      <c r="I2" s="542"/>
      <c r="J2" s="542"/>
      <c r="K2" s="543"/>
    </row>
    <row r="3" spans="1:14" ht="24.75" customHeight="1" x14ac:dyDescent="0.5">
      <c r="A3" s="12"/>
      <c r="B3" s="11"/>
      <c r="C3" s="544"/>
      <c r="D3" s="544"/>
      <c r="E3" s="544"/>
      <c r="F3" s="544"/>
      <c r="G3" s="544"/>
      <c r="H3" s="544"/>
      <c r="I3" s="544"/>
      <c r="J3" s="544"/>
      <c r="K3" s="545"/>
    </row>
    <row r="4" spans="1:14" ht="24.75" customHeight="1" x14ac:dyDescent="0.25">
      <c r="A4" s="546" t="s">
        <v>30</v>
      </c>
      <c r="B4" s="547"/>
      <c r="C4" s="547"/>
      <c r="D4" s="547"/>
      <c r="E4" s="547"/>
      <c r="F4" s="547"/>
      <c r="G4" s="547"/>
      <c r="H4" s="547"/>
      <c r="I4" s="547"/>
      <c r="J4" s="547"/>
      <c r="K4" s="548"/>
    </row>
    <row r="5" spans="1:14" ht="24.75" customHeight="1" x14ac:dyDescent="0.6">
      <c r="A5" s="66"/>
      <c r="B5" s="67"/>
      <c r="C5" s="54" t="s">
        <v>58</v>
      </c>
      <c r="D5" s="53"/>
      <c r="E5" s="53"/>
      <c r="F5" s="56"/>
      <c r="G5" s="56"/>
      <c r="H5" s="55"/>
      <c r="I5" s="53"/>
      <c r="J5" s="53"/>
      <c r="K5" s="68"/>
    </row>
    <row r="6" spans="1:14" s="13" customFormat="1" ht="24.75" customHeight="1" x14ac:dyDescent="0.4">
      <c r="A6" s="20"/>
      <c r="B6" s="21"/>
      <c r="C6" s="30"/>
      <c r="D6" s="36"/>
      <c r="E6" s="36"/>
      <c r="F6" s="36"/>
      <c r="G6" s="36"/>
      <c r="H6" s="36"/>
      <c r="I6" s="39"/>
      <c r="J6" s="33"/>
      <c r="K6" s="34"/>
    </row>
    <row r="7" spans="1:14" ht="16" customHeight="1" x14ac:dyDescent="0.4">
      <c r="A7" s="23"/>
      <c r="B7" s="21"/>
      <c r="C7" s="549"/>
      <c r="D7" s="21"/>
      <c r="E7" s="21"/>
      <c r="F7" s="21"/>
      <c r="G7" s="21"/>
      <c r="H7" s="21"/>
      <c r="I7" s="21"/>
      <c r="J7" s="21"/>
      <c r="K7" s="22"/>
    </row>
    <row r="8" spans="1:14" ht="26.15" customHeight="1" x14ac:dyDescent="0.4">
      <c r="A8" s="550"/>
      <c r="B8" s="551"/>
      <c r="C8" s="549"/>
      <c r="D8" s="25"/>
      <c r="E8" s="25"/>
      <c r="F8" s="25"/>
      <c r="G8" s="25"/>
      <c r="H8" s="25"/>
      <c r="I8" s="25"/>
      <c r="J8" s="25"/>
      <c r="K8" s="26"/>
    </row>
    <row r="9" spans="1:14" ht="26.15" customHeight="1" x14ac:dyDescent="0.4">
      <c r="A9" s="46"/>
      <c r="B9" s="47"/>
      <c r="C9" s="24"/>
      <c r="D9" s="25"/>
      <c r="E9" s="25"/>
      <c r="F9" s="25"/>
      <c r="G9" s="25"/>
      <c r="H9" s="25"/>
      <c r="I9" s="25"/>
      <c r="J9" s="25"/>
      <c r="K9" s="26"/>
    </row>
    <row r="10" spans="1:14" ht="24.75" customHeight="1" x14ac:dyDescent="0.4">
      <c r="A10" s="27"/>
      <c r="B10" s="25"/>
      <c r="C10" s="43"/>
      <c r="D10" s="25"/>
      <c r="E10" s="25"/>
      <c r="F10" s="80" t="s">
        <v>31</v>
      </c>
      <c r="G10" s="80"/>
      <c r="H10" s="25"/>
      <c r="I10" s="80"/>
      <c r="J10" s="80"/>
      <c r="K10" s="26"/>
    </row>
    <row r="11" spans="1:14" ht="24.75" customHeight="1" x14ac:dyDescent="0.4">
      <c r="A11" s="27"/>
      <c r="B11" s="25"/>
      <c r="C11" s="43"/>
      <c r="D11" s="25"/>
      <c r="E11" s="25"/>
      <c r="F11" s="568" t="s">
        <v>32</v>
      </c>
      <c r="G11" s="568"/>
      <c r="H11" s="568"/>
      <c r="I11" s="568"/>
      <c r="J11" s="80"/>
      <c r="K11" s="26"/>
    </row>
    <row r="12" spans="1:14" ht="24.75" customHeight="1" x14ac:dyDescent="0.5">
      <c r="A12" s="29"/>
      <c r="B12" s="21"/>
      <c r="C12" s="21"/>
      <c r="D12" s="21"/>
      <c r="E12" s="21"/>
      <c r="F12" s="568" t="s">
        <v>33</v>
      </c>
      <c r="G12" s="568"/>
      <c r="H12" s="568"/>
      <c r="I12" s="568"/>
      <c r="J12" s="82"/>
      <c r="K12" s="60"/>
    </row>
    <row r="13" spans="1:14" ht="24.75" customHeight="1" x14ac:dyDescent="0.5">
      <c r="A13" s="29"/>
      <c r="B13" s="21"/>
      <c r="C13" s="21"/>
      <c r="D13" s="21"/>
      <c r="E13" s="21"/>
      <c r="F13" s="569" t="s">
        <v>34</v>
      </c>
      <c r="G13" s="569"/>
      <c r="H13" s="569"/>
      <c r="I13" s="84"/>
      <c r="J13" s="25"/>
      <c r="K13" s="60"/>
    </row>
    <row r="14" spans="1:14" ht="24.75" customHeight="1" x14ac:dyDescent="0.5">
      <c r="A14" s="29"/>
      <c r="B14" s="21"/>
      <c r="C14" s="21"/>
      <c r="D14" s="21"/>
      <c r="E14" s="21"/>
      <c r="F14" s="21"/>
      <c r="G14" s="21"/>
      <c r="H14" s="21"/>
      <c r="I14" s="21"/>
      <c r="J14" s="25"/>
      <c r="K14" s="28"/>
    </row>
    <row r="15" spans="1:14" ht="24.75" customHeight="1" x14ac:dyDescent="0.5">
      <c r="A15" s="57"/>
      <c r="B15" s="570" t="s">
        <v>35</v>
      </c>
      <c r="C15" s="570"/>
      <c r="D15" s="570"/>
      <c r="E15" s="570"/>
      <c r="F15" s="570"/>
      <c r="G15" s="570"/>
      <c r="H15" s="570"/>
      <c r="I15" s="570"/>
      <c r="J15" s="570"/>
      <c r="K15" s="571"/>
      <c r="L15" s="59"/>
      <c r="M15" s="59"/>
      <c r="N15" s="59"/>
    </row>
    <row r="16" spans="1:14" ht="24.75" customHeight="1" x14ac:dyDescent="0.5">
      <c r="A16" s="58"/>
      <c r="B16" s="572" t="s">
        <v>36</v>
      </c>
      <c r="C16" s="572"/>
      <c r="D16" s="572"/>
      <c r="E16" s="572"/>
      <c r="F16" s="572"/>
      <c r="G16" s="572"/>
      <c r="H16" s="572"/>
      <c r="I16" s="572"/>
      <c r="J16" s="572"/>
      <c r="K16" s="573"/>
      <c r="L16" s="59"/>
      <c r="M16" s="59"/>
      <c r="N16" s="59"/>
    </row>
    <row r="17" spans="1:11" ht="65.25" customHeight="1" x14ac:dyDescent="0.25">
      <c r="A17" s="558" t="s">
        <v>59</v>
      </c>
      <c r="B17" s="559"/>
      <c r="C17" s="112" t="s">
        <v>37</v>
      </c>
      <c r="D17" s="17" t="s">
        <v>24</v>
      </c>
      <c r="E17" s="111" t="s">
        <v>66</v>
      </c>
      <c r="F17" s="17" t="s">
        <v>39</v>
      </c>
      <c r="G17" s="111" t="s">
        <v>40</v>
      </c>
      <c r="H17" s="81" t="s">
        <v>41</v>
      </c>
      <c r="I17" s="113" t="s">
        <v>42</v>
      </c>
      <c r="J17" s="35" t="s">
        <v>43</v>
      </c>
      <c r="K17" s="114" t="s">
        <v>195</v>
      </c>
    </row>
    <row r="18" spans="1:11" s="19" customFormat="1" ht="64.5" customHeight="1" x14ac:dyDescent="0.25">
      <c r="A18" s="560"/>
      <c r="B18" s="561"/>
      <c r="C18" s="32"/>
      <c r="D18" s="18" t="s">
        <v>26</v>
      </c>
      <c r="E18" s="18" t="s">
        <v>67</v>
      </c>
      <c r="F18" s="18" t="s">
        <v>45</v>
      </c>
      <c r="G18" s="18" t="s">
        <v>46</v>
      </c>
      <c r="H18" s="41" t="s">
        <v>47</v>
      </c>
      <c r="I18" s="40" t="s">
        <v>48</v>
      </c>
      <c r="J18" s="51" t="s">
        <v>193</v>
      </c>
      <c r="K18" s="18" t="s">
        <v>194</v>
      </c>
    </row>
    <row r="19" spans="1:11" s="2" customFormat="1" ht="43.5" customHeight="1" x14ac:dyDescent="0.35">
      <c r="A19" s="566">
        <v>1</v>
      </c>
      <c r="B19" s="567"/>
      <c r="C19" s="115" t="s">
        <v>21</v>
      </c>
      <c r="D19" s="85" t="s">
        <v>16</v>
      </c>
      <c r="E19" s="61"/>
      <c r="F19" s="37"/>
      <c r="G19" s="37"/>
      <c r="H19" s="15"/>
      <c r="I19" s="15"/>
      <c r="J19" s="16"/>
      <c r="K19" s="52"/>
    </row>
    <row r="20" spans="1:11" s="2" customFormat="1" ht="43.5" customHeight="1" x14ac:dyDescent="0.35">
      <c r="A20" s="566">
        <v>2</v>
      </c>
      <c r="B20" s="567"/>
      <c r="C20" s="116" t="s">
        <v>28</v>
      </c>
      <c r="D20" s="62" t="s">
        <v>50</v>
      </c>
      <c r="E20" s="64"/>
      <c r="F20" s="48"/>
      <c r="G20" s="48"/>
      <c r="H20" s="15"/>
      <c r="I20" s="15"/>
      <c r="J20" s="16"/>
      <c r="K20" s="52"/>
    </row>
    <row r="21" spans="1:11" s="2" customFormat="1" ht="43.5" customHeight="1" x14ac:dyDescent="0.35">
      <c r="A21" s="566">
        <v>3</v>
      </c>
      <c r="B21" s="567"/>
      <c r="C21" s="116" t="s">
        <v>0</v>
      </c>
      <c r="D21" s="86" t="s">
        <v>20</v>
      </c>
      <c r="E21" s="61"/>
      <c r="F21" s="14"/>
      <c r="G21" s="14"/>
      <c r="H21" s="15"/>
      <c r="I21" s="15"/>
      <c r="J21" s="16"/>
      <c r="K21" s="52"/>
    </row>
    <row r="22" spans="1:11" s="2" customFormat="1" ht="43.5" customHeight="1" x14ac:dyDescent="0.35">
      <c r="A22" s="566">
        <v>4</v>
      </c>
      <c r="B22" s="567"/>
      <c r="C22" s="104" t="s">
        <v>29</v>
      </c>
      <c r="D22" s="62" t="s">
        <v>50</v>
      </c>
      <c r="E22" s="61"/>
      <c r="F22" s="14"/>
      <c r="G22" s="14"/>
      <c r="H22" s="15"/>
      <c r="I22" s="15"/>
      <c r="J22" s="16"/>
      <c r="K22" s="52"/>
    </row>
    <row r="23" spans="1:11" s="2" customFormat="1" ht="43.5" customHeight="1" x14ac:dyDescent="0.35">
      <c r="A23" s="566" t="s">
        <v>10</v>
      </c>
      <c r="B23" s="567"/>
      <c r="C23" s="104" t="s">
        <v>54</v>
      </c>
      <c r="D23" s="62" t="s">
        <v>50</v>
      </c>
      <c r="E23" s="61"/>
      <c r="F23" s="37"/>
      <c r="G23" s="37"/>
      <c r="H23" s="15"/>
      <c r="I23" s="15"/>
      <c r="J23" s="16"/>
      <c r="K23" s="52"/>
    </row>
    <row r="24" spans="1:11" s="2" customFormat="1" ht="43.5" customHeight="1" x14ac:dyDescent="0.35">
      <c r="A24" s="566" t="s">
        <v>11</v>
      </c>
      <c r="B24" s="567"/>
      <c r="C24" s="104" t="s">
        <v>2</v>
      </c>
      <c r="D24" s="62" t="s">
        <v>50</v>
      </c>
      <c r="E24" s="61"/>
      <c r="F24" s="14"/>
      <c r="G24" s="14"/>
      <c r="H24" s="15"/>
      <c r="I24" s="15"/>
      <c r="J24" s="16"/>
      <c r="K24" s="52"/>
    </row>
    <row r="25" spans="1:11" s="2" customFormat="1" ht="43.5" customHeight="1" x14ac:dyDescent="0.35">
      <c r="A25" s="566">
        <v>9</v>
      </c>
      <c r="B25" s="567"/>
      <c r="C25" s="106" t="s">
        <v>22</v>
      </c>
      <c r="D25" s="63" t="s">
        <v>23</v>
      </c>
      <c r="E25" s="65"/>
      <c r="F25" s="14"/>
      <c r="G25" s="14"/>
      <c r="H25" s="15"/>
      <c r="I25" s="15"/>
      <c r="J25" s="16"/>
      <c r="K25" s="52"/>
    </row>
    <row r="26" spans="1:11" s="2" customFormat="1" ht="43.5" customHeight="1" x14ac:dyDescent="0.35">
      <c r="A26" s="117"/>
      <c r="B26" s="118"/>
      <c r="C26" s="106"/>
      <c r="D26" s="65"/>
      <c r="E26" s="65"/>
      <c r="F26" s="14"/>
      <c r="G26" s="14"/>
      <c r="H26" s="15"/>
      <c r="I26" s="15"/>
      <c r="J26" s="16"/>
      <c r="K26" s="52"/>
    </row>
    <row r="27" spans="1:11" s="2" customFormat="1" ht="43.5" customHeight="1" x14ac:dyDescent="0.35">
      <c r="A27" s="579" t="s">
        <v>51</v>
      </c>
      <c r="B27" s="580"/>
      <c r="C27" s="105"/>
      <c r="D27" s="14" t="s">
        <v>51</v>
      </c>
      <c r="E27" s="14"/>
      <c r="F27" s="14"/>
      <c r="G27" s="14"/>
      <c r="H27" s="15"/>
      <c r="I27" s="15"/>
      <c r="J27" s="16"/>
      <c r="K27" s="52"/>
    </row>
    <row r="28" spans="1:11" ht="13.5" customHeight="1" x14ac:dyDescent="0.6">
      <c r="A28" s="119"/>
      <c r="B28" s="120"/>
      <c r="C28" s="107"/>
      <c r="D28" s="42"/>
      <c r="E28" s="42"/>
      <c r="F28" s="42"/>
      <c r="G28" s="42"/>
      <c r="H28" s="4"/>
      <c r="I28" s="4"/>
      <c r="J28" s="4"/>
      <c r="K28" s="5"/>
    </row>
    <row r="29" spans="1:11" ht="18.75" customHeight="1" x14ac:dyDescent="0.6">
      <c r="A29" s="108" t="s">
        <v>52</v>
      </c>
      <c r="B29" s="121"/>
      <c r="C29" s="110"/>
      <c r="D29" s="554" t="s">
        <v>60</v>
      </c>
      <c r="E29" s="554"/>
      <c r="F29" s="554"/>
      <c r="G29" s="554"/>
      <c r="H29" s="554"/>
      <c r="I29" s="554"/>
      <c r="J29" s="554"/>
      <c r="K29" s="555"/>
    </row>
    <row r="30" spans="1:11" ht="18.75" customHeight="1" x14ac:dyDescent="0.35">
      <c r="A30" s="6"/>
      <c r="B30" s="13"/>
      <c r="C30" s="13"/>
      <c r="D30" s="556"/>
      <c r="E30" s="556"/>
      <c r="F30" s="556"/>
      <c r="G30" s="556"/>
      <c r="H30" s="556"/>
      <c r="I30" s="556"/>
      <c r="J30" s="556"/>
      <c r="K30" s="557"/>
    </row>
    <row r="31" spans="1:11" ht="18.75" customHeight="1" x14ac:dyDescent="0.35">
      <c r="A31" s="72"/>
      <c r="B31" s="73"/>
      <c r="C31" s="73"/>
      <c r="D31" s="74"/>
      <c r="E31" s="74"/>
      <c r="F31" s="74"/>
      <c r="G31" s="74"/>
      <c r="H31" s="73"/>
      <c r="I31" s="73"/>
      <c r="J31" s="75"/>
      <c r="K31" s="76"/>
    </row>
    <row r="32" spans="1:11" ht="18.75" customHeight="1" x14ac:dyDescent="0.25">
      <c r="A32" s="77"/>
      <c r="B32" s="78"/>
      <c r="C32" s="78"/>
      <c r="D32" s="78"/>
      <c r="E32" s="78"/>
      <c r="F32" s="78"/>
      <c r="G32" s="78"/>
      <c r="H32" s="78"/>
      <c r="I32" s="78"/>
      <c r="J32" s="78"/>
      <c r="K32" s="79"/>
    </row>
    <row r="33" spans="1:11" ht="18.75" customHeight="1" x14ac:dyDescent="0.25">
      <c r="A33" s="77"/>
      <c r="B33" s="78"/>
      <c r="C33" s="78"/>
      <c r="D33" s="78"/>
      <c r="E33" s="78"/>
      <c r="F33" s="78"/>
      <c r="G33" s="78"/>
      <c r="H33" s="78"/>
      <c r="I33" s="78"/>
      <c r="J33" s="78"/>
      <c r="K33" s="79"/>
    </row>
    <row r="34" spans="1:11" ht="18.75" customHeight="1" x14ac:dyDescent="0.25">
      <c r="A34" s="77"/>
      <c r="B34" s="78"/>
      <c r="C34" s="78"/>
      <c r="D34" s="78"/>
      <c r="E34" s="78"/>
      <c r="F34" s="78"/>
      <c r="G34" s="78"/>
      <c r="H34" s="78"/>
      <c r="I34" s="78"/>
      <c r="J34" s="78"/>
      <c r="K34" s="79"/>
    </row>
    <row r="35" spans="1:11" ht="18.75" customHeight="1" x14ac:dyDescent="0.25">
      <c r="A35" s="77"/>
      <c r="B35" s="78"/>
      <c r="C35" s="78"/>
      <c r="D35" s="78"/>
      <c r="E35" s="78"/>
      <c r="F35" s="78"/>
      <c r="G35" s="78"/>
      <c r="H35" s="78"/>
      <c r="I35" s="78"/>
      <c r="J35" s="78"/>
      <c r="K35" s="79"/>
    </row>
    <row r="36" spans="1:11" ht="18.75" customHeight="1" x14ac:dyDescent="0.25">
      <c r="A36" s="77"/>
      <c r="B36" s="78"/>
      <c r="C36" s="78"/>
      <c r="D36" s="78"/>
      <c r="E36" s="78"/>
      <c r="F36" s="78"/>
      <c r="G36" s="78"/>
      <c r="H36" s="78"/>
      <c r="I36" s="78"/>
      <c r="J36" s="78"/>
      <c r="K36" s="79"/>
    </row>
    <row r="37" spans="1:11" ht="18.75" customHeight="1" x14ac:dyDescent="0.25">
      <c r="A37" s="7"/>
      <c r="B37" s="8"/>
      <c r="C37" s="8"/>
      <c r="D37" s="8"/>
      <c r="E37" s="8"/>
      <c r="F37" s="8"/>
      <c r="G37" s="8"/>
      <c r="H37" s="8"/>
      <c r="I37" s="8"/>
      <c r="J37" s="8"/>
      <c r="K37" s="9"/>
    </row>
    <row r="38" spans="1:11" ht="18.75" customHeight="1" x14ac:dyDescent="0.25">
      <c r="A38" s="12"/>
      <c r="K38" s="10"/>
    </row>
    <row r="39" spans="1:11" ht="18.75" customHeight="1" x14ac:dyDescent="0.35">
      <c r="A39" s="6" t="s">
        <v>53</v>
      </c>
      <c r="K39" s="10"/>
    </row>
    <row r="40" spans="1:11" ht="18.75" customHeight="1" x14ac:dyDescent="0.25">
      <c r="A40" s="7"/>
      <c r="B40" s="8"/>
      <c r="C40" s="8"/>
      <c r="D40" s="8"/>
      <c r="E40" s="8"/>
      <c r="F40" s="8"/>
      <c r="G40" s="8"/>
      <c r="H40" s="8"/>
      <c r="I40" s="8"/>
      <c r="J40" s="8"/>
      <c r="K40" s="9"/>
    </row>
    <row r="41" spans="1:11" ht="20" x14ac:dyDescent="0.4">
      <c r="A41" s="20" t="s">
        <v>71</v>
      </c>
    </row>
  </sheetData>
  <sheetProtection sort="0" autoFilter="0"/>
  <dataConsolidate/>
  <mergeCells count="20">
    <mergeCell ref="A19:B19"/>
    <mergeCell ref="C2:K2"/>
    <mergeCell ref="C3:K3"/>
    <mergeCell ref="A4:K4"/>
    <mergeCell ref="C7:C8"/>
    <mergeCell ref="A8:B8"/>
    <mergeCell ref="F11:I11"/>
    <mergeCell ref="F12:I12"/>
    <mergeCell ref="F13:H13"/>
    <mergeCell ref="B15:K15"/>
    <mergeCell ref="B16:K16"/>
    <mergeCell ref="A17:B18"/>
    <mergeCell ref="D29:K30"/>
    <mergeCell ref="A24:B24"/>
    <mergeCell ref="A25:B25"/>
    <mergeCell ref="A27:B27"/>
    <mergeCell ref="A20:B20"/>
    <mergeCell ref="A21:B21"/>
    <mergeCell ref="A22:B22"/>
    <mergeCell ref="A23:B23"/>
  </mergeCells>
  <dataValidations count="1">
    <dataValidation allowBlank="1" showDropDown="1" showInputMessage="1" showErrorMessage="1" sqref="C9" xr:uid="{F1497476-70C4-48AE-93B1-3CE6E4E7FC64}"/>
  </dataValidations>
  <printOptions horizontalCentered="1" verticalCentered="1"/>
  <pageMargins left="0.25" right="0.25" top="0.25" bottom="0.25" header="0" footer="0"/>
  <pageSetup paperSize="9" scale="47" orientation="landscape" r:id="rId1"/>
  <headerFooter alignWithMargins="0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EA3FA9-9D2B-4E00-A77E-694D85DB6595}">
  <dimension ref="A1:I24"/>
  <sheetViews>
    <sheetView workbookViewId="0">
      <selection activeCell="G2" sqref="G2"/>
    </sheetView>
  </sheetViews>
  <sheetFormatPr defaultRowHeight="12.5" x14ac:dyDescent="0.25"/>
  <cols>
    <col min="1" max="1" width="42.7265625" customWidth="1"/>
    <col min="2" max="2" width="13.7265625" customWidth="1"/>
    <col min="3" max="3" width="9.81640625" customWidth="1"/>
    <col min="4" max="4" width="26" customWidth="1"/>
    <col min="5" max="5" width="19.81640625" style="401" bestFit="1" customWidth="1"/>
    <col min="14" max="14" width="14.26953125" bestFit="1" customWidth="1"/>
    <col min="25" max="25" width="14.26953125" bestFit="1" customWidth="1"/>
  </cols>
  <sheetData>
    <row r="1" spans="1:9" ht="13" thickBot="1" x14ac:dyDescent="0.3">
      <c r="A1" s="402" t="s">
        <v>853</v>
      </c>
      <c r="B1" s="402" t="s">
        <v>865</v>
      </c>
      <c r="C1" s="402" t="s">
        <v>872</v>
      </c>
      <c r="D1" s="402" t="s">
        <v>854</v>
      </c>
      <c r="E1" s="417" t="s">
        <v>855</v>
      </c>
      <c r="F1" s="402" t="s">
        <v>872</v>
      </c>
      <c r="G1" s="405" t="s">
        <v>873</v>
      </c>
    </row>
    <row r="2" spans="1:9" ht="33" customHeight="1" thickTop="1" thickBot="1" x14ac:dyDescent="0.3">
      <c r="A2" s="403" t="s">
        <v>822</v>
      </c>
      <c r="B2" s="403" t="s">
        <v>866</v>
      </c>
      <c r="C2" s="418"/>
      <c r="D2" s="403" t="s">
        <v>823</v>
      </c>
      <c r="E2" s="416" t="s">
        <v>856</v>
      </c>
      <c r="F2" s="411"/>
      <c r="G2" s="428">
        <v>150</v>
      </c>
      <c r="I2" s="427">
        <v>150</v>
      </c>
    </row>
    <row r="3" spans="1:9" ht="33" customHeight="1" thickTop="1" x14ac:dyDescent="0.25">
      <c r="A3" s="403" t="s">
        <v>824</v>
      </c>
      <c r="B3" s="403" t="s">
        <v>866</v>
      </c>
      <c r="C3" s="418"/>
      <c r="D3" s="403" t="s">
        <v>825</v>
      </c>
      <c r="E3" s="416" t="s">
        <v>857</v>
      </c>
      <c r="F3" s="412"/>
      <c r="G3" s="370"/>
    </row>
    <row r="4" spans="1:9" ht="33" customHeight="1" x14ac:dyDescent="0.25">
      <c r="A4" s="403" t="s">
        <v>826</v>
      </c>
      <c r="B4" s="403"/>
      <c r="C4" s="408"/>
      <c r="D4" s="403" t="s">
        <v>827</v>
      </c>
      <c r="E4" s="416" t="s">
        <v>858</v>
      </c>
      <c r="F4" s="424"/>
      <c r="G4" s="370"/>
    </row>
    <row r="5" spans="1:9" ht="33" customHeight="1" x14ac:dyDescent="0.25">
      <c r="A5" s="403" t="s">
        <v>361</v>
      </c>
      <c r="B5" s="403" t="s">
        <v>866</v>
      </c>
      <c r="C5" s="404"/>
      <c r="D5" s="403" t="s">
        <v>828</v>
      </c>
      <c r="E5" s="416" t="s">
        <v>859</v>
      </c>
      <c r="F5" s="415"/>
      <c r="G5" s="370"/>
    </row>
    <row r="6" spans="1:9" ht="33" customHeight="1" x14ac:dyDescent="0.25">
      <c r="A6" s="403" t="s">
        <v>829</v>
      </c>
      <c r="B6" s="403" t="s">
        <v>866</v>
      </c>
      <c r="C6" s="404"/>
      <c r="D6" s="403" t="s">
        <v>830</v>
      </c>
      <c r="E6" s="416" t="s">
        <v>859</v>
      </c>
      <c r="F6" s="415"/>
      <c r="G6" s="370"/>
    </row>
    <row r="7" spans="1:9" ht="33" customHeight="1" x14ac:dyDescent="0.25">
      <c r="A7" s="403" t="s">
        <v>831</v>
      </c>
      <c r="B7" s="403" t="s">
        <v>866</v>
      </c>
      <c r="C7" s="404"/>
      <c r="D7" s="403" t="s">
        <v>823</v>
      </c>
      <c r="E7" s="416" t="s">
        <v>856</v>
      </c>
      <c r="F7" s="411"/>
      <c r="G7" s="370"/>
    </row>
    <row r="8" spans="1:9" ht="33" customHeight="1" x14ac:dyDescent="0.25">
      <c r="A8" s="403" t="s">
        <v>832</v>
      </c>
      <c r="B8" s="403" t="s">
        <v>866</v>
      </c>
      <c r="C8" s="404"/>
      <c r="D8" s="403" t="s">
        <v>833</v>
      </c>
      <c r="E8" s="416" t="s">
        <v>860</v>
      </c>
      <c r="F8" s="413"/>
      <c r="G8" s="370"/>
    </row>
    <row r="9" spans="1:9" ht="33" customHeight="1" x14ac:dyDescent="0.25">
      <c r="A9" s="403" t="s">
        <v>834</v>
      </c>
      <c r="B9" s="403" t="s">
        <v>866</v>
      </c>
      <c r="C9" s="404"/>
      <c r="D9" s="403" t="s">
        <v>825</v>
      </c>
      <c r="E9" s="416" t="s">
        <v>857</v>
      </c>
      <c r="F9" s="412"/>
      <c r="G9" s="370"/>
    </row>
    <row r="10" spans="1:9" ht="33" customHeight="1" x14ac:dyDescent="0.25">
      <c r="A10" s="403" t="s">
        <v>835</v>
      </c>
      <c r="B10" s="403" t="s">
        <v>866</v>
      </c>
      <c r="C10" s="404"/>
      <c r="D10" s="403" t="s">
        <v>836</v>
      </c>
      <c r="E10" s="416" t="s">
        <v>861</v>
      </c>
      <c r="F10" s="412"/>
      <c r="G10" s="370"/>
    </row>
    <row r="11" spans="1:9" ht="33" customHeight="1" x14ac:dyDescent="0.25">
      <c r="A11" s="403" t="s">
        <v>362</v>
      </c>
      <c r="B11" s="403" t="s">
        <v>867</v>
      </c>
      <c r="C11" s="406"/>
      <c r="D11" s="403" t="s">
        <v>837</v>
      </c>
      <c r="E11" s="416" t="s">
        <v>862</v>
      </c>
      <c r="F11" s="419"/>
      <c r="G11" s="370"/>
    </row>
    <row r="12" spans="1:9" ht="33" customHeight="1" x14ac:dyDescent="0.25">
      <c r="A12" s="403" t="s">
        <v>838</v>
      </c>
      <c r="B12" s="403" t="s">
        <v>868</v>
      </c>
      <c r="C12" s="409"/>
      <c r="D12" s="403" t="s">
        <v>823</v>
      </c>
      <c r="E12" s="416" t="s">
        <v>856</v>
      </c>
      <c r="F12" s="411"/>
      <c r="G12" s="370"/>
    </row>
    <row r="13" spans="1:9" ht="33" customHeight="1" x14ac:dyDescent="0.25">
      <c r="A13" s="403" t="s">
        <v>839</v>
      </c>
      <c r="B13" s="403" t="s">
        <v>869</v>
      </c>
      <c r="C13" s="407"/>
      <c r="D13" s="403" t="s">
        <v>833</v>
      </c>
      <c r="E13" s="416" t="s">
        <v>860</v>
      </c>
      <c r="F13" s="413"/>
      <c r="G13" s="370"/>
    </row>
    <row r="14" spans="1:9" ht="33" customHeight="1" x14ac:dyDescent="0.25">
      <c r="A14" s="403" t="s">
        <v>840</v>
      </c>
      <c r="B14" s="403" t="s">
        <v>869</v>
      </c>
      <c r="C14" s="407"/>
      <c r="D14" s="403" t="s">
        <v>823</v>
      </c>
      <c r="E14" s="416" t="s">
        <v>856</v>
      </c>
      <c r="F14" s="411"/>
      <c r="G14" s="370"/>
    </row>
    <row r="15" spans="1:9" ht="33" customHeight="1" x14ac:dyDescent="0.25">
      <c r="A15" s="403" t="s">
        <v>841</v>
      </c>
      <c r="B15" s="403" t="s">
        <v>869</v>
      </c>
      <c r="C15" s="407"/>
      <c r="D15" s="403" t="s">
        <v>837</v>
      </c>
      <c r="E15" s="416" t="s">
        <v>862</v>
      </c>
      <c r="F15" s="419"/>
      <c r="G15" s="370"/>
    </row>
    <row r="16" spans="1:9" ht="33" customHeight="1" x14ac:dyDescent="0.25">
      <c r="A16" s="403" t="s">
        <v>842</v>
      </c>
      <c r="B16" s="403" t="s">
        <v>869</v>
      </c>
      <c r="C16" s="407"/>
      <c r="D16" s="403" t="s">
        <v>843</v>
      </c>
      <c r="E16" s="416" t="s">
        <v>863</v>
      </c>
      <c r="F16" s="414"/>
      <c r="G16" s="370"/>
    </row>
    <row r="17" spans="1:7" ht="33" customHeight="1" x14ac:dyDescent="0.25">
      <c r="A17" s="403" t="s">
        <v>844</v>
      </c>
      <c r="B17" s="403" t="s">
        <v>869</v>
      </c>
      <c r="C17" s="407"/>
      <c r="D17" s="403" t="s">
        <v>825</v>
      </c>
      <c r="E17" s="416" t="s">
        <v>857</v>
      </c>
      <c r="F17" s="412"/>
      <c r="G17" s="370"/>
    </row>
    <row r="18" spans="1:7" ht="33" customHeight="1" x14ac:dyDescent="0.25">
      <c r="A18" s="403" t="s">
        <v>845</v>
      </c>
      <c r="B18" s="403" t="s">
        <v>869</v>
      </c>
      <c r="C18" s="407"/>
      <c r="D18" s="403" t="s">
        <v>825</v>
      </c>
      <c r="E18" s="416" t="s">
        <v>857</v>
      </c>
      <c r="F18" s="412"/>
      <c r="G18" s="370"/>
    </row>
    <row r="19" spans="1:7" ht="33" customHeight="1" x14ac:dyDescent="0.25">
      <c r="A19" s="403" t="s">
        <v>846</v>
      </c>
      <c r="B19" s="403" t="s">
        <v>869</v>
      </c>
      <c r="C19" s="407"/>
      <c r="D19" s="403" t="s">
        <v>825</v>
      </c>
      <c r="E19" s="416" t="s">
        <v>857</v>
      </c>
      <c r="F19" s="412"/>
      <c r="G19" s="370"/>
    </row>
    <row r="20" spans="1:7" ht="33" customHeight="1" x14ac:dyDescent="0.25">
      <c r="A20" s="403" t="s">
        <v>847</v>
      </c>
      <c r="B20" s="403" t="s">
        <v>869</v>
      </c>
      <c r="C20" s="407"/>
      <c r="D20" s="403" t="s">
        <v>848</v>
      </c>
      <c r="E20" s="416" t="s">
        <v>864</v>
      </c>
      <c r="F20" s="420"/>
      <c r="G20" s="370"/>
    </row>
    <row r="21" spans="1:7" ht="33" customHeight="1" x14ac:dyDescent="0.25">
      <c r="A21" s="403" t="s">
        <v>849</v>
      </c>
      <c r="B21" s="403" t="s">
        <v>869</v>
      </c>
      <c r="C21" s="407"/>
      <c r="D21" s="403" t="s">
        <v>823</v>
      </c>
      <c r="E21" s="416" t="s">
        <v>856</v>
      </c>
      <c r="F21" s="411"/>
      <c r="G21" s="370"/>
    </row>
    <row r="22" spans="1:7" ht="33" customHeight="1" x14ac:dyDescent="0.25">
      <c r="A22" s="403" t="s">
        <v>850</v>
      </c>
      <c r="B22" s="403" t="s">
        <v>870</v>
      </c>
      <c r="C22" s="410"/>
      <c r="D22" s="403" t="s">
        <v>823</v>
      </c>
      <c r="E22" s="416" t="s">
        <v>856</v>
      </c>
      <c r="F22" s="411"/>
      <c r="G22" s="370"/>
    </row>
    <row r="23" spans="1:7" ht="33" customHeight="1" x14ac:dyDescent="0.25">
      <c r="A23" s="403" t="s">
        <v>851</v>
      </c>
      <c r="B23" s="403" t="s">
        <v>871</v>
      </c>
      <c r="C23" s="408"/>
      <c r="D23" s="403" t="s">
        <v>827</v>
      </c>
      <c r="E23" s="416" t="s">
        <v>858</v>
      </c>
      <c r="F23" s="424"/>
      <c r="G23" s="370"/>
    </row>
    <row r="24" spans="1:7" ht="33" customHeight="1" x14ac:dyDescent="0.25">
      <c r="A24" s="403" t="s">
        <v>852</v>
      </c>
      <c r="B24" s="403" t="s">
        <v>868</v>
      </c>
      <c r="C24" s="409"/>
      <c r="D24" s="403" t="s">
        <v>823</v>
      </c>
      <c r="E24" s="416" t="s">
        <v>856</v>
      </c>
      <c r="F24" s="411"/>
      <c r="G24" s="370"/>
    </row>
  </sheetData>
  <autoFilter ref="A1:E24" xr:uid="{C0EA3FA9-9D2B-4E00-A77E-694D85DB6595}"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A43967-61D4-478A-8C6A-DFF2B5295372}">
  <dimension ref="A1:L19"/>
  <sheetViews>
    <sheetView showGridLines="0" showRowColHeaders="0" zoomScaleNormal="100" workbookViewId="0">
      <selection activeCell="O17" sqref="O17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RowHeight="12.5" x14ac:dyDescent="0.25"/>
  <cols>
    <col min="1" max="1" width="14.7265625" bestFit="1" customWidth="1"/>
    <col min="2" max="12" width="6.81640625" customWidth="1"/>
  </cols>
  <sheetData>
    <row r="1" spans="1:12" ht="18" customHeight="1" x14ac:dyDescent="0.25">
      <c r="D1" s="403" t="s">
        <v>866</v>
      </c>
      <c r="E1" s="403"/>
      <c r="F1" s="403" t="s">
        <v>867</v>
      </c>
      <c r="G1" s="403"/>
      <c r="H1" s="403" t="s">
        <v>868</v>
      </c>
      <c r="I1" s="403"/>
      <c r="J1" s="403" t="s">
        <v>869</v>
      </c>
      <c r="K1" s="403"/>
      <c r="L1" s="403" t="s">
        <v>870</v>
      </c>
    </row>
    <row r="2" spans="1:12" ht="18" customHeight="1" x14ac:dyDescent="0.25">
      <c r="D2" s="425"/>
      <c r="F2" s="406"/>
      <c r="H2" s="446"/>
      <c r="J2" s="463"/>
      <c r="L2" s="410"/>
    </row>
    <row r="3" spans="1:12" ht="18" customHeight="1" thickBot="1" x14ac:dyDescent="0.3"/>
    <row r="4" spans="1:12" ht="18" customHeight="1" thickTop="1" thickBot="1" x14ac:dyDescent="0.3">
      <c r="A4" s="416" t="s">
        <v>856</v>
      </c>
      <c r="B4" s="411"/>
      <c r="D4" s="426"/>
      <c r="F4" s="432"/>
      <c r="H4" s="447"/>
      <c r="J4" s="464"/>
      <c r="L4" s="455"/>
    </row>
    <row r="5" spans="1:12" ht="18" customHeight="1" thickTop="1" thickBot="1" x14ac:dyDescent="0.3"/>
    <row r="6" spans="1:12" ht="18" customHeight="1" thickTop="1" thickBot="1" x14ac:dyDescent="0.3">
      <c r="A6" s="416" t="s">
        <v>857</v>
      </c>
      <c r="B6" s="421"/>
      <c r="D6" s="433"/>
      <c r="F6" s="439"/>
      <c r="H6" s="448"/>
      <c r="J6" s="465"/>
      <c r="L6" s="456"/>
    </row>
    <row r="7" spans="1:12" ht="18" customHeight="1" thickTop="1" thickBot="1" x14ac:dyDescent="0.3"/>
    <row r="8" spans="1:12" ht="18" customHeight="1" thickTop="1" thickBot="1" x14ac:dyDescent="0.3">
      <c r="A8" s="416" t="s">
        <v>858</v>
      </c>
      <c r="B8" s="408"/>
      <c r="D8" s="434"/>
      <c r="F8" s="440"/>
      <c r="H8" s="449"/>
      <c r="J8" s="466"/>
      <c r="L8" s="457"/>
    </row>
    <row r="9" spans="1:12" ht="18" customHeight="1" thickTop="1" thickBot="1" x14ac:dyDescent="0.3"/>
    <row r="10" spans="1:12" ht="18" customHeight="1" thickTop="1" thickBot="1" x14ac:dyDescent="0.3">
      <c r="A10" s="416" t="s">
        <v>859</v>
      </c>
      <c r="B10" s="423"/>
      <c r="D10" s="435"/>
      <c r="F10" s="441"/>
      <c r="H10" s="450"/>
      <c r="J10" s="467"/>
      <c r="L10" s="458"/>
    </row>
    <row r="11" spans="1:12" ht="18" customHeight="1" thickTop="1" thickBot="1" x14ac:dyDescent="0.3"/>
    <row r="12" spans="1:12" ht="18" customHeight="1" thickTop="1" thickBot="1" x14ac:dyDescent="0.3">
      <c r="A12" s="416" t="s">
        <v>860</v>
      </c>
      <c r="B12" s="413"/>
      <c r="D12" s="431"/>
      <c r="F12" s="442"/>
      <c r="H12" s="451"/>
      <c r="J12" s="468"/>
      <c r="L12" s="459"/>
    </row>
    <row r="13" spans="1:12" ht="18" customHeight="1" thickTop="1" thickBot="1" x14ac:dyDescent="0.3"/>
    <row r="14" spans="1:12" ht="18" customHeight="1" thickTop="1" thickBot="1" x14ac:dyDescent="0.3">
      <c r="A14" s="416" t="s">
        <v>862</v>
      </c>
      <c r="B14" s="429"/>
      <c r="D14" s="436"/>
      <c r="F14" s="443"/>
      <c r="H14" s="452"/>
      <c r="J14" s="469"/>
      <c r="L14" s="460"/>
    </row>
    <row r="15" spans="1:12" ht="18" customHeight="1" thickTop="1" thickBot="1" x14ac:dyDescent="0.3"/>
    <row r="16" spans="1:12" ht="18" customHeight="1" thickTop="1" thickBot="1" x14ac:dyDescent="0.3">
      <c r="A16" s="416" t="s">
        <v>863</v>
      </c>
      <c r="B16" s="422"/>
      <c r="D16" s="437"/>
      <c r="F16" s="444"/>
      <c r="H16" s="453"/>
      <c r="J16" s="470"/>
      <c r="L16" s="461"/>
    </row>
    <row r="17" spans="1:12" ht="18" customHeight="1" thickTop="1" thickBot="1" x14ac:dyDescent="0.3"/>
    <row r="18" spans="1:12" ht="18" customHeight="1" thickTop="1" thickBot="1" x14ac:dyDescent="0.3">
      <c r="A18" s="416" t="s">
        <v>864</v>
      </c>
      <c r="B18" s="430"/>
      <c r="D18" s="438"/>
      <c r="F18" s="445"/>
      <c r="H18" s="454"/>
      <c r="J18" s="471"/>
      <c r="L18" s="462"/>
    </row>
    <row r="19" spans="1:12" ht="13" thickTop="1" x14ac:dyDescent="0.25"/>
  </sheetData>
  <pageMargins left="0.7" right="0.7" top="0.75" bottom="0.75" header="0.3" footer="0.3"/>
  <pageSetup paperSize="9" orientation="portrait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AAB877-CB1E-4425-B6A7-7B71BCCDE00F}">
  <dimension ref="A1:G21"/>
  <sheetViews>
    <sheetView workbookViewId="0">
      <pane ySplit="3" topLeftCell="A10" activePane="bottomLeft" state="frozen"/>
      <selection pane="bottomLeft" activeCell="B16" sqref="B16"/>
    </sheetView>
  </sheetViews>
  <sheetFormatPr defaultRowHeight="12.5" x14ac:dyDescent="0.25"/>
  <cols>
    <col min="1" max="1" width="38.453125" bestFit="1" customWidth="1"/>
    <col min="2" max="2" width="43" bestFit="1" customWidth="1"/>
    <col min="3" max="3" width="38.26953125" bestFit="1" customWidth="1"/>
    <col min="4" max="4" width="30.26953125" bestFit="1" customWidth="1"/>
    <col min="5" max="5" width="66.7265625" bestFit="1" customWidth="1"/>
    <col min="6" max="6" width="77" bestFit="1" customWidth="1"/>
    <col min="7" max="7" width="28.26953125" bestFit="1" customWidth="1"/>
  </cols>
  <sheetData>
    <row r="1" spans="1:7" x14ac:dyDescent="0.25">
      <c r="A1" t="s">
        <v>874</v>
      </c>
    </row>
    <row r="3" spans="1:7" x14ac:dyDescent="0.25">
      <c r="A3" t="s">
        <v>875</v>
      </c>
      <c r="B3" t="s">
        <v>876</v>
      </c>
      <c r="C3" t="s">
        <v>877</v>
      </c>
      <c r="D3" t="s">
        <v>878</v>
      </c>
      <c r="E3" t="s">
        <v>879</v>
      </c>
      <c r="F3" t="s">
        <v>880</v>
      </c>
      <c r="G3" t="s">
        <v>881</v>
      </c>
    </row>
    <row r="4" spans="1:7" x14ac:dyDescent="0.25">
      <c r="A4" s="402" t="s">
        <v>883</v>
      </c>
      <c r="B4" s="402" t="s">
        <v>882</v>
      </c>
      <c r="C4" s="402" t="s">
        <v>884</v>
      </c>
      <c r="D4" s="402" t="s">
        <v>885</v>
      </c>
      <c r="E4" s="402" t="s">
        <v>886</v>
      </c>
      <c r="F4" s="402" t="s">
        <v>887</v>
      </c>
      <c r="G4" s="402" t="s">
        <v>888</v>
      </c>
    </row>
    <row r="5" spans="1:7" x14ac:dyDescent="0.25">
      <c r="A5" s="402" t="s">
        <v>889</v>
      </c>
      <c r="B5" s="402" t="s">
        <v>890</v>
      </c>
      <c r="C5" s="402" t="s">
        <v>894</v>
      </c>
      <c r="D5" s="402" t="s">
        <v>891</v>
      </c>
      <c r="F5" s="402" t="s">
        <v>892</v>
      </c>
      <c r="G5" s="402" t="s">
        <v>893</v>
      </c>
    </row>
    <row r="6" spans="1:7" x14ac:dyDescent="0.25">
      <c r="A6" s="402" t="s">
        <v>895</v>
      </c>
      <c r="B6" s="402" t="s">
        <v>896</v>
      </c>
      <c r="C6" s="402" t="s">
        <v>897</v>
      </c>
      <c r="D6" s="402" t="s">
        <v>898</v>
      </c>
      <c r="F6" s="402" t="s">
        <v>899</v>
      </c>
      <c r="G6" s="402" t="s">
        <v>893</v>
      </c>
    </row>
    <row r="7" spans="1:7" x14ac:dyDescent="0.25">
      <c r="A7" s="402" t="s">
        <v>900</v>
      </c>
      <c r="B7" s="402" t="s">
        <v>901</v>
      </c>
      <c r="C7" s="402" t="s">
        <v>897</v>
      </c>
      <c r="D7" s="402" t="s">
        <v>902</v>
      </c>
      <c r="F7" s="402" t="s">
        <v>903</v>
      </c>
      <c r="G7" s="402" t="s">
        <v>904</v>
      </c>
    </row>
    <row r="8" spans="1:7" ht="100" x14ac:dyDescent="0.25">
      <c r="A8" s="402" t="s">
        <v>905</v>
      </c>
      <c r="B8" s="402" t="s">
        <v>906</v>
      </c>
      <c r="C8" s="402" t="s">
        <v>907</v>
      </c>
      <c r="D8" s="402" t="s">
        <v>908</v>
      </c>
      <c r="F8" s="402" t="s">
        <v>909</v>
      </c>
      <c r="G8" s="472" t="s">
        <v>910</v>
      </c>
    </row>
    <row r="9" spans="1:7" x14ac:dyDescent="0.25">
      <c r="A9" s="402" t="s">
        <v>911</v>
      </c>
      <c r="B9" s="402" t="s">
        <v>912</v>
      </c>
      <c r="C9" s="402" t="s">
        <v>914</v>
      </c>
      <c r="D9" s="402" t="s">
        <v>934</v>
      </c>
      <c r="E9" s="402" t="s">
        <v>935</v>
      </c>
      <c r="F9" s="402"/>
      <c r="G9" s="402"/>
    </row>
    <row r="10" spans="1:7" ht="75" x14ac:dyDescent="0.25">
      <c r="A10" s="402" t="s">
        <v>915</v>
      </c>
      <c r="B10" s="402" t="s">
        <v>916</v>
      </c>
      <c r="C10" s="402" t="s">
        <v>917</v>
      </c>
      <c r="D10" s="402"/>
      <c r="E10" s="402"/>
      <c r="F10" s="402" t="s">
        <v>918</v>
      </c>
      <c r="G10" s="472" t="s">
        <v>919</v>
      </c>
    </row>
    <row r="11" spans="1:7" ht="75" x14ac:dyDescent="0.25">
      <c r="A11" s="402" t="s">
        <v>920</v>
      </c>
      <c r="B11" s="402" t="s">
        <v>921</v>
      </c>
      <c r="C11" s="402" t="s">
        <v>922</v>
      </c>
      <c r="D11" s="402"/>
      <c r="E11" s="402"/>
      <c r="F11" s="402" t="s">
        <v>923</v>
      </c>
      <c r="G11" s="472" t="s">
        <v>924</v>
      </c>
    </row>
    <row r="12" spans="1:7" ht="100" x14ac:dyDescent="0.25">
      <c r="A12" s="402" t="s">
        <v>925</v>
      </c>
      <c r="B12" s="402" t="s">
        <v>926</v>
      </c>
      <c r="C12" s="402" t="s">
        <v>927</v>
      </c>
      <c r="D12" s="402" t="s">
        <v>928</v>
      </c>
      <c r="G12" s="472" t="s">
        <v>929</v>
      </c>
    </row>
    <row r="13" spans="1:7" x14ac:dyDescent="0.25">
      <c r="A13" s="402" t="s">
        <v>930</v>
      </c>
      <c r="B13" s="402" t="s">
        <v>931</v>
      </c>
      <c r="C13" s="402" t="s">
        <v>932</v>
      </c>
      <c r="D13" s="402" t="s">
        <v>913</v>
      </c>
      <c r="E13" s="402" t="s">
        <v>933</v>
      </c>
      <c r="F13" s="402"/>
      <c r="G13" s="402"/>
    </row>
    <row r="14" spans="1:7" x14ac:dyDescent="0.25">
      <c r="A14" s="402" t="s">
        <v>940</v>
      </c>
      <c r="B14" s="402" t="s">
        <v>936</v>
      </c>
      <c r="C14" s="402" t="s">
        <v>937</v>
      </c>
      <c r="F14" s="402" t="s">
        <v>938</v>
      </c>
      <c r="G14" s="402" t="s">
        <v>939</v>
      </c>
    </row>
    <row r="15" spans="1:7" x14ac:dyDescent="0.25">
      <c r="A15" s="402" t="s">
        <v>941</v>
      </c>
      <c r="B15" s="402" t="s">
        <v>942</v>
      </c>
      <c r="C15" s="402" t="s">
        <v>943</v>
      </c>
      <c r="F15" s="402" t="s">
        <v>944</v>
      </c>
      <c r="G15" s="402" t="s">
        <v>939</v>
      </c>
    </row>
    <row r="16" spans="1:7" ht="187.5" x14ac:dyDescent="0.25">
      <c r="A16" s="402" t="s">
        <v>945</v>
      </c>
      <c r="B16" s="402" t="s">
        <v>946</v>
      </c>
      <c r="C16" s="402" t="s">
        <v>947</v>
      </c>
      <c r="D16" s="402" t="s">
        <v>948</v>
      </c>
      <c r="E16" s="402" t="s">
        <v>949</v>
      </c>
      <c r="F16" s="402"/>
      <c r="G16" s="472" t="s">
        <v>950</v>
      </c>
    </row>
    <row r="17" spans="1:7" ht="112.5" x14ac:dyDescent="0.25">
      <c r="A17" s="402" t="s">
        <v>957</v>
      </c>
      <c r="B17" s="402" t="s">
        <v>954</v>
      </c>
      <c r="C17" s="402" t="s">
        <v>956</v>
      </c>
      <c r="D17" s="402" t="s">
        <v>955</v>
      </c>
      <c r="E17" s="402" t="s">
        <v>951</v>
      </c>
      <c r="F17" s="402" t="s">
        <v>952</v>
      </c>
      <c r="G17" s="472" t="s">
        <v>953</v>
      </c>
    </row>
    <row r="18" spans="1:7" x14ac:dyDescent="0.25">
      <c r="A18" s="402" t="s">
        <v>176</v>
      </c>
      <c r="B18" s="402" t="s">
        <v>961</v>
      </c>
      <c r="C18" s="402" t="s">
        <v>958</v>
      </c>
      <c r="D18" s="402" t="s">
        <v>959</v>
      </c>
      <c r="E18" s="402"/>
      <c r="F18" s="402" t="s">
        <v>960</v>
      </c>
      <c r="G18" s="472"/>
    </row>
    <row r="19" spans="1:7" x14ac:dyDescent="0.25">
      <c r="A19" s="402" t="s">
        <v>175</v>
      </c>
      <c r="B19" s="402" t="s">
        <v>963</v>
      </c>
      <c r="C19" s="402" t="s">
        <v>962</v>
      </c>
      <c r="D19" s="402" t="s">
        <v>964</v>
      </c>
      <c r="E19" s="402"/>
      <c r="F19" s="402" t="s">
        <v>965</v>
      </c>
    </row>
    <row r="20" spans="1:7" ht="50" x14ac:dyDescent="0.25">
      <c r="A20" s="402" t="s">
        <v>174</v>
      </c>
      <c r="B20" s="402" t="s">
        <v>966</v>
      </c>
      <c r="C20" s="402" t="s">
        <v>967</v>
      </c>
      <c r="D20" s="402" t="s">
        <v>972</v>
      </c>
      <c r="E20" s="402"/>
      <c r="F20" s="402" t="s">
        <v>968</v>
      </c>
      <c r="G20" s="473" t="s">
        <v>969</v>
      </c>
    </row>
    <row r="21" spans="1:7" x14ac:dyDescent="0.25">
      <c r="A21" s="402" t="s">
        <v>173</v>
      </c>
      <c r="B21" s="402" t="s">
        <v>970</v>
      </c>
      <c r="C21" s="402" t="s">
        <v>971</v>
      </c>
      <c r="D21" s="402" t="s">
        <v>973</v>
      </c>
      <c r="E21" s="402"/>
      <c r="F21" s="402" t="s">
        <v>974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B8B6BF-8D62-485E-98BE-FBC1C41B000B}">
  <dimension ref="A1:G21"/>
  <sheetViews>
    <sheetView workbookViewId="0">
      <pane ySplit="3" topLeftCell="A4" activePane="bottomLeft" state="frozen"/>
      <selection pane="bottomLeft" activeCell="C5" sqref="C5"/>
    </sheetView>
  </sheetViews>
  <sheetFormatPr defaultRowHeight="12.5" x14ac:dyDescent="0.25"/>
  <cols>
    <col min="1" max="1" width="38.453125" bestFit="1" customWidth="1"/>
    <col min="2" max="2" width="43" bestFit="1" customWidth="1"/>
    <col min="3" max="3" width="43.1796875" customWidth="1"/>
    <col min="4" max="4" width="30.26953125" bestFit="1" customWidth="1"/>
    <col min="5" max="5" width="66.7265625" bestFit="1" customWidth="1"/>
    <col min="6" max="6" width="77" bestFit="1" customWidth="1"/>
    <col min="7" max="7" width="28.26953125" bestFit="1" customWidth="1"/>
  </cols>
  <sheetData>
    <row r="1" spans="1:7" x14ac:dyDescent="0.25">
      <c r="A1" t="s">
        <v>874</v>
      </c>
    </row>
    <row r="3" spans="1:7" x14ac:dyDescent="0.25">
      <c r="A3" t="s">
        <v>875</v>
      </c>
      <c r="B3" t="s">
        <v>876</v>
      </c>
      <c r="C3" t="s">
        <v>877</v>
      </c>
      <c r="D3" t="s">
        <v>878</v>
      </c>
      <c r="E3" t="s">
        <v>879</v>
      </c>
      <c r="F3" t="s">
        <v>880</v>
      </c>
      <c r="G3" t="s">
        <v>881</v>
      </c>
    </row>
    <row r="4" spans="1:7" x14ac:dyDescent="0.25">
      <c r="A4" s="402" t="s">
        <v>883</v>
      </c>
      <c r="B4" s="402" t="s">
        <v>975</v>
      </c>
      <c r="C4" s="402" t="s">
        <v>993</v>
      </c>
      <c r="D4" s="402" t="s">
        <v>1010</v>
      </c>
      <c r="E4" s="402" t="s">
        <v>1036</v>
      </c>
      <c r="F4" s="402" t="s">
        <v>1037</v>
      </c>
      <c r="G4" s="402" t="s">
        <v>1011</v>
      </c>
    </row>
    <row r="5" spans="1:7" x14ac:dyDescent="0.25">
      <c r="A5" s="402" t="s">
        <v>889</v>
      </c>
      <c r="B5" s="402" t="s">
        <v>976</v>
      </c>
      <c r="C5" s="402" t="s">
        <v>994</v>
      </c>
      <c r="D5" s="402" t="s">
        <v>1012</v>
      </c>
      <c r="F5" s="402" t="s">
        <v>1013</v>
      </c>
      <c r="G5" s="402" t="s">
        <v>1014</v>
      </c>
    </row>
    <row r="6" spans="1:7" x14ac:dyDescent="0.25">
      <c r="A6" s="402" t="s">
        <v>895</v>
      </c>
      <c r="B6" s="402" t="s">
        <v>977</v>
      </c>
      <c r="C6" s="402" t="s">
        <v>995</v>
      </c>
      <c r="D6" s="402" t="s">
        <v>1015</v>
      </c>
      <c r="F6" s="402" t="s">
        <v>1016</v>
      </c>
      <c r="G6" s="402" t="s">
        <v>1014</v>
      </c>
    </row>
    <row r="7" spans="1:7" x14ac:dyDescent="0.25">
      <c r="A7" s="402" t="s">
        <v>900</v>
      </c>
      <c r="B7" s="402" t="s">
        <v>978</v>
      </c>
      <c r="C7" s="402" t="s">
        <v>995</v>
      </c>
      <c r="D7" s="402" t="s">
        <v>1017</v>
      </c>
      <c r="F7" s="402" t="s">
        <v>1018</v>
      </c>
      <c r="G7" s="402" t="s">
        <v>1019</v>
      </c>
    </row>
    <row r="8" spans="1:7" ht="125" x14ac:dyDescent="0.25">
      <c r="A8" s="402" t="s">
        <v>905</v>
      </c>
      <c r="B8" s="402" t="s">
        <v>979</v>
      </c>
      <c r="C8" s="402" t="s">
        <v>996</v>
      </c>
      <c r="D8" s="402" t="s">
        <v>1020</v>
      </c>
      <c r="F8" s="402" t="s">
        <v>1021</v>
      </c>
      <c r="G8" s="472" t="s">
        <v>1038</v>
      </c>
    </row>
    <row r="9" spans="1:7" x14ac:dyDescent="0.25">
      <c r="A9" s="402" t="s">
        <v>911</v>
      </c>
      <c r="B9" s="402" t="s">
        <v>980</v>
      </c>
      <c r="C9" s="402" t="s">
        <v>997</v>
      </c>
      <c r="D9" s="402" t="s">
        <v>934</v>
      </c>
      <c r="E9" s="402" t="s">
        <v>935</v>
      </c>
      <c r="F9" s="402"/>
      <c r="G9" s="402"/>
    </row>
    <row r="10" spans="1:7" ht="75" x14ac:dyDescent="0.25">
      <c r="A10" s="402" t="s">
        <v>915</v>
      </c>
      <c r="B10" s="402" t="s">
        <v>981</v>
      </c>
      <c r="C10" s="402" t="s">
        <v>998</v>
      </c>
      <c r="D10" s="402"/>
      <c r="E10" s="402"/>
      <c r="F10" s="402" t="s">
        <v>1022</v>
      </c>
      <c r="G10" s="472" t="s">
        <v>1023</v>
      </c>
    </row>
    <row r="11" spans="1:7" ht="75" x14ac:dyDescent="0.25">
      <c r="A11" s="402" t="s">
        <v>920</v>
      </c>
      <c r="B11" s="402" t="s">
        <v>982</v>
      </c>
      <c r="C11" s="402" t="s">
        <v>999</v>
      </c>
      <c r="D11" s="402"/>
      <c r="E11" s="402"/>
      <c r="F11" s="402" t="s">
        <v>1024</v>
      </c>
      <c r="G11" s="472" t="s">
        <v>1025</v>
      </c>
    </row>
    <row r="12" spans="1:7" ht="125" x14ac:dyDescent="0.25">
      <c r="A12" s="402" t="s">
        <v>925</v>
      </c>
      <c r="B12" s="402" t="s">
        <v>983</v>
      </c>
      <c r="C12" s="402" t="s">
        <v>1000</v>
      </c>
      <c r="D12" s="402" t="s">
        <v>1026</v>
      </c>
      <c r="G12" s="472" t="s">
        <v>1039</v>
      </c>
    </row>
    <row r="13" spans="1:7" x14ac:dyDescent="0.25">
      <c r="A13" s="402" t="s">
        <v>930</v>
      </c>
      <c r="B13" s="402" t="s">
        <v>984</v>
      </c>
      <c r="C13" s="402" t="s">
        <v>1001</v>
      </c>
      <c r="D13" s="402" t="s">
        <v>913</v>
      </c>
      <c r="E13" s="402" t="s">
        <v>1027</v>
      </c>
      <c r="F13" s="402"/>
      <c r="G13" s="402"/>
    </row>
    <row r="14" spans="1:7" x14ac:dyDescent="0.25">
      <c r="A14" s="402" t="s">
        <v>940</v>
      </c>
      <c r="B14" s="402" t="s">
        <v>985</v>
      </c>
      <c r="C14" s="402" t="s">
        <v>1002</v>
      </c>
      <c r="F14" s="402" t="s">
        <v>1040</v>
      </c>
      <c r="G14" s="402" t="s">
        <v>1041</v>
      </c>
    </row>
    <row r="15" spans="1:7" x14ac:dyDescent="0.25">
      <c r="A15" s="402" t="s">
        <v>941</v>
      </c>
      <c r="B15" s="402" t="s">
        <v>986</v>
      </c>
      <c r="C15" s="402" t="s">
        <v>1003</v>
      </c>
      <c r="F15" s="402" t="s">
        <v>1042</v>
      </c>
      <c r="G15" s="402" t="s">
        <v>1041</v>
      </c>
    </row>
    <row r="16" spans="1:7" ht="200" x14ac:dyDescent="0.25">
      <c r="A16" s="402" t="s">
        <v>945</v>
      </c>
      <c r="B16" s="402" t="s">
        <v>987</v>
      </c>
      <c r="C16" s="402" t="s">
        <v>1004</v>
      </c>
      <c r="D16" s="402" t="s">
        <v>1028</v>
      </c>
      <c r="E16" s="402" t="s">
        <v>1029</v>
      </c>
      <c r="F16" s="402"/>
      <c r="G16" s="472" t="s">
        <v>1043</v>
      </c>
    </row>
    <row r="17" spans="1:7" ht="125" x14ac:dyDescent="0.25">
      <c r="A17" s="402" t="s">
        <v>957</v>
      </c>
      <c r="B17" s="402" t="s">
        <v>988</v>
      </c>
      <c r="C17" s="402" t="s">
        <v>1005</v>
      </c>
      <c r="D17" s="402" t="s">
        <v>1030</v>
      </c>
      <c r="E17" s="402" t="s">
        <v>1044</v>
      </c>
      <c r="F17" s="402" t="s">
        <v>1045</v>
      </c>
      <c r="G17" s="472" t="s">
        <v>1046</v>
      </c>
    </row>
    <row r="18" spans="1:7" x14ac:dyDescent="0.25">
      <c r="A18" s="402" t="s">
        <v>176</v>
      </c>
      <c r="B18" s="402" t="s">
        <v>989</v>
      </c>
      <c r="C18" s="402" t="s">
        <v>1006</v>
      </c>
      <c r="D18" s="402" t="s">
        <v>1031</v>
      </c>
      <c r="E18" s="402"/>
      <c r="F18" s="402" t="s">
        <v>1047</v>
      </c>
      <c r="G18" s="472"/>
    </row>
    <row r="19" spans="1:7" x14ac:dyDescent="0.25">
      <c r="A19" s="402" t="s">
        <v>175</v>
      </c>
      <c r="B19" s="402" t="s">
        <v>990</v>
      </c>
      <c r="C19" s="402" t="s">
        <v>1007</v>
      </c>
      <c r="D19" s="402" t="s">
        <v>1032</v>
      </c>
      <c r="E19" s="402"/>
      <c r="F19" s="402" t="s">
        <v>1048</v>
      </c>
    </row>
    <row r="20" spans="1:7" ht="50" x14ac:dyDescent="0.25">
      <c r="A20" s="402" t="s">
        <v>174</v>
      </c>
      <c r="B20" s="402" t="s">
        <v>991</v>
      </c>
      <c r="C20" s="402" t="s">
        <v>1008</v>
      </c>
      <c r="D20" s="402" t="s">
        <v>1033</v>
      </c>
      <c r="E20" s="402"/>
      <c r="F20" s="402" t="s">
        <v>1049</v>
      </c>
      <c r="G20" s="473" t="s">
        <v>1034</v>
      </c>
    </row>
    <row r="21" spans="1:7" x14ac:dyDescent="0.25">
      <c r="A21" s="402" t="s">
        <v>173</v>
      </c>
      <c r="B21" s="402" t="s">
        <v>992</v>
      </c>
      <c r="C21" s="402" t="s">
        <v>1009</v>
      </c>
      <c r="D21" s="402" t="s">
        <v>1035</v>
      </c>
      <c r="E21" s="402"/>
      <c r="F21" s="402" t="s">
        <v>1050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081516-B49E-4802-A1D7-832D07A63E01}">
  <dimension ref="A1:H21"/>
  <sheetViews>
    <sheetView workbookViewId="0">
      <pane ySplit="3" topLeftCell="A4" activePane="bottomLeft" state="frozen"/>
      <selection pane="bottomLeft" activeCell="E9" sqref="E9"/>
    </sheetView>
  </sheetViews>
  <sheetFormatPr defaultRowHeight="12.5" x14ac:dyDescent="0.25"/>
  <cols>
    <col min="1" max="1" width="38.453125" bestFit="1" customWidth="1"/>
    <col min="2" max="2" width="43" bestFit="1" customWidth="1"/>
    <col min="3" max="3" width="43.1796875" customWidth="1"/>
    <col min="4" max="4" width="30.26953125" bestFit="1" customWidth="1"/>
    <col min="5" max="5" width="66.7265625" bestFit="1" customWidth="1"/>
    <col min="6" max="6" width="77" bestFit="1" customWidth="1"/>
    <col min="7" max="7" width="28.26953125" bestFit="1" customWidth="1"/>
  </cols>
  <sheetData>
    <row r="1" spans="1:8" x14ac:dyDescent="0.25">
      <c r="A1" t="s">
        <v>874</v>
      </c>
    </row>
    <row r="3" spans="1:8" x14ac:dyDescent="0.25">
      <c r="A3" t="s">
        <v>875</v>
      </c>
      <c r="B3" t="s">
        <v>876</v>
      </c>
      <c r="C3" t="s">
        <v>877</v>
      </c>
      <c r="D3" t="s">
        <v>878</v>
      </c>
      <c r="E3" t="s">
        <v>879</v>
      </c>
      <c r="F3" t="s">
        <v>880</v>
      </c>
      <c r="G3" t="s">
        <v>881</v>
      </c>
      <c r="H3" t="s">
        <v>1052</v>
      </c>
    </row>
    <row r="4" spans="1:8" x14ac:dyDescent="0.25">
      <c r="A4" s="402" t="s">
        <v>883</v>
      </c>
      <c r="B4" s="402" t="s">
        <v>975</v>
      </c>
      <c r="C4" s="402" t="s">
        <v>993</v>
      </c>
      <c r="D4" s="402" t="s">
        <v>1010</v>
      </c>
      <c r="E4" s="402" t="s">
        <v>1036</v>
      </c>
      <c r="F4" s="402" t="s">
        <v>1073</v>
      </c>
      <c r="G4" s="402" t="s">
        <v>1011</v>
      </c>
    </row>
    <row r="5" spans="1:8" x14ac:dyDescent="0.25">
      <c r="A5" s="402" t="s">
        <v>889</v>
      </c>
      <c r="B5" s="402" t="s">
        <v>976</v>
      </c>
      <c r="C5" s="402" t="s">
        <v>1051</v>
      </c>
      <c r="D5" s="402" t="s">
        <v>1012</v>
      </c>
      <c r="F5" s="402" t="s">
        <v>1013</v>
      </c>
      <c r="G5" s="402" t="s">
        <v>1014</v>
      </c>
      <c r="H5" s="476" t="s">
        <v>1053</v>
      </c>
    </row>
    <row r="6" spans="1:8" x14ac:dyDescent="0.25">
      <c r="A6" s="402" t="s">
        <v>895</v>
      </c>
      <c r="B6" s="402" t="s">
        <v>977</v>
      </c>
      <c r="C6" s="402" t="s">
        <v>995</v>
      </c>
      <c r="D6" s="402" t="s">
        <v>1054</v>
      </c>
      <c r="F6" s="402" t="s">
        <v>1016</v>
      </c>
      <c r="G6" s="402" t="s">
        <v>1014</v>
      </c>
      <c r="H6">
        <v>110</v>
      </c>
    </row>
    <row r="7" spans="1:8" x14ac:dyDescent="0.25">
      <c r="A7" s="402" t="s">
        <v>900</v>
      </c>
      <c r="B7" s="402" t="s">
        <v>978</v>
      </c>
      <c r="C7" s="402" t="s">
        <v>995</v>
      </c>
      <c r="D7" s="402" t="s">
        <v>1017</v>
      </c>
      <c r="F7" s="402" t="s">
        <v>1018</v>
      </c>
      <c r="G7" s="402" t="s">
        <v>1019</v>
      </c>
      <c r="H7">
        <v>120</v>
      </c>
    </row>
    <row r="8" spans="1:8" ht="125" x14ac:dyDescent="0.25">
      <c r="A8" s="402" t="s">
        <v>905</v>
      </c>
      <c r="B8" s="402" t="s">
        <v>979</v>
      </c>
      <c r="C8" s="402" t="s">
        <v>996</v>
      </c>
      <c r="D8" s="402" t="s">
        <v>1020</v>
      </c>
      <c r="F8" s="402" t="s">
        <v>1021</v>
      </c>
      <c r="G8" s="472" t="s">
        <v>1038</v>
      </c>
    </row>
    <row r="9" spans="1:8" x14ac:dyDescent="0.25">
      <c r="A9" s="402" t="s">
        <v>911</v>
      </c>
      <c r="B9" s="402" t="s">
        <v>980</v>
      </c>
      <c r="C9" s="402" t="s">
        <v>997</v>
      </c>
      <c r="D9" s="402" t="s">
        <v>1018</v>
      </c>
      <c r="E9" s="402" t="s">
        <v>1097</v>
      </c>
      <c r="F9" s="402"/>
      <c r="G9" s="402"/>
      <c r="H9">
        <v>75</v>
      </c>
    </row>
    <row r="10" spans="1:8" ht="75" x14ac:dyDescent="0.25">
      <c r="A10" s="402" t="s">
        <v>915</v>
      </c>
      <c r="B10" s="402" t="s">
        <v>981</v>
      </c>
      <c r="C10" s="402" t="s">
        <v>998</v>
      </c>
      <c r="D10" s="402"/>
      <c r="E10" s="402"/>
      <c r="F10" s="402" t="s">
        <v>1022</v>
      </c>
      <c r="G10" s="472" t="s">
        <v>1056</v>
      </c>
      <c r="H10">
        <v>104</v>
      </c>
    </row>
    <row r="11" spans="1:8" ht="75" x14ac:dyDescent="0.25">
      <c r="A11" s="402" t="s">
        <v>920</v>
      </c>
      <c r="B11" s="402" t="s">
        <v>982</v>
      </c>
      <c r="C11" s="402" t="s">
        <v>1057</v>
      </c>
      <c r="D11" s="402"/>
      <c r="E11" s="402"/>
      <c r="F11" s="402" t="s">
        <v>1024</v>
      </c>
      <c r="G11" s="472" t="s">
        <v>1025</v>
      </c>
      <c r="H11">
        <v>180</v>
      </c>
    </row>
    <row r="12" spans="1:8" ht="125" x14ac:dyDescent="0.25">
      <c r="A12" s="402" t="s">
        <v>925</v>
      </c>
      <c r="B12" s="402" t="s">
        <v>987</v>
      </c>
      <c r="C12" s="402" t="s">
        <v>1000</v>
      </c>
      <c r="D12" s="402" t="s">
        <v>1058</v>
      </c>
      <c r="G12" s="472" t="s">
        <v>1059</v>
      </c>
      <c r="H12">
        <v>40</v>
      </c>
    </row>
    <row r="13" spans="1:8" x14ac:dyDescent="0.25">
      <c r="A13" s="402" t="s">
        <v>930</v>
      </c>
      <c r="B13" s="402" t="s">
        <v>984</v>
      </c>
      <c r="C13" s="402" t="s">
        <v>1060</v>
      </c>
      <c r="D13" s="402" t="s">
        <v>1055</v>
      </c>
      <c r="E13" s="402" t="s">
        <v>1027</v>
      </c>
      <c r="F13" s="402"/>
      <c r="G13" s="402"/>
      <c r="H13">
        <v>56</v>
      </c>
    </row>
    <row r="14" spans="1:8" x14ac:dyDescent="0.25">
      <c r="A14" s="402" t="s">
        <v>940</v>
      </c>
      <c r="B14" s="402" t="s">
        <v>985</v>
      </c>
      <c r="C14" s="402" t="s">
        <v>1002</v>
      </c>
      <c r="F14" s="402" t="s">
        <v>1074</v>
      </c>
      <c r="G14" s="402" t="s">
        <v>1041</v>
      </c>
      <c r="H14">
        <v>72</v>
      </c>
    </row>
    <row r="15" spans="1:8" x14ac:dyDescent="0.25">
      <c r="A15" s="402" t="s">
        <v>941</v>
      </c>
      <c r="B15" s="402" t="s">
        <v>986</v>
      </c>
      <c r="C15" s="402" t="s">
        <v>1003</v>
      </c>
      <c r="F15" s="402" t="s">
        <v>1075</v>
      </c>
      <c r="G15" s="402" t="s">
        <v>1041</v>
      </c>
      <c r="H15">
        <v>70</v>
      </c>
    </row>
    <row r="16" spans="1:8" ht="200" x14ac:dyDescent="0.25">
      <c r="A16" s="402" t="s">
        <v>945</v>
      </c>
      <c r="B16" s="402" t="s">
        <v>987</v>
      </c>
      <c r="C16" s="402" t="s">
        <v>1004</v>
      </c>
      <c r="D16" s="402" t="s">
        <v>1028</v>
      </c>
      <c r="E16" s="402" t="s">
        <v>1029</v>
      </c>
      <c r="F16" s="402"/>
      <c r="G16" s="472" t="s">
        <v>1043</v>
      </c>
      <c r="H16">
        <v>40</v>
      </c>
    </row>
    <row r="17" spans="1:8" ht="125" x14ac:dyDescent="0.25">
      <c r="A17" s="402" t="s">
        <v>957</v>
      </c>
      <c r="B17" s="402" t="s">
        <v>991</v>
      </c>
      <c r="C17" s="402" t="s">
        <v>1061</v>
      </c>
      <c r="D17" s="402" t="s">
        <v>1030</v>
      </c>
      <c r="E17" s="402" t="s">
        <v>1044</v>
      </c>
      <c r="F17" s="402" t="s">
        <v>1066</v>
      </c>
      <c r="G17" s="472" t="s">
        <v>1062</v>
      </c>
      <c r="H17">
        <v>157</v>
      </c>
    </row>
    <row r="18" spans="1:8" x14ac:dyDescent="0.25">
      <c r="A18" s="402" t="s">
        <v>176</v>
      </c>
      <c r="B18" s="402" t="s">
        <v>1063</v>
      </c>
      <c r="C18" s="402" t="s">
        <v>1006</v>
      </c>
      <c r="D18" s="402" t="s">
        <v>1064</v>
      </c>
      <c r="E18" s="402"/>
      <c r="F18" s="402" t="s">
        <v>1065</v>
      </c>
      <c r="G18" s="472"/>
      <c r="H18">
        <v>79</v>
      </c>
    </row>
    <row r="19" spans="1:8" x14ac:dyDescent="0.25">
      <c r="A19" s="402" t="s">
        <v>175</v>
      </c>
      <c r="B19" s="402" t="s">
        <v>990</v>
      </c>
      <c r="C19" s="402" t="s">
        <v>1007</v>
      </c>
      <c r="D19" s="402" t="s">
        <v>1032</v>
      </c>
      <c r="E19" s="402"/>
      <c r="F19" s="402" t="s">
        <v>1067</v>
      </c>
      <c r="H19">
        <v>85</v>
      </c>
    </row>
    <row r="20" spans="1:8" ht="50" x14ac:dyDescent="0.25">
      <c r="A20" s="402" t="s">
        <v>174</v>
      </c>
      <c r="B20" s="402" t="s">
        <v>991</v>
      </c>
      <c r="C20" s="474" t="s">
        <v>1069</v>
      </c>
      <c r="D20" s="474" t="s">
        <v>1033</v>
      </c>
      <c r="E20" s="474"/>
      <c r="F20" s="474" t="s">
        <v>1068</v>
      </c>
      <c r="G20" s="475" t="s">
        <v>1034</v>
      </c>
      <c r="H20">
        <v>122</v>
      </c>
    </row>
    <row r="21" spans="1:8" ht="50" x14ac:dyDescent="0.25">
      <c r="A21" s="402" t="s">
        <v>173</v>
      </c>
      <c r="B21" s="402" t="s">
        <v>992</v>
      </c>
      <c r="C21" s="474" t="s">
        <v>1070</v>
      </c>
      <c r="D21" s="474" t="s">
        <v>1035</v>
      </c>
      <c r="E21" s="402"/>
      <c r="F21" s="402" t="s">
        <v>1071</v>
      </c>
      <c r="G21" s="475" t="s">
        <v>1072</v>
      </c>
      <c r="H21">
        <v>225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6891C16B46B96F4197AB52A29ECE1F3B" ma:contentTypeVersion="14" ma:contentTypeDescription="Create a new document." ma:contentTypeScope="" ma:versionID="5e537ab29c569075ad97aabf97b34318">
  <xsd:schema xmlns:xsd="http://www.w3.org/2001/XMLSchema" xmlns:xs="http://www.w3.org/2001/XMLSchema" xmlns:p="http://schemas.microsoft.com/office/2006/metadata/properties" xmlns:ns3="1d2291ba-c939-4039-8b44-571f7f512a84" xmlns:ns4="d7529220-dd0c-43c4-8d20-2b74dabcb8fb" targetNamespace="http://schemas.microsoft.com/office/2006/metadata/properties" ma:root="true" ma:fieldsID="59c66faa76b2978dff7add25da003e07" ns3:_="" ns4:_="">
    <xsd:import namespace="1d2291ba-c939-4039-8b44-571f7f512a84"/>
    <xsd:import namespace="d7529220-dd0c-43c4-8d20-2b74dabcb8fb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3:MediaServiceAutoKeyPoints" minOccurs="0"/>
                <xsd:element ref="ns3:MediaServiceKeyPoints" minOccurs="0"/>
                <xsd:element ref="ns3:MediaServiceAutoTags" minOccurs="0"/>
                <xsd:element ref="ns3:MediaServiceOCR" minOccurs="0"/>
                <xsd:element ref="ns3:MediaServiceGenerationTime" minOccurs="0"/>
                <xsd:element ref="ns3:MediaServiceEventHashCode" minOccurs="0"/>
                <xsd:element ref="ns3:MediaServiceDateTaken" minOccurs="0"/>
                <xsd:element ref="ns3:MediaServiceLocation" minOccurs="0"/>
                <xsd:element ref="ns4:SharedWithUsers" minOccurs="0"/>
                <xsd:element ref="ns4:SharedWithDetails" minOccurs="0"/>
                <xsd:element ref="ns4:SharingHintHash" minOccurs="0"/>
                <xsd:element ref="ns3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d2291ba-c939-4039-8b44-571f7f512a84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0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1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AutoTags" ma:index="12" nillable="true" ma:displayName="Tags" ma:internalName="MediaServiceAutoTags" ma:readOnly="true">
      <xsd:simpleType>
        <xsd:restriction base="dms:Text"/>
      </xsd:simpleType>
    </xsd:element>
    <xsd:element name="MediaServiceOCR" ma:index="13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4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5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DateTaken" ma:index="16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17" nillable="true" ma:displayName="Location" ma:internalName="MediaServiceLocation" ma:readOnly="true">
      <xsd:simpleType>
        <xsd:restriction base="dms:Text"/>
      </xsd:simpleType>
    </xsd:element>
    <xsd:element name="MediaLengthInSeconds" ma:index="21" nillable="true" ma:displayName="Length (seconds)" ma:internalName="MediaLengthInSeconds" ma:readOnly="true">
      <xsd:simpleType>
        <xsd:restriction base="dms:Unknow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d7529220-dd0c-43c4-8d20-2b74dabcb8fb" elementFormDefault="qualified">
    <xsd:import namespace="http://schemas.microsoft.com/office/2006/documentManagement/types"/>
    <xsd:import namespace="http://schemas.microsoft.com/office/infopath/2007/PartnerControls"/>
    <xsd:element name="SharedWithUsers" ma:index="18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9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20" nillable="true" ma:displayName="Sharing Hint Hash" ma:hidden="true" ma:internalName="SharingHintHash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33EEFDC3-423B-496F-A877-FCFC10F9066C}">
  <ds:schemaRefs>
    <ds:schemaRef ds:uri="http://schemas.microsoft.com/office/2006/documentManagement/types"/>
    <ds:schemaRef ds:uri="http://purl.org/dc/terms/"/>
    <ds:schemaRef ds:uri="http://schemas.microsoft.com/office/infopath/2007/PartnerControls"/>
    <ds:schemaRef ds:uri="1d2291ba-c939-4039-8b44-571f7f512a84"/>
    <ds:schemaRef ds:uri="http://schemas.microsoft.com/office/2006/metadata/properties"/>
    <ds:schemaRef ds:uri="http://purl.org/dc/elements/1.1/"/>
    <ds:schemaRef ds:uri="http://www.w3.org/XML/1998/namespace"/>
    <ds:schemaRef ds:uri="http://schemas.openxmlformats.org/package/2006/metadata/core-properties"/>
    <ds:schemaRef ds:uri="d7529220-dd0c-43c4-8d20-2b74dabcb8fb"/>
    <ds:schemaRef ds:uri="http://purl.org/dc/dcmitype/"/>
  </ds:schemaRefs>
</ds:datastoreItem>
</file>

<file path=customXml/itemProps2.xml><?xml version="1.0" encoding="utf-8"?>
<ds:datastoreItem xmlns:ds="http://schemas.openxmlformats.org/officeDocument/2006/customXml" ds:itemID="{0924B56F-9AA5-4F83-9D53-8E0444412D86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1d2291ba-c939-4039-8b44-571f7f512a84"/>
    <ds:schemaRef ds:uri="d7529220-dd0c-43c4-8d20-2b74dabcb8fb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DB57B7F2-4E92-47B3-9703-83FA31D44F8F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21</vt:i4>
      </vt:variant>
      <vt:variant>
        <vt:lpstr>Named Ranges</vt:lpstr>
      </vt:variant>
      <vt:variant>
        <vt:i4>13</vt:i4>
      </vt:variant>
    </vt:vector>
  </HeadingPairs>
  <TitlesOfParts>
    <vt:vector size="34" baseType="lpstr">
      <vt:lpstr>Label</vt:lpstr>
      <vt:lpstr>Data</vt:lpstr>
      <vt:lpstr>Summary</vt:lpstr>
      <vt:lpstr>Comparison</vt:lpstr>
      <vt:lpstr>Lube Frequency BMSK</vt:lpstr>
      <vt:lpstr>Lube Legend</vt:lpstr>
      <vt:lpstr>Crushing</vt:lpstr>
      <vt:lpstr>All Equipment</vt:lpstr>
      <vt:lpstr>HM400-3MO</vt:lpstr>
      <vt:lpstr>NHL TR60</vt:lpstr>
      <vt:lpstr>PC800-8EO</vt:lpstr>
      <vt:lpstr>PC2000-8</vt:lpstr>
      <vt:lpstr>D9R</vt:lpstr>
      <vt:lpstr>EX1200</vt:lpstr>
      <vt:lpstr>K D275</vt:lpstr>
      <vt:lpstr>KGD825-2</vt:lpstr>
      <vt:lpstr>Indicator</vt:lpstr>
      <vt:lpstr>Template indicator</vt:lpstr>
      <vt:lpstr>Using table (old)</vt:lpstr>
      <vt:lpstr>Using table</vt:lpstr>
      <vt:lpstr>Using table New</vt:lpstr>
      <vt:lpstr>'All Equipment'!Print_Area</vt:lpstr>
      <vt:lpstr>Crushing!Print_Area</vt:lpstr>
      <vt:lpstr>D9R!Print_Area</vt:lpstr>
      <vt:lpstr>Data!Print_Area</vt:lpstr>
      <vt:lpstr>'EX1200'!Print_Area</vt:lpstr>
      <vt:lpstr>'HM400-3MO'!Print_Area</vt:lpstr>
      <vt:lpstr>'K D275'!Print_Area</vt:lpstr>
      <vt:lpstr>'KGD825-2'!Print_Area</vt:lpstr>
      <vt:lpstr>Label!Print_Area</vt:lpstr>
      <vt:lpstr>'Lube Frequency BMSK'!Print_Area</vt:lpstr>
      <vt:lpstr>'NHL TR60'!Print_Area</vt:lpstr>
      <vt:lpstr>'PC2000-8'!Print_Area</vt:lpstr>
      <vt:lpstr>'PC800-8EO'!Print_Area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/>
  <cp:keywords/>
  <dc:description/>
  <cp:lastModifiedBy/>
  <cp:revision/>
  <dcterms:created xsi:type="dcterms:W3CDTF">2015-12-18T04:53:11Z</dcterms:created>
  <dcterms:modified xsi:type="dcterms:W3CDTF">2026-10-04T21:36:50Z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0x0101006891C16B46B96F4197AB52A29ECE1F3B</vt:lpwstr>
  </property>
</Properties>
</file>