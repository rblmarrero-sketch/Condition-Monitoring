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showInkAnnotation="0" codeName="ThisWorkbook" defaultThemeVersion="124226"/>
  <xr:revisionPtr revIDLastSave="0" documentId="13_ncr:1_{FAC61A5A-07BA-43D8-9C5F-52DB435FED69}" xr6:coauthVersionLast="47" xr6:coauthVersionMax="47" xr10:uidLastSave="{00000000-0000-0000-0000-000000000000}"/>
  <bookViews>
    <workbookView xWindow="-110" yWindow="-110" windowWidth="19420" windowHeight="11500" tabRatio="683" firstSheet="4" activeTab="4" xr2:uid="{00000000-000D-0000-FFFF-FFFF00000000}"/>
  </bookViews>
  <sheets>
    <sheet name="Label" sheetId="80" r:id="rId1"/>
    <sheet name="Data" sheetId="79" r:id="rId2"/>
    <sheet name="Summary" sheetId="82" r:id="rId3"/>
    <sheet name="Comparison" sheetId="83" r:id="rId4"/>
    <sheet name="Lube Frequency BMSK" sheetId="77" r:id="rId5"/>
    <sheet name="Lube Legend" sheetId="81" r:id="rId6"/>
    <sheet name="HM400-3MO" sheetId="71" r:id="rId7"/>
    <sheet name="NHL TR60" sheetId="72" r:id="rId8"/>
    <sheet name="PC800-8EO" sheetId="73" r:id="rId9"/>
    <sheet name="PC2000-8" sheetId="74" r:id="rId10"/>
    <sheet name="D9R" sheetId="76" r:id="rId11"/>
    <sheet name="EX1200" sheetId="75" r:id="rId12"/>
    <sheet name="K D275" sheetId="66" r:id="rId13"/>
    <sheet name="KGD825-2" sheetId="67" r:id="rId14"/>
    <sheet name="Indicator" sheetId="84" r:id="rId15"/>
    <sheet name="Template indicator" sheetId="85" r:id="rId16"/>
  </sheets>
  <functionGroups builtInGroupCount="19"/>
  <definedNames>
    <definedName name="_xlnm._FilterDatabase" localSheetId="1" hidden="1">Data!$A$1:$M$508</definedName>
    <definedName name="_xlnm._FilterDatabase" localSheetId="14" hidden="1">Indicator!$A$1:$E$24</definedName>
    <definedName name="_xlnm._FilterDatabase" localSheetId="4" hidden="1">'Lube Frequency BMSK'!$A$2:$FP$192</definedName>
    <definedName name="EPIROCDML">#REF!</definedName>
    <definedName name="fghfg" localSheetId="10">#REF!</definedName>
    <definedName name="fghfg" localSheetId="11">#REF!</definedName>
    <definedName name="fghfg" localSheetId="6">#REF!</definedName>
    <definedName name="fghfg" localSheetId="12">#REF!</definedName>
    <definedName name="fghfg" localSheetId="13">#REF!</definedName>
    <definedName name="fghfg" localSheetId="4">#REF!</definedName>
    <definedName name="fghfg" localSheetId="7">#REF!</definedName>
    <definedName name="fghfg" localSheetId="9">#REF!</definedName>
    <definedName name="fghfg" localSheetId="8">#REF!</definedName>
    <definedName name="fghfg">#REF!</definedName>
    <definedName name="_xlnm.Print_Area" localSheetId="10">D9R!$A$1:$K$39</definedName>
    <definedName name="_xlnm.Print_Area" localSheetId="1">Data!$A$1:$K$612</definedName>
    <definedName name="_xlnm.Print_Area" localSheetId="11">'EX1200'!$A$1:$K$39</definedName>
    <definedName name="_xlnm.Print_Area" localSheetId="6">'HM400-3MO'!$A$1:$K$39</definedName>
    <definedName name="_xlnm.Print_Area" localSheetId="12">'K D275'!$A$1:$K$42</definedName>
    <definedName name="_xlnm.Print_Area" localSheetId="13">'KGD825-2'!$A$1:$K$42</definedName>
    <definedName name="_xlnm.Print_Area" localSheetId="0">Label!$A$1:$F$9</definedName>
    <definedName name="_xlnm.Print_Area" localSheetId="4">'Lube Frequency BMSK'!$B$1:$GM$192</definedName>
    <definedName name="_xlnm.Print_Area" localSheetId="7">'NHL TR60'!$A$1:$K$39</definedName>
    <definedName name="_xlnm.Print_Area" localSheetId="9">'PC2000-8'!$A$1:$K$39</definedName>
    <definedName name="_xlnm.Print_Area" localSheetId="8">'PC800-8EO'!$A$1:$K$39</definedName>
    <definedName name="z" localSheetId="10">#REF!</definedName>
    <definedName name="z" localSheetId="11">#REF!</definedName>
    <definedName name="z" localSheetId="6">#REF!</definedName>
    <definedName name="z" localSheetId="12">#REF!</definedName>
    <definedName name="z" localSheetId="13">#REF!</definedName>
    <definedName name="z" localSheetId="4">#REF!</definedName>
    <definedName name="z" localSheetId="7">#REF!</definedName>
    <definedName name="z" localSheetId="9">#REF!</definedName>
    <definedName name="z" localSheetId="8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7" i="77" l="1" a="1"/>
  <c r="I187" i="77" s="1"/>
  <c r="I186" i="77" a="1"/>
  <c r="I186" i="77" s="1"/>
  <c r="J186" i="77" s="1"/>
  <c r="K186" i="77" s="1"/>
  <c r="I185" i="77" a="1"/>
  <c r="I185" i="77" s="1"/>
  <c r="I184" i="77" a="1"/>
  <c r="I184" i="77" s="1"/>
  <c r="I183" i="77" a="1"/>
  <c r="I183" i="77" s="1"/>
  <c r="I182" i="77" a="1"/>
  <c r="I182" i="77" s="1"/>
  <c r="I181" i="77" a="1"/>
  <c r="I181" i="77" s="1"/>
  <c r="I180" i="77" a="1"/>
  <c r="I180" i="77" s="1"/>
  <c r="I179" i="77" a="1"/>
  <c r="I179" i="77" s="1"/>
  <c r="I178" i="77" a="1"/>
  <c r="I178" i="77" s="1"/>
  <c r="I177" i="77" a="1"/>
  <c r="I177" i="77" s="1"/>
  <c r="J177" i="77" s="1"/>
  <c r="K177" i="77" s="1"/>
  <c r="I176" i="77" a="1"/>
  <c r="I176" i="77" s="1"/>
  <c r="J176" i="77" s="1"/>
  <c r="K176" i="77" s="1"/>
  <c r="I175" i="77" a="1"/>
  <c r="I175" i="77" s="1"/>
  <c r="I174" i="77" a="1"/>
  <c r="I174" i="77" s="1"/>
  <c r="I173" i="77" a="1"/>
  <c r="I173" i="77" s="1"/>
  <c r="I172" i="77" a="1"/>
  <c r="I172" i="77" s="1"/>
  <c r="I171" i="77" a="1"/>
  <c r="I171" i="77" s="1"/>
  <c r="I170" i="77" a="1"/>
  <c r="I170" i="77" s="1"/>
  <c r="I169" i="77" a="1"/>
  <c r="I169" i="77" s="1"/>
  <c r="I168" i="77" a="1"/>
  <c r="I168" i="77" s="1"/>
  <c r="I167" i="77" a="1"/>
  <c r="I167" i="77" s="1"/>
  <c r="I166" i="77" a="1"/>
  <c r="I166" i="77" s="1"/>
  <c r="I165" i="77" a="1"/>
  <c r="I165" i="77" s="1"/>
  <c r="I164" i="77" a="1"/>
  <c r="I164" i="77" s="1"/>
  <c r="I163" i="77" a="1"/>
  <c r="I163" i="77" s="1"/>
  <c r="J163" i="77" s="1"/>
  <c r="K163" i="77" s="1"/>
  <c r="I162" i="77" a="1"/>
  <c r="I162" i="77" s="1"/>
  <c r="I161" i="77" a="1"/>
  <c r="I161" i="77" s="1"/>
  <c r="I160" i="77" a="1"/>
  <c r="I160" i="77" s="1"/>
  <c r="I159" i="77" a="1"/>
  <c r="I159" i="77" s="1"/>
  <c r="I158" i="77" a="1"/>
  <c r="I158" i="77" s="1"/>
  <c r="I157" i="77" a="1"/>
  <c r="I157" i="77" s="1"/>
  <c r="I156" i="77" a="1"/>
  <c r="I156" i="77" s="1"/>
  <c r="I155" i="77" a="1"/>
  <c r="I155" i="77" s="1"/>
  <c r="I154" i="77" a="1"/>
  <c r="I154" i="77" s="1"/>
  <c r="J154" i="77" s="1"/>
  <c r="K154" i="77" s="1"/>
  <c r="I153" i="77" a="1"/>
  <c r="I153" i="77" s="1"/>
  <c r="I152" i="77" a="1"/>
  <c r="I152" i="77" s="1"/>
  <c r="I151" i="77" a="1"/>
  <c r="I151" i="77" s="1"/>
  <c r="I150" i="77" a="1"/>
  <c r="I150" i="77" s="1"/>
  <c r="I149" i="77" a="1"/>
  <c r="I149" i="77" s="1"/>
  <c r="I148" i="77" a="1"/>
  <c r="I148" i="77" s="1"/>
  <c r="I147" i="77" a="1"/>
  <c r="I147" i="77" s="1"/>
  <c r="I146" i="77" a="1"/>
  <c r="I146" i="77" s="1"/>
  <c r="J146" i="77" s="1"/>
  <c r="K146" i="77" s="1"/>
  <c r="I145" i="77" a="1"/>
  <c r="I145" i="77" s="1"/>
  <c r="I144" i="77" a="1"/>
  <c r="I144" i="77" s="1"/>
  <c r="J144" i="77" s="1"/>
  <c r="K144" i="77" s="1"/>
  <c r="I143" i="77" a="1"/>
  <c r="I143" i="77" s="1"/>
  <c r="I142" i="77" a="1"/>
  <c r="I142" i="77" s="1"/>
  <c r="J142" i="77" s="1"/>
  <c r="K142" i="77" s="1"/>
  <c r="I141" i="77" a="1"/>
  <c r="I141" i="77" s="1"/>
  <c r="I140" i="77" a="1"/>
  <c r="I140" i="77" s="1"/>
  <c r="I139" i="77" a="1"/>
  <c r="I139" i="77" s="1"/>
  <c r="I138" i="77" a="1"/>
  <c r="I138" i="77" s="1"/>
  <c r="I137" i="77" a="1"/>
  <c r="I137" i="77" s="1"/>
  <c r="I136" i="77" a="1"/>
  <c r="I136" i="77" s="1"/>
  <c r="I135" i="77" a="1"/>
  <c r="I135" i="77" s="1"/>
  <c r="I134" i="77" a="1"/>
  <c r="I134" i="77" s="1"/>
  <c r="J134" i="77" s="1"/>
  <c r="K134" i="77" s="1"/>
  <c r="I133" i="77" a="1"/>
  <c r="I133" i="77" s="1"/>
  <c r="I132" i="77" a="1"/>
  <c r="I132" i="77" s="1"/>
  <c r="I131" i="77" a="1"/>
  <c r="I131" i="77" s="1"/>
  <c r="I130" i="77" a="1"/>
  <c r="I130" i="77" s="1"/>
  <c r="I129" i="77" a="1"/>
  <c r="I129" i="77" s="1"/>
  <c r="I128" i="77" a="1"/>
  <c r="I128" i="77" s="1"/>
  <c r="I127" i="77" a="1"/>
  <c r="I127" i="77" s="1"/>
  <c r="I126" i="77" a="1"/>
  <c r="I126" i="77" s="1"/>
  <c r="I125" i="77" a="1"/>
  <c r="I125" i="77" s="1"/>
  <c r="I124" i="77" a="1"/>
  <c r="I124" i="77" s="1"/>
  <c r="I123" i="77" a="1"/>
  <c r="I123" i="77" s="1"/>
  <c r="I122" i="77" a="1"/>
  <c r="I122" i="77" s="1"/>
  <c r="I120" i="77" a="1"/>
  <c r="I120" i="77" s="1"/>
  <c r="J120" i="77" s="1"/>
  <c r="K120" i="77" s="1"/>
  <c r="I119" i="77" a="1"/>
  <c r="I119" i="77" s="1"/>
  <c r="I118" i="77" a="1"/>
  <c r="I118" i="77" s="1"/>
  <c r="I117" i="77" a="1"/>
  <c r="I117" i="77" s="1"/>
  <c r="I116" i="77" a="1"/>
  <c r="I116" i="77" s="1"/>
  <c r="J116" i="77" s="1"/>
  <c r="K116" i="77" s="1"/>
  <c r="I115" i="77" a="1"/>
  <c r="I115" i="77" s="1"/>
  <c r="J115" i="77" s="1"/>
  <c r="K115" i="77" s="1"/>
  <c r="I114" i="77" a="1"/>
  <c r="I114" i="77" s="1"/>
  <c r="I113" i="77" a="1"/>
  <c r="I113" i="77" s="1"/>
  <c r="I112" i="77" a="1"/>
  <c r="I112" i="77" s="1"/>
  <c r="J112" i="77" s="1"/>
  <c r="K112" i="77" s="1"/>
  <c r="I111" i="77" a="1"/>
  <c r="I111" i="77" s="1"/>
  <c r="I110" i="77" a="1"/>
  <c r="I110" i="77" s="1"/>
  <c r="I109" i="77" a="1"/>
  <c r="I109" i="77" s="1"/>
  <c r="I108" i="77" a="1"/>
  <c r="I108" i="77" s="1"/>
  <c r="I107" i="77" a="1"/>
  <c r="I107" i="77" s="1"/>
  <c r="J107" i="77" s="1"/>
  <c r="K107" i="77" s="1"/>
  <c r="I106" i="77" a="1"/>
  <c r="I106" i="77" s="1"/>
  <c r="I105" i="77" a="1"/>
  <c r="I105" i="77" s="1"/>
  <c r="I104" i="77" a="1"/>
  <c r="I104" i="77" s="1"/>
  <c r="I103" i="77" a="1"/>
  <c r="I103" i="77" s="1"/>
  <c r="J103" i="77" s="1"/>
  <c r="K103" i="77" s="1"/>
  <c r="I102" i="77" a="1"/>
  <c r="I102" i="77" s="1"/>
  <c r="I101" i="77" a="1"/>
  <c r="I101" i="77" s="1"/>
  <c r="I100" i="77" a="1"/>
  <c r="I100" i="77" s="1"/>
  <c r="I99" i="77" a="1"/>
  <c r="I99" i="77" s="1"/>
  <c r="I98" i="77" a="1"/>
  <c r="I98" i="77" s="1"/>
  <c r="J98" i="77" s="1"/>
  <c r="K98" i="77" s="1"/>
  <c r="I97" i="77" a="1"/>
  <c r="I97" i="77" s="1"/>
  <c r="I96" i="77" a="1"/>
  <c r="I96" i="77" s="1"/>
  <c r="I95" i="77" a="1"/>
  <c r="I95" i="77" s="1"/>
  <c r="I94" i="77" a="1"/>
  <c r="I94" i="77" s="1"/>
  <c r="I93" i="77" a="1"/>
  <c r="I93" i="77" s="1"/>
  <c r="I92" i="77" a="1"/>
  <c r="I92" i="77" s="1"/>
  <c r="I91" i="77" a="1"/>
  <c r="I91" i="77" s="1"/>
  <c r="I90" i="77" a="1"/>
  <c r="I90" i="77" s="1"/>
  <c r="I89" i="77" a="1"/>
  <c r="I89" i="77" s="1"/>
  <c r="I88" i="77" a="1"/>
  <c r="I88" i="77" s="1"/>
  <c r="J88" i="77" s="1"/>
  <c r="K88" i="77" s="1"/>
  <c r="I87" i="77" a="1"/>
  <c r="I87" i="77" s="1"/>
  <c r="I86" i="77" a="1"/>
  <c r="I86" i="77" s="1"/>
  <c r="I85" i="77" a="1"/>
  <c r="I85" i="77" s="1"/>
  <c r="I84" i="77" a="1"/>
  <c r="I84" i="77" s="1"/>
  <c r="J84" i="77" s="1"/>
  <c r="K84" i="77" s="1"/>
  <c r="I83" i="77" a="1"/>
  <c r="I83" i="77" s="1"/>
  <c r="I82" i="77" a="1"/>
  <c r="I82" i="77" s="1"/>
  <c r="I81" i="77" a="1"/>
  <c r="I81" i="77" s="1"/>
  <c r="I80" i="77" a="1"/>
  <c r="I80" i="77" s="1"/>
  <c r="I79" i="77" a="1"/>
  <c r="I79" i="77" s="1"/>
  <c r="J79" i="77" s="1"/>
  <c r="K79" i="77" s="1"/>
  <c r="I78" i="77" a="1"/>
  <c r="I78" i="77" s="1"/>
  <c r="I77" i="77" a="1"/>
  <c r="I77" i="77" s="1"/>
  <c r="I76" i="77" a="1"/>
  <c r="I76" i="77" s="1"/>
  <c r="I75" i="77" a="1"/>
  <c r="I75" i="77" s="1"/>
  <c r="J75" i="77" s="1"/>
  <c r="K75" i="77" s="1"/>
  <c r="I74" i="77" a="1"/>
  <c r="I74" i="77" s="1"/>
  <c r="J74" i="77" s="1"/>
  <c r="K74" i="77" s="1"/>
  <c r="I73" i="77" a="1"/>
  <c r="I73" i="77" s="1"/>
  <c r="I72" i="77" a="1"/>
  <c r="I72" i="77" s="1"/>
  <c r="I71" i="77" a="1"/>
  <c r="I71" i="77" s="1"/>
  <c r="J71" i="77" s="1"/>
  <c r="K71" i="77" s="1"/>
  <c r="I70" i="77" a="1"/>
  <c r="I70" i="77" s="1"/>
  <c r="J70" i="77" s="1"/>
  <c r="K70" i="77" s="1"/>
  <c r="I69" i="77" a="1"/>
  <c r="I69" i="77" s="1"/>
  <c r="I68" i="77" a="1"/>
  <c r="I68" i="77" s="1"/>
  <c r="I67" i="77" a="1"/>
  <c r="I67" i="77" s="1"/>
  <c r="J67" i="77" s="1"/>
  <c r="K67" i="77" s="1"/>
  <c r="I66" i="77" a="1"/>
  <c r="I66" i="77" s="1"/>
  <c r="I65" i="77" a="1"/>
  <c r="I65" i="77" s="1"/>
  <c r="I64" i="77" a="1"/>
  <c r="I64" i="77" s="1"/>
  <c r="I63" i="77" a="1"/>
  <c r="I63" i="77" s="1"/>
  <c r="I62" i="77" a="1"/>
  <c r="I62" i="77" s="1"/>
  <c r="I61" i="77" a="1"/>
  <c r="I61" i="77" s="1"/>
  <c r="I60" i="77" a="1"/>
  <c r="I60" i="77" s="1"/>
  <c r="I59" i="77" a="1"/>
  <c r="I59" i="77" s="1"/>
  <c r="I58" i="77" a="1"/>
  <c r="I58" i="77" s="1"/>
  <c r="I57" i="77" a="1"/>
  <c r="I57" i="77" s="1"/>
  <c r="J57" i="77" s="1"/>
  <c r="K57" i="77" s="1"/>
  <c r="I56" i="77" a="1"/>
  <c r="I56" i="77" s="1"/>
  <c r="J56" i="77" s="1"/>
  <c r="K56" i="77" s="1"/>
  <c r="I55" i="77" a="1"/>
  <c r="I55" i="77" s="1"/>
  <c r="I54" i="77" a="1"/>
  <c r="I54" i="77" s="1"/>
  <c r="I53" i="77" a="1"/>
  <c r="I53" i="77" s="1"/>
  <c r="I52" i="77" a="1"/>
  <c r="I52" i="77" s="1"/>
  <c r="I51" i="77" a="1"/>
  <c r="I51" i="77" s="1"/>
  <c r="J51" i="77" s="1"/>
  <c r="K51" i="77" s="1"/>
  <c r="I50" i="77" a="1"/>
  <c r="I50" i="77" s="1"/>
  <c r="I49" i="77" a="1"/>
  <c r="I49" i="77" s="1"/>
  <c r="I48" i="77" a="1"/>
  <c r="I48" i="77" s="1"/>
  <c r="I47" i="77" a="1"/>
  <c r="I47" i="77" s="1"/>
  <c r="I46" i="77" a="1"/>
  <c r="I46" i="77" s="1"/>
  <c r="J46" i="77" s="1"/>
  <c r="K46" i="77" s="1"/>
  <c r="I45" i="77" a="1"/>
  <c r="I45" i="77" s="1"/>
  <c r="I44" i="77" a="1"/>
  <c r="I44" i="77" s="1"/>
  <c r="J44" i="77" s="1"/>
  <c r="K44" i="77" s="1"/>
  <c r="I43" i="77" a="1"/>
  <c r="I43" i="77" s="1"/>
  <c r="I42" i="77" a="1"/>
  <c r="I42" i="77" s="1"/>
  <c r="J42" i="77" s="1"/>
  <c r="K42" i="77" s="1"/>
  <c r="I41" i="77" a="1"/>
  <c r="I41" i="77" s="1"/>
  <c r="I40" i="77" a="1"/>
  <c r="I40" i="77" s="1"/>
  <c r="I39" i="77" a="1"/>
  <c r="I39" i="77" s="1"/>
  <c r="I38" i="77" a="1"/>
  <c r="I38" i="77" s="1"/>
  <c r="I37" i="77" a="1"/>
  <c r="I37" i="77" s="1"/>
  <c r="J37" i="77" s="1"/>
  <c r="K37" i="77" s="1"/>
  <c r="I36" i="77" a="1"/>
  <c r="I36" i="77" s="1"/>
  <c r="I35" i="77" a="1"/>
  <c r="I35" i="77" s="1"/>
  <c r="I34" i="77" a="1"/>
  <c r="I34" i="77" s="1"/>
  <c r="I33" i="77" a="1"/>
  <c r="I33" i="77" s="1"/>
  <c r="J33" i="77" s="1"/>
  <c r="K33" i="77" s="1"/>
  <c r="I32" i="77" a="1"/>
  <c r="I32" i="77" s="1"/>
  <c r="I31" i="77" a="1"/>
  <c r="I31" i="77" s="1"/>
  <c r="J31" i="77" s="1"/>
  <c r="K31" i="77" s="1"/>
  <c r="I121" i="77" a="1"/>
  <c r="I121" i="77" s="1"/>
  <c r="T187" i="77"/>
  <c r="S187" i="77"/>
  <c r="Q187" i="77"/>
  <c r="O187" i="77"/>
  <c r="F184" i="82"/>
  <c r="G183" i="82"/>
  <c r="F183" i="82"/>
  <c r="G182" i="82"/>
  <c r="F182" i="82"/>
  <c r="G181" i="82"/>
  <c r="F181" i="82"/>
  <c r="G180" i="82"/>
  <c r="F180" i="82"/>
  <c r="G179" i="82"/>
  <c r="F179" i="82"/>
  <c r="F172" i="82"/>
  <c r="G171" i="82"/>
  <c r="F171" i="82"/>
  <c r="G170" i="82"/>
  <c r="F170" i="82"/>
  <c r="G169" i="82"/>
  <c r="F169" i="82"/>
  <c r="G168" i="82"/>
  <c r="F168" i="82"/>
  <c r="G167" i="82"/>
  <c r="F167" i="82"/>
  <c r="D8" i="83"/>
  <c r="D7" i="83"/>
  <c r="D6" i="83"/>
  <c r="GR186" i="77"/>
  <c r="GQ186" i="77"/>
  <c r="GR185" i="77"/>
  <c r="GQ185" i="77"/>
  <c r="GR184" i="77"/>
  <c r="GQ184" i="77"/>
  <c r="GR183" i="77"/>
  <c r="GQ183" i="77"/>
  <c r="GR182" i="77"/>
  <c r="GQ182" i="77"/>
  <c r="GR181" i="77"/>
  <c r="GQ181" i="77"/>
  <c r="GR180" i="77"/>
  <c r="GQ180" i="77"/>
  <c r="GR179" i="77"/>
  <c r="GQ179" i="77"/>
  <c r="GR178" i="77"/>
  <c r="GQ178" i="77"/>
  <c r="GR177" i="77"/>
  <c r="GQ177" i="77"/>
  <c r="GR176" i="77"/>
  <c r="GQ176" i="77"/>
  <c r="GR175" i="77"/>
  <c r="GQ175" i="77"/>
  <c r="GR174" i="77"/>
  <c r="GQ174" i="77"/>
  <c r="GR173" i="77"/>
  <c r="GQ173" i="77"/>
  <c r="GR172" i="77"/>
  <c r="GQ172" i="77"/>
  <c r="GR171" i="77"/>
  <c r="GQ171" i="77"/>
  <c r="GR170" i="77"/>
  <c r="GQ170" i="77"/>
  <c r="GR169" i="77"/>
  <c r="GQ169" i="77"/>
  <c r="GR168" i="77"/>
  <c r="GQ168" i="77"/>
  <c r="GR167" i="77"/>
  <c r="GQ167" i="77"/>
  <c r="GR166" i="77"/>
  <c r="GQ166" i="77"/>
  <c r="GR165" i="77"/>
  <c r="GQ165" i="77"/>
  <c r="GR164" i="77"/>
  <c r="GQ164" i="77"/>
  <c r="GR163" i="77"/>
  <c r="GQ163" i="77"/>
  <c r="GR162" i="77"/>
  <c r="GQ162" i="77"/>
  <c r="GR161" i="77"/>
  <c r="GQ161" i="77"/>
  <c r="GR160" i="77"/>
  <c r="GQ160" i="77"/>
  <c r="GR159" i="77"/>
  <c r="GQ159" i="77"/>
  <c r="GR158" i="77"/>
  <c r="GQ158" i="77"/>
  <c r="GR157" i="77"/>
  <c r="GQ157" i="77"/>
  <c r="GR156" i="77"/>
  <c r="GQ156" i="77"/>
  <c r="GR155" i="77"/>
  <c r="GQ155" i="77"/>
  <c r="GR154" i="77"/>
  <c r="GQ154" i="77"/>
  <c r="GR153" i="77"/>
  <c r="GQ153" i="77"/>
  <c r="GR152" i="77"/>
  <c r="GQ152" i="77"/>
  <c r="GR151" i="77"/>
  <c r="GQ151" i="77"/>
  <c r="GR150" i="77"/>
  <c r="GQ150" i="77"/>
  <c r="GR149" i="77"/>
  <c r="GQ149" i="77"/>
  <c r="GR148" i="77"/>
  <c r="GQ148" i="77"/>
  <c r="GR147" i="77"/>
  <c r="GQ147" i="77"/>
  <c r="GR146" i="77"/>
  <c r="GQ146" i="77"/>
  <c r="GR145" i="77"/>
  <c r="GQ145" i="77"/>
  <c r="GR144" i="77"/>
  <c r="GQ144" i="77"/>
  <c r="GR143" i="77"/>
  <c r="GQ143" i="77"/>
  <c r="GR142" i="77"/>
  <c r="GQ142" i="77"/>
  <c r="GR141" i="77"/>
  <c r="GQ141" i="77"/>
  <c r="GR140" i="77"/>
  <c r="GQ140" i="77"/>
  <c r="GR139" i="77"/>
  <c r="GQ139" i="77"/>
  <c r="GR138" i="77"/>
  <c r="GQ138" i="77"/>
  <c r="GR137" i="77"/>
  <c r="GQ137" i="77"/>
  <c r="GR136" i="77"/>
  <c r="GQ136" i="77"/>
  <c r="GR135" i="77"/>
  <c r="GQ135" i="77"/>
  <c r="GR134" i="77"/>
  <c r="GQ134" i="77"/>
  <c r="GR133" i="77"/>
  <c r="GQ133" i="77"/>
  <c r="GR132" i="77"/>
  <c r="GQ132" i="77"/>
  <c r="GR131" i="77"/>
  <c r="GQ131" i="77"/>
  <c r="GR130" i="77"/>
  <c r="GQ130" i="77"/>
  <c r="GR129" i="77"/>
  <c r="GQ129" i="77"/>
  <c r="GR128" i="77"/>
  <c r="GQ128" i="77"/>
  <c r="GR127" i="77"/>
  <c r="GQ127" i="77"/>
  <c r="GR126" i="77"/>
  <c r="GQ126" i="77"/>
  <c r="GR125" i="77"/>
  <c r="GQ125" i="77"/>
  <c r="GR124" i="77"/>
  <c r="GQ124" i="77"/>
  <c r="GR123" i="77"/>
  <c r="GQ123" i="77"/>
  <c r="GR122" i="77"/>
  <c r="GQ122" i="77"/>
  <c r="GR121" i="77"/>
  <c r="GQ121" i="77"/>
  <c r="GR120" i="77"/>
  <c r="GQ120" i="77"/>
  <c r="GR119" i="77"/>
  <c r="GQ119" i="77"/>
  <c r="GR118" i="77"/>
  <c r="GQ118" i="77"/>
  <c r="GR117" i="77"/>
  <c r="GQ117" i="77"/>
  <c r="GR116" i="77"/>
  <c r="GQ116" i="77"/>
  <c r="GR115" i="77"/>
  <c r="GQ115" i="77"/>
  <c r="GR114" i="77"/>
  <c r="GQ114" i="77"/>
  <c r="GR113" i="77"/>
  <c r="GQ113" i="77"/>
  <c r="GR112" i="77"/>
  <c r="GQ112" i="77"/>
  <c r="GR111" i="77"/>
  <c r="GQ111" i="77"/>
  <c r="GR110" i="77"/>
  <c r="GQ110" i="77"/>
  <c r="GR109" i="77"/>
  <c r="GQ109" i="77"/>
  <c r="GR108" i="77"/>
  <c r="GQ108" i="77"/>
  <c r="GR107" i="77"/>
  <c r="GQ107" i="77"/>
  <c r="GR106" i="77"/>
  <c r="GQ106" i="77"/>
  <c r="GR105" i="77"/>
  <c r="GQ105" i="77"/>
  <c r="GR104" i="77"/>
  <c r="GQ104" i="77"/>
  <c r="GR103" i="77"/>
  <c r="GQ103" i="77"/>
  <c r="GR102" i="77"/>
  <c r="GQ102" i="77"/>
  <c r="GR101" i="77"/>
  <c r="GQ101" i="77"/>
  <c r="GR100" i="77"/>
  <c r="GQ100" i="77"/>
  <c r="GR99" i="77"/>
  <c r="GQ99" i="77"/>
  <c r="GR98" i="77"/>
  <c r="GQ98" i="77"/>
  <c r="GR97" i="77"/>
  <c r="GQ97" i="77"/>
  <c r="GR96" i="77"/>
  <c r="GQ96" i="77"/>
  <c r="GR95" i="77"/>
  <c r="GQ95" i="77"/>
  <c r="GR94" i="77"/>
  <c r="GQ94" i="77"/>
  <c r="GR93" i="77"/>
  <c r="GQ93" i="77"/>
  <c r="GR92" i="77"/>
  <c r="GQ92" i="77"/>
  <c r="GR91" i="77"/>
  <c r="GQ91" i="77"/>
  <c r="GR90" i="77"/>
  <c r="GQ90" i="77"/>
  <c r="GR89" i="77"/>
  <c r="GQ89" i="77"/>
  <c r="GR88" i="77"/>
  <c r="GQ88" i="77"/>
  <c r="GR87" i="77"/>
  <c r="GQ87" i="77"/>
  <c r="GR86" i="77"/>
  <c r="GQ86" i="77"/>
  <c r="GR85" i="77"/>
  <c r="GQ85" i="77"/>
  <c r="GR84" i="77"/>
  <c r="GQ84" i="77"/>
  <c r="GR83" i="77"/>
  <c r="GQ83" i="77"/>
  <c r="GR82" i="77"/>
  <c r="GQ82" i="77"/>
  <c r="GR81" i="77"/>
  <c r="GQ81" i="77"/>
  <c r="GR80" i="77"/>
  <c r="GQ80" i="77"/>
  <c r="GR79" i="77"/>
  <c r="GQ79" i="77"/>
  <c r="GR78" i="77"/>
  <c r="GQ78" i="77"/>
  <c r="GR77" i="77"/>
  <c r="GQ77" i="77"/>
  <c r="GR76" i="77"/>
  <c r="GQ76" i="77"/>
  <c r="GR75" i="77"/>
  <c r="GQ75" i="77"/>
  <c r="GR74" i="77"/>
  <c r="GQ74" i="77"/>
  <c r="GR73" i="77"/>
  <c r="GQ73" i="77"/>
  <c r="GR72" i="77"/>
  <c r="GQ72" i="77"/>
  <c r="GR71" i="77"/>
  <c r="GQ71" i="77"/>
  <c r="GR70" i="77"/>
  <c r="GQ70" i="77"/>
  <c r="GR69" i="77"/>
  <c r="GQ69" i="77"/>
  <c r="GR68" i="77"/>
  <c r="GQ68" i="77"/>
  <c r="GR67" i="77"/>
  <c r="GQ67" i="77"/>
  <c r="GR66" i="77"/>
  <c r="GQ66" i="77"/>
  <c r="GR65" i="77"/>
  <c r="GQ65" i="77"/>
  <c r="GR64" i="77"/>
  <c r="GQ64" i="77"/>
  <c r="GR63" i="77"/>
  <c r="GQ63" i="77"/>
  <c r="GR62" i="77"/>
  <c r="GQ62" i="77"/>
  <c r="GR61" i="77"/>
  <c r="GQ61" i="77"/>
  <c r="GR60" i="77"/>
  <c r="GQ60" i="77"/>
  <c r="GR59" i="77"/>
  <c r="GQ59" i="77"/>
  <c r="GR58" i="77"/>
  <c r="GQ58" i="77"/>
  <c r="GR57" i="77"/>
  <c r="GQ57" i="77"/>
  <c r="GR56" i="77"/>
  <c r="GQ56" i="77"/>
  <c r="GR55" i="77"/>
  <c r="GQ55" i="77"/>
  <c r="GR54" i="77"/>
  <c r="GQ54" i="77"/>
  <c r="GR53" i="77"/>
  <c r="GQ53" i="77"/>
  <c r="GR52" i="77"/>
  <c r="GQ52" i="77"/>
  <c r="GR51" i="77"/>
  <c r="GQ51" i="77"/>
  <c r="GR50" i="77"/>
  <c r="GQ50" i="77"/>
  <c r="GR49" i="77"/>
  <c r="GQ49" i="77"/>
  <c r="GR48" i="77"/>
  <c r="GQ48" i="77"/>
  <c r="GR47" i="77"/>
  <c r="GQ47" i="77"/>
  <c r="GR46" i="77"/>
  <c r="GQ46" i="77"/>
  <c r="GR45" i="77"/>
  <c r="GQ45" i="77"/>
  <c r="GR44" i="77"/>
  <c r="GQ44" i="77"/>
  <c r="GR43" i="77"/>
  <c r="GQ43" i="77"/>
  <c r="GR42" i="77"/>
  <c r="GQ42" i="77"/>
  <c r="GR41" i="77"/>
  <c r="GQ41" i="77"/>
  <c r="GR40" i="77"/>
  <c r="GQ40" i="77"/>
  <c r="GR39" i="77"/>
  <c r="GQ39" i="77"/>
  <c r="GR38" i="77"/>
  <c r="GQ38" i="77"/>
  <c r="GR37" i="77"/>
  <c r="GQ37" i="77"/>
  <c r="GR36" i="77"/>
  <c r="GQ36" i="77"/>
  <c r="GR35" i="77"/>
  <c r="GQ35" i="77"/>
  <c r="GR34" i="77"/>
  <c r="GQ34" i="77"/>
  <c r="GR33" i="77"/>
  <c r="GQ33" i="77"/>
  <c r="GR32" i="77"/>
  <c r="GQ32" i="77"/>
  <c r="GR31" i="77"/>
  <c r="GQ31" i="77"/>
  <c r="I1" i="82"/>
  <c r="D161" i="82"/>
  <c r="C161" i="82"/>
  <c r="B161" i="82"/>
  <c r="A161" i="82"/>
  <c r="F161" i="82" s="1"/>
  <c r="D160" i="82"/>
  <c r="C160" i="82"/>
  <c r="B160" i="82"/>
  <c r="A160" i="82"/>
  <c r="F160" i="82" s="1"/>
  <c r="D159" i="82"/>
  <c r="C159" i="82"/>
  <c r="B159" i="82"/>
  <c r="A159" i="82"/>
  <c r="F159" i="82" s="1"/>
  <c r="D158" i="82"/>
  <c r="C158" i="82"/>
  <c r="B158" i="82"/>
  <c r="A158" i="82"/>
  <c r="F158" i="82" s="1"/>
  <c r="D157" i="82"/>
  <c r="C157" i="82"/>
  <c r="B157" i="82"/>
  <c r="A157" i="82"/>
  <c r="F157" i="82" s="1"/>
  <c r="D156" i="82"/>
  <c r="C156" i="82"/>
  <c r="B156" i="82"/>
  <c r="A156" i="82"/>
  <c r="F156" i="82" s="1"/>
  <c r="D155" i="82"/>
  <c r="C155" i="82"/>
  <c r="B155" i="82"/>
  <c r="A155" i="82"/>
  <c r="F155" i="82" s="1"/>
  <c r="D154" i="82"/>
  <c r="C154" i="82"/>
  <c r="B154" i="82"/>
  <c r="A154" i="82"/>
  <c r="F154" i="82" s="1"/>
  <c r="D153" i="82"/>
  <c r="C153" i="82"/>
  <c r="B153" i="82"/>
  <c r="A153" i="82"/>
  <c r="F153" i="82" s="1"/>
  <c r="D152" i="82"/>
  <c r="C152" i="82"/>
  <c r="B152" i="82"/>
  <c r="A152" i="82"/>
  <c r="F152" i="82" s="1"/>
  <c r="D151" i="82"/>
  <c r="C151" i="82"/>
  <c r="B151" i="82"/>
  <c r="A151" i="82"/>
  <c r="F151" i="82" s="1"/>
  <c r="D150" i="82"/>
  <c r="C150" i="82"/>
  <c r="B150" i="82"/>
  <c r="A150" i="82"/>
  <c r="F150" i="82" s="1"/>
  <c r="D149" i="82"/>
  <c r="C149" i="82"/>
  <c r="B149" i="82"/>
  <c r="A149" i="82"/>
  <c r="F149" i="82" s="1"/>
  <c r="D148" i="82"/>
  <c r="C148" i="82"/>
  <c r="B148" i="82"/>
  <c r="A148" i="82"/>
  <c r="F148" i="82" s="1"/>
  <c r="D147" i="82"/>
  <c r="C147" i="82"/>
  <c r="B147" i="82"/>
  <c r="A147" i="82"/>
  <c r="F147" i="82" s="1"/>
  <c r="D146" i="82"/>
  <c r="C146" i="82"/>
  <c r="B146" i="82"/>
  <c r="A146" i="82"/>
  <c r="F146" i="82" s="1"/>
  <c r="D145" i="82"/>
  <c r="C145" i="82"/>
  <c r="B145" i="82"/>
  <c r="A145" i="82"/>
  <c r="F145" i="82" s="1"/>
  <c r="D144" i="82"/>
  <c r="C144" i="82"/>
  <c r="B144" i="82"/>
  <c r="A144" i="82"/>
  <c r="F144" i="82" s="1"/>
  <c r="D143" i="82"/>
  <c r="C143" i="82"/>
  <c r="B143" i="82"/>
  <c r="A143" i="82"/>
  <c r="F143" i="82" s="1"/>
  <c r="D142" i="82"/>
  <c r="C142" i="82"/>
  <c r="B142" i="82"/>
  <c r="A142" i="82"/>
  <c r="F142" i="82" s="1"/>
  <c r="D141" i="82"/>
  <c r="C141" i="82"/>
  <c r="B141" i="82"/>
  <c r="A141" i="82"/>
  <c r="F141" i="82" s="1"/>
  <c r="D140" i="82"/>
  <c r="C140" i="82"/>
  <c r="B140" i="82"/>
  <c r="A140" i="82"/>
  <c r="F140" i="82" s="1"/>
  <c r="D139" i="82"/>
  <c r="C139" i="82"/>
  <c r="B139" i="82"/>
  <c r="A139" i="82"/>
  <c r="F139" i="82" s="1"/>
  <c r="D138" i="82"/>
  <c r="C138" i="82"/>
  <c r="B138" i="82"/>
  <c r="A138" i="82"/>
  <c r="F138" i="82" s="1"/>
  <c r="D137" i="82"/>
  <c r="C137" i="82"/>
  <c r="B137" i="82"/>
  <c r="A137" i="82"/>
  <c r="F137" i="82" s="1"/>
  <c r="D136" i="82"/>
  <c r="C136" i="82"/>
  <c r="B136" i="82"/>
  <c r="A136" i="82"/>
  <c r="F136" i="82" s="1"/>
  <c r="D135" i="82"/>
  <c r="C135" i="82"/>
  <c r="B135" i="82"/>
  <c r="A135" i="82"/>
  <c r="F135" i="82" s="1"/>
  <c r="D134" i="82"/>
  <c r="C134" i="82"/>
  <c r="B134" i="82"/>
  <c r="A134" i="82"/>
  <c r="F134" i="82" s="1"/>
  <c r="D133" i="82"/>
  <c r="C133" i="82"/>
  <c r="B133" i="82"/>
  <c r="A133" i="82"/>
  <c r="F133" i="82" s="1"/>
  <c r="D132" i="82"/>
  <c r="C132" i="82"/>
  <c r="B132" i="82"/>
  <c r="A132" i="82"/>
  <c r="F132" i="82" s="1"/>
  <c r="D131" i="82"/>
  <c r="C131" i="82"/>
  <c r="B131" i="82"/>
  <c r="A131" i="82"/>
  <c r="F131" i="82" s="1"/>
  <c r="D130" i="82"/>
  <c r="C130" i="82"/>
  <c r="B130" i="82"/>
  <c r="A130" i="82"/>
  <c r="F130" i="82" s="1"/>
  <c r="D129" i="82"/>
  <c r="C129" i="82"/>
  <c r="B129" i="82"/>
  <c r="A129" i="82"/>
  <c r="F129" i="82" s="1"/>
  <c r="D128" i="82"/>
  <c r="C128" i="82"/>
  <c r="B128" i="82"/>
  <c r="A128" i="82"/>
  <c r="F128" i="82" s="1"/>
  <c r="D127" i="82"/>
  <c r="C127" i="82"/>
  <c r="B127" i="82"/>
  <c r="A127" i="82"/>
  <c r="F127" i="82" s="1"/>
  <c r="D126" i="82"/>
  <c r="C126" i="82"/>
  <c r="B126" i="82"/>
  <c r="A126" i="82"/>
  <c r="F126" i="82" s="1"/>
  <c r="D125" i="82"/>
  <c r="C125" i="82"/>
  <c r="B125" i="82"/>
  <c r="A125" i="82"/>
  <c r="F125" i="82" s="1"/>
  <c r="D124" i="82"/>
  <c r="C124" i="82"/>
  <c r="B124" i="82"/>
  <c r="A124" i="82"/>
  <c r="F124" i="82" s="1"/>
  <c r="D123" i="82"/>
  <c r="C123" i="82"/>
  <c r="B123" i="82"/>
  <c r="A123" i="82"/>
  <c r="F123" i="82" s="1"/>
  <c r="D122" i="82"/>
  <c r="C122" i="82"/>
  <c r="B122" i="82"/>
  <c r="A122" i="82"/>
  <c r="F122" i="82" s="1"/>
  <c r="D121" i="82"/>
  <c r="C121" i="82"/>
  <c r="B121" i="82"/>
  <c r="A121" i="82"/>
  <c r="F121" i="82" s="1"/>
  <c r="D120" i="82"/>
  <c r="C120" i="82"/>
  <c r="B120" i="82"/>
  <c r="A120" i="82"/>
  <c r="F120" i="82" s="1"/>
  <c r="D119" i="82"/>
  <c r="C119" i="82"/>
  <c r="B119" i="82"/>
  <c r="A119" i="82"/>
  <c r="F119" i="82" s="1"/>
  <c r="D118" i="82"/>
  <c r="C118" i="82"/>
  <c r="B118" i="82"/>
  <c r="A118" i="82"/>
  <c r="F118" i="82" s="1"/>
  <c r="D117" i="82"/>
  <c r="C117" i="82"/>
  <c r="B117" i="82"/>
  <c r="A117" i="82"/>
  <c r="F117" i="82" s="1"/>
  <c r="D116" i="82"/>
  <c r="C116" i="82"/>
  <c r="B116" i="82"/>
  <c r="A116" i="82"/>
  <c r="F116" i="82" s="1"/>
  <c r="D115" i="82"/>
  <c r="C115" i="82"/>
  <c r="B115" i="82"/>
  <c r="A115" i="82"/>
  <c r="F115" i="82" s="1"/>
  <c r="D114" i="82"/>
  <c r="C114" i="82"/>
  <c r="B114" i="82"/>
  <c r="A114" i="82"/>
  <c r="F114" i="82" s="1"/>
  <c r="D113" i="82"/>
  <c r="C113" i="82"/>
  <c r="B113" i="82"/>
  <c r="A113" i="82"/>
  <c r="F113" i="82" s="1"/>
  <c r="D112" i="82"/>
  <c r="C112" i="82"/>
  <c r="B112" i="82"/>
  <c r="A112" i="82"/>
  <c r="F112" i="82" s="1"/>
  <c r="D111" i="82"/>
  <c r="C111" i="82"/>
  <c r="B111" i="82"/>
  <c r="A111" i="82"/>
  <c r="F111" i="82" s="1"/>
  <c r="D110" i="82"/>
  <c r="C110" i="82"/>
  <c r="B110" i="82"/>
  <c r="A110" i="82"/>
  <c r="F110" i="82" s="1"/>
  <c r="D109" i="82"/>
  <c r="C109" i="82"/>
  <c r="B109" i="82"/>
  <c r="A109" i="82"/>
  <c r="F109" i="82" s="1"/>
  <c r="D108" i="82"/>
  <c r="C108" i="82"/>
  <c r="B108" i="82"/>
  <c r="A108" i="82"/>
  <c r="F108" i="82" s="1"/>
  <c r="D107" i="82"/>
  <c r="C107" i="82"/>
  <c r="B107" i="82"/>
  <c r="A107" i="82"/>
  <c r="F107" i="82" s="1"/>
  <c r="D106" i="82"/>
  <c r="C106" i="82"/>
  <c r="B106" i="82"/>
  <c r="A106" i="82"/>
  <c r="F106" i="82" s="1"/>
  <c r="D105" i="82"/>
  <c r="C105" i="82"/>
  <c r="B105" i="82"/>
  <c r="A105" i="82"/>
  <c r="F105" i="82" s="1"/>
  <c r="D104" i="82"/>
  <c r="C104" i="82"/>
  <c r="B104" i="82"/>
  <c r="A104" i="82"/>
  <c r="F104" i="82" s="1"/>
  <c r="D103" i="82"/>
  <c r="C103" i="82"/>
  <c r="B103" i="82"/>
  <c r="A103" i="82"/>
  <c r="F103" i="82" s="1"/>
  <c r="D102" i="82"/>
  <c r="C102" i="82"/>
  <c r="B102" i="82"/>
  <c r="A102" i="82"/>
  <c r="F102" i="82" s="1"/>
  <c r="D101" i="82"/>
  <c r="C101" i="82"/>
  <c r="B101" i="82"/>
  <c r="A101" i="82"/>
  <c r="F101" i="82" s="1"/>
  <c r="D100" i="82"/>
  <c r="C100" i="82"/>
  <c r="B100" i="82"/>
  <c r="A100" i="82"/>
  <c r="F100" i="82" s="1"/>
  <c r="D99" i="82"/>
  <c r="C99" i="82"/>
  <c r="B99" i="82"/>
  <c r="A99" i="82"/>
  <c r="F99" i="82" s="1"/>
  <c r="D98" i="82"/>
  <c r="C98" i="82"/>
  <c r="B98" i="82"/>
  <c r="A98" i="82"/>
  <c r="F98" i="82" s="1"/>
  <c r="D97" i="82"/>
  <c r="C97" i="82"/>
  <c r="B97" i="82"/>
  <c r="A97" i="82"/>
  <c r="F97" i="82" s="1"/>
  <c r="D96" i="82"/>
  <c r="C96" i="82"/>
  <c r="B96" i="82"/>
  <c r="A96" i="82"/>
  <c r="F96" i="82" s="1"/>
  <c r="D95" i="82"/>
  <c r="C95" i="82"/>
  <c r="B95" i="82"/>
  <c r="A95" i="82"/>
  <c r="F95" i="82" s="1"/>
  <c r="D94" i="82"/>
  <c r="C94" i="82"/>
  <c r="B94" i="82"/>
  <c r="A94" i="82"/>
  <c r="F94" i="82" s="1"/>
  <c r="D93" i="82"/>
  <c r="C93" i="82"/>
  <c r="B93" i="82"/>
  <c r="A93" i="82"/>
  <c r="F93" i="82" s="1"/>
  <c r="D92" i="82"/>
  <c r="C92" i="82"/>
  <c r="B92" i="82"/>
  <c r="A92" i="82"/>
  <c r="F92" i="82" s="1"/>
  <c r="D91" i="82"/>
  <c r="C91" i="82"/>
  <c r="B91" i="82"/>
  <c r="A91" i="82"/>
  <c r="F91" i="82" s="1"/>
  <c r="D90" i="82"/>
  <c r="C90" i="82"/>
  <c r="B90" i="82"/>
  <c r="A90" i="82"/>
  <c r="F90" i="82" s="1"/>
  <c r="D89" i="82"/>
  <c r="C89" i="82"/>
  <c r="B89" i="82"/>
  <c r="A89" i="82"/>
  <c r="F89" i="82" s="1"/>
  <c r="D88" i="82"/>
  <c r="C88" i="82"/>
  <c r="B88" i="82"/>
  <c r="A88" i="82"/>
  <c r="F88" i="82" s="1"/>
  <c r="D87" i="82"/>
  <c r="C87" i="82"/>
  <c r="B87" i="82"/>
  <c r="A87" i="82"/>
  <c r="F87" i="82" s="1"/>
  <c r="D86" i="82"/>
  <c r="C86" i="82"/>
  <c r="B86" i="82"/>
  <c r="A86" i="82"/>
  <c r="F86" i="82" s="1"/>
  <c r="D85" i="82"/>
  <c r="C85" i="82"/>
  <c r="B85" i="82"/>
  <c r="A85" i="82"/>
  <c r="F85" i="82" s="1"/>
  <c r="D84" i="82"/>
  <c r="C84" i="82"/>
  <c r="B84" i="82"/>
  <c r="A84" i="82"/>
  <c r="F84" i="82" s="1"/>
  <c r="D83" i="82"/>
  <c r="C83" i="82"/>
  <c r="B83" i="82"/>
  <c r="A83" i="82"/>
  <c r="F83" i="82" s="1"/>
  <c r="D82" i="82"/>
  <c r="C82" i="82"/>
  <c r="B82" i="82"/>
  <c r="A82" i="82"/>
  <c r="F82" i="82" s="1"/>
  <c r="D81" i="82"/>
  <c r="C81" i="82"/>
  <c r="B81" i="82"/>
  <c r="A81" i="82"/>
  <c r="F81" i="82" s="1"/>
  <c r="D80" i="82"/>
  <c r="C80" i="82"/>
  <c r="B80" i="82"/>
  <c r="A80" i="82"/>
  <c r="F80" i="82" s="1"/>
  <c r="D79" i="82"/>
  <c r="C79" i="82"/>
  <c r="B79" i="82"/>
  <c r="A79" i="82"/>
  <c r="F79" i="82" s="1"/>
  <c r="D78" i="82"/>
  <c r="C78" i="82"/>
  <c r="B78" i="82"/>
  <c r="A78" i="82"/>
  <c r="F78" i="82" s="1"/>
  <c r="D77" i="82"/>
  <c r="C77" i="82"/>
  <c r="B77" i="82"/>
  <c r="A77" i="82"/>
  <c r="F77" i="82" s="1"/>
  <c r="D76" i="82"/>
  <c r="C76" i="82"/>
  <c r="B76" i="82"/>
  <c r="A76" i="82"/>
  <c r="F76" i="82" s="1"/>
  <c r="D75" i="82"/>
  <c r="C75" i="82"/>
  <c r="B75" i="82"/>
  <c r="A75" i="82"/>
  <c r="F75" i="82" s="1"/>
  <c r="D74" i="82"/>
  <c r="C74" i="82"/>
  <c r="B74" i="82"/>
  <c r="A74" i="82"/>
  <c r="F74" i="82" s="1"/>
  <c r="D73" i="82"/>
  <c r="C73" i="82"/>
  <c r="B73" i="82"/>
  <c r="A73" i="82"/>
  <c r="F73" i="82" s="1"/>
  <c r="D72" i="82"/>
  <c r="C72" i="82"/>
  <c r="B72" i="82"/>
  <c r="A72" i="82"/>
  <c r="F72" i="82" s="1"/>
  <c r="D71" i="82"/>
  <c r="C71" i="82"/>
  <c r="B71" i="82"/>
  <c r="A71" i="82"/>
  <c r="F71" i="82" s="1"/>
  <c r="D70" i="82"/>
  <c r="C70" i="82"/>
  <c r="B70" i="82"/>
  <c r="A70" i="82"/>
  <c r="F70" i="82" s="1"/>
  <c r="D69" i="82"/>
  <c r="C69" i="82"/>
  <c r="B69" i="82"/>
  <c r="A69" i="82"/>
  <c r="F69" i="82" s="1"/>
  <c r="D68" i="82"/>
  <c r="C68" i="82"/>
  <c r="B68" i="82"/>
  <c r="A68" i="82"/>
  <c r="F68" i="82" s="1"/>
  <c r="D67" i="82"/>
  <c r="C67" i="82"/>
  <c r="B67" i="82"/>
  <c r="A67" i="82"/>
  <c r="F67" i="82" s="1"/>
  <c r="D66" i="82"/>
  <c r="C66" i="82"/>
  <c r="B66" i="82"/>
  <c r="A66" i="82"/>
  <c r="F66" i="82" s="1"/>
  <c r="D65" i="82"/>
  <c r="C65" i="82"/>
  <c r="B65" i="82"/>
  <c r="A65" i="82"/>
  <c r="F65" i="82" s="1"/>
  <c r="D64" i="82"/>
  <c r="C64" i="82"/>
  <c r="B64" i="82"/>
  <c r="A64" i="82"/>
  <c r="F64" i="82" s="1"/>
  <c r="D63" i="82"/>
  <c r="C63" i="82"/>
  <c r="B63" i="82"/>
  <c r="A63" i="82"/>
  <c r="F63" i="82" s="1"/>
  <c r="D62" i="82"/>
  <c r="C62" i="82"/>
  <c r="B62" i="82"/>
  <c r="A62" i="82"/>
  <c r="F62" i="82" s="1"/>
  <c r="D61" i="82"/>
  <c r="C61" i="82"/>
  <c r="B61" i="82"/>
  <c r="A61" i="82"/>
  <c r="F61" i="82" s="1"/>
  <c r="D60" i="82"/>
  <c r="C60" i="82"/>
  <c r="B60" i="82"/>
  <c r="A60" i="82"/>
  <c r="F60" i="82" s="1"/>
  <c r="D59" i="82"/>
  <c r="C59" i="82"/>
  <c r="B59" i="82"/>
  <c r="A59" i="82"/>
  <c r="F59" i="82" s="1"/>
  <c r="D58" i="82"/>
  <c r="C58" i="82"/>
  <c r="B58" i="82"/>
  <c r="A58" i="82"/>
  <c r="F58" i="82" s="1"/>
  <c r="D57" i="82"/>
  <c r="C57" i="82"/>
  <c r="B57" i="82"/>
  <c r="A57" i="82"/>
  <c r="F57" i="82" s="1"/>
  <c r="D56" i="82"/>
  <c r="C56" i="82"/>
  <c r="B56" i="82"/>
  <c r="A56" i="82"/>
  <c r="F56" i="82" s="1"/>
  <c r="D55" i="82"/>
  <c r="C55" i="82"/>
  <c r="B55" i="82"/>
  <c r="A55" i="82"/>
  <c r="F55" i="82" s="1"/>
  <c r="D54" i="82"/>
  <c r="C54" i="82"/>
  <c r="B54" i="82"/>
  <c r="A54" i="82"/>
  <c r="F54" i="82" s="1"/>
  <c r="D53" i="82"/>
  <c r="C53" i="82"/>
  <c r="B53" i="82"/>
  <c r="A53" i="82"/>
  <c r="F53" i="82" s="1"/>
  <c r="D52" i="82"/>
  <c r="C52" i="82"/>
  <c r="B52" i="82"/>
  <c r="A52" i="82"/>
  <c r="F52" i="82" s="1"/>
  <c r="D51" i="82"/>
  <c r="C51" i="82"/>
  <c r="B51" i="82"/>
  <c r="A51" i="82"/>
  <c r="F51" i="82" s="1"/>
  <c r="D50" i="82"/>
  <c r="C50" i="82"/>
  <c r="B50" i="82"/>
  <c r="A50" i="82"/>
  <c r="F50" i="82" s="1"/>
  <c r="D49" i="82"/>
  <c r="C49" i="82"/>
  <c r="B49" i="82"/>
  <c r="A49" i="82"/>
  <c r="F49" i="82" s="1"/>
  <c r="D48" i="82"/>
  <c r="C48" i="82"/>
  <c r="B48" i="82"/>
  <c r="A48" i="82"/>
  <c r="F48" i="82" s="1"/>
  <c r="D47" i="82"/>
  <c r="C47" i="82"/>
  <c r="B47" i="82"/>
  <c r="A47" i="82"/>
  <c r="F47" i="82" s="1"/>
  <c r="D46" i="82"/>
  <c r="C46" i="82"/>
  <c r="B46" i="82"/>
  <c r="A46" i="82"/>
  <c r="F46" i="82" s="1"/>
  <c r="D45" i="82"/>
  <c r="C45" i="82"/>
  <c r="B45" i="82"/>
  <c r="A45" i="82"/>
  <c r="F45" i="82" s="1"/>
  <c r="D44" i="82"/>
  <c r="C44" i="82"/>
  <c r="B44" i="82"/>
  <c r="A44" i="82"/>
  <c r="F44" i="82" s="1"/>
  <c r="D43" i="82"/>
  <c r="C43" i="82"/>
  <c r="B43" i="82"/>
  <c r="A43" i="82"/>
  <c r="F43" i="82" s="1"/>
  <c r="D42" i="82"/>
  <c r="C42" i="82"/>
  <c r="B42" i="82"/>
  <c r="A42" i="82"/>
  <c r="F42" i="82" s="1"/>
  <c r="D41" i="82"/>
  <c r="C41" i="82"/>
  <c r="B41" i="82"/>
  <c r="A41" i="82"/>
  <c r="F41" i="82" s="1"/>
  <c r="D40" i="82"/>
  <c r="C40" i="82"/>
  <c r="B40" i="82"/>
  <c r="A40" i="82"/>
  <c r="F40" i="82" s="1"/>
  <c r="D39" i="82"/>
  <c r="C39" i="82"/>
  <c r="B39" i="82"/>
  <c r="A39" i="82"/>
  <c r="F39" i="82" s="1"/>
  <c r="D38" i="82"/>
  <c r="C38" i="82"/>
  <c r="B38" i="82"/>
  <c r="A38" i="82"/>
  <c r="F38" i="82" s="1"/>
  <c r="D37" i="82"/>
  <c r="C37" i="82"/>
  <c r="B37" i="82"/>
  <c r="A37" i="82"/>
  <c r="F37" i="82" s="1"/>
  <c r="D36" i="82"/>
  <c r="C36" i="82"/>
  <c r="B36" i="82"/>
  <c r="A36" i="82"/>
  <c r="F36" i="82" s="1"/>
  <c r="D35" i="82"/>
  <c r="C35" i="82"/>
  <c r="B35" i="82"/>
  <c r="A35" i="82"/>
  <c r="F35" i="82" s="1"/>
  <c r="D34" i="82"/>
  <c r="C34" i="82"/>
  <c r="B34" i="82"/>
  <c r="A34" i="82"/>
  <c r="F34" i="82" s="1"/>
  <c r="D33" i="82"/>
  <c r="C33" i="82"/>
  <c r="B33" i="82"/>
  <c r="A33" i="82"/>
  <c r="F33" i="82" s="1"/>
  <c r="D32" i="82"/>
  <c r="C32" i="82"/>
  <c r="B32" i="82"/>
  <c r="A32" i="82"/>
  <c r="F32" i="82" s="1"/>
  <c r="D31" i="82"/>
  <c r="C31" i="82"/>
  <c r="B31" i="82"/>
  <c r="A31" i="82"/>
  <c r="F31" i="82" s="1"/>
  <c r="D30" i="82"/>
  <c r="C30" i="82"/>
  <c r="B30" i="82"/>
  <c r="A30" i="82"/>
  <c r="F30" i="82" s="1"/>
  <c r="D29" i="82"/>
  <c r="C29" i="82"/>
  <c r="B29" i="82"/>
  <c r="A29" i="82"/>
  <c r="F29" i="82" s="1"/>
  <c r="D28" i="82"/>
  <c r="C28" i="82"/>
  <c r="B28" i="82"/>
  <c r="A28" i="82"/>
  <c r="F28" i="82" s="1"/>
  <c r="D27" i="82"/>
  <c r="C27" i="82"/>
  <c r="B27" i="82"/>
  <c r="A27" i="82"/>
  <c r="F27" i="82" s="1"/>
  <c r="D26" i="82"/>
  <c r="C26" i="82"/>
  <c r="B26" i="82"/>
  <c r="A26" i="82"/>
  <c r="F26" i="82" s="1"/>
  <c r="D25" i="82"/>
  <c r="C25" i="82"/>
  <c r="B25" i="82"/>
  <c r="A25" i="82"/>
  <c r="F25" i="82" s="1"/>
  <c r="D24" i="82"/>
  <c r="C24" i="82"/>
  <c r="B24" i="82"/>
  <c r="A24" i="82"/>
  <c r="F24" i="82" s="1"/>
  <c r="D23" i="82"/>
  <c r="C23" i="82"/>
  <c r="B23" i="82"/>
  <c r="A23" i="82"/>
  <c r="F23" i="82" s="1"/>
  <c r="D22" i="82"/>
  <c r="C22" i="82"/>
  <c r="B22" i="82"/>
  <c r="A22" i="82"/>
  <c r="F22" i="82" s="1"/>
  <c r="D21" i="82"/>
  <c r="C21" i="82"/>
  <c r="B21" i="82"/>
  <c r="A21" i="82"/>
  <c r="F21" i="82" s="1"/>
  <c r="D20" i="82"/>
  <c r="C20" i="82"/>
  <c r="B20" i="82"/>
  <c r="A20" i="82"/>
  <c r="F20" i="82" s="1"/>
  <c r="D19" i="82"/>
  <c r="C19" i="82"/>
  <c r="B19" i="82"/>
  <c r="A19" i="82"/>
  <c r="F19" i="82" s="1"/>
  <c r="D18" i="82"/>
  <c r="C18" i="82"/>
  <c r="B18" i="82"/>
  <c r="A18" i="82"/>
  <c r="F18" i="82" s="1"/>
  <c r="D17" i="82"/>
  <c r="C17" i="82"/>
  <c r="B17" i="82"/>
  <c r="A17" i="82"/>
  <c r="F17" i="82" s="1"/>
  <c r="D16" i="82"/>
  <c r="C16" i="82"/>
  <c r="B16" i="82"/>
  <c r="A16" i="82"/>
  <c r="F16" i="82" s="1"/>
  <c r="D15" i="82"/>
  <c r="C15" i="82"/>
  <c r="B15" i="82"/>
  <c r="A15" i="82"/>
  <c r="F15" i="82" s="1"/>
  <c r="D14" i="82"/>
  <c r="C14" i="82"/>
  <c r="B14" i="82"/>
  <c r="A14" i="82"/>
  <c r="F14" i="82" s="1"/>
  <c r="D13" i="82"/>
  <c r="C13" i="82"/>
  <c r="B13" i="82"/>
  <c r="A13" i="82"/>
  <c r="F13" i="82" s="1"/>
  <c r="D12" i="82"/>
  <c r="C12" i="82"/>
  <c r="B12" i="82"/>
  <c r="A12" i="82"/>
  <c r="F12" i="82" s="1"/>
  <c r="D11" i="82"/>
  <c r="C11" i="82"/>
  <c r="B11" i="82"/>
  <c r="A11" i="82"/>
  <c r="F11" i="82" s="1"/>
  <c r="D10" i="82"/>
  <c r="C10" i="82"/>
  <c r="B10" i="82"/>
  <c r="A10" i="82"/>
  <c r="F10" i="82" s="1"/>
  <c r="D9" i="82"/>
  <c r="C9" i="82"/>
  <c r="B9" i="82"/>
  <c r="A9" i="82"/>
  <c r="F9" i="82" s="1"/>
  <c r="D8" i="82"/>
  <c r="C8" i="82"/>
  <c r="B8" i="82"/>
  <c r="A8" i="82"/>
  <c r="F8" i="82" s="1"/>
  <c r="D7" i="82"/>
  <c r="C7" i="82"/>
  <c r="B7" i="82"/>
  <c r="A7" i="82"/>
  <c r="F7" i="82" s="1"/>
  <c r="D6" i="82"/>
  <c r="C6" i="82"/>
  <c r="B6" i="82"/>
  <c r="A6" i="82"/>
  <c r="F6" i="82" s="1"/>
  <c r="GP186" i="77"/>
  <c r="GP185" i="77"/>
  <c r="GP184" i="77"/>
  <c r="GP183" i="77"/>
  <c r="GP182" i="77"/>
  <c r="GP181" i="77"/>
  <c r="GP180" i="77"/>
  <c r="GP179" i="77"/>
  <c r="GP178" i="77"/>
  <c r="GP177" i="77"/>
  <c r="GP176" i="77"/>
  <c r="GP175" i="77"/>
  <c r="GP174" i="77"/>
  <c r="GP173" i="77"/>
  <c r="GP172" i="77"/>
  <c r="GP171" i="77"/>
  <c r="GP170" i="77"/>
  <c r="GP169" i="77"/>
  <c r="GP168" i="77"/>
  <c r="GP167" i="77"/>
  <c r="GP166" i="77"/>
  <c r="GP165" i="77"/>
  <c r="GP164" i="77"/>
  <c r="GP163" i="77"/>
  <c r="GP162" i="77"/>
  <c r="GP161" i="77"/>
  <c r="GP160" i="77"/>
  <c r="GP159" i="77"/>
  <c r="GP158" i="77"/>
  <c r="GP157" i="77"/>
  <c r="GP156" i="77"/>
  <c r="GP155" i="77"/>
  <c r="GP154" i="77"/>
  <c r="GP153" i="77"/>
  <c r="GP152" i="77"/>
  <c r="GP151" i="77"/>
  <c r="GP150" i="77"/>
  <c r="GP149" i="77"/>
  <c r="GP148" i="77"/>
  <c r="GP147" i="77"/>
  <c r="GP146" i="77"/>
  <c r="GP145" i="77"/>
  <c r="GP144" i="77"/>
  <c r="GP143" i="77"/>
  <c r="GP142" i="77"/>
  <c r="GP141" i="77"/>
  <c r="GP140" i="77"/>
  <c r="GP139" i="77"/>
  <c r="GP138" i="77"/>
  <c r="GP137" i="77"/>
  <c r="GP136" i="77"/>
  <c r="GP135" i="77"/>
  <c r="GP134" i="77"/>
  <c r="GP133" i="77"/>
  <c r="GP132" i="77"/>
  <c r="GP131" i="77"/>
  <c r="GP130" i="77"/>
  <c r="GP129" i="77"/>
  <c r="GP128" i="77"/>
  <c r="GP127" i="77"/>
  <c r="GP126" i="77"/>
  <c r="GP125" i="77"/>
  <c r="GP124" i="77"/>
  <c r="GP123" i="77"/>
  <c r="GP122" i="77"/>
  <c r="GP121" i="77"/>
  <c r="GP120" i="77"/>
  <c r="GP119" i="77"/>
  <c r="GP118" i="77"/>
  <c r="GP117" i="77"/>
  <c r="GP116" i="77"/>
  <c r="GP115" i="77"/>
  <c r="GP114" i="77"/>
  <c r="GP113" i="77"/>
  <c r="GP112" i="77"/>
  <c r="GP111" i="77"/>
  <c r="GP110" i="77"/>
  <c r="GP109" i="77"/>
  <c r="GP108" i="77"/>
  <c r="GP107" i="77"/>
  <c r="GP106" i="77"/>
  <c r="GP105" i="77"/>
  <c r="GP104" i="77"/>
  <c r="GP103" i="77"/>
  <c r="GP102" i="77"/>
  <c r="GP101" i="77"/>
  <c r="GP100" i="77"/>
  <c r="GP99" i="77"/>
  <c r="GP98" i="77"/>
  <c r="GP97" i="77"/>
  <c r="GP96" i="77"/>
  <c r="GP95" i="77"/>
  <c r="GP94" i="77"/>
  <c r="GP93" i="77"/>
  <c r="GP92" i="77"/>
  <c r="GP91" i="77"/>
  <c r="GP90" i="77"/>
  <c r="GP89" i="77"/>
  <c r="GP88" i="77"/>
  <c r="GP87" i="77"/>
  <c r="GP86" i="77"/>
  <c r="GP85" i="77"/>
  <c r="GP84" i="77"/>
  <c r="GP83" i="77"/>
  <c r="GP82" i="77"/>
  <c r="GP81" i="77"/>
  <c r="GP80" i="77"/>
  <c r="GP79" i="77"/>
  <c r="GP78" i="77"/>
  <c r="GP77" i="77"/>
  <c r="GP76" i="77"/>
  <c r="GP75" i="77"/>
  <c r="GP74" i="77"/>
  <c r="GP73" i="77"/>
  <c r="GP72" i="77"/>
  <c r="GP71" i="77"/>
  <c r="GP70" i="77"/>
  <c r="GP69" i="77"/>
  <c r="GP68" i="77"/>
  <c r="GP67" i="77"/>
  <c r="GP66" i="77"/>
  <c r="GP65" i="77"/>
  <c r="GP64" i="77"/>
  <c r="GP63" i="77"/>
  <c r="GP62" i="77"/>
  <c r="GP61" i="77"/>
  <c r="GP60" i="77"/>
  <c r="GP59" i="77"/>
  <c r="GP58" i="77"/>
  <c r="GP57" i="77"/>
  <c r="GP56" i="77"/>
  <c r="GP55" i="77"/>
  <c r="GP54" i="77"/>
  <c r="GP53" i="77"/>
  <c r="GP52" i="77"/>
  <c r="GP51" i="77"/>
  <c r="GP50" i="77"/>
  <c r="GP49" i="77"/>
  <c r="GP48" i="77"/>
  <c r="GP47" i="77"/>
  <c r="GP46" i="77"/>
  <c r="GP45" i="77"/>
  <c r="GP44" i="77"/>
  <c r="GP43" i="77"/>
  <c r="GP42" i="77"/>
  <c r="GP41" i="77"/>
  <c r="GP40" i="77"/>
  <c r="GP39" i="77"/>
  <c r="GP38" i="77"/>
  <c r="GP37" i="77"/>
  <c r="GP36" i="77"/>
  <c r="GP35" i="77"/>
  <c r="GP34" i="77"/>
  <c r="GP33" i="77"/>
  <c r="GP32" i="77"/>
  <c r="GP31" i="77"/>
  <c r="GO186" i="77"/>
  <c r="GN186" i="77"/>
  <c r="GM186" i="77"/>
  <c r="GO185" i="77"/>
  <c r="GN185" i="77"/>
  <c r="GM185" i="77"/>
  <c r="GO184" i="77"/>
  <c r="GN184" i="77"/>
  <c r="GM184" i="77"/>
  <c r="GO183" i="77"/>
  <c r="GN183" i="77"/>
  <c r="GM183" i="77"/>
  <c r="GO182" i="77"/>
  <c r="GN182" i="77"/>
  <c r="GM182" i="77"/>
  <c r="GO181" i="77"/>
  <c r="GN181" i="77"/>
  <c r="GM181" i="77"/>
  <c r="GO180" i="77"/>
  <c r="GN180" i="77"/>
  <c r="GM180" i="77"/>
  <c r="GO179" i="77"/>
  <c r="GN179" i="77"/>
  <c r="GM179" i="77"/>
  <c r="GO178" i="77"/>
  <c r="GN178" i="77"/>
  <c r="GM178" i="77"/>
  <c r="GO177" i="77"/>
  <c r="GN177" i="77"/>
  <c r="GM177" i="77"/>
  <c r="GO176" i="77"/>
  <c r="GN176" i="77"/>
  <c r="GM176" i="77"/>
  <c r="GO175" i="77"/>
  <c r="GN175" i="77"/>
  <c r="GM175" i="77"/>
  <c r="GO174" i="77"/>
  <c r="GN174" i="77"/>
  <c r="GM174" i="77"/>
  <c r="GO173" i="77"/>
  <c r="GN173" i="77"/>
  <c r="GM173" i="77"/>
  <c r="GO172" i="77"/>
  <c r="GN172" i="77"/>
  <c r="GM172" i="77"/>
  <c r="GO171" i="77"/>
  <c r="GN171" i="77"/>
  <c r="GM171" i="77"/>
  <c r="GO170" i="77"/>
  <c r="GN170" i="77"/>
  <c r="GM170" i="77"/>
  <c r="GO169" i="77"/>
  <c r="GN169" i="77"/>
  <c r="GM169" i="77"/>
  <c r="GO168" i="77"/>
  <c r="GN168" i="77"/>
  <c r="GM168" i="77"/>
  <c r="GO167" i="77"/>
  <c r="GN167" i="77"/>
  <c r="GM167" i="77"/>
  <c r="GO166" i="77"/>
  <c r="GN166" i="77"/>
  <c r="GM166" i="77"/>
  <c r="GO165" i="77"/>
  <c r="GN165" i="77"/>
  <c r="GM165" i="77"/>
  <c r="GO164" i="77"/>
  <c r="GN164" i="77"/>
  <c r="GM164" i="77"/>
  <c r="GO163" i="77"/>
  <c r="GN163" i="77"/>
  <c r="GM163" i="77"/>
  <c r="GO162" i="77"/>
  <c r="GN162" i="77"/>
  <c r="GM162" i="77"/>
  <c r="GO161" i="77"/>
  <c r="GN161" i="77"/>
  <c r="GM161" i="77"/>
  <c r="GO160" i="77"/>
  <c r="GN160" i="77"/>
  <c r="GM160" i="77"/>
  <c r="GO159" i="77"/>
  <c r="GN159" i="77"/>
  <c r="GM159" i="77"/>
  <c r="GO158" i="77"/>
  <c r="GN158" i="77"/>
  <c r="GM158" i="77"/>
  <c r="GO157" i="77"/>
  <c r="GN157" i="77"/>
  <c r="GM157" i="77"/>
  <c r="GO156" i="77"/>
  <c r="GN156" i="77"/>
  <c r="GM156" i="77"/>
  <c r="GO155" i="77"/>
  <c r="GN155" i="77"/>
  <c r="GM155" i="77"/>
  <c r="GO154" i="77"/>
  <c r="GN154" i="77"/>
  <c r="GM154" i="77"/>
  <c r="GO153" i="77"/>
  <c r="GN153" i="77"/>
  <c r="GM153" i="77"/>
  <c r="GO152" i="77"/>
  <c r="GN152" i="77"/>
  <c r="GM152" i="77"/>
  <c r="GO151" i="77"/>
  <c r="GN151" i="77"/>
  <c r="GM151" i="77"/>
  <c r="GO150" i="77"/>
  <c r="GN150" i="77"/>
  <c r="GM150" i="77"/>
  <c r="GO149" i="77"/>
  <c r="GN149" i="77"/>
  <c r="GM149" i="77"/>
  <c r="GO148" i="77"/>
  <c r="GN148" i="77"/>
  <c r="GM148" i="77"/>
  <c r="GO147" i="77"/>
  <c r="GN147" i="77"/>
  <c r="GM147" i="77"/>
  <c r="GO146" i="77"/>
  <c r="GN146" i="77"/>
  <c r="GM146" i="77"/>
  <c r="GO145" i="77"/>
  <c r="GN145" i="77"/>
  <c r="GM145" i="77"/>
  <c r="GO144" i="77"/>
  <c r="GN144" i="77"/>
  <c r="GM144" i="77"/>
  <c r="GO143" i="77"/>
  <c r="GN143" i="77"/>
  <c r="GM143" i="77"/>
  <c r="GO142" i="77"/>
  <c r="GN142" i="77"/>
  <c r="GM142" i="77"/>
  <c r="GO141" i="77"/>
  <c r="GN141" i="77"/>
  <c r="GM141" i="77"/>
  <c r="GO140" i="77"/>
  <c r="GN140" i="77"/>
  <c r="GM140" i="77"/>
  <c r="GO139" i="77"/>
  <c r="GN139" i="77"/>
  <c r="GM139" i="77"/>
  <c r="GO138" i="77"/>
  <c r="GN138" i="77"/>
  <c r="GM138" i="77"/>
  <c r="GO137" i="77"/>
  <c r="GN137" i="77"/>
  <c r="GM137" i="77"/>
  <c r="GO136" i="77"/>
  <c r="GN136" i="77"/>
  <c r="GM136" i="77"/>
  <c r="GO135" i="77"/>
  <c r="GN135" i="77"/>
  <c r="GM135" i="77"/>
  <c r="GO134" i="77"/>
  <c r="GN134" i="77"/>
  <c r="GM134" i="77"/>
  <c r="GO133" i="77"/>
  <c r="GN133" i="77"/>
  <c r="GM133" i="77"/>
  <c r="GO132" i="77"/>
  <c r="GN132" i="77"/>
  <c r="GM132" i="77"/>
  <c r="GO131" i="77"/>
  <c r="GN131" i="77"/>
  <c r="GM131" i="77"/>
  <c r="GO130" i="77"/>
  <c r="GN130" i="77"/>
  <c r="GM130" i="77"/>
  <c r="GO129" i="77"/>
  <c r="GN129" i="77"/>
  <c r="GM129" i="77"/>
  <c r="GO128" i="77"/>
  <c r="GN128" i="77"/>
  <c r="GM128" i="77"/>
  <c r="GO127" i="77"/>
  <c r="GN127" i="77"/>
  <c r="GM127" i="77"/>
  <c r="GO126" i="77"/>
  <c r="GN126" i="77"/>
  <c r="GM126" i="77"/>
  <c r="GO125" i="77"/>
  <c r="GN125" i="77"/>
  <c r="GM125" i="77"/>
  <c r="GO124" i="77"/>
  <c r="GN124" i="77"/>
  <c r="GM124" i="77"/>
  <c r="GO123" i="77"/>
  <c r="GN123" i="77"/>
  <c r="GM123" i="77"/>
  <c r="GO122" i="77"/>
  <c r="GN122" i="77"/>
  <c r="GM122" i="77"/>
  <c r="GO121" i="77"/>
  <c r="GN121" i="77"/>
  <c r="GM121" i="77"/>
  <c r="GO120" i="77"/>
  <c r="GN120" i="77"/>
  <c r="GM120" i="77"/>
  <c r="GO119" i="77"/>
  <c r="GN119" i="77"/>
  <c r="GM119" i="77"/>
  <c r="GO118" i="77"/>
  <c r="GN118" i="77"/>
  <c r="GM118" i="77"/>
  <c r="GO117" i="77"/>
  <c r="GN117" i="77"/>
  <c r="GM117" i="77"/>
  <c r="GO116" i="77"/>
  <c r="GN116" i="77"/>
  <c r="GM116" i="77"/>
  <c r="GO115" i="77"/>
  <c r="GN115" i="77"/>
  <c r="GM115" i="77"/>
  <c r="GO114" i="77"/>
  <c r="GN114" i="77"/>
  <c r="GM114" i="77"/>
  <c r="GO113" i="77"/>
  <c r="GN113" i="77"/>
  <c r="GM113" i="77"/>
  <c r="GO112" i="77"/>
  <c r="GN112" i="77"/>
  <c r="GM112" i="77"/>
  <c r="GO111" i="77"/>
  <c r="GN111" i="77"/>
  <c r="GM111" i="77"/>
  <c r="GO110" i="77"/>
  <c r="GN110" i="77"/>
  <c r="GM110" i="77"/>
  <c r="GO109" i="77"/>
  <c r="GN109" i="77"/>
  <c r="GM109" i="77"/>
  <c r="GO108" i="77"/>
  <c r="GN108" i="77"/>
  <c r="GM108" i="77"/>
  <c r="GO107" i="77"/>
  <c r="GN107" i="77"/>
  <c r="GM107" i="77"/>
  <c r="GO106" i="77"/>
  <c r="GN106" i="77"/>
  <c r="GM106" i="77"/>
  <c r="GO105" i="77"/>
  <c r="GN105" i="77"/>
  <c r="GM105" i="77"/>
  <c r="GO104" i="77"/>
  <c r="GN104" i="77"/>
  <c r="GM104" i="77"/>
  <c r="GO103" i="77"/>
  <c r="GN103" i="77"/>
  <c r="GM103" i="77"/>
  <c r="GO102" i="77"/>
  <c r="GN102" i="77"/>
  <c r="GM102" i="77"/>
  <c r="GO101" i="77"/>
  <c r="GN101" i="77"/>
  <c r="GM101" i="77"/>
  <c r="GO100" i="77"/>
  <c r="GN100" i="77"/>
  <c r="GM100" i="77"/>
  <c r="GO99" i="77"/>
  <c r="GN99" i="77"/>
  <c r="GM99" i="77"/>
  <c r="GO98" i="77"/>
  <c r="GN98" i="77"/>
  <c r="GM98" i="77"/>
  <c r="GO97" i="77"/>
  <c r="GN97" i="77"/>
  <c r="GM97" i="77"/>
  <c r="GO96" i="77"/>
  <c r="GN96" i="77"/>
  <c r="GM96" i="77"/>
  <c r="GO95" i="77"/>
  <c r="GN95" i="77"/>
  <c r="GM95" i="77"/>
  <c r="GO94" i="77"/>
  <c r="GN94" i="77"/>
  <c r="GM94" i="77"/>
  <c r="GO93" i="77"/>
  <c r="GN93" i="77"/>
  <c r="GM93" i="77"/>
  <c r="GO92" i="77"/>
  <c r="GN92" i="77"/>
  <c r="GM92" i="77"/>
  <c r="GO91" i="77"/>
  <c r="GN91" i="77"/>
  <c r="GM91" i="77"/>
  <c r="GO90" i="77"/>
  <c r="GN90" i="77"/>
  <c r="GM90" i="77"/>
  <c r="GO89" i="77"/>
  <c r="GN89" i="77"/>
  <c r="GM89" i="77"/>
  <c r="GO88" i="77"/>
  <c r="GN88" i="77"/>
  <c r="GM88" i="77"/>
  <c r="GO87" i="77"/>
  <c r="GN87" i="77"/>
  <c r="GM87" i="77"/>
  <c r="GO86" i="77"/>
  <c r="GN86" i="77"/>
  <c r="GM86" i="77"/>
  <c r="GO85" i="77"/>
  <c r="GN85" i="77"/>
  <c r="GM85" i="77"/>
  <c r="GO84" i="77"/>
  <c r="GN84" i="77"/>
  <c r="GM84" i="77"/>
  <c r="GO83" i="77"/>
  <c r="GN83" i="77"/>
  <c r="GM83" i="77"/>
  <c r="GO82" i="77"/>
  <c r="GN82" i="77"/>
  <c r="GM82" i="77"/>
  <c r="GO81" i="77"/>
  <c r="GN81" i="77"/>
  <c r="GM81" i="77"/>
  <c r="GO80" i="77"/>
  <c r="GN80" i="77"/>
  <c r="GM80" i="77"/>
  <c r="GO79" i="77"/>
  <c r="GN79" i="77"/>
  <c r="GM79" i="77"/>
  <c r="GO78" i="77"/>
  <c r="GN78" i="77"/>
  <c r="GM78" i="77"/>
  <c r="GO77" i="77"/>
  <c r="GN77" i="77"/>
  <c r="GM77" i="77"/>
  <c r="GO76" i="77"/>
  <c r="GN76" i="77"/>
  <c r="GM76" i="77"/>
  <c r="GO75" i="77"/>
  <c r="GN75" i="77"/>
  <c r="GM75" i="77"/>
  <c r="GO74" i="77"/>
  <c r="GN74" i="77"/>
  <c r="GM74" i="77"/>
  <c r="GO73" i="77"/>
  <c r="GN73" i="77"/>
  <c r="GM73" i="77"/>
  <c r="GO72" i="77"/>
  <c r="GN72" i="77"/>
  <c r="GM72" i="77"/>
  <c r="GO71" i="77"/>
  <c r="GN71" i="77"/>
  <c r="GM71" i="77"/>
  <c r="GO70" i="77"/>
  <c r="GN70" i="77"/>
  <c r="GM70" i="77"/>
  <c r="GO69" i="77"/>
  <c r="GN69" i="77"/>
  <c r="GM69" i="77"/>
  <c r="GO68" i="77"/>
  <c r="GN68" i="77"/>
  <c r="GM68" i="77"/>
  <c r="GO67" i="77"/>
  <c r="GN67" i="77"/>
  <c r="GM67" i="77"/>
  <c r="GO66" i="77"/>
  <c r="GN66" i="77"/>
  <c r="GM66" i="77"/>
  <c r="GO65" i="77"/>
  <c r="GN65" i="77"/>
  <c r="GM65" i="77"/>
  <c r="GO64" i="77"/>
  <c r="GN64" i="77"/>
  <c r="GM64" i="77"/>
  <c r="GO63" i="77"/>
  <c r="GN63" i="77"/>
  <c r="GM63" i="77"/>
  <c r="GO62" i="77"/>
  <c r="GN62" i="77"/>
  <c r="GM62" i="77"/>
  <c r="GO61" i="77"/>
  <c r="GN61" i="77"/>
  <c r="GM61" i="77"/>
  <c r="GO60" i="77"/>
  <c r="GN60" i="77"/>
  <c r="GM60" i="77"/>
  <c r="GO59" i="77"/>
  <c r="GN59" i="77"/>
  <c r="GM59" i="77"/>
  <c r="GO58" i="77"/>
  <c r="GN58" i="77"/>
  <c r="GM58" i="77"/>
  <c r="GO57" i="77"/>
  <c r="GN57" i="77"/>
  <c r="GM57" i="77"/>
  <c r="GO56" i="77"/>
  <c r="GN56" i="77"/>
  <c r="GM56" i="77"/>
  <c r="GO55" i="77"/>
  <c r="GN55" i="77"/>
  <c r="GM55" i="77"/>
  <c r="GO54" i="77"/>
  <c r="GN54" i="77"/>
  <c r="GM54" i="77"/>
  <c r="GO53" i="77"/>
  <c r="GN53" i="77"/>
  <c r="GM53" i="77"/>
  <c r="GO52" i="77"/>
  <c r="GN52" i="77"/>
  <c r="GM52" i="77"/>
  <c r="GO51" i="77"/>
  <c r="GN51" i="77"/>
  <c r="GM51" i="77"/>
  <c r="GO50" i="77"/>
  <c r="GN50" i="77"/>
  <c r="GM50" i="77"/>
  <c r="GO49" i="77"/>
  <c r="GN49" i="77"/>
  <c r="GM49" i="77"/>
  <c r="GO48" i="77"/>
  <c r="GN48" i="77"/>
  <c r="GM48" i="77"/>
  <c r="GO47" i="77"/>
  <c r="GN47" i="77"/>
  <c r="GM47" i="77"/>
  <c r="GO46" i="77"/>
  <c r="GN46" i="77"/>
  <c r="GM46" i="77"/>
  <c r="GO45" i="77"/>
  <c r="GN45" i="77"/>
  <c r="GM45" i="77"/>
  <c r="GO44" i="77"/>
  <c r="GN44" i="77"/>
  <c r="GM44" i="77"/>
  <c r="GO43" i="77"/>
  <c r="GN43" i="77"/>
  <c r="GM43" i="77"/>
  <c r="GO42" i="77"/>
  <c r="GN42" i="77"/>
  <c r="GM42" i="77"/>
  <c r="GO41" i="77"/>
  <c r="GN41" i="77"/>
  <c r="GM41" i="77"/>
  <c r="GO40" i="77"/>
  <c r="GN40" i="77"/>
  <c r="GM40" i="77"/>
  <c r="GO39" i="77"/>
  <c r="GN39" i="77"/>
  <c r="GM39" i="77"/>
  <c r="GO38" i="77"/>
  <c r="GN38" i="77"/>
  <c r="GM38" i="77"/>
  <c r="GO37" i="77"/>
  <c r="GN37" i="77"/>
  <c r="GM37" i="77"/>
  <c r="GO36" i="77"/>
  <c r="GN36" i="77"/>
  <c r="GM36" i="77"/>
  <c r="GO35" i="77"/>
  <c r="GN35" i="77"/>
  <c r="GM35" i="77"/>
  <c r="GO34" i="77"/>
  <c r="GN34" i="77"/>
  <c r="GM34" i="77"/>
  <c r="GO33" i="77"/>
  <c r="GN33" i="77"/>
  <c r="GM33" i="77"/>
  <c r="GO32" i="77"/>
  <c r="GN32" i="77"/>
  <c r="GM32" i="77"/>
  <c r="GO31" i="77"/>
  <c r="GN31" i="77"/>
  <c r="GM31" i="77"/>
  <c r="GK186" i="77"/>
  <c r="GK185" i="77"/>
  <c r="GJ185" i="77"/>
  <c r="GK184" i="77"/>
  <c r="GJ184" i="77"/>
  <c r="GK183" i="77"/>
  <c r="GK182" i="77"/>
  <c r="GJ182" i="77"/>
  <c r="GK181" i="77"/>
  <c r="GJ181" i="77"/>
  <c r="GK180" i="77"/>
  <c r="GJ180" i="77"/>
  <c r="GK179" i="77"/>
  <c r="GJ179" i="77"/>
  <c r="GK178" i="77"/>
  <c r="GJ178" i="77"/>
  <c r="GK177" i="77"/>
  <c r="GJ177" i="77"/>
  <c r="GK176" i="77"/>
  <c r="GJ176" i="77"/>
  <c r="GK175" i="77"/>
  <c r="GJ175" i="77"/>
  <c r="GK174" i="77"/>
  <c r="GJ174" i="77"/>
  <c r="GK173" i="77"/>
  <c r="GJ173" i="77"/>
  <c r="GK172" i="77"/>
  <c r="GJ172" i="77"/>
  <c r="GK171" i="77"/>
  <c r="GJ171" i="77"/>
  <c r="GK170" i="77"/>
  <c r="GJ170" i="77"/>
  <c r="GK169" i="77"/>
  <c r="GJ169" i="77"/>
  <c r="GK166" i="77"/>
  <c r="GJ166" i="77"/>
  <c r="GK165" i="77"/>
  <c r="GJ165" i="77"/>
  <c r="GK164" i="77"/>
  <c r="GJ164" i="77"/>
  <c r="GK163" i="77"/>
  <c r="GJ163" i="77"/>
  <c r="GK162" i="77"/>
  <c r="GJ162" i="77"/>
  <c r="GK161" i="77"/>
  <c r="GJ161" i="77"/>
  <c r="GK160" i="77"/>
  <c r="GJ160" i="77"/>
  <c r="GK159" i="77"/>
  <c r="GJ159" i="77"/>
  <c r="GK158" i="77"/>
  <c r="GJ158" i="77"/>
  <c r="GK157" i="77"/>
  <c r="GJ157" i="77"/>
  <c r="GK156" i="77"/>
  <c r="GK155" i="77"/>
  <c r="GJ155" i="77"/>
  <c r="GK154" i="77"/>
  <c r="GJ154" i="77"/>
  <c r="GK153" i="77"/>
  <c r="GJ153" i="77"/>
  <c r="GK152" i="77"/>
  <c r="GJ152" i="77"/>
  <c r="GK151" i="77"/>
  <c r="GJ151" i="77"/>
  <c r="GK150" i="77"/>
  <c r="GK149" i="77"/>
  <c r="GJ149" i="77"/>
  <c r="GK148" i="77"/>
  <c r="GJ148" i="77"/>
  <c r="GK147" i="77"/>
  <c r="GJ147" i="77"/>
  <c r="GK146" i="77"/>
  <c r="GK145" i="77"/>
  <c r="GK144" i="77"/>
  <c r="GK143" i="77"/>
  <c r="GJ143" i="77"/>
  <c r="GK141" i="77"/>
  <c r="GJ141" i="77"/>
  <c r="GK140" i="77"/>
  <c r="GJ140" i="77"/>
  <c r="GK139" i="77"/>
  <c r="GK138" i="77"/>
  <c r="GJ138" i="77"/>
  <c r="GK137" i="77"/>
  <c r="GJ137" i="77"/>
  <c r="GK136" i="77"/>
  <c r="GJ136" i="77"/>
  <c r="GK135" i="77"/>
  <c r="GJ135" i="77"/>
  <c r="GK134" i="77"/>
  <c r="GJ134" i="77"/>
  <c r="GK133" i="77"/>
  <c r="GJ133" i="77"/>
  <c r="GK132" i="77"/>
  <c r="GJ132" i="77"/>
  <c r="GK131" i="77"/>
  <c r="GJ131" i="77"/>
  <c r="GK130" i="77"/>
  <c r="GJ130" i="77"/>
  <c r="GK129" i="77"/>
  <c r="GJ129" i="77"/>
  <c r="GK128" i="77"/>
  <c r="GJ128" i="77"/>
  <c r="GK127" i="77"/>
  <c r="GK126" i="77"/>
  <c r="GK125" i="77"/>
  <c r="GJ125" i="77"/>
  <c r="GK124" i="77"/>
  <c r="GJ124" i="77"/>
  <c r="GK123" i="77"/>
  <c r="GJ123" i="77"/>
  <c r="GK122" i="77"/>
  <c r="GJ122" i="77"/>
  <c r="GK121" i="77"/>
  <c r="GJ121" i="77"/>
  <c r="GK120" i="77"/>
  <c r="GJ120" i="77"/>
  <c r="GK119" i="77"/>
  <c r="GJ119" i="77"/>
  <c r="GK118" i="77"/>
  <c r="GJ118" i="77"/>
  <c r="GK117" i="77"/>
  <c r="GJ117" i="77"/>
  <c r="GK116" i="77"/>
  <c r="GJ116" i="77"/>
  <c r="GK115" i="77"/>
  <c r="GJ115" i="77"/>
  <c r="GK114" i="77"/>
  <c r="GJ114" i="77"/>
  <c r="GK113" i="77"/>
  <c r="GJ113" i="77"/>
  <c r="GK112" i="77"/>
  <c r="GJ112" i="77"/>
  <c r="GK111" i="77"/>
  <c r="GJ111" i="77"/>
  <c r="GK110" i="77"/>
  <c r="GJ110" i="77"/>
  <c r="GK109" i="77"/>
  <c r="GJ109" i="77"/>
  <c r="GK108" i="77"/>
  <c r="GJ108" i="77"/>
  <c r="GK107" i="77"/>
  <c r="GJ107" i="77"/>
  <c r="GK106" i="77"/>
  <c r="GJ106" i="77"/>
  <c r="GK105" i="77"/>
  <c r="GJ105" i="77"/>
  <c r="GK104" i="77"/>
  <c r="GJ104" i="77"/>
  <c r="GK103" i="77"/>
  <c r="GJ103" i="77"/>
  <c r="GK102" i="77"/>
  <c r="GJ102" i="77"/>
  <c r="GK101" i="77"/>
  <c r="GJ101" i="77"/>
  <c r="GK100" i="77"/>
  <c r="GJ100" i="77"/>
  <c r="GK99" i="77"/>
  <c r="GJ99" i="77"/>
  <c r="GK98" i="77"/>
  <c r="GJ98" i="77"/>
  <c r="GK97" i="77"/>
  <c r="GJ97" i="77"/>
  <c r="GK96" i="77"/>
  <c r="GJ96" i="77"/>
  <c r="GK95" i="77"/>
  <c r="GJ95" i="77"/>
  <c r="GK94" i="77"/>
  <c r="GJ94" i="77"/>
  <c r="GK93" i="77"/>
  <c r="GJ93" i="77"/>
  <c r="GK92" i="77"/>
  <c r="GJ92" i="77"/>
  <c r="GK91" i="77"/>
  <c r="GJ91" i="77"/>
  <c r="GK90" i="77"/>
  <c r="GJ90" i="77"/>
  <c r="GK88" i="77"/>
  <c r="GJ88" i="77"/>
  <c r="GK87" i="77"/>
  <c r="GJ87" i="77"/>
  <c r="GK86" i="77"/>
  <c r="GJ86" i="77"/>
  <c r="GK85" i="77"/>
  <c r="GJ85" i="77"/>
  <c r="GK84" i="77"/>
  <c r="GJ84" i="77"/>
  <c r="GK83" i="77"/>
  <c r="GJ83" i="77"/>
  <c r="GK82" i="77"/>
  <c r="GJ82" i="77"/>
  <c r="GK81" i="77"/>
  <c r="GJ81" i="77"/>
  <c r="GK80" i="77"/>
  <c r="GJ80" i="77"/>
  <c r="GK79" i="77"/>
  <c r="GJ79" i="77"/>
  <c r="GK78" i="77"/>
  <c r="GJ78" i="77"/>
  <c r="GK77" i="77"/>
  <c r="GJ77" i="77"/>
  <c r="GK76" i="77"/>
  <c r="GJ76" i="77"/>
  <c r="GK75" i="77"/>
  <c r="GJ75" i="77"/>
  <c r="GK74" i="77"/>
  <c r="GJ74" i="77"/>
  <c r="GK73" i="77"/>
  <c r="GJ73" i="77"/>
  <c r="GK72" i="77"/>
  <c r="GJ72" i="77"/>
  <c r="GK71" i="77"/>
  <c r="GJ71" i="77"/>
  <c r="GK70" i="77"/>
  <c r="GJ70" i="77"/>
  <c r="GK69" i="77"/>
  <c r="GJ69" i="77"/>
  <c r="GK68" i="77"/>
  <c r="GJ68" i="77"/>
  <c r="GK67" i="77"/>
  <c r="GJ67" i="77"/>
  <c r="GK66" i="77"/>
  <c r="GJ66" i="77"/>
  <c r="GK65" i="77"/>
  <c r="GJ65" i="77"/>
  <c r="GK64" i="77"/>
  <c r="GJ64" i="77"/>
  <c r="GK63" i="77"/>
  <c r="GJ63" i="77"/>
  <c r="GK62" i="77"/>
  <c r="GJ62" i="77"/>
  <c r="GK61" i="77"/>
  <c r="GJ61" i="77"/>
  <c r="GK60" i="77"/>
  <c r="GJ60" i="77"/>
  <c r="GK59" i="77"/>
  <c r="GJ59" i="77"/>
  <c r="GK58" i="77"/>
  <c r="GJ58" i="77"/>
  <c r="GK57" i="77"/>
  <c r="GJ57" i="77"/>
  <c r="GK56" i="77"/>
  <c r="GJ56" i="77"/>
  <c r="GK55" i="77"/>
  <c r="GJ55" i="77"/>
  <c r="GK54" i="77"/>
  <c r="GJ54" i="77"/>
  <c r="GK53" i="77"/>
  <c r="GJ53" i="77"/>
  <c r="GK52" i="77"/>
  <c r="GJ52" i="77"/>
  <c r="GK51" i="77"/>
  <c r="GJ51" i="77"/>
  <c r="GK50" i="77"/>
  <c r="GJ50" i="77"/>
  <c r="GK49" i="77"/>
  <c r="GJ49" i="77"/>
  <c r="GK48" i="77"/>
  <c r="GJ48" i="77"/>
  <c r="GK47" i="77"/>
  <c r="GJ47" i="77"/>
  <c r="GK46" i="77"/>
  <c r="GJ46" i="77"/>
  <c r="GK45" i="77"/>
  <c r="GJ45" i="77"/>
  <c r="GK44" i="77"/>
  <c r="GJ44" i="77"/>
  <c r="GK43" i="77"/>
  <c r="GJ43" i="77"/>
  <c r="GK42" i="77"/>
  <c r="GJ42" i="77"/>
  <c r="GK41" i="77"/>
  <c r="GK40" i="77"/>
  <c r="GJ40" i="77"/>
  <c r="GK39" i="77"/>
  <c r="GJ39" i="77"/>
  <c r="GK38" i="77"/>
  <c r="GJ38" i="77"/>
  <c r="GK37" i="77"/>
  <c r="GJ37" i="77"/>
  <c r="GK36" i="77"/>
  <c r="GJ36" i="77"/>
  <c r="GK35" i="77"/>
  <c r="GJ35" i="77"/>
  <c r="GK34" i="77"/>
  <c r="GJ34" i="77"/>
  <c r="GK33" i="77"/>
  <c r="GJ33" i="77"/>
  <c r="GK32" i="77"/>
  <c r="GJ32" i="77"/>
  <c r="T186" i="77"/>
  <c r="S186" i="77"/>
  <c r="Q186" i="77"/>
  <c r="T185" i="77"/>
  <c r="S185" i="77"/>
  <c r="Q185" i="77"/>
  <c r="T184" i="77"/>
  <c r="S184" i="77"/>
  <c r="Q184" i="77"/>
  <c r="T183" i="77"/>
  <c r="S183" i="77"/>
  <c r="Q183" i="77"/>
  <c r="T182" i="77"/>
  <c r="S182" i="77"/>
  <c r="Q182" i="77"/>
  <c r="T181" i="77"/>
  <c r="S181" i="77"/>
  <c r="Q181" i="77"/>
  <c r="T180" i="77"/>
  <c r="S180" i="77"/>
  <c r="Q180" i="77"/>
  <c r="T179" i="77"/>
  <c r="S179" i="77"/>
  <c r="Q179" i="77"/>
  <c r="T178" i="77"/>
  <c r="S178" i="77"/>
  <c r="Q178" i="77"/>
  <c r="T177" i="77"/>
  <c r="S177" i="77"/>
  <c r="Q177" i="77"/>
  <c r="T176" i="77"/>
  <c r="S176" i="77"/>
  <c r="Q176" i="77"/>
  <c r="T175" i="77"/>
  <c r="S175" i="77"/>
  <c r="Q175" i="77"/>
  <c r="T174" i="77"/>
  <c r="S174" i="77"/>
  <c r="Q174" i="77"/>
  <c r="T173" i="77"/>
  <c r="S173" i="77"/>
  <c r="Q173" i="77"/>
  <c r="T172" i="77"/>
  <c r="S172" i="77"/>
  <c r="Q172" i="77"/>
  <c r="T171" i="77"/>
  <c r="S171" i="77"/>
  <c r="Q171" i="77"/>
  <c r="T170" i="77"/>
  <c r="S170" i="77"/>
  <c r="Q170" i="77"/>
  <c r="T169" i="77"/>
  <c r="S169" i="77"/>
  <c r="Q169" i="77"/>
  <c r="T168" i="77"/>
  <c r="S168" i="77"/>
  <c r="Q168" i="77"/>
  <c r="T167" i="77"/>
  <c r="S167" i="77"/>
  <c r="Q167" i="77"/>
  <c r="T166" i="77"/>
  <c r="S166" i="77"/>
  <c r="Q166" i="77"/>
  <c r="T165" i="77"/>
  <c r="S165" i="77"/>
  <c r="Q165" i="77"/>
  <c r="T164" i="77"/>
  <c r="S164" i="77"/>
  <c r="Q164" i="77"/>
  <c r="T163" i="77"/>
  <c r="S163" i="77"/>
  <c r="Q163" i="77"/>
  <c r="T162" i="77"/>
  <c r="S162" i="77"/>
  <c r="Q162" i="77"/>
  <c r="T161" i="77"/>
  <c r="S161" i="77"/>
  <c r="Q161" i="77"/>
  <c r="T160" i="77"/>
  <c r="S160" i="77"/>
  <c r="Q160" i="77"/>
  <c r="T159" i="77"/>
  <c r="S159" i="77"/>
  <c r="Q159" i="77"/>
  <c r="T158" i="77"/>
  <c r="S158" i="77"/>
  <c r="Q158" i="77"/>
  <c r="T157" i="77"/>
  <c r="S157" i="77"/>
  <c r="Q157" i="77"/>
  <c r="T156" i="77"/>
  <c r="S156" i="77"/>
  <c r="Q156" i="77"/>
  <c r="T155" i="77"/>
  <c r="S155" i="77"/>
  <c r="Q155" i="77"/>
  <c r="T154" i="77"/>
  <c r="S154" i="77"/>
  <c r="Q154" i="77"/>
  <c r="T153" i="77"/>
  <c r="S153" i="77"/>
  <c r="Q153" i="77"/>
  <c r="T152" i="77"/>
  <c r="S152" i="77"/>
  <c r="Q152" i="77"/>
  <c r="T151" i="77"/>
  <c r="S151" i="77"/>
  <c r="Q151" i="77"/>
  <c r="T150" i="77"/>
  <c r="S150" i="77"/>
  <c r="Q150" i="77"/>
  <c r="T149" i="77"/>
  <c r="S149" i="77"/>
  <c r="Q149" i="77"/>
  <c r="T148" i="77"/>
  <c r="S148" i="77"/>
  <c r="Q148" i="77"/>
  <c r="T147" i="77"/>
  <c r="S147" i="77"/>
  <c r="Q147" i="77"/>
  <c r="T146" i="77"/>
  <c r="S146" i="77"/>
  <c r="Q146" i="77"/>
  <c r="T145" i="77"/>
  <c r="S145" i="77"/>
  <c r="Q145" i="77"/>
  <c r="T144" i="77"/>
  <c r="S144" i="77"/>
  <c r="Q144" i="77"/>
  <c r="T143" i="77"/>
  <c r="S143" i="77"/>
  <c r="Q143" i="77"/>
  <c r="T142" i="77"/>
  <c r="S142" i="77"/>
  <c r="Q142" i="77"/>
  <c r="Q141" i="77"/>
  <c r="Q140" i="77"/>
  <c r="T139" i="77"/>
  <c r="S139" i="77"/>
  <c r="Q139" i="77"/>
  <c r="T138" i="77"/>
  <c r="S138" i="77"/>
  <c r="Q138" i="77"/>
  <c r="T137" i="77"/>
  <c r="Q137" i="77"/>
  <c r="T136" i="77"/>
  <c r="Q136" i="77"/>
  <c r="T135" i="77"/>
  <c r="S135" i="77"/>
  <c r="Q135" i="77"/>
  <c r="T134" i="77"/>
  <c r="Q134" i="77"/>
  <c r="T133" i="77"/>
  <c r="S133" i="77"/>
  <c r="Q133" i="77"/>
  <c r="T132" i="77"/>
  <c r="Q132" i="77"/>
  <c r="T131" i="77"/>
  <c r="Q131" i="77"/>
  <c r="T130" i="77"/>
  <c r="Q130" i="77"/>
  <c r="T129" i="77"/>
  <c r="Q129" i="77"/>
  <c r="T128" i="77"/>
  <c r="Q128" i="77"/>
  <c r="T127" i="77"/>
  <c r="S127" i="77"/>
  <c r="Q127" i="77"/>
  <c r="T126" i="77"/>
  <c r="S126" i="77"/>
  <c r="Q126" i="77"/>
  <c r="T125" i="77"/>
  <c r="S125" i="77"/>
  <c r="Q125" i="77"/>
  <c r="T124" i="77"/>
  <c r="S124" i="77"/>
  <c r="Q124" i="77"/>
  <c r="T123" i="77"/>
  <c r="S123" i="77"/>
  <c r="Q123" i="77"/>
  <c r="T122" i="77"/>
  <c r="S122" i="77"/>
  <c r="Q122" i="77"/>
  <c r="T121" i="77"/>
  <c r="Q121" i="77"/>
  <c r="T120" i="77"/>
  <c r="Q120" i="77"/>
  <c r="T119" i="77"/>
  <c r="Q119" i="77"/>
  <c r="T118" i="77"/>
  <c r="S118" i="77"/>
  <c r="Q118" i="77"/>
  <c r="T117" i="77"/>
  <c r="S117" i="77"/>
  <c r="Q117" i="77"/>
  <c r="T116" i="77"/>
  <c r="S116" i="77"/>
  <c r="Q116" i="77"/>
  <c r="T115" i="77"/>
  <c r="S115" i="77"/>
  <c r="Q115" i="77"/>
  <c r="T114" i="77"/>
  <c r="S114" i="77"/>
  <c r="Q114" i="77"/>
  <c r="T113" i="77"/>
  <c r="S113" i="77"/>
  <c r="Q113" i="77"/>
  <c r="T112" i="77"/>
  <c r="S112" i="77"/>
  <c r="Q112" i="77"/>
  <c r="T111" i="77"/>
  <c r="S111" i="77"/>
  <c r="Q111" i="77"/>
  <c r="T110" i="77"/>
  <c r="S110" i="77"/>
  <c r="Q110" i="77"/>
  <c r="T109" i="77"/>
  <c r="S109" i="77"/>
  <c r="Q109" i="77"/>
  <c r="T108" i="77"/>
  <c r="S108" i="77"/>
  <c r="Q108" i="77"/>
  <c r="T107" i="77"/>
  <c r="S107" i="77"/>
  <c r="Q107" i="77"/>
  <c r="T106" i="77"/>
  <c r="S106" i="77"/>
  <c r="Q106" i="77"/>
  <c r="T105" i="77"/>
  <c r="S105" i="77"/>
  <c r="Q105" i="77"/>
  <c r="T104" i="77"/>
  <c r="Q104" i="77"/>
  <c r="T103" i="77"/>
  <c r="Q103" i="77"/>
  <c r="T102" i="77"/>
  <c r="Q102" i="77"/>
  <c r="T101" i="77"/>
  <c r="Q101" i="77"/>
  <c r="T100" i="77"/>
  <c r="S100" i="77"/>
  <c r="Q100" i="77"/>
  <c r="T99" i="77"/>
  <c r="S99" i="77"/>
  <c r="Q99" i="77"/>
  <c r="T98" i="77"/>
  <c r="S98" i="77"/>
  <c r="Q98" i="77"/>
  <c r="T97" i="77"/>
  <c r="S97" i="77"/>
  <c r="Q97" i="77"/>
  <c r="T96" i="77"/>
  <c r="S96" i="77"/>
  <c r="Q96" i="77"/>
  <c r="T95" i="77"/>
  <c r="S95" i="77"/>
  <c r="Q95" i="77"/>
  <c r="T94" i="77"/>
  <c r="S94" i="77"/>
  <c r="Q94" i="77"/>
  <c r="T93" i="77"/>
  <c r="S93" i="77"/>
  <c r="Q93" i="77"/>
  <c r="T92" i="77"/>
  <c r="S92" i="77"/>
  <c r="Q92" i="77"/>
  <c r="T91" i="77"/>
  <c r="Q91" i="77"/>
  <c r="T90" i="77"/>
  <c r="Q90" i="77"/>
  <c r="T88" i="77"/>
  <c r="Q88" i="77"/>
  <c r="T87" i="77"/>
  <c r="Q87" i="77"/>
  <c r="T86" i="77"/>
  <c r="Q86" i="77"/>
  <c r="T85" i="77"/>
  <c r="Q85" i="77"/>
  <c r="T84" i="77"/>
  <c r="Q84" i="77"/>
  <c r="T83" i="77"/>
  <c r="S83" i="77"/>
  <c r="Q83" i="77"/>
  <c r="T82" i="77"/>
  <c r="S82" i="77"/>
  <c r="Q82" i="77"/>
  <c r="T81" i="77"/>
  <c r="S81" i="77"/>
  <c r="Q81" i="77"/>
  <c r="T80" i="77"/>
  <c r="S80" i="77"/>
  <c r="Q80" i="77"/>
  <c r="T79" i="77"/>
  <c r="S79" i="77"/>
  <c r="Q79" i="77"/>
  <c r="T78" i="77"/>
  <c r="S78" i="77"/>
  <c r="Q78" i="77"/>
  <c r="T77" i="77"/>
  <c r="S77" i="77"/>
  <c r="Q77" i="77"/>
  <c r="T76" i="77"/>
  <c r="S76" i="77"/>
  <c r="Q76" i="77"/>
  <c r="T75" i="77"/>
  <c r="S75" i="77"/>
  <c r="Q75" i="77"/>
  <c r="T74" i="77"/>
  <c r="Q74" i="77"/>
  <c r="T73" i="77"/>
  <c r="S73" i="77"/>
  <c r="Q73" i="77"/>
  <c r="T72" i="77"/>
  <c r="S72" i="77"/>
  <c r="Q72" i="77"/>
  <c r="T71" i="77"/>
  <c r="Q71" i="77"/>
  <c r="T70" i="77"/>
  <c r="Q70" i="77"/>
  <c r="T69" i="77"/>
  <c r="Q69" i="77"/>
  <c r="T68" i="77"/>
  <c r="Q68" i="77"/>
  <c r="T67" i="77"/>
  <c r="Q67" i="77"/>
  <c r="T66" i="77"/>
  <c r="S66" i="77"/>
  <c r="Q66" i="77"/>
  <c r="T65" i="77"/>
  <c r="S65" i="77"/>
  <c r="Q65" i="77"/>
  <c r="T64" i="77"/>
  <c r="S64" i="77"/>
  <c r="Q64" i="77"/>
  <c r="T63" i="77"/>
  <c r="S63" i="77"/>
  <c r="Q63" i="77"/>
  <c r="T62" i="77"/>
  <c r="S62" i="77"/>
  <c r="Q62" i="77"/>
  <c r="T61" i="77"/>
  <c r="S61" i="77"/>
  <c r="Q61" i="77"/>
  <c r="T60" i="77"/>
  <c r="S60" i="77"/>
  <c r="Q60" i="77"/>
  <c r="T59" i="77"/>
  <c r="S59" i="77"/>
  <c r="Q59" i="77"/>
  <c r="T58" i="77"/>
  <c r="S58" i="77"/>
  <c r="Q58" i="77"/>
  <c r="T57" i="77"/>
  <c r="S57" i="77"/>
  <c r="Q57" i="77"/>
  <c r="T56" i="77"/>
  <c r="S56" i="77"/>
  <c r="Q56" i="77"/>
  <c r="T55" i="77"/>
  <c r="S55" i="77"/>
  <c r="Q55" i="77"/>
  <c r="T54" i="77"/>
  <c r="S54" i="77"/>
  <c r="Q54" i="77"/>
  <c r="T53" i="77"/>
  <c r="S53" i="77"/>
  <c r="Q53" i="77"/>
  <c r="T52" i="77"/>
  <c r="S52" i="77"/>
  <c r="Q52" i="77"/>
  <c r="T51" i="77"/>
  <c r="S51" i="77"/>
  <c r="Q51" i="77"/>
  <c r="T50" i="77"/>
  <c r="S50" i="77"/>
  <c r="Q50" i="77"/>
  <c r="T49" i="77"/>
  <c r="S49" i="77"/>
  <c r="Q49" i="77"/>
  <c r="T48" i="77"/>
  <c r="S48" i="77"/>
  <c r="Q48" i="77"/>
  <c r="T47" i="77"/>
  <c r="S47" i="77"/>
  <c r="Q47" i="77"/>
  <c r="T46" i="77"/>
  <c r="S46" i="77"/>
  <c r="Q46" i="77"/>
  <c r="T45" i="77"/>
  <c r="S45" i="77"/>
  <c r="Q45" i="77"/>
  <c r="T44" i="77"/>
  <c r="S44" i="77"/>
  <c r="Q44" i="77"/>
  <c r="T43" i="77"/>
  <c r="S43" i="77"/>
  <c r="Q43" i="77"/>
  <c r="T42" i="77"/>
  <c r="S42" i="77"/>
  <c r="Q42" i="77"/>
  <c r="T41" i="77"/>
  <c r="S41" i="77"/>
  <c r="Q41" i="77"/>
  <c r="T40" i="77"/>
  <c r="S40" i="77"/>
  <c r="Q40" i="77"/>
  <c r="T39" i="77"/>
  <c r="S39" i="77"/>
  <c r="Q39" i="77"/>
  <c r="T38" i="77"/>
  <c r="Q38" i="77"/>
  <c r="T37" i="77"/>
  <c r="S37" i="77"/>
  <c r="Q37" i="77"/>
  <c r="T36" i="77"/>
  <c r="S36" i="77"/>
  <c r="Q36" i="77"/>
  <c r="T35" i="77"/>
  <c r="S35" i="77"/>
  <c r="Q35" i="77"/>
  <c r="T34" i="77"/>
  <c r="S34" i="77"/>
  <c r="Q34" i="77"/>
  <c r="T33" i="77"/>
  <c r="S33" i="77"/>
  <c r="Q33" i="77"/>
  <c r="T32" i="77"/>
  <c r="S32" i="77"/>
  <c r="Q32" i="77"/>
  <c r="M127" i="77"/>
  <c r="O186" i="77"/>
  <c r="M186" i="77"/>
  <c r="O185" i="77"/>
  <c r="M185" i="77"/>
  <c r="O184" i="77"/>
  <c r="M184" i="77"/>
  <c r="O183" i="77"/>
  <c r="O182" i="77"/>
  <c r="O181" i="77"/>
  <c r="O180" i="77"/>
  <c r="O179" i="77"/>
  <c r="M179" i="77"/>
  <c r="O178" i="77"/>
  <c r="O177" i="77"/>
  <c r="O176" i="77"/>
  <c r="O175" i="77"/>
  <c r="O174" i="77"/>
  <c r="O173" i="77"/>
  <c r="O172" i="77"/>
  <c r="O171" i="77"/>
  <c r="O170" i="77"/>
  <c r="O169" i="77"/>
  <c r="O168" i="77"/>
  <c r="O167" i="77"/>
  <c r="O166" i="77"/>
  <c r="O165" i="77"/>
  <c r="O164" i="77"/>
  <c r="O163" i="77"/>
  <c r="O162" i="77"/>
  <c r="O161" i="77"/>
  <c r="O160" i="77"/>
  <c r="O159" i="77"/>
  <c r="O158" i="77"/>
  <c r="O157" i="77"/>
  <c r="O156" i="77"/>
  <c r="O155" i="77"/>
  <c r="O154" i="77"/>
  <c r="O153" i="77"/>
  <c r="O152" i="77"/>
  <c r="O151" i="77"/>
  <c r="M151" i="77"/>
  <c r="O150" i="77"/>
  <c r="O149" i="77"/>
  <c r="O148" i="77"/>
  <c r="O147" i="77"/>
  <c r="O146" i="77"/>
  <c r="O145" i="77"/>
  <c r="O144" i="77"/>
  <c r="O143" i="77"/>
  <c r="M143" i="77"/>
  <c r="O142" i="77"/>
  <c r="O141" i="77"/>
  <c r="O139" i="77"/>
  <c r="O138" i="77"/>
  <c r="M138" i="77"/>
  <c r="O135" i="77"/>
  <c r="O127" i="77"/>
  <c r="O126" i="77"/>
  <c r="M126" i="77"/>
  <c r="O125" i="77"/>
  <c r="M125" i="77"/>
  <c r="O120" i="77"/>
  <c r="O119" i="77"/>
  <c r="O118" i="77"/>
  <c r="O117" i="77"/>
  <c r="M117" i="77"/>
  <c r="O116" i="77"/>
  <c r="M116" i="77"/>
  <c r="O111" i="77"/>
  <c r="O110" i="77"/>
  <c r="O109" i="77"/>
  <c r="O108" i="77"/>
  <c r="O107" i="77"/>
  <c r="O106" i="77"/>
  <c r="O105" i="77"/>
  <c r="O100" i="77"/>
  <c r="O99" i="77"/>
  <c r="M99" i="77"/>
  <c r="O98" i="77"/>
  <c r="M98" i="77"/>
  <c r="O97" i="77"/>
  <c r="M97" i="77"/>
  <c r="O96" i="77"/>
  <c r="M96" i="77"/>
  <c r="O95" i="77"/>
  <c r="M95" i="77"/>
  <c r="O94" i="77"/>
  <c r="M94" i="77"/>
  <c r="O93" i="77"/>
  <c r="M93" i="77"/>
  <c r="O92" i="77"/>
  <c r="O83" i="77"/>
  <c r="M83" i="77"/>
  <c r="O82" i="77"/>
  <c r="O81" i="77"/>
  <c r="O80" i="77"/>
  <c r="O79" i="77"/>
  <c r="O78" i="77"/>
  <c r="O77" i="77"/>
  <c r="O76" i="77"/>
  <c r="O75" i="77"/>
  <c r="O73" i="77"/>
  <c r="O72" i="77"/>
  <c r="O66" i="77"/>
  <c r="M66" i="77"/>
  <c r="O65" i="77"/>
  <c r="M65" i="77"/>
  <c r="O64" i="77"/>
  <c r="O63" i="77"/>
  <c r="O62" i="77"/>
  <c r="M62" i="77"/>
  <c r="O61" i="77"/>
  <c r="O60" i="77"/>
  <c r="M60" i="77"/>
  <c r="O59" i="77"/>
  <c r="M59" i="77"/>
  <c r="O58" i="77"/>
  <c r="M58" i="77"/>
  <c r="O57" i="77"/>
  <c r="M57" i="77"/>
  <c r="O56" i="77"/>
  <c r="M56" i="77"/>
  <c r="O55" i="77"/>
  <c r="M55" i="77"/>
  <c r="O54" i="77"/>
  <c r="M54" i="77"/>
  <c r="O53" i="77"/>
  <c r="M53" i="77"/>
  <c r="O52" i="77"/>
  <c r="M52" i="77"/>
  <c r="O51" i="77"/>
  <c r="M51" i="77"/>
  <c r="O50" i="77"/>
  <c r="M50" i="77"/>
  <c r="O49" i="77"/>
  <c r="M49" i="77"/>
  <c r="O48" i="77"/>
  <c r="M48" i="77"/>
  <c r="O47" i="77"/>
  <c r="M47" i="77"/>
  <c r="O46" i="77"/>
  <c r="M46" i="77"/>
  <c r="O45" i="77"/>
  <c r="M45" i="77"/>
  <c r="O44" i="77"/>
  <c r="M44" i="77"/>
  <c r="O43" i="77"/>
  <c r="M43" i="77"/>
  <c r="O42" i="77"/>
  <c r="M42" i="77"/>
  <c r="O41" i="77"/>
  <c r="M41" i="77"/>
  <c r="O40" i="77"/>
  <c r="M40" i="77"/>
  <c r="O39" i="77"/>
  <c r="M39" i="77"/>
  <c r="O37" i="77"/>
  <c r="M37" i="77"/>
  <c r="O36" i="77"/>
  <c r="M36" i="77"/>
  <c r="O35" i="77"/>
  <c r="M35" i="77"/>
  <c r="O34" i="77"/>
  <c r="M34" i="77"/>
  <c r="O33" i="77"/>
  <c r="O32" i="77"/>
  <c r="GK31" i="77"/>
  <c r="GJ31" i="77"/>
  <c r="T31" i="77"/>
  <c r="S31" i="77"/>
  <c r="Q31" i="77"/>
  <c r="O31" i="77"/>
  <c r="G94" i="82" l="1"/>
  <c r="G15" i="82"/>
  <c r="G136" i="82"/>
  <c r="G160" i="82"/>
  <c r="G48" i="82"/>
  <c r="G64" i="82"/>
  <c r="G113" i="82"/>
  <c r="G137" i="82"/>
  <c r="I145" i="82"/>
  <c r="G81" i="82"/>
  <c r="G10" i="82"/>
  <c r="G18" i="82"/>
  <c r="G34" i="82"/>
  <c r="G66" i="82"/>
  <c r="G123" i="82"/>
  <c r="G155" i="82"/>
  <c r="G43" i="82"/>
  <c r="G67" i="82"/>
  <c r="G20" i="82"/>
  <c r="I28" i="82"/>
  <c r="G52" i="82"/>
  <c r="G92" i="82"/>
  <c r="G29" i="82"/>
  <c r="H125" i="82"/>
  <c r="G60" i="82"/>
  <c r="H74" i="82"/>
  <c r="G55" i="82"/>
  <c r="H60" i="82"/>
  <c r="G46" i="82"/>
  <c r="G74" i="82"/>
  <c r="H46" i="82"/>
  <c r="G132" i="82"/>
  <c r="B180" i="82"/>
  <c r="I180" i="82" s="1"/>
  <c r="G6" i="82"/>
  <c r="H6" i="82"/>
  <c r="I6" i="82"/>
  <c r="G150" i="82"/>
  <c r="G13" i="82"/>
  <c r="I27" i="82"/>
  <c r="G97" i="82"/>
  <c r="I111" i="82"/>
  <c r="G125" i="82"/>
  <c r="G139" i="82"/>
  <c r="B169" i="82"/>
  <c r="I169" i="82" s="1"/>
  <c r="H150" i="82"/>
  <c r="I125" i="82"/>
  <c r="I150" i="82"/>
  <c r="G153" i="82"/>
  <c r="D168" i="82"/>
  <c r="H126" i="82"/>
  <c r="I114" i="82"/>
  <c r="I128" i="82"/>
  <c r="I142" i="82"/>
  <c r="C180" i="82"/>
  <c r="G32" i="82"/>
  <c r="I126" i="82"/>
  <c r="H32" i="82"/>
  <c r="J162" i="77"/>
  <c r="K162" i="77" s="1"/>
  <c r="I156" i="82"/>
  <c r="I32" i="82"/>
  <c r="I46" i="82"/>
  <c r="I60" i="82"/>
  <c r="I74" i="82"/>
  <c r="J159" i="77"/>
  <c r="K159" i="77" s="1"/>
  <c r="G134" i="82"/>
  <c r="H180" i="82"/>
  <c r="I146" i="82"/>
  <c r="H146" i="82"/>
  <c r="G146" i="82"/>
  <c r="H158" i="82"/>
  <c r="G158" i="82"/>
  <c r="D184" i="82"/>
  <c r="C184" i="82"/>
  <c r="I41" i="82"/>
  <c r="H41" i="82"/>
  <c r="G41" i="82"/>
  <c r="I159" i="82"/>
  <c r="H159" i="82"/>
  <c r="J173" i="77"/>
  <c r="K173" i="77" s="1"/>
  <c r="G148" i="82"/>
  <c r="J64" i="77"/>
  <c r="K64" i="77" s="1"/>
  <c r="G39" i="82"/>
  <c r="H83" i="82"/>
  <c r="G83" i="82"/>
  <c r="D167" i="82"/>
  <c r="C167" i="82"/>
  <c r="B167" i="82"/>
  <c r="I167" i="82" s="1"/>
  <c r="B179" i="82"/>
  <c r="I179" i="82" s="1"/>
  <c r="C179" i="82"/>
  <c r="C183" i="82"/>
  <c r="H33" i="82"/>
  <c r="I33" i="82"/>
  <c r="I47" i="82"/>
  <c r="H47" i="82"/>
  <c r="J101" i="77"/>
  <c r="K101" i="77" s="1"/>
  <c r="G76" i="82"/>
  <c r="I103" i="82"/>
  <c r="H103" i="82"/>
  <c r="C169" i="82"/>
  <c r="H69" i="82"/>
  <c r="G69" i="82"/>
  <c r="J129" i="77"/>
  <c r="K129" i="77" s="1"/>
  <c r="H104" i="82"/>
  <c r="I104" i="82"/>
  <c r="G104" i="82"/>
  <c r="I117" i="82"/>
  <c r="H117" i="82"/>
  <c r="C182" i="82"/>
  <c r="B182" i="82"/>
  <c r="I182" i="82" s="1"/>
  <c r="D170" i="82"/>
  <c r="C170" i="82"/>
  <c r="D182" i="82"/>
  <c r="B170" i="82"/>
  <c r="I170" i="82" s="1"/>
  <c r="D179" i="82"/>
  <c r="J143" i="77"/>
  <c r="K143" i="77" s="1"/>
  <c r="G118" i="82"/>
  <c r="J131" i="77"/>
  <c r="K131" i="77" s="1"/>
  <c r="G106" i="82"/>
  <c r="D172" i="82"/>
  <c r="B183" i="82"/>
  <c r="I183" i="82" s="1"/>
  <c r="H13" i="82"/>
  <c r="H20" i="82"/>
  <c r="H27" i="82"/>
  <c r="H34" i="82"/>
  <c r="H48" i="82"/>
  <c r="H55" i="82"/>
  <c r="H62" i="82"/>
  <c r="H76" i="82"/>
  <c r="H90" i="82"/>
  <c r="H97" i="82"/>
  <c r="H111" i="82"/>
  <c r="H118" i="82"/>
  <c r="H132" i="82"/>
  <c r="H139" i="82"/>
  <c r="H153" i="82"/>
  <c r="H160" i="82"/>
  <c r="I13" i="82"/>
  <c r="G17" i="82"/>
  <c r="I20" i="82"/>
  <c r="G24" i="82"/>
  <c r="G31" i="82"/>
  <c r="I34" i="82"/>
  <c r="G38" i="82"/>
  <c r="G45" i="82"/>
  <c r="I48" i="82"/>
  <c r="I55" i="82"/>
  <c r="G59" i="82"/>
  <c r="I62" i="82"/>
  <c r="I69" i="82"/>
  <c r="G73" i="82"/>
  <c r="I76" i="82"/>
  <c r="G80" i="82"/>
  <c r="I83" i="82"/>
  <c r="G87" i="82"/>
  <c r="I90" i="82"/>
  <c r="I97" i="82"/>
  <c r="G101" i="82"/>
  <c r="G108" i="82"/>
  <c r="G115" i="82"/>
  <c r="I118" i="82"/>
  <c r="G122" i="82"/>
  <c r="G129" i="82"/>
  <c r="I132" i="82"/>
  <c r="I139" i="82"/>
  <c r="G143" i="82"/>
  <c r="I153" i="82"/>
  <c r="G157" i="82"/>
  <c r="I160" i="82"/>
  <c r="D171" i="82"/>
  <c r="C171" i="82"/>
  <c r="B171" i="82"/>
  <c r="I171" i="82" s="1"/>
  <c r="D183" i="82"/>
  <c r="B184" i="82"/>
  <c r="H184" i="82" s="1"/>
  <c r="H10" i="82"/>
  <c r="H17" i="82"/>
  <c r="H24" i="82"/>
  <c r="H31" i="82"/>
  <c r="H38" i="82"/>
  <c r="H45" i="82"/>
  <c r="H52" i="82"/>
  <c r="H59" i="82"/>
  <c r="H66" i="82"/>
  <c r="H73" i="82"/>
  <c r="H80" i="82"/>
  <c r="H87" i="82"/>
  <c r="H94" i="82"/>
  <c r="H101" i="82"/>
  <c r="H108" i="82"/>
  <c r="H115" i="82"/>
  <c r="H122" i="82"/>
  <c r="H129" i="82"/>
  <c r="H136" i="82"/>
  <c r="H143" i="82"/>
  <c r="H157" i="82"/>
  <c r="H7" i="82"/>
  <c r="H14" i="82"/>
  <c r="H21" i="82"/>
  <c r="H28" i="82"/>
  <c r="H35" i="82"/>
  <c r="H42" i="82"/>
  <c r="H49" i="82"/>
  <c r="H56" i="82"/>
  <c r="H63" i="82"/>
  <c r="H70" i="82"/>
  <c r="H77" i="82"/>
  <c r="H84" i="82"/>
  <c r="H91" i="82"/>
  <c r="H98" i="82"/>
  <c r="H105" i="82"/>
  <c r="H112" i="82"/>
  <c r="H119" i="82"/>
  <c r="H133" i="82"/>
  <c r="H140" i="82"/>
  <c r="H147" i="82"/>
  <c r="H154" i="82"/>
  <c r="H161" i="82"/>
  <c r="C168" i="82"/>
  <c r="B168" i="82"/>
  <c r="D180" i="82"/>
  <c r="I7" i="82"/>
  <c r="G11" i="82"/>
  <c r="I14" i="82"/>
  <c r="I21" i="82"/>
  <c r="G25" i="82"/>
  <c r="I35" i="82"/>
  <c r="I42" i="82"/>
  <c r="I49" i="82"/>
  <c r="G53" i="82"/>
  <c r="I56" i="82"/>
  <c r="I63" i="82"/>
  <c r="I70" i="82"/>
  <c r="I77" i="82"/>
  <c r="I84" i="82"/>
  <c r="G88" i="82"/>
  <c r="I91" i="82"/>
  <c r="G95" i="82"/>
  <c r="I98" i="82"/>
  <c r="G102" i="82"/>
  <c r="I105" i="82"/>
  <c r="G109" i="82"/>
  <c r="I112" i="82"/>
  <c r="G116" i="82"/>
  <c r="I119" i="82"/>
  <c r="G130" i="82"/>
  <c r="I133" i="82"/>
  <c r="I140" i="82"/>
  <c r="G144" i="82"/>
  <c r="I147" i="82"/>
  <c r="G151" i="82"/>
  <c r="I154" i="82"/>
  <c r="I161" i="82"/>
  <c r="B172" i="82"/>
  <c r="H172" i="82" s="1"/>
  <c r="D181" i="82"/>
  <c r="C181" i="82"/>
  <c r="B181" i="82"/>
  <c r="D169" i="82"/>
  <c r="H11" i="82"/>
  <c r="H18" i="82"/>
  <c r="H25" i="82"/>
  <c r="H39" i="82"/>
  <c r="H53" i="82"/>
  <c r="H67" i="82"/>
  <c r="H81" i="82"/>
  <c r="H88" i="82"/>
  <c r="H95" i="82"/>
  <c r="H102" i="82"/>
  <c r="H109" i="82"/>
  <c r="H116" i="82"/>
  <c r="H123" i="82"/>
  <c r="H130" i="82"/>
  <c r="H137" i="82"/>
  <c r="H144" i="82"/>
  <c r="H151" i="82"/>
  <c r="C172" i="82"/>
  <c r="G8" i="82"/>
  <c r="I11" i="82"/>
  <c r="I18" i="82"/>
  <c r="G22" i="82"/>
  <c r="I25" i="82"/>
  <c r="G36" i="82"/>
  <c r="I39" i="82"/>
  <c r="G50" i="82"/>
  <c r="I53" i="82"/>
  <c r="G57" i="82"/>
  <c r="I67" i="82"/>
  <c r="G71" i="82"/>
  <c r="G78" i="82"/>
  <c r="I81" i="82"/>
  <c r="G85" i="82"/>
  <c r="I88" i="82"/>
  <c r="I95" i="82"/>
  <c r="G99" i="82"/>
  <c r="I102" i="82"/>
  <c r="I109" i="82"/>
  <c r="I116" i="82"/>
  <c r="G120" i="82"/>
  <c r="I123" i="82"/>
  <c r="G127" i="82"/>
  <c r="I130" i="82"/>
  <c r="I137" i="82"/>
  <c r="G141" i="82"/>
  <c r="I144" i="82"/>
  <c r="I151" i="82"/>
  <c r="I158" i="82"/>
  <c r="G7" i="82"/>
  <c r="I10" i="82"/>
  <c r="G14" i="82"/>
  <c r="I17" i="82"/>
  <c r="G21" i="82"/>
  <c r="I24" i="82"/>
  <c r="G28" i="82"/>
  <c r="I31" i="82"/>
  <c r="G35" i="82"/>
  <c r="I38" i="82"/>
  <c r="G42" i="82"/>
  <c r="I45" i="82"/>
  <c r="G49" i="82"/>
  <c r="I52" i="82"/>
  <c r="G56" i="82"/>
  <c r="I59" i="82"/>
  <c r="G63" i="82"/>
  <c r="I66" i="82"/>
  <c r="G70" i="82"/>
  <c r="I73" i="82"/>
  <c r="G77" i="82"/>
  <c r="I80" i="82"/>
  <c r="G84" i="82"/>
  <c r="I87" i="82"/>
  <c r="G91" i="82"/>
  <c r="I94" i="82"/>
  <c r="G98" i="82"/>
  <c r="I101" i="82"/>
  <c r="G105" i="82"/>
  <c r="I108" i="82"/>
  <c r="G112" i="82"/>
  <c r="I115" i="82"/>
  <c r="G119" i="82"/>
  <c r="I122" i="82"/>
  <c r="G126" i="82"/>
  <c r="I129" i="82"/>
  <c r="G133" i="82"/>
  <c r="I136" i="82"/>
  <c r="G140" i="82"/>
  <c r="I143" i="82"/>
  <c r="G147" i="82"/>
  <c r="G154" i="82"/>
  <c r="I157" i="82"/>
  <c r="G161" i="82"/>
  <c r="H8" i="82"/>
  <c r="H15" i="82"/>
  <c r="H22" i="82"/>
  <c r="H29" i="82"/>
  <c r="H36" i="82"/>
  <c r="H43" i="82"/>
  <c r="H50" i="82"/>
  <c r="H57" i="82"/>
  <c r="H64" i="82"/>
  <c r="H71" i="82"/>
  <c r="H78" i="82"/>
  <c r="H85" i="82"/>
  <c r="H92" i="82"/>
  <c r="H99" i="82"/>
  <c r="H106" i="82"/>
  <c r="H113" i="82"/>
  <c r="H120" i="82"/>
  <c r="H127" i="82"/>
  <c r="H134" i="82"/>
  <c r="H141" i="82"/>
  <c r="H148" i="82"/>
  <c r="H155" i="82"/>
  <c r="I8" i="82"/>
  <c r="G12" i="82"/>
  <c r="I15" i="82"/>
  <c r="G19" i="82"/>
  <c r="I22" i="82"/>
  <c r="G26" i="82"/>
  <c r="I29" i="82"/>
  <c r="G33" i="82"/>
  <c r="I36" i="82"/>
  <c r="G40" i="82"/>
  <c r="I43" i="82"/>
  <c r="G47" i="82"/>
  <c r="I50" i="82"/>
  <c r="G54" i="82"/>
  <c r="I57" i="82"/>
  <c r="G61" i="82"/>
  <c r="I64" i="82"/>
  <c r="G68" i="82"/>
  <c r="I71" i="82"/>
  <c r="G75" i="82"/>
  <c r="I78" i="82"/>
  <c r="G82" i="82"/>
  <c r="I85" i="82"/>
  <c r="G89" i="82"/>
  <c r="I92" i="82"/>
  <c r="G96" i="82"/>
  <c r="I99" i="82"/>
  <c r="G103" i="82"/>
  <c r="I106" i="82"/>
  <c r="G110" i="82"/>
  <c r="I113" i="82"/>
  <c r="G117" i="82"/>
  <c r="I120" i="82"/>
  <c r="G124" i="82"/>
  <c r="I127" i="82"/>
  <c r="G131" i="82"/>
  <c r="I134" i="82"/>
  <c r="G138" i="82"/>
  <c r="I141" i="82"/>
  <c r="G145" i="82"/>
  <c r="I148" i="82"/>
  <c r="G152" i="82"/>
  <c r="I155" i="82"/>
  <c r="G159" i="82"/>
  <c r="H12" i="82"/>
  <c r="H26" i="82"/>
  <c r="H40" i="82"/>
  <c r="H54" i="82"/>
  <c r="H61" i="82"/>
  <c r="H68" i="82"/>
  <c r="H75" i="82"/>
  <c r="H82" i="82"/>
  <c r="H89" i="82"/>
  <c r="H96" i="82"/>
  <c r="H110" i="82"/>
  <c r="H124" i="82"/>
  <c r="H131" i="82"/>
  <c r="H138" i="82"/>
  <c r="H145" i="82"/>
  <c r="H152" i="82"/>
  <c r="G9" i="82"/>
  <c r="I12" i="82"/>
  <c r="G16" i="82"/>
  <c r="G23" i="82"/>
  <c r="I26" i="82"/>
  <c r="G30" i="82"/>
  <c r="G37" i="82"/>
  <c r="I40" i="82"/>
  <c r="G44" i="82"/>
  <c r="G51" i="82"/>
  <c r="I54" i="82"/>
  <c r="G58" i="82"/>
  <c r="I61" i="82"/>
  <c r="G65" i="82"/>
  <c r="I68" i="82"/>
  <c r="G72" i="82"/>
  <c r="I75" i="82"/>
  <c r="G79" i="82"/>
  <c r="I82" i="82"/>
  <c r="G86" i="82"/>
  <c r="I89" i="82"/>
  <c r="G93" i="82"/>
  <c r="I96" i="82"/>
  <c r="G100" i="82"/>
  <c r="G107" i="82"/>
  <c r="I110" i="82"/>
  <c r="G114" i="82"/>
  <c r="G121" i="82"/>
  <c r="I124" i="82"/>
  <c r="G128" i="82"/>
  <c r="I131" i="82"/>
  <c r="G135" i="82"/>
  <c r="I138" i="82"/>
  <c r="G142" i="82"/>
  <c r="G149" i="82"/>
  <c r="I152" i="82"/>
  <c r="G156" i="82"/>
  <c r="H19" i="82"/>
  <c r="H9" i="82"/>
  <c r="H16" i="82"/>
  <c r="H23" i="82"/>
  <c r="H30" i="82"/>
  <c r="H37" i="82"/>
  <c r="H44" i="82"/>
  <c r="H51" i="82"/>
  <c r="H58" i="82"/>
  <c r="H65" i="82"/>
  <c r="H72" i="82"/>
  <c r="H79" i="82"/>
  <c r="H86" i="82"/>
  <c r="H93" i="82"/>
  <c r="H100" i="82"/>
  <c r="H107" i="82"/>
  <c r="H114" i="82"/>
  <c r="H121" i="82"/>
  <c r="H128" i="82"/>
  <c r="H135" i="82"/>
  <c r="H142" i="82"/>
  <c r="H149" i="82"/>
  <c r="H156" i="82"/>
  <c r="I19" i="82"/>
  <c r="I9" i="82"/>
  <c r="I16" i="82"/>
  <c r="I23" i="82"/>
  <c r="G27" i="82"/>
  <c r="I30" i="82"/>
  <c r="I37" i="82"/>
  <c r="I44" i="82"/>
  <c r="I51" i="82"/>
  <c r="I58" i="82"/>
  <c r="G62" i="82"/>
  <c r="I65" i="82"/>
  <c r="I72" i="82"/>
  <c r="I79" i="82"/>
  <c r="I86" i="82"/>
  <c r="G90" i="82"/>
  <c r="I93" i="82"/>
  <c r="I100" i="82"/>
  <c r="I107" i="82"/>
  <c r="G111" i="82"/>
  <c r="I121" i="82"/>
  <c r="I135" i="82"/>
  <c r="I149" i="82"/>
  <c r="B17" i="83"/>
  <c r="C17" i="83" s="1"/>
  <c r="B14" i="83"/>
  <c r="H167" i="82"/>
  <c r="J187" i="77"/>
  <c r="K187" i="77" s="1"/>
  <c r="B162" i="82"/>
  <c r="C162" i="82"/>
  <c r="D162" i="82"/>
  <c r="J85" i="77"/>
  <c r="K85" i="77" s="1"/>
  <c r="J32" i="77"/>
  <c r="K32" i="77" s="1"/>
  <c r="J122" i="77"/>
  <c r="K122" i="77" s="1"/>
  <c r="J36" i="77"/>
  <c r="K36" i="77" s="1"/>
  <c r="J102" i="77"/>
  <c r="K102" i="77" s="1"/>
  <c r="J156" i="77"/>
  <c r="K156" i="77" s="1"/>
  <c r="J78" i="77"/>
  <c r="K78" i="77" s="1"/>
  <c r="J100" i="77"/>
  <c r="K100" i="77" s="1"/>
  <c r="J114" i="77"/>
  <c r="K114" i="77" s="1"/>
  <c r="J157" i="77"/>
  <c r="K157" i="77" s="1"/>
  <c r="J93" i="77"/>
  <c r="K93" i="77" s="1"/>
  <c r="J158" i="77"/>
  <c r="K158" i="77" s="1"/>
  <c r="J172" i="77"/>
  <c r="K172" i="77" s="1"/>
  <c r="J50" i="77"/>
  <c r="K50" i="77" s="1"/>
  <c r="J72" i="77"/>
  <c r="K72" i="77" s="1"/>
  <c r="J168" i="77"/>
  <c r="K168" i="77" s="1"/>
  <c r="J128" i="77"/>
  <c r="K128" i="77" s="1"/>
  <c r="J58" i="77"/>
  <c r="K58" i="77" s="1"/>
  <c r="J65" i="77"/>
  <c r="K65" i="77" s="1"/>
  <c r="J130" i="77"/>
  <c r="K130" i="77" s="1"/>
  <c r="J184" i="77"/>
  <c r="K184" i="77" s="1"/>
  <c r="J170" i="77"/>
  <c r="K170" i="77" s="1"/>
  <c r="J149" i="77"/>
  <c r="K149" i="77" s="1"/>
  <c r="J160" i="77"/>
  <c r="K160" i="77" s="1"/>
  <c r="J135" i="77"/>
  <c r="K135" i="77" s="1"/>
  <c r="J174" i="77"/>
  <c r="K174" i="77" s="1"/>
  <c r="J60" i="77"/>
  <c r="K60" i="77" s="1"/>
  <c r="J86" i="77"/>
  <c r="K86" i="77" s="1"/>
  <c r="J121" i="77"/>
  <c r="K121" i="77" s="1"/>
  <c r="J108" i="77"/>
  <c r="K108" i="77" s="1"/>
  <c r="J38" i="77"/>
  <c r="K38" i="77" s="1"/>
  <c r="J80" i="77"/>
  <c r="K80" i="77" s="1"/>
  <c r="J150" i="77"/>
  <c r="K150" i="77" s="1"/>
  <c r="J52" i="77"/>
  <c r="K52" i="77" s="1"/>
  <c r="J43" i="77"/>
  <c r="K43" i="77" s="1"/>
  <c r="J94" i="77"/>
  <c r="K94" i="77" s="1"/>
  <c r="J66" i="77"/>
  <c r="K66" i="77" s="1"/>
  <c r="J164" i="77"/>
  <c r="K164" i="77" s="1"/>
  <c r="J136" i="77"/>
  <c r="K136" i="77" s="1"/>
  <c r="J175" i="77"/>
  <c r="K175" i="77" s="1"/>
  <c r="J35" i="77"/>
  <c r="K35" i="77" s="1"/>
  <c r="J53" i="77"/>
  <c r="K53" i="77" s="1"/>
  <c r="J133" i="77"/>
  <c r="K133" i="77" s="1"/>
  <c r="J54" i="77"/>
  <c r="K54" i="77" s="1"/>
  <c r="J89" i="77"/>
  <c r="K89" i="77" s="1"/>
  <c r="J178" i="77"/>
  <c r="K178" i="77" s="1"/>
  <c r="J171" i="77"/>
  <c r="K171" i="77" s="1"/>
  <c r="J180" i="77"/>
  <c r="K180" i="77" s="1"/>
  <c r="J125" i="77"/>
  <c r="K125" i="77" s="1"/>
  <c r="J151" i="77"/>
  <c r="K151" i="77" s="1"/>
  <c r="J45" i="77"/>
  <c r="K45" i="77" s="1"/>
  <c r="J111" i="77"/>
  <c r="K111" i="77" s="1"/>
  <c r="J119" i="77"/>
  <c r="K119" i="77" s="1"/>
  <c r="J137" i="77"/>
  <c r="K137" i="77" s="1"/>
  <c r="J155" i="77"/>
  <c r="K155" i="77" s="1"/>
  <c r="J182" i="77"/>
  <c r="K182" i="77" s="1"/>
  <c r="J99" i="77"/>
  <c r="K99" i="77" s="1"/>
  <c r="J152" i="77"/>
  <c r="K152" i="77" s="1"/>
  <c r="J126" i="77"/>
  <c r="K126" i="77" s="1"/>
  <c r="J183" i="77"/>
  <c r="K183" i="77" s="1"/>
  <c r="J179" i="77"/>
  <c r="K179" i="77" s="1"/>
  <c r="J109" i="77"/>
  <c r="K109" i="77" s="1"/>
  <c r="J145" i="77"/>
  <c r="K145" i="77" s="1"/>
  <c r="J181" i="77"/>
  <c r="K181" i="77" s="1"/>
  <c r="J139" i="77"/>
  <c r="K139" i="77" s="1"/>
  <c r="J147" i="77"/>
  <c r="K147" i="77" s="1"/>
  <c r="J97" i="77"/>
  <c r="K97" i="77" s="1"/>
  <c r="J105" i="77"/>
  <c r="K105" i="77" s="1"/>
  <c r="J123" i="77"/>
  <c r="K123" i="77" s="1"/>
  <c r="J61" i="77"/>
  <c r="K61" i="77" s="1"/>
  <c r="J127" i="77"/>
  <c r="K127" i="77" s="1"/>
  <c r="J138" i="77"/>
  <c r="K138" i="77" s="1"/>
  <c r="J40" i="77"/>
  <c r="K40" i="77" s="1"/>
  <c r="J49" i="77"/>
  <c r="K49" i="77" s="1"/>
  <c r="J59" i="77"/>
  <c r="K59" i="77" s="1"/>
  <c r="J41" i="77"/>
  <c r="K41" i="77" s="1"/>
  <c r="J68" i="77"/>
  <c r="K68" i="77" s="1"/>
  <c r="J113" i="77"/>
  <c r="K113" i="77" s="1"/>
  <c r="J165" i="77"/>
  <c r="K165" i="77" s="1"/>
  <c r="J185" i="77"/>
  <c r="K185" i="77" s="1"/>
  <c r="J34" i="77"/>
  <c r="K34" i="77" s="1"/>
  <c r="J124" i="77"/>
  <c r="K124" i="77" s="1"/>
  <c r="J83" i="77"/>
  <c r="K83" i="77" s="1"/>
  <c r="J91" i="77"/>
  <c r="K91" i="77" s="1"/>
  <c r="J110" i="77"/>
  <c r="K110" i="77" s="1"/>
  <c r="J47" i="77"/>
  <c r="K47" i="77" s="1"/>
  <c r="J39" i="77"/>
  <c r="K39" i="77" s="1"/>
  <c r="J48" i="77"/>
  <c r="K48" i="77" s="1"/>
  <c r="J69" i="77"/>
  <c r="K69" i="77" s="1"/>
  <c r="J77" i="77"/>
  <c r="K77" i="77" s="1"/>
  <c r="J87" i="77"/>
  <c r="K87" i="77" s="1"/>
  <c r="J95" i="77"/>
  <c r="K95" i="77" s="1"/>
  <c r="J140" i="77"/>
  <c r="K140" i="77" s="1"/>
  <c r="J166" i="77"/>
  <c r="K166" i="77" s="1"/>
  <c r="J169" i="77"/>
  <c r="K169" i="77" s="1"/>
  <c r="J55" i="77"/>
  <c r="K55" i="77" s="1"/>
  <c r="J63" i="77"/>
  <c r="K63" i="77" s="1"/>
  <c r="J73" i="77"/>
  <c r="K73" i="77" s="1"/>
  <c r="J81" i="77"/>
  <c r="K81" i="77" s="1"/>
  <c r="J153" i="77"/>
  <c r="K153" i="77" s="1"/>
  <c r="J82" i="77"/>
  <c r="K82" i="77" s="1"/>
  <c r="J117" i="77"/>
  <c r="K117" i="77" s="1"/>
  <c r="J161" i="77"/>
  <c r="K161" i="77" s="1"/>
  <c r="J96" i="77"/>
  <c r="K96" i="77" s="1"/>
  <c r="J141" i="77"/>
  <c r="K141" i="77" s="1"/>
  <c r="J167" i="77"/>
  <c r="K167" i="77" s="1"/>
  <c r="J62" i="77"/>
  <c r="K62" i="77" s="1"/>
  <c r="J76" i="77"/>
  <c r="K76" i="77" s="1"/>
  <c r="J90" i="77"/>
  <c r="K90" i="77" s="1"/>
  <c r="J104" i="77"/>
  <c r="K104" i="77" s="1"/>
  <c r="J118" i="77"/>
  <c r="K118" i="77" s="1"/>
  <c r="J132" i="77"/>
  <c r="K132" i="77" s="1"/>
  <c r="J92" i="77"/>
  <c r="K92" i="77" s="1"/>
  <c r="J106" i="77"/>
  <c r="K106" i="77" s="1"/>
  <c r="J148" i="77"/>
  <c r="K148" i="77" s="1"/>
  <c r="L186" i="77"/>
  <c r="L185" i="77"/>
  <c r="L184" i="77"/>
  <c r="L183" i="77"/>
  <c r="L182" i="77"/>
  <c r="L181" i="77"/>
  <c r="L180" i="77"/>
  <c r="L179" i="77"/>
  <c r="L178" i="77"/>
  <c r="L177" i="77"/>
  <c r="L176" i="77"/>
  <c r="L175" i="77"/>
  <c r="L174" i="77"/>
  <c r="L173" i="77"/>
  <c r="L172" i="77"/>
  <c r="L171" i="77"/>
  <c r="L170" i="77"/>
  <c r="L169" i="77"/>
  <c r="L168" i="77"/>
  <c r="L167" i="77"/>
  <c r="L166" i="77"/>
  <c r="L165" i="77"/>
  <c r="L164" i="77"/>
  <c r="L163" i="77"/>
  <c r="L162" i="77"/>
  <c r="L161" i="77"/>
  <c r="L160" i="77"/>
  <c r="L159" i="77"/>
  <c r="L158" i="77"/>
  <c r="L157" i="77"/>
  <c r="L156" i="77"/>
  <c r="L155" i="77"/>
  <c r="L154" i="77"/>
  <c r="L153" i="77"/>
  <c r="L152" i="77"/>
  <c r="L151" i="77"/>
  <c r="L150" i="77"/>
  <c r="L149" i="77"/>
  <c r="L148" i="77"/>
  <c r="L147" i="77"/>
  <c r="L146" i="77"/>
  <c r="L145" i="77"/>
  <c r="L144" i="77"/>
  <c r="L143" i="77"/>
  <c r="L142" i="77"/>
  <c r="L141" i="77"/>
  <c r="L140" i="77"/>
  <c r="L139" i="77"/>
  <c r="L138" i="77"/>
  <c r="L137" i="77"/>
  <c r="L136" i="77"/>
  <c r="L135" i="77"/>
  <c r="L134" i="77"/>
  <c r="L133" i="77"/>
  <c r="L132" i="77"/>
  <c r="L131" i="77"/>
  <c r="L130" i="77"/>
  <c r="L129" i="77"/>
  <c r="L128" i="77"/>
  <c r="L127" i="77"/>
  <c r="GJ127" i="77" s="1"/>
  <c r="L126" i="77"/>
  <c r="L125" i="77"/>
  <c r="L124" i="77"/>
  <c r="L123" i="77"/>
  <c r="L122" i="77"/>
  <c r="L121" i="77"/>
  <c r="L120" i="77"/>
  <c r="L119" i="77"/>
  <c r="L118" i="77"/>
  <c r="L117" i="77"/>
  <c r="L116" i="77"/>
  <c r="L115" i="77"/>
  <c r="L114" i="77"/>
  <c r="L113" i="77"/>
  <c r="L112" i="77"/>
  <c r="L111" i="77"/>
  <c r="L110" i="77"/>
  <c r="L109" i="77"/>
  <c r="L108" i="77"/>
  <c r="L107" i="77"/>
  <c r="L106" i="77"/>
  <c r="L105" i="77"/>
  <c r="L104" i="77"/>
  <c r="L103" i="77"/>
  <c r="L102" i="77"/>
  <c r="L100" i="77"/>
  <c r="L99" i="77"/>
  <c r="L98" i="77"/>
  <c r="L97" i="77"/>
  <c r="L96" i="77"/>
  <c r="L95" i="77"/>
  <c r="L94" i="77"/>
  <c r="L93" i="77"/>
  <c r="L92" i="77"/>
  <c r="L91" i="77"/>
  <c r="L90" i="77"/>
  <c r="L89" i="77"/>
  <c r="L88" i="77"/>
  <c r="L87" i="77"/>
  <c r="L86" i="77"/>
  <c r="L85" i="77"/>
  <c r="L84" i="77"/>
  <c r="L83" i="77"/>
  <c r="L82" i="77"/>
  <c r="L81" i="77"/>
  <c r="L80" i="77"/>
  <c r="L79" i="77"/>
  <c r="L78" i="77"/>
  <c r="L77" i="77"/>
  <c r="L76" i="77"/>
  <c r="L75" i="77"/>
  <c r="L74" i="77"/>
  <c r="L73" i="77"/>
  <c r="L72" i="77"/>
  <c r="L71" i="77"/>
  <c r="L70" i="77"/>
  <c r="L69" i="77"/>
  <c r="L68" i="77"/>
  <c r="L67" i="77"/>
  <c r="L66" i="77"/>
  <c r="L65" i="77"/>
  <c r="L64" i="77"/>
  <c r="L63" i="77"/>
  <c r="L62" i="77"/>
  <c r="L61" i="77"/>
  <c r="L60" i="77"/>
  <c r="L59" i="77"/>
  <c r="L58" i="77"/>
  <c r="L57" i="77"/>
  <c r="L56" i="77"/>
  <c r="L55" i="77"/>
  <c r="L54" i="77"/>
  <c r="L53" i="77"/>
  <c r="L52" i="77"/>
  <c r="L51" i="77"/>
  <c r="L50" i="77"/>
  <c r="L49" i="77"/>
  <c r="L48" i="77"/>
  <c r="L47" i="77"/>
  <c r="L46" i="77"/>
  <c r="L45" i="77"/>
  <c r="L44" i="77"/>
  <c r="L43" i="77"/>
  <c r="L42" i="77"/>
  <c r="L41" i="77"/>
  <c r="L40" i="77"/>
  <c r="L39" i="77"/>
  <c r="L38" i="77"/>
  <c r="L37" i="77"/>
  <c r="L36" i="77"/>
  <c r="L35" i="77"/>
  <c r="L34" i="77"/>
  <c r="L33" i="77"/>
  <c r="L32" i="77"/>
  <c r="L31" i="77"/>
  <c r="L30" i="77"/>
  <c r="M30" i="77" s="1"/>
  <c r="L29" i="77"/>
  <c r="L28" i="77"/>
  <c r="O28" i="77" s="1"/>
  <c r="L27" i="77"/>
  <c r="L26" i="77"/>
  <c r="L25" i="77"/>
  <c r="L24" i="77"/>
  <c r="Q24" i="77" s="1"/>
  <c r="L23" i="77"/>
  <c r="P23" i="77" s="1"/>
  <c r="L22" i="77"/>
  <c r="S22" i="77" s="1"/>
  <c r="L21" i="77"/>
  <c r="P21" i="77" s="1"/>
  <c r="L20" i="77"/>
  <c r="P20" i="77" s="1"/>
  <c r="L19" i="77"/>
  <c r="L18" i="77"/>
  <c r="L17" i="77"/>
  <c r="L16" i="77"/>
  <c r="P16" i="77" s="1"/>
  <c r="L15" i="77"/>
  <c r="L14" i="77"/>
  <c r="P14" i="77" s="1"/>
  <c r="L13" i="77"/>
  <c r="R13" i="77" s="1"/>
  <c r="L12" i="77"/>
  <c r="T12" i="77" s="1"/>
  <c r="L11" i="77"/>
  <c r="S11" i="77" s="1"/>
  <c r="L10" i="77"/>
  <c r="L9" i="77"/>
  <c r="L8" i="77"/>
  <c r="O8" i="77" s="1"/>
  <c r="L7" i="77"/>
  <c r="O7" i="77" s="1"/>
  <c r="L6" i="77"/>
  <c r="O6" i="77" s="1"/>
  <c r="L5" i="77"/>
  <c r="T5" i="77" s="1"/>
  <c r="L4" i="77"/>
  <c r="P4" i="77" s="1"/>
  <c r="L3" i="77"/>
  <c r="O3" i="77" s="1"/>
  <c r="T30" i="77"/>
  <c r="T29" i="77"/>
  <c r="T28" i="77"/>
  <c r="T24" i="77"/>
  <c r="T16" i="77"/>
  <c r="T15" i="77"/>
  <c r="T7" i="77"/>
  <c r="R30" i="77"/>
  <c r="R29" i="77"/>
  <c r="Q30" i="77"/>
  <c r="Q29" i="77"/>
  <c r="Q20" i="77"/>
  <c r="Q16" i="77"/>
  <c r="Q15" i="77"/>
  <c r="O30" i="77"/>
  <c r="O21" i="77"/>
  <c r="O16" i="77"/>
  <c r="O13" i="77"/>
  <c r="O5" i="77"/>
  <c r="O4" i="77"/>
  <c r="M29" i="77"/>
  <c r="M16" i="77"/>
  <c r="M7" i="77"/>
  <c r="P30" i="77"/>
  <c r="P29" i="77"/>
  <c r="S14" i="77"/>
  <c r="S15" i="77"/>
  <c r="S16" i="77"/>
  <c r="S19" i="77"/>
  <c r="S20" i="77"/>
  <c r="S29" i="77"/>
  <c r="A781" i="79"/>
  <c r="A780" i="79"/>
  <c r="A779" i="79"/>
  <c r="A778" i="79"/>
  <c r="A777" i="79"/>
  <c r="A776" i="79"/>
  <c r="A775" i="79"/>
  <c r="A774" i="79"/>
  <c r="A773" i="79"/>
  <c r="A772" i="79"/>
  <c r="A771" i="79"/>
  <c r="A770" i="79"/>
  <c r="A769" i="79"/>
  <c r="A768" i="79"/>
  <c r="A767" i="79"/>
  <c r="A766" i="79"/>
  <c r="A765" i="79"/>
  <c r="A764" i="79"/>
  <c r="A763" i="79"/>
  <c r="A762" i="79"/>
  <c r="A761" i="79"/>
  <c r="A760" i="79"/>
  <c r="A759" i="79"/>
  <c r="A758" i="79"/>
  <c r="A757" i="79"/>
  <c r="A756" i="79"/>
  <c r="A755" i="79"/>
  <c r="A754" i="79"/>
  <c r="A753" i="79"/>
  <c r="A752" i="79"/>
  <c r="A751" i="79"/>
  <c r="A750" i="79"/>
  <c r="A749" i="79"/>
  <c r="A748" i="79"/>
  <c r="A747" i="79"/>
  <c r="A746" i="79"/>
  <c r="A745" i="79"/>
  <c r="A744" i="79"/>
  <c r="A743" i="79"/>
  <c r="A742" i="79"/>
  <c r="A741" i="79"/>
  <c r="A740" i="79"/>
  <c r="A739" i="79"/>
  <c r="A738" i="79"/>
  <c r="A737" i="79"/>
  <c r="A736" i="79"/>
  <c r="A735" i="79"/>
  <c r="A734" i="79"/>
  <c r="A733" i="79"/>
  <c r="A732" i="79"/>
  <c r="A731" i="79"/>
  <c r="A730" i="79"/>
  <c r="A729" i="79"/>
  <c r="A728" i="79"/>
  <c r="A727" i="79"/>
  <c r="A726" i="79"/>
  <c r="A725" i="79"/>
  <c r="A724" i="79"/>
  <c r="A723" i="79"/>
  <c r="A722" i="79"/>
  <c r="A721" i="79"/>
  <c r="A720" i="79"/>
  <c r="A719" i="79"/>
  <c r="A718" i="79"/>
  <c r="A717" i="79"/>
  <c r="A716" i="79"/>
  <c r="A715" i="79"/>
  <c r="A714" i="79"/>
  <c r="A713" i="79"/>
  <c r="A712" i="79"/>
  <c r="A711" i="79"/>
  <c r="A710" i="79"/>
  <c r="A709" i="79"/>
  <c r="A708" i="79"/>
  <c r="A707" i="79"/>
  <c r="A706" i="79"/>
  <c r="A705" i="79"/>
  <c r="A704" i="79"/>
  <c r="A703" i="79"/>
  <c r="A702" i="79"/>
  <c r="A701" i="79"/>
  <c r="A700" i="79"/>
  <c r="A699" i="79"/>
  <c r="A698" i="79"/>
  <c r="A697" i="79"/>
  <c r="A696" i="79"/>
  <c r="A695" i="79"/>
  <c r="A694" i="79"/>
  <c r="A693" i="79"/>
  <c r="A692" i="79"/>
  <c r="A691" i="79"/>
  <c r="A690" i="79"/>
  <c r="A689" i="79"/>
  <c r="A688" i="79"/>
  <c r="A687" i="79"/>
  <c r="A686" i="79"/>
  <c r="A685" i="79"/>
  <c r="A684" i="79"/>
  <c r="A683" i="79"/>
  <c r="A682" i="79"/>
  <c r="A681" i="79"/>
  <c r="A680" i="79"/>
  <c r="A679" i="79"/>
  <c r="A678" i="79"/>
  <c r="A677" i="79"/>
  <c r="A676" i="79"/>
  <c r="A675" i="79"/>
  <c r="A674" i="79"/>
  <c r="A673" i="79"/>
  <c r="A672" i="79"/>
  <c r="A671" i="79"/>
  <c r="A670" i="79"/>
  <c r="A669" i="79"/>
  <c r="A668" i="79"/>
  <c r="A667" i="79"/>
  <c r="A666" i="79"/>
  <c r="A665" i="79"/>
  <c r="A664" i="79"/>
  <c r="A663" i="79"/>
  <c r="A662" i="79"/>
  <c r="A661" i="79"/>
  <c r="A660" i="79"/>
  <c r="A659" i="79"/>
  <c r="A658" i="79"/>
  <c r="A657" i="79"/>
  <c r="A656" i="79"/>
  <c r="A655" i="79"/>
  <c r="A654" i="79"/>
  <c r="A653" i="79"/>
  <c r="A652" i="79"/>
  <c r="A651" i="79"/>
  <c r="A650" i="79"/>
  <c r="A649" i="79"/>
  <c r="A648" i="79"/>
  <c r="A647" i="79"/>
  <c r="A646" i="79"/>
  <c r="A645" i="79"/>
  <c r="A644" i="79"/>
  <c r="A643" i="79"/>
  <c r="A642" i="79"/>
  <c r="A641" i="79"/>
  <c r="A640" i="79"/>
  <c r="A639" i="79"/>
  <c r="A638" i="79"/>
  <c r="A637" i="79"/>
  <c r="A636" i="79"/>
  <c r="A635" i="79"/>
  <c r="A634" i="79"/>
  <c r="A633" i="79"/>
  <c r="A632" i="79"/>
  <c r="A631" i="79"/>
  <c r="A630" i="79"/>
  <c r="A629" i="79"/>
  <c r="A628" i="79"/>
  <c r="A627" i="79"/>
  <c r="A626" i="79"/>
  <c r="A625" i="79"/>
  <c r="A624" i="79"/>
  <c r="A623" i="79"/>
  <c r="A622" i="79"/>
  <c r="A621" i="79"/>
  <c r="A620" i="79"/>
  <c r="A619" i="79"/>
  <c r="A618" i="79"/>
  <c r="A617" i="79"/>
  <c r="A616" i="79"/>
  <c r="A615" i="79"/>
  <c r="A614" i="79"/>
  <c r="A613" i="79"/>
  <c r="A612" i="79"/>
  <c r="A611" i="79"/>
  <c r="A610" i="79"/>
  <c r="A609" i="79"/>
  <c r="A608" i="79"/>
  <c r="A607" i="79"/>
  <c r="A606" i="79"/>
  <c r="A605" i="79"/>
  <c r="A604" i="79"/>
  <c r="A603" i="79"/>
  <c r="A602" i="79"/>
  <c r="A601" i="79"/>
  <c r="A600" i="79"/>
  <c r="A599" i="79"/>
  <c r="A598" i="79"/>
  <c r="A597" i="79"/>
  <c r="A596" i="79"/>
  <c r="A595" i="79"/>
  <c r="A594" i="79"/>
  <c r="A593" i="79"/>
  <c r="A592" i="79"/>
  <c r="A591" i="79"/>
  <c r="A590" i="79"/>
  <c r="A589" i="79"/>
  <c r="A588" i="79"/>
  <c r="A587" i="79"/>
  <c r="A586" i="79"/>
  <c r="A585" i="79"/>
  <c r="A584" i="79"/>
  <c r="A583" i="79"/>
  <c r="A582" i="79"/>
  <c r="A581" i="79"/>
  <c r="A580" i="79"/>
  <c r="A579" i="79"/>
  <c r="A578" i="79"/>
  <c r="A577" i="79"/>
  <c r="A576" i="79"/>
  <c r="A575" i="79"/>
  <c r="A574" i="79"/>
  <c r="A573" i="79"/>
  <c r="A572" i="79"/>
  <c r="A571" i="79"/>
  <c r="A570" i="79"/>
  <c r="A569" i="79"/>
  <c r="A568" i="79"/>
  <c r="A567" i="79"/>
  <c r="A566" i="79"/>
  <c r="A565" i="79"/>
  <c r="A564" i="79"/>
  <c r="A563" i="79"/>
  <c r="A562" i="79"/>
  <c r="A561" i="79"/>
  <c r="A560" i="79"/>
  <c r="A559" i="79"/>
  <c r="A558" i="79"/>
  <c r="A557" i="79"/>
  <c r="A556" i="79"/>
  <c r="A555" i="79"/>
  <c r="A554" i="79"/>
  <c r="A553" i="79"/>
  <c r="A552" i="79"/>
  <c r="A551" i="79"/>
  <c r="A550" i="79"/>
  <c r="A549" i="79"/>
  <c r="A548" i="79"/>
  <c r="A547" i="79"/>
  <c r="A546" i="79"/>
  <c r="A545" i="79"/>
  <c r="A544" i="79"/>
  <c r="A543" i="79"/>
  <c r="A542" i="79"/>
  <c r="A541" i="79"/>
  <c r="A540" i="79"/>
  <c r="A539" i="79"/>
  <c r="A538" i="79"/>
  <c r="A537" i="79"/>
  <c r="A536" i="79"/>
  <c r="A535" i="79"/>
  <c r="A534" i="79"/>
  <c r="A533" i="79"/>
  <c r="A532" i="79"/>
  <c r="A531" i="79"/>
  <c r="A530" i="79"/>
  <c r="A529" i="79"/>
  <c r="A528" i="79"/>
  <c r="A527" i="79"/>
  <c r="A526" i="79"/>
  <c r="A525" i="79"/>
  <c r="A524" i="79"/>
  <c r="A523" i="79"/>
  <c r="A522" i="79"/>
  <c r="A521" i="79"/>
  <c r="A520" i="79"/>
  <c r="A519" i="79"/>
  <c r="A518" i="79"/>
  <c r="A517" i="79"/>
  <c r="A516" i="79"/>
  <c r="A515" i="79"/>
  <c r="A514" i="79"/>
  <c r="A513" i="79"/>
  <c r="A512" i="79"/>
  <c r="A511" i="79"/>
  <c r="A510" i="79"/>
  <c r="A509" i="79"/>
  <c r="A455" i="79"/>
  <c r="A456" i="79"/>
  <c r="A457" i="79"/>
  <c r="A458" i="79"/>
  <c r="A459" i="79"/>
  <c r="A460" i="79"/>
  <c r="A461" i="79"/>
  <c r="A462" i="79"/>
  <c r="A463" i="79"/>
  <c r="A464" i="79"/>
  <c r="A465" i="79"/>
  <c r="A466" i="79"/>
  <c r="A467" i="79"/>
  <c r="A468" i="79"/>
  <c r="A469" i="79"/>
  <c r="A470" i="79"/>
  <c r="A471" i="79"/>
  <c r="A472" i="79"/>
  <c r="A473" i="79"/>
  <c r="A474" i="79"/>
  <c r="A475" i="79"/>
  <c r="A476" i="79"/>
  <c r="A477" i="79"/>
  <c r="A478" i="79"/>
  <c r="A479" i="79"/>
  <c r="A480" i="79"/>
  <c r="A481" i="79"/>
  <c r="A482" i="79"/>
  <c r="A483" i="79"/>
  <c r="A484" i="79"/>
  <c r="A485" i="79"/>
  <c r="A486" i="79"/>
  <c r="A487" i="79"/>
  <c r="A488" i="79"/>
  <c r="A489" i="79"/>
  <c r="A490" i="79"/>
  <c r="A491" i="79"/>
  <c r="A492" i="79"/>
  <c r="A493" i="79"/>
  <c r="A494" i="79"/>
  <c r="A495" i="79"/>
  <c r="A496" i="79"/>
  <c r="A497" i="79"/>
  <c r="A498" i="79"/>
  <c r="A499" i="79"/>
  <c r="A500" i="79"/>
  <c r="A501" i="79"/>
  <c r="A502" i="79"/>
  <c r="A503" i="79"/>
  <c r="A504" i="79"/>
  <c r="A505" i="79"/>
  <c r="A506" i="79"/>
  <c r="A507" i="79"/>
  <c r="A508" i="79"/>
  <c r="A425" i="79"/>
  <c r="A426" i="79"/>
  <c r="A427" i="79"/>
  <c r="A428" i="79"/>
  <c r="A429" i="79"/>
  <c r="A430" i="79"/>
  <c r="A431" i="79"/>
  <c r="A432" i="79"/>
  <c r="A433" i="79"/>
  <c r="A434" i="79"/>
  <c r="A435" i="79"/>
  <c r="A436" i="79"/>
  <c r="A437" i="79"/>
  <c r="A438" i="79"/>
  <c r="A439" i="79"/>
  <c r="A440" i="79"/>
  <c r="A441" i="79"/>
  <c r="A442" i="79"/>
  <c r="A443" i="79"/>
  <c r="A444" i="79"/>
  <c r="A445" i="79"/>
  <c r="A446" i="79"/>
  <c r="A447" i="79"/>
  <c r="A448" i="79"/>
  <c r="A449" i="79"/>
  <c r="A450" i="79"/>
  <c r="A451" i="79"/>
  <c r="A452" i="79"/>
  <c r="A453" i="79"/>
  <c r="A454" i="79"/>
  <c r="A392" i="79"/>
  <c r="A393" i="79"/>
  <c r="A394" i="79"/>
  <c r="A395" i="79"/>
  <c r="A396" i="79"/>
  <c r="A397" i="79"/>
  <c r="A398" i="79"/>
  <c r="A399" i="79"/>
  <c r="A400" i="79"/>
  <c r="A401" i="79"/>
  <c r="A402" i="79"/>
  <c r="A403" i="79"/>
  <c r="A404" i="79"/>
  <c r="A405" i="79"/>
  <c r="A406" i="79"/>
  <c r="A407" i="79"/>
  <c r="A408" i="79"/>
  <c r="A409" i="79"/>
  <c r="A410" i="79"/>
  <c r="A411" i="79"/>
  <c r="A412" i="79"/>
  <c r="A413" i="79"/>
  <c r="A414" i="79"/>
  <c r="A415" i="79"/>
  <c r="A416" i="79"/>
  <c r="A417" i="79"/>
  <c r="A418" i="79"/>
  <c r="A419" i="79"/>
  <c r="A420" i="79"/>
  <c r="A421" i="79"/>
  <c r="A422" i="79"/>
  <c r="A423" i="79"/>
  <c r="A424" i="79"/>
  <c r="H179" i="82" l="1"/>
  <c r="H169" i="82"/>
  <c r="I162" i="82"/>
  <c r="H170" i="82"/>
  <c r="B16" i="83"/>
  <c r="R4" i="77"/>
  <c r="G162" i="82"/>
  <c r="H162" i="82"/>
  <c r="S4" i="77"/>
  <c r="R5" i="77"/>
  <c r="M20" i="77"/>
  <c r="Q4" i="77"/>
  <c r="R6" i="77"/>
  <c r="T20" i="77"/>
  <c r="P5" i="77"/>
  <c r="M21" i="77"/>
  <c r="Q5" i="77"/>
  <c r="R8" i="77"/>
  <c r="T22" i="77"/>
  <c r="S30" i="77"/>
  <c r="M28" i="77"/>
  <c r="Q12" i="77"/>
  <c r="R22" i="77"/>
  <c r="M4" i="77"/>
  <c r="T4" i="77"/>
  <c r="M6" i="77"/>
  <c r="O20" i="77"/>
  <c r="S5" i="77"/>
  <c r="P6" i="77"/>
  <c r="M22" i="77"/>
  <c r="Q6" i="77"/>
  <c r="R20" i="77"/>
  <c r="P8" i="77"/>
  <c r="M24" i="77"/>
  <c r="Q7" i="77"/>
  <c r="R21" i="77"/>
  <c r="P24" i="77"/>
  <c r="Q13" i="77"/>
  <c r="R23" i="77"/>
  <c r="S21" i="77"/>
  <c r="P28" i="77"/>
  <c r="Q14" i="77"/>
  <c r="R24" i="77"/>
  <c r="H171" i="82"/>
  <c r="M5" i="77"/>
  <c r="D173" i="82"/>
  <c r="D185" i="82"/>
  <c r="C185" i="82"/>
  <c r="C173" i="82"/>
  <c r="F112" i="77"/>
  <c r="P112" i="77"/>
  <c r="O112" i="77"/>
  <c r="M112" i="77"/>
  <c r="R112" i="77"/>
  <c r="GJ41" i="77"/>
  <c r="P41" i="77"/>
  <c r="R41" i="77"/>
  <c r="P97" i="77"/>
  <c r="R97" i="77"/>
  <c r="GK168" i="77"/>
  <c r="GJ168" i="77"/>
  <c r="M168" i="77"/>
  <c r="R168" i="77"/>
  <c r="P168" i="77"/>
  <c r="S13" i="77"/>
  <c r="R42" i="77"/>
  <c r="P42" i="77"/>
  <c r="P84" i="77"/>
  <c r="S84" i="77"/>
  <c r="R84" i="77"/>
  <c r="O84" i="77"/>
  <c r="M84" i="77"/>
  <c r="H84" i="77"/>
  <c r="F84" i="77"/>
  <c r="G84" i="77"/>
  <c r="P155" i="77"/>
  <c r="R155" i="77"/>
  <c r="M155" i="77"/>
  <c r="S12" i="77"/>
  <c r="O22" i="77"/>
  <c r="R12" i="77"/>
  <c r="GJ15" i="77"/>
  <c r="GK15" i="77"/>
  <c r="GK29" i="77"/>
  <c r="GJ29" i="77"/>
  <c r="P43" i="77"/>
  <c r="R43" i="77"/>
  <c r="R57" i="77"/>
  <c r="P57" i="77"/>
  <c r="O71" i="77"/>
  <c r="M71" i="77"/>
  <c r="S71" i="77"/>
  <c r="R71" i="77"/>
  <c r="H71" i="77"/>
  <c r="G71" i="77"/>
  <c r="P71" i="77"/>
  <c r="F71" i="77"/>
  <c r="M85" i="77"/>
  <c r="R85" i="77"/>
  <c r="O85" i="77"/>
  <c r="H85" i="77"/>
  <c r="G85" i="77"/>
  <c r="F85" i="77"/>
  <c r="P85" i="77"/>
  <c r="S85" i="77"/>
  <c r="P99" i="77"/>
  <c r="R99" i="77"/>
  <c r="P114" i="77"/>
  <c r="O114" i="77"/>
  <c r="G114" i="77"/>
  <c r="H114" i="77"/>
  <c r="F114" i="77"/>
  <c r="R114" i="77"/>
  <c r="M114" i="77"/>
  <c r="S128" i="77"/>
  <c r="R128" i="77"/>
  <c r="P128" i="77"/>
  <c r="O128" i="77"/>
  <c r="H128" i="77"/>
  <c r="F128" i="77"/>
  <c r="G128" i="77"/>
  <c r="M128" i="77"/>
  <c r="P142" i="77"/>
  <c r="GK142" i="77"/>
  <c r="GJ142" i="77"/>
  <c r="M142" i="77"/>
  <c r="R142" i="77"/>
  <c r="GJ156" i="77"/>
  <c r="R156" i="77"/>
  <c r="M156" i="77"/>
  <c r="P156" i="77"/>
  <c r="P170" i="77"/>
  <c r="M170" i="77"/>
  <c r="R170" i="77"/>
  <c r="P184" i="77"/>
  <c r="R184" i="77"/>
  <c r="B185" i="82"/>
  <c r="I185" i="82"/>
  <c r="I168" i="82"/>
  <c r="R127" i="77"/>
  <c r="P15" i="77"/>
  <c r="M8" i="77"/>
  <c r="O23" i="77"/>
  <c r="T6" i="77"/>
  <c r="GK16" i="77"/>
  <c r="GJ16" i="77"/>
  <c r="GJ30" i="77"/>
  <c r="GK30" i="77"/>
  <c r="R44" i="77"/>
  <c r="P44" i="77"/>
  <c r="R58" i="77"/>
  <c r="P58" i="77"/>
  <c r="P72" i="77"/>
  <c r="R72" i="77"/>
  <c r="M72" i="77"/>
  <c r="O86" i="77"/>
  <c r="M86" i="77"/>
  <c r="S86" i="77"/>
  <c r="R86" i="77"/>
  <c r="G86" i="77"/>
  <c r="H86" i="77"/>
  <c r="F86" i="77"/>
  <c r="P86" i="77"/>
  <c r="R100" i="77"/>
  <c r="P100" i="77"/>
  <c r="M100" i="77"/>
  <c r="R115" i="77"/>
  <c r="M115" i="77"/>
  <c r="G115" i="77"/>
  <c r="H115" i="77"/>
  <c r="F115" i="77"/>
  <c r="O115" i="77"/>
  <c r="P115" i="77"/>
  <c r="S129" i="77"/>
  <c r="G129" i="77"/>
  <c r="M129" i="77"/>
  <c r="H129" i="77"/>
  <c r="F129" i="77"/>
  <c r="R129" i="77"/>
  <c r="O129" i="77"/>
  <c r="P129" i="77"/>
  <c r="R143" i="77"/>
  <c r="P143" i="77"/>
  <c r="R157" i="77"/>
  <c r="P157" i="77"/>
  <c r="M157" i="77"/>
  <c r="R171" i="77"/>
  <c r="M171" i="77"/>
  <c r="P171" i="77"/>
  <c r="R185" i="77"/>
  <c r="P185" i="77"/>
  <c r="H185" i="82"/>
  <c r="H168" i="82"/>
  <c r="O26" i="77"/>
  <c r="GK26" i="77"/>
  <c r="GJ26" i="77"/>
  <c r="S68" i="77"/>
  <c r="O68" i="77"/>
  <c r="F68" i="77"/>
  <c r="R68" i="77"/>
  <c r="M68" i="77"/>
  <c r="G68" i="77"/>
  <c r="H68" i="77"/>
  <c r="P68" i="77"/>
  <c r="R125" i="77"/>
  <c r="P125" i="77"/>
  <c r="GJ13" i="77"/>
  <c r="GK13" i="77"/>
  <c r="R55" i="77"/>
  <c r="P55" i="77"/>
  <c r="GJ126" i="77"/>
  <c r="P126" i="77"/>
  <c r="R126" i="77"/>
  <c r="GK14" i="77"/>
  <c r="GJ14" i="77"/>
  <c r="R113" i="77"/>
  <c r="M113" i="77"/>
  <c r="P113" i="77"/>
  <c r="H113" i="77"/>
  <c r="G113" i="77"/>
  <c r="F113" i="77"/>
  <c r="O113" i="77"/>
  <c r="M12" i="77"/>
  <c r="O24" i="77"/>
  <c r="R14" i="77"/>
  <c r="T3" i="77"/>
  <c r="GJ3" i="77"/>
  <c r="GK3" i="77"/>
  <c r="O17" i="77"/>
  <c r="GK17" i="77"/>
  <c r="GJ17" i="77"/>
  <c r="R45" i="77"/>
  <c r="P45" i="77"/>
  <c r="R59" i="77"/>
  <c r="P59" i="77"/>
  <c r="R73" i="77"/>
  <c r="M73" i="77"/>
  <c r="P73" i="77"/>
  <c r="R87" i="77"/>
  <c r="M87" i="77"/>
  <c r="S87" i="77"/>
  <c r="H87" i="77"/>
  <c r="G87" i="77"/>
  <c r="P87" i="77"/>
  <c r="O87" i="77"/>
  <c r="F87" i="77"/>
  <c r="O102" i="77"/>
  <c r="S102" i="77"/>
  <c r="F102" i="77"/>
  <c r="P102" i="77"/>
  <c r="R102" i="77"/>
  <c r="H102" i="77"/>
  <c r="G102" i="77"/>
  <c r="M102" i="77"/>
  <c r="R116" i="77"/>
  <c r="P116" i="77"/>
  <c r="M130" i="77"/>
  <c r="P130" i="77"/>
  <c r="S130" i="77"/>
  <c r="R130" i="77"/>
  <c r="G130" i="77"/>
  <c r="F130" i="77"/>
  <c r="H130" i="77"/>
  <c r="O130" i="77"/>
  <c r="M144" i="77"/>
  <c r="GJ144" i="77"/>
  <c r="R144" i="77"/>
  <c r="P144" i="77"/>
  <c r="M158" i="77"/>
  <c r="P158" i="77"/>
  <c r="R158" i="77"/>
  <c r="M172" i="77"/>
  <c r="P172" i="77"/>
  <c r="R172" i="77"/>
  <c r="GJ186" i="77"/>
  <c r="R186" i="77"/>
  <c r="P186" i="77"/>
  <c r="I173" i="82"/>
  <c r="H173" i="82"/>
  <c r="S28" i="77"/>
  <c r="S7" i="77"/>
  <c r="M13" i="77"/>
  <c r="Q21" i="77"/>
  <c r="R15" i="77"/>
  <c r="T8" i="77"/>
  <c r="GK4" i="77"/>
  <c r="GJ4" i="77"/>
  <c r="O18" i="77"/>
  <c r="GK18" i="77"/>
  <c r="GJ18" i="77"/>
  <c r="R32" i="77"/>
  <c r="M32" i="77"/>
  <c r="P32" i="77"/>
  <c r="R46" i="77"/>
  <c r="P46" i="77"/>
  <c r="P60" i="77"/>
  <c r="R60" i="77"/>
  <c r="R74" i="77"/>
  <c r="P74" i="77"/>
  <c r="O74" i="77"/>
  <c r="F74" i="77"/>
  <c r="M74" i="77"/>
  <c r="S74" i="77"/>
  <c r="G74" i="77"/>
  <c r="H74" i="77"/>
  <c r="M88" i="77"/>
  <c r="S88" i="77"/>
  <c r="R88" i="77"/>
  <c r="P88" i="77"/>
  <c r="O88" i="77"/>
  <c r="H88" i="77"/>
  <c r="F88" i="77"/>
  <c r="G88" i="77"/>
  <c r="R103" i="77"/>
  <c r="H103" i="77"/>
  <c r="G103" i="77"/>
  <c r="P103" i="77"/>
  <c r="F103" i="77"/>
  <c r="S103" i="77"/>
  <c r="O103" i="77"/>
  <c r="M103" i="77"/>
  <c r="R117" i="77"/>
  <c r="P117" i="77"/>
  <c r="R131" i="77"/>
  <c r="M131" i="77"/>
  <c r="F131" i="77"/>
  <c r="H131" i="77"/>
  <c r="O131" i="77"/>
  <c r="G131" i="77"/>
  <c r="P131" i="77"/>
  <c r="S131" i="77"/>
  <c r="P145" i="77"/>
  <c r="GJ145" i="77"/>
  <c r="M145" i="77"/>
  <c r="R145" i="77"/>
  <c r="M159" i="77"/>
  <c r="R159" i="77"/>
  <c r="P159" i="77"/>
  <c r="P173" i="77"/>
  <c r="M173" i="77"/>
  <c r="R173" i="77"/>
  <c r="H183" i="82"/>
  <c r="S24" i="77"/>
  <c r="S6" i="77"/>
  <c r="M14" i="77"/>
  <c r="O29" i="77"/>
  <c r="Q22" i="77"/>
  <c r="R16" i="77"/>
  <c r="GK5" i="77"/>
  <c r="GJ5" i="77"/>
  <c r="T19" i="77"/>
  <c r="GK19" i="77"/>
  <c r="GJ19" i="77"/>
  <c r="P33" i="77"/>
  <c r="M33" i="77"/>
  <c r="R33" i="77"/>
  <c r="P47" i="77"/>
  <c r="R47" i="77"/>
  <c r="R61" i="77"/>
  <c r="M61" i="77"/>
  <c r="P61" i="77"/>
  <c r="P75" i="77"/>
  <c r="R75" i="77"/>
  <c r="M75" i="77"/>
  <c r="GK89" i="77"/>
  <c r="P89" i="77"/>
  <c r="T89" i="77"/>
  <c r="S89" i="77"/>
  <c r="O89" i="77"/>
  <c r="M89" i="77"/>
  <c r="G89" i="77"/>
  <c r="R89" i="77"/>
  <c r="F89" i="77"/>
  <c r="H89" i="77"/>
  <c r="Q89" i="77"/>
  <c r="GJ89" i="77"/>
  <c r="S104" i="77"/>
  <c r="P104" i="77"/>
  <c r="R104" i="77"/>
  <c r="O104" i="77"/>
  <c r="M104" i="77"/>
  <c r="H104" i="77"/>
  <c r="F104" i="77"/>
  <c r="G104" i="77"/>
  <c r="P118" i="77"/>
  <c r="M118" i="77"/>
  <c r="R118" i="77"/>
  <c r="S132" i="77"/>
  <c r="R132" i="77"/>
  <c r="O132" i="77"/>
  <c r="M132" i="77"/>
  <c r="F132" i="77"/>
  <c r="P132" i="77"/>
  <c r="H132" i="77"/>
  <c r="G132" i="77"/>
  <c r="R146" i="77"/>
  <c r="GJ146" i="77"/>
  <c r="M146" i="77"/>
  <c r="P146" i="77"/>
  <c r="P160" i="77"/>
  <c r="R160" i="77"/>
  <c r="M160" i="77"/>
  <c r="R174" i="77"/>
  <c r="M174" i="77"/>
  <c r="P174" i="77"/>
  <c r="H182" i="82"/>
  <c r="GK12" i="77"/>
  <c r="GJ12" i="77"/>
  <c r="R40" i="77"/>
  <c r="P40" i="77"/>
  <c r="P54" i="77"/>
  <c r="R54" i="77"/>
  <c r="P82" i="77"/>
  <c r="R82" i="77"/>
  <c r="M82" i="77"/>
  <c r="P96" i="77"/>
  <c r="R96" i="77"/>
  <c r="P111" i="77"/>
  <c r="R111" i="77"/>
  <c r="M111" i="77"/>
  <c r="R139" i="77"/>
  <c r="GJ139" i="77"/>
  <c r="P139" i="77"/>
  <c r="M139" i="77"/>
  <c r="R153" i="77"/>
  <c r="M153" i="77"/>
  <c r="P153" i="77"/>
  <c r="GK167" i="77"/>
  <c r="R167" i="77"/>
  <c r="GJ167" i="77"/>
  <c r="P167" i="77"/>
  <c r="M167" i="77"/>
  <c r="R181" i="77"/>
  <c r="M181" i="77"/>
  <c r="P181" i="77"/>
  <c r="P12" i="77"/>
  <c r="T27" i="77"/>
  <c r="GK27" i="77"/>
  <c r="GJ27" i="77"/>
  <c r="R83" i="77"/>
  <c r="P83" i="77"/>
  <c r="G140" i="77"/>
  <c r="M140" i="77"/>
  <c r="P140" i="77"/>
  <c r="T140" i="77"/>
  <c r="S140" i="77"/>
  <c r="H140" i="77"/>
  <c r="O140" i="77"/>
  <c r="F140" i="77"/>
  <c r="R140" i="77"/>
  <c r="M154" i="77"/>
  <c r="R154" i="77"/>
  <c r="P154" i="77"/>
  <c r="P182" i="77"/>
  <c r="M182" i="77"/>
  <c r="R182" i="77"/>
  <c r="P13" i="77"/>
  <c r="GK28" i="77"/>
  <c r="GJ28" i="77"/>
  <c r="R56" i="77"/>
  <c r="P56" i="77"/>
  <c r="S70" i="77"/>
  <c r="M70" i="77"/>
  <c r="G70" i="77"/>
  <c r="H70" i="77"/>
  <c r="P70" i="77"/>
  <c r="R70" i="77"/>
  <c r="F70" i="77"/>
  <c r="O70" i="77"/>
  <c r="R98" i="77"/>
  <c r="P98" i="77"/>
  <c r="M141" i="77"/>
  <c r="R141" i="77"/>
  <c r="P141" i="77"/>
  <c r="H141" i="77"/>
  <c r="G141" i="77"/>
  <c r="F141" i="77"/>
  <c r="T141" i="77"/>
  <c r="S141" i="77"/>
  <c r="M169" i="77"/>
  <c r="R169" i="77"/>
  <c r="P169" i="77"/>
  <c r="GJ183" i="77"/>
  <c r="R183" i="77"/>
  <c r="M183" i="77"/>
  <c r="P183" i="77"/>
  <c r="I181" i="82"/>
  <c r="H181" i="82"/>
  <c r="M31" i="77"/>
  <c r="P31" i="77"/>
  <c r="R31" i="77"/>
  <c r="S23" i="77"/>
  <c r="P22" i="77"/>
  <c r="M15" i="77"/>
  <c r="Q23" i="77"/>
  <c r="T13" i="77"/>
  <c r="GK6" i="77"/>
  <c r="GJ6" i="77"/>
  <c r="GK20" i="77"/>
  <c r="GJ20" i="77"/>
  <c r="R34" i="77"/>
  <c r="P34" i="77"/>
  <c r="R48" i="77"/>
  <c r="P48" i="77"/>
  <c r="R62" i="77"/>
  <c r="P62" i="77"/>
  <c r="M76" i="77"/>
  <c r="R76" i="77"/>
  <c r="P76" i="77"/>
  <c r="R90" i="77"/>
  <c r="P90" i="77"/>
  <c r="O90" i="77"/>
  <c r="M90" i="77"/>
  <c r="S90" i="77"/>
  <c r="F90" i="77"/>
  <c r="H90" i="77"/>
  <c r="G90" i="77"/>
  <c r="P105" i="77"/>
  <c r="M105" i="77"/>
  <c r="R105" i="77"/>
  <c r="R119" i="77"/>
  <c r="P119" i="77"/>
  <c r="M119" i="77"/>
  <c r="G119" i="77"/>
  <c r="S119" i="77"/>
  <c r="H119" i="77"/>
  <c r="F119" i="77"/>
  <c r="O133" i="77"/>
  <c r="H133" i="77"/>
  <c r="G133" i="77"/>
  <c r="R133" i="77"/>
  <c r="P133" i="77"/>
  <c r="M133" i="77"/>
  <c r="F133" i="77"/>
  <c r="M147" i="77"/>
  <c r="P147" i="77"/>
  <c r="R147" i="77"/>
  <c r="R161" i="77"/>
  <c r="M161" i="77"/>
  <c r="P161" i="77"/>
  <c r="P175" i="77"/>
  <c r="R175" i="77"/>
  <c r="M175" i="77"/>
  <c r="S8" i="77"/>
  <c r="T14" i="77"/>
  <c r="R7" i="77"/>
  <c r="GK7" i="77"/>
  <c r="GJ7" i="77"/>
  <c r="GK21" i="77"/>
  <c r="GJ21" i="77"/>
  <c r="R35" i="77"/>
  <c r="P35" i="77"/>
  <c r="P49" i="77"/>
  <c r="R49" i="77"/>
  <c r="R63" i="77"/>
  <c r="M63" i="77"/>
  <c r="P63" i="77"/>
  <c r="R77" i="77"/>
  <c r="P77" i="77"/>
  <c r="M77" i="77"/>
  <c r="S91" i="77"/>
  <c r="M91" i="77"/>
  <c r="O91" i="77"/>
  <c r="F91" i="77"/>
  <c r="P91" i="77"/>
  <c r="H91" i="77"/>
  <c r="G91" i="77"/>
  <c r="R91" i="77"/>
  <c r="R106" i="77"/>
  <c r="P106" i="77"/>
  <c r="M106" i="77"/>
  <c r="S120" i="77"/>
  <c r="P120" i="77"/>
  <c r="M120" i="77"/>
  <c r="R120" i="77"/>
  <c r="F120" i="77"/>
  <c r="G120" i="77"/>
  <c r="H120" i="77"/>
  <c r="P134" i="77"/>
  <c r="O134" i="77"/>
  <c r="M134" i="77"/>
  <c r="S134" i="77"/>
  <c r="R134" i="77"/>
  <c r="R148" i="77"/>
  <c r="P148" i="77"/>
  <c r="M148" i="77"/>
  <c r="M162" i="77"/>
  <c r="R162" i="77"/>
  <c r="P162" i="77"/>
  <c r="R176" i="77"/>
  <c r="P176" i="77"/>
  <c r="M176" i="77"/>
  <c r="P127" i="77"/>
  <c r="B15" i="83"/>
  <c r="P69" i="77"/>
  <c r="R69" i="77"/>
  <c r="H69" i="77"/>
  <c r="G69" i="77"/>
  <c r="F69" i="77"/>
  <c r="S69" i="77"/>
  <c r="O69" i="77"/>
  <c r="M69" i="77"/>
  <c r="O12" i="77"/>
  <c r="Q28" i="77"/>
  <c r="GK8" i="77"/>
  <c r="GJ8" i="77"/>
  <c r="GJ22" i="77"/>
  <c r="GK22" i="77"/>
  <c r="P36" i="77"/>
  <c r="R36" i="77"/>
  <c r="R50" i="77"/>
  <c r="P50" i="77"/>
  <c r="M64" i="77"/>
  <c r="R64" i="77"/>
  <c r="P64" i="77"/>
  <c r="P78" i="77"/>
  <c r="M78" i="77"/>
  <c r="R78" i="77"/>
  <c r="R92" i="77"/>
  <c r="M92" i="77"/>
  <c r="P92" i="77"/>
  <c r="P107" i="77"/>
  <c r="M107" i="77"/>
  <c r="R107" i="77"/>
  <c r="P121" i="77"/>
  <c r="R121" i="77"/>
  <c r="H121" i="77"/>
  <c r="S121" i="77"/>
  <c r="M121" i="77"/>
  <c r="O121" i="77"/>
  <c r="F121" i="77"/>
  <c r="G121" i="77"/>
  <c r="R135" i="77"/>
  <c r="P135" i="77"/>
  <c r="M135" i="77"/>
  <c r="P149" i="77"/>
  <c r="M149" i="77"/>
  <c r="R149" i="77"/>
  <c r="M163" i="77"/>
  <c r="P163" i="77"/>
  <c r="R163" i="77"/>
  <c r="M177" i="77"/>
  <c r="R177" i="77"/>
  <c r="P177" i="77"/>
  <c r="S136" i="77"/>
  <c r="P136" i="77"/>
  <c r="O136" i="77"/>
  <c r="M136" i="77"/>
  <c r="F136" i="77"/>
  <c r="H136" i="77"/>
  <c r="G136" i="77"/>
  <c r="R136" i="77"/>
  <c r="T9" i="77"/>
  <c r="GK9" i="77"/>
  <c r="GJ9" i="77"/>
  <c r="T23" i="77"/>
  <c r="GJ23" i="77"/>
  <c r="GK23" i="77"/>
  <c r="P37" i="77"/>
  <c r="R37" i="77"/>
  <c r="P51" i="77"/>
  <c r="R51" i="77"/>
  <c r="P65" i="77"/>
  <c r="R65" i="77"/>
  <c r="P79" i="77"/>
  <c r="M79" i="77"/>
  <c r="R79" i="77"/>
  <c r="P93" i="77"/>
  <c r="R93" i="77"/>
  <c r="R108" i="77"/>
  <c r="M108" i="77"/>
  <c r="P108" i="77"/>
  <c r="R122" i="77"/>
  <c r="M122" i="77"/>
  <c r="O122" i="77"/>
  <c r="G122" i="77"/>
  <c r="F122" i="77"/>
  <c r="H122" i="77"/>
  <c r="P122" i="77"/>
  <c r="P150" i="77"/>
  <c r="R150" i="77"/>
  <c r="GJ150" i="77"/>
  <c r="M150" i="77"/>
  <c r="P164" i="77"/>
  <c r="R164" i="77"/>
  <c r="M164" i="77"/>
  <c r="P178" i="77"/>
  <c r="R178" i="77"/>
  <c r="M178" i="77"/>
  <c r="O14" i="77"/>
  <c r="O10" i="77"/>
  <c r="GK10" i="77"/>
  <c r="GJ10" i="77"/>
  <c r="GJ24" i="77"/>
  <c r="GK24" i="77"/>
  <c r="R38" i="77"/>
  <c r="M38" i="77"/>
  <c r="S38" i="77"/>
  <c r="F38" i="77"/>
  <c r="P38" i="77"/>
  <c r="H38" i="77"/>
  <c r="G38" i="77"/>
  <c r="O38" i="77"/>
  <c r="R52" i="77"/>
  <c r="P52" i="77"/>
  <c r="R66" i="77"/>
  <c r="P66" i="77"/>
  <c r="R80" i="77"/>
  <c r="M80" i="77"/>
  <c r="P80" i="77"/>
  <c r="R94" i="77"/>
  <c r="P94" i="77"/>
  <c r="M109" i="77"/>
  <c r="R109" i="77"/>
  <c r="P109" i="77"/>
  <c r="O123" i="77"/>
  <c r="H123" i="77"/>
  <c r="F123" i="77"/>
  <c r="G123" i="77"/>
  <c r="R123" i="77"/>
  <c r="P123" i="77"/>
  <c r="M123" i="77"/>
  <c r="M137" i="77"/>
  <c r="P137" i="77"/>
  <c r="S137" i="77"/>
  <c r="R137" i="77"/>
  <c r="H137" i="77"/>
  <c r="G137" i="77"/>
  <c r="F137" i="77"/>
  <c r="O137" i="77"/>
  <c r="P151" i="77"/>
  <c r="R151" i="77"/>
  <c r="M165" i="77"/>
  <c r="R165" i="77"/>
  <c r="P165" i="77"/>
  <c r="R179" i="77"/>
  <c r="P179" i="77"/>
  <c r="P7" i="77"/>
  <c r="M23" i="77"/>
  <c r="O15" i="77"/>
  <c r="Q8" i="77"/>
  <c r="R28" i="77"/>
  <c r="T21" i="77"/>
  <c r="T11" i="77"/>
  <c r="GK11" i="77"/>
  <c r="GJ11" i="77"/>
  <c r="M25" i="77"/>
  <c r="GK25" i="77"/>
  <c r="GJ25" i="77"/>
  <c r="P39" i="77"/>
  <c r="R39" i="77"/>
  <c r="R53" i="77"/>
  <c r="P53" i="77"/>
  <c r="P67" i="77"/>
  <c r="O67" i="77"/>
  <c r="M67" i="77"/>
  <c r="R67" i="77"/>
  <c r="F67" i="77"/>
  <c r="S67" i="77"/>
  <c r="H67" i="77"/>
  <c r="G67" i="77"/>
  <c r="P81" i="77"/>
  <c r="M81" i="77"/>
  <c r="R81" i="77"/>
  <c r="R95" i="77"/>
  <c r="P95" i="77"/>
  <c r="M110" i="77"/>
  <c r="R110" i="77"/>
  <c r="P110" i="77"/>
  <c r="M124" i="77"/>
  <c r="R124" i="77"/>
  <c r="P124" i="77"/>
  <c r="F124" i="77"/>
  <c r="O124" i="77"/>
  <c r="P138" i="77"/>
  <c r="R138" i="77"/>
  <c r="P152" i="77"/>
  <c r="R152" i="77"/>
  <c r="M152" i="77"/>
  <c r="M166" i="77"/>
  <c r="P166" i="77"/>
  <c r="R166" i="77"/>
  <c r="M180" i="77"/>
  <c r="P180" i="77"/>
  <c r="R180" i="77"/>
  <c r="B173" i="82"/>
  <c r="E14" i="83"/>
  <c r="D14" i="83"/>
  <c r="C14" i="83"/>
  <c r="O9" i="77"/>
  <c r="O19" i="77"/>
  <c r="Q17" i="77"/>
  <c r="M17" i="77"/>
  <c r="O11" i="77"/>
  <c r="R25" i="77"/>
  <c r="Q9" i="77"/>
  <c r="P25" i="77"/>
  <c r="M9" i="77"/>
  <c r="R17" i="77"/>
  <c r="T25" i="77"/>
  <c r="S17" i="77"/>
  <c r="S25" i="77"/>
  <c r="S27" i="77"/>
  <c r="P17" i="77"/>
  <c r="P3" i="77"/>
  <c r="R9" i="77"/>
  <c r="T17" i="77"/>
  <c r="S9" i="77"/>
  <c r="O25" i="77"/>
  <c r="Q25" i="77"/>
  <c r="P9" i="77"/>
  <c r="O27" i="77"/>
  <c r="S26" i="77"/>
  <c r="S18" i="77"/>
  <c r="S10" i="77"/>
  <c r="P10" i="77"/>
  <c r="P18" i="77"/>
  <c r="P26" i="77"/>
  <c r="S3" i="77"/>
  <c r="M10" i="77"/>
  <c r="M18" i="77"/>
  <c r="M26" i="77"/>
  <c r="Q3" i="77"/>
  <c r="Q11" i="77"/>
  <c r="Q19" i="77"/>
  <c r="Q27" i="77"/>
  <c r="R10" i="77"/>
  <c r="R18" i="77"/>
  <c r="R26" i="77"/>
  <c r="Q26" i="77"/>
  <c r="P11" i="77"/>
  <c r="P19" i="77"/>
  <c r="P27" i="77"/>
  <c r="M3" i="77"/>
  <c r="M11" i="77"/>
  <c r="M19" i="77"/>
  <c r="M27" i="77"/>
  <c r="R3" i="77"/>
  <c r="R11" i="77"/>
  <c r="R19" i="77"/>
  <c r="R27" i="77"/>
  <c r="Q10" i="77"/>
  <c r="T10" i="77"/>
  <c r="T18" i="77"/>
  <c r="T26" i="77"/>
  <c r="Q18" i="77"/>
  <c r="A285" i="79"/>
  <c r="A286" i="79"/>
  <c r="A287" i="79"/>
  <c r="A288" i="79"/>
  <c r="A289" i="79"/>
  <c r="A290" i="79"/>
  <c r="A291" i="79"/>
  <c r="A292" i="79"/>
  <c r="A293" i="79"/>
  <c r="A294" i="79"/>
  <c r="A295" i="79"/>
  <c r="A296" i="79"/>
  <c r="A297" i="79"/>
  <c r="A298" i="79"/>
  <c r="A299" i="79"/>
  <c r="A300" i="79"/>
  <c r="A301" i="79"/>
  <c r="A302" i="79"/>
  <c r="A303" i="79"/>
  <c r="A304" i="79"/>
  <c r="A305" i="79"/>
  <c r="A306" i="79"/>
  <c r="A307" i="79"/>
  <c r="A308" i="79"/>
  <c r="A309" i="79"/>
  <c r="A310" i="79"/>
  <c r="A311" i="79"/>
  <c r="A312" i="79"/>
  <c r="A313" i="79"/>
  <c r="A314" i="79"/>
  <c r="A315" i="79"/>
  <c r="A316" i="79"/>
  <c r="A317" i="79"/>
  <c r="A318" i="79"/>
  <c r="A319" i="79"/>
  <c r="A320" i="79"/>
  <c r="A321" i="79"/>
  <c r="A322" i="79"/>
  <c r="A323" i="79"/>
  <c r="A324" i="79"/>
  <c r="A325" i="79"/>
  <c r="A326" i="79"/>
  <c r="A327" i="79"/>
  <c r="A328" i="79"/>
  <c r="A329" i="79"/>
  <c r="A330" i="79"/>
  <c r="A331" i="79"/>
  <c r="A332" i="79"/>
  <c r="A333" i="79"/>
  <c r="A334" i="79"/>
  <c r="A335" i="79"/>
  <c r="A336" i="79"/>
  <c r="A337" i="79"/>
  <c r="A338" i="79"/>
  <c r="A339" i="79"/>
  <c r="A340" i="79"/>
  <c r="A341" i="79"/>
  <c r="A342" i="79"/>
  <c r="A343" i="79"/>
  <c r="A344" i="79"/>
  <c r="A345" i="79"/>
  <c r="A346" i="79"/>
  <c r="A347" i="79"/>
  <c r="A348" i="79"/>
  <c r="A349" i="79"/>
  <c r="A350" i="79"/>
  <c r="A351" i="79"/>
  <c r="A352" i="79"/>
  <c r="A353" i="79"/>
  <c r="A354" i="79"/>
  <c r="A355" i="79"/>
  <c r="A356" i="79"/>
  <c r="A357" i="79"/>
  <c r="A358" i="79"/>
  <c r="A359" i="79"/>
  <c r="A360" i="79"/>
  <c r="A361" i="79"/>
  <c r="A362" i="79"/>
  <c r="A363" i="79"/>
  <c r="A364" i="79"/>
  <c r="A365" i="79"/>
  <c r="A366" i="79"/>
  <c r="A367" i="79"/>
  <c r="A368" i="79"/>
  <c r="A369" i="79"/>
  <c r="A370" i="79"/>
  <c r="A371" i="79"/>
  <c r="A372" i="79"/>
  <c r="A373" i="79"/>
  <c r="A374" i="79"/>
  <c r="A375" i="79"/>
  <c r="A376" i="79"/>
  <c r="A377" i="79"/>
  <c r="A378" i="79"/>
  <c r="A379" i="79"/>
  <c r="A380" i="79"/>
  <c r="A381" i="79"/>
  <c r="A382" i="79"/>
  <c r="A383" i="79"/>
  <c r="A384" i="79"/>
  <c r="A385" i="79"/>
  <c r="A386" i="79"/>
  <c r="A387" i="79"/>
  <c r="A388" i="79"/>
  <c r="A389" i="79"/>
  <c r="A390" i="79"/>
  <c r="A391" i="79"/>
  <c r="A275" i="79"/>
  <c r="A276" i="79"/>
  <c r="A277" i="79"/>
  <c r="A278" i="79"/>
  <c r="A279" i="79"/>
  <c r="A280" i="79"/>
  <c r="A281" i="79"/>
  <c r="A282" i="79"/>
  <c r="A283" i="79"/>
  <c r="A284" i="79"/>
  <c r="A176" i="79"/>
  <c r="A177" i="79"/>
  <c r="A178" i="79"/>
  <c r="A179" i="79"/>
  <c r="A180" i="79"/>
  <c r="A181" i="79"/>
  <c r="A182" i="79"/>
  <c r="A183" i="79"/>
  <c r="A184" i="79"/>
  <c r="A185" i="79"/>
  <c r="A186" i="79"/>
  <c r="A187" i="79"/>
  <c r="A188" i="79"/>
  <c r="A189" i="79"/>
  <c r="A190" i="79"/>
  <c r="A191" i="79"/>
  <c r="A192" i="79"/>
  <c r="A193" i="79"/>
  <c r="A194" i="79"/>
  <c r="A195" i="79"/>
  <c r="A196" i="79"/>
  <c r="A197" i="79"/>
  <c r="A198" i="79"/>
  <c r="A199" i="79"/>
  <c r="A200" i="79"/>
  <c r="A201" i="79"/>
  <c r="A202" i="79"/>
  <c r="A203" i="79"/>
  <c r="A204" i="79"/>
  <c r="A205" i="79"/>
  <c r="A206" i="79"/>
  <c r="A207" i="79"/>
  <c r="A208" i="79"/>
  <c r="A209" i="79"/>
  <c r="A210" i="79"/>
  <c r="A211" i="79"/>
  <c r="A212" i="79"/>
  <c r="A213" i="79"/>
  <c r="A214" i="79"/>
  <c r="A215" i="79"/>
  <c r="A216" i="79"/>
  <c r="A217" i="79"/>
  <c r="A218" i="79"/>
  <c r="A219" i="79"/>
  <c r="A220" i="79"/>
  <c r="A221" i="79"/>
  <c r="A222" i="79"/>
  <c r="A223" i="79"/>
  <c r="A224" i="79"/>
  <c r="A225" i="79"/>
  <c r="A226" i="79"/>
  <c r="A227" i="79"/>
  <c r="A228" i="79"/>
  <c r="A229" i="79"/>
  <c r="A230" i="79"/>
  <c r="A231" i="79"/>
  <c r="A232" i="79"/>
  <c r="A233" i="79"/>
  <c r="A234" i="79"/>
  <c r="A235" i="79"/>
  <c r="A236" i="79"/>
  <c r="A237" i="79"/>
  <c r="A238" i="79"/>
  <c r="A239" i="79"/>
  <c r="A240" i="79"/>
  <c r="A241" i="79"/>
  <c r="A242" i="79"/>
  <c r="A243" i="79"/>
  <c r="A244" i="79"/>
  <c r="A245" i="79"/>
  <c r="A246" i="79"/>
  <c r="A247" i="79"/>
  <c r="A248" i="79"/>
  <c r="A249" i="79"/>
  <c r="A250" i="79"/>
  <c r="A251" i="79"/>
  <c r="A252" i="79"/>
  <c r="A253" i="79"/>
  <c r="A254" i="79"/>
  <c r="A255" i="79"/>
  <c r="A256" i="79"/>
  <c r="A257" i="79"/>
  <c r="A258" i="79"/>
  <c r="A259" i="79"/>
  <c r="A260" i="79"/>
  <c r="A261" i="79"/>
  <c r="A262" i="79"/>
  <c r="A263" i="79"/>
  <c r="A264" i="79"/>
  <c r="A265" i="79"/>
  <c r="A266" i="79"/>
  <c r="A267" i="79"/>
  <c r="A268" i="79"/>
  <c r="A269" i="79"/>
  <c r="A270" i="79"/>
  <c r="A271" i="79"/>
  <c r="A272" i="79"/>
  <c r="A273" i="79"/>
  <c r="A274" i="79"/>
  <c r="A152" i="79"/>
  <c r="A153" i="79"/>
  <c r="A154" i="79"/>
  <c r="A155" i="79"/>
  <c r="A156" i="79"/>
  <c r="A157" i="79"/>
  <c r="A158" i="79"/>
  <c r="A159" i="79"/>
  <c r="A160" i="79"/>
  <c r="A161" i="79"/>
  <c r="A162" i="79"/>
  <c r="A163" i="79"/>
  <c r="A164" i="79"/>
  <c r="A165" i="79"/>
  <c r="A166" i="79"/>
  <c r="A167" i="79"/>
  <c r="A168" i="79"/>
  <c r="A169" i="79"/>
  <c r="A170" i="79"/>
  <c r="A171" i="79"/>
  <c r="A172" i="79"/>
  <c r="A173" i="79"/>
  <c r="A174" i="79"/>
  <c r="A175" i="79"/>
  <c r="A142" i="79"/>
  <c r="A143" i="79"/>
  <c r="A144" i="79"/>
  <c r="A145" i="79"/>
  <c r="A146" i="79"/>
  <c r="A147" i="79"/>
  <c r="A148" i="79"/>
  <c r="A149" i="79"/>
  <c r="A150" i="79"/>
  <c r="A151" i="79"/>
  <c r="C19" i="83" l="1"/>
  <c r="B18" i="83"/>
  <c r="D19" i="83"/>
  <c r="E18" i="83"/>
  <c r="D18" i="83"/>
  <c r="D16" i="83"/>
  <c r="C16" i="83"/>
  <c r="E16" i="83"/>
  <c r="E19" i="83"/>
  <c r="T188" i="77"/>
  <c r="C18" i="83"/>
  <c r="C15" i="83"/>
  <c r="E15" i="83"/>
  <c r="D15" i="83"/>
  <c r="A98" i="79"/>
  <c r="A75" i="79"/>
  <c r="A141" i="79"/>
  <c r="A140" i="79"/>
  <c r="A139" i="79"/>
  <c r="A138" i="79"/>
  <c r="A137" i="79"/>
  <c r="A136" i="79"/>
  <c r="A135" i="79"/>
  <c r="A134" i="79"/>
  <c r="A133" i="79"/>
  <c r="A132" i="79"/>
  <c r="A131" i="79"/>
  <c r="A130" i="79"/>
  <c r="A129" i="79"/>
  <c r="A128" i="79"/>
  <c r="A127" i="79"/>
  <c r="A126" i="79"/>
  <c r="A125" i="79"/>
  <c r="A124" i="79"/>
  <c r="A123" i="79"/>
  <c r="A122" i="79"/>
  <c r="A121" i="79"/>
  <c r="A120" i="79"/>
  <c r="A119" i="79"/>
  <c r="A118" i="79"/>
  <c r="A117" i="79"/>
  <c r="A116" i="79"/>
  <c r="A115" i="79"/>
  <c r="A114" i="79"/>
  <c r="A113" i="79"/>
  <c r="A112" i="79"/>
  <c r="A111" i="79"/>
  <c r="A110" i="79"/>
  <c r="A109" i="79"/>
  <c r="A108" i="79"/>
  <c r="A107" i="79"/>
  <c r="A106" i="79"/>
  <c r="A105" i="79"/>
  <c r="A104" i="79"/>
  <c r="A103" i="79"/>
  <c r="A102" i="79"/>
  <c r="A101" i="79"/>
  <c r="A100" i="79"/>
  <c r="A99" i="79"/>
  <c r="A97" i="79"/>
  <c r="A96" i="79"/>
  <c r="A95" i="79"/>
  <c r="A94" i="79"/>
  <c r="A93" i="79"/>
  <c r="A92" i="79"/>
  <c r="A91" i="79"/>
  <c r="A90" i="79"/>
  <c r="A89" i="79"/>
  <c r="A88" i="79"/>
  <c r="A87" i="79"/>
  <c r="A86" i="79"/>
  <c r="A85" i="79"/>
  <c r="A84" i="79"/>
  <c r="A83" i="79"/>
  <c r="A82" i="79"/>
  <c r="A81" i="79"/>
  <c r="A80" i="79"/>
  <c r="A79" i="79"/>
  <c r="A78" i="79"/>
  <c r="A77" i="79"/>
  <c r="A76" i="79"/>
  <c r="A74" i="79"/>
  <c r="A73" i="79"/>
  <c r="A72" i="79"/>
  <c r="A71" i="79"/>
  <c r="A70" i="79"/>
  <c r="A69" i="79"/>
  <c r="A68" i="79"/>
  <c r="A67" i="79"/>
  <c r="A66" i="79"/>
  <c r="A65" i="79"/>
  <c r="A64" i="79"/>
  <c r="A63" i="79"/>
  <c r="A62" i="79"/>
  <c r="A61" i="79"/>
  <c r="A60" i="79"/>
  <c r="A59" i="79"/>
  <c r="A58" i="79"/>
  <c r="A57" i="79"/>
  <c r="A56" i="79"/>
  <c r="A55" i="79"/>
  <c r="A54" i="79"/>
  <c r="A53" i="79"/>
  <c r="A52" i="79"/>
  <c r="A51" i="79"/>
  <c r="A50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3" i="79"/>
  <c r="A2" i="79"/>
  <c r="E188" i="77"/>
  <c r="K188" i="77"/>
  <c r="L101" i="77" l="1"/>
  <c r="R101" i="77" l="1"/>
  <c r="M101" i="77"/>
  <c r="O101" i="77"/>
  <c r="F101" i="77"/>
  <c r="P101" i="77"/>
  <c r="G101" i="77"/>
  <c r="S101" i="77"/>
  <c r="H101" i="77"/>
  <c r="G112" i="77"/>
  <c r="G124" i="77"/>
  <c r="H112" i="77"/>
  <c r="H124" i="77"/>
  <c r="D188" i="77"/>
  <c r="C188" i="77"/>
  <c r="L187" i="77"/>
  <c r="A2" i="77"/>
  <c r="R187" i="77" l="1"/>
  <c r="P187" i="77"/>
  <c r="M187" i="77"/>
  <c r="GK187" i="77"/>
  <c r="GK188" i="77" s="1"/>
  <c r="GJ187" i="77"/>
  <c r="GJ188" i="77" s="1"/>
  <c r="L188" i="77"/>
  <c r="I188" i="77"/>
  <c r="T189" i="77" l="1"/>
  <c r="GJ189" i="77"/>
  <c r="GK189" i="77"/>
  <c r="J188" i="77"/>
  <c r="S188" i="77"/>
  <c r="S189" i="77" s="1"/>
  <c r="R188" i="77"/>
  <c r="R189" i="77" s="1"/>
  <c r="O188" i="77"/>
  <c r="O189" i="77" s="1"/>
  <c r="P188" i="77"/>
  <c r="P189" i="77" s="1"/>
  <c r="Q188" i="77"/>
  <c r="Q189" i="77" s="1"/>
  <c r="M188" i="77"/>
  <c r="M189" i="7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tc={83A1E9AE-2718-4CFC-B97E-D03B8C43C365}</author>
  </authors>
  <commentList>
    <comment ref="L1" authorId="0" shapeId="0" xr:uid="{83A1E9AE-2718-4CFC-B97E-D03B8C43C36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 Print only. If done it will change to Printed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1" authorId="0" shapeId="0" xr:uid="{8F143C22-A793-46C7-A3BF-72D7FCFF440A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Editable input. USD/RUB spot ~78.6 (Jul 2026). Source: Yahoo/TradingEconomics. Update as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X11" authorId="0" shapeId="0" xr:uid="{6BFEEB77-7FF7-4AD2-9218-D16DC338E09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24" authorId="0" shapeId="0" xr:uid="{B0F13AB8-25A9-43BB-AEFA-3868B3DF51D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25" authorId="0" shapeId="0" xr:uid="{EB9C692B-5A12-4C97-88CA-CB78DB7C8272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26" authorId="0" shapeId="0" xr:uid="{9D03F4BF-7CBF-4077-866C-AB6B6672DE0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27" authorId="0" shapeId="0" xr:uid="{01A7A85F-BA02-4B6B-8254-4E74F0A1552F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28" authorId="0" shapeId="0" xr:uid="{B639D205-D12C-4936-A55B-BBFA00F05FC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30" authorId="0" shapeId="0" xr:uid="{34FE5AC4-C0C5-40C8-BAA8-317A9B17D02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31" authorId="0" shapeId="0" xr:uid="{C263890F-A417-4314-80D7-DDE8E4F9DFC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33" authorId="0" shapeId="0" xr:uid="{32B41E9B-76EB-4297-B07F-F9A0A590F01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AF38" authorId="0" shapeId="0" xr:uid="{6F76DE03-7983-4F82-97B6-C20D5454A20F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Cat dozer hydraulic/powershift grade (Cat TO-4). Confirm from OEM manual. Source: Caterpillar Machine Fluids Recommendations.</t>
        </r>
      </text>
    </comment>
    <comment ref="BD38" authorId="0" shapeId="0" xr:uid="{8D6ED4DC-8CBF-49C1-82DF-81BA852E99DD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Cat dozer final-drive grade (Cat TO-4 SAE 50). Confirm from OEM manual. Source: Caterpillar Machine Fluids Recommendations.</t>
        </r>
      </text>
    </comment>
    <comment ref="BG38" authorId="0" shapeId="0" xr:uid="{07276CB6-2581-4A9B-9EBF-BF4C9D56A4E8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Cat dozer final-drive grade (Cat TO-4 SAE 50). Confirm from OEM manual. Source: Caterpillar Machine Fluids Recommendations.</t>
        </r>
      </text>
    </comment>
    <comment ref="GD41" authorId="0" shapeId="0" xr:uid="{C969828C-1E74-4BF1-9EE6-B74FA5E0047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E41" authorId="0" shapeId="0" xr:uid="{A82C22C8-37F6-4177-BF4F-A0C34D2F9C9B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 interval</t>
        </r>
      </text>
    </comment>
    <comment ref="X61" authorId="0" shapeId="0" xr:uid="{CC429A39-9157-4506-8996-7FCA057B68A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63" authorId="0" shapeId="0" xr:uid="{7E434067-5667-4DE6-935B-39C6CE11E3D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64" authorId="0" shapeId="0" xr:uid="{DD67AC25-992B-4735-AD93-E1291E48B4A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2" authorId="0" shapeId="0" xr:uid="{156558C7-4FE5-4EC9-9B46-4EA98CBAFE5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3" authorId="0" shapeId="0" xr:uid="{587D1636-C0C4-4EC4-8A3D-BAA0D9350BD4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5" authorId="0" shapeId="0" xr:uid="{105300C5-8C4A-4A54-AAF9-EF15279EBA1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6" authorId="0" shapeId="0" xr:uid="{B2F62F84-0AB4-430A-B63E-61C7D2AAD0B2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7" authorId="0" shapeId="0" xr:uid="{23FC2E31-3F89-4EBE-86FA-A012E213191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8" authorId="0" shapeId="0" xr:uid="{F369D280-AE07-4F88-A5A5-4E7B9907AC9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79" authorId="0" shapeId="0" xr:uid="{B615DA2C-30B7-4D37-B2DE-A6B4BDE9E6E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80" authorId="0" shapeId="0" xr:uid="{AD4BA83A-DA5F-46CD-8522-C2488671832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81" authorId="0" shapeId="0" xr:uid="{426C774D-DF6E-428B-843E-84911152F54B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89" authorId="0" shapeId="0" xr:uid="{36940D0B-6663-4015-BE3F-6F5F96F9D589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G89" authorId="0" shapeId="0" xr:uid="{CC941145-FB94-4D37-A32E-42083D534271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X100" authorId="0" shapeId="0" xr:uid="{F43CA378-8926-4F42-B1F2-3B7D1F61DA6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05" authorId="0" shapeId="0" xr:uid="{52418D40-F313-4036-8B26-28765046AE1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06" authorId="0" shapeId="0" xr:uid="{95E764A8-7A90-4D44-9A0D-286992B9546C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07" authorId="0" shapeId="0" xr:uid="{37C0A007-5B5D-4ABF-96AE-7F2D34E24BA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08" authorId="0" shapeId="0" xr:uid="{C5C6056B-24F7-4E2F-837B-EE3C9FAB60E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09" authorId="0" shapeId="0" xr:uid="{41365DC3-F82A-4E30-B35A-0BF19A3673F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10" authorId="0" shapeId="0" xr:uid="{B72275A2-1C3B-4FFF-BB28-629BF5AF517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11" authorId="0" shapeId="0" xr:uid="{883B5658-F55C-4C57-A01B-7D04693B18E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14" authorId="0" shapeId="0" xr:uid="{4B1A2FFA-40F1-4299-B3CA-DBEDADF6753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15" authorId="0" shapeId="0" xr:uid="{B65C4429-EEC8-4FC4-B3AA-C6CD4A0F9C0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18" authorId="0" shapeId="0" xr:uid="{7EEA4A1B-35AB-438F-9DC2-CC07EEB7C60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26" authorId="0" shapeId="0" xr:uid="{BD1D18E8-F149-4CB4-97CE-4AC5136A8CE9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D127" authorId="0" shapeId="0" xr:uid="{DF2DEBC2-FEBA-471A-AEB0-AFA43DE22A93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32" authorId="0" shapeId="0" xr:uid="{49FF7A51-1918-45D4-90B7-806FEB178C14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 qty (grade already set). Confirm from OEM manual.</t>
        </r>
      </text>
    </comment>
    <comment ref="X134" authorId="0" shapeId="0" xr:uid="{B52D1A43-4F90-44F0-ACBA-62B0D9245C1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 qty (grade already set). Confirm from OEM manual.</t>
        </r>
      </text>
    </comment>
    <comment ref="X135" authorId="0" shapeId="0" xr:uid="{9CD8F74C-83A5-49E5-9E0E-9E24DFB2F52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39" authorId="0" shapeId="0" xr:uid="{B1C82CD1-2916-474C-8A59-48BECFA3280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39" authorId="0" shapeId="0" xr:uid="{9347E39C-C3F2-4F25-B5D7-73BE02544421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42" authorId="0" shapeId="0" xr:uid="{02F09BEE-F61B-49D2-A9CF-5396F87383F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42" authorId="0" shapeId="0" xr:uid="{055C61B4-DC9C-43FA-9B48-EA119A5C5B9F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G142" authorId="0" shapeId="0" xr:uid="{5EFEFA2E-4220-4FA6-BFEC-DA896A274378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X144" authorId="0" shapeId="0" xr:uid="{B8F47011-965C-401F-8A6F-47E3D629CF7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44" authorId="0" shapeId="0" xr:uid="{467C4DE7-8A7F-4F6A-9098-E25477C335EB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45" authorId="0" shapeId="0" xr:uid="{A4415CFF-3062-470C-89B8-906545F9A7D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45" authorId="0" shapeId="0" xr:uid="{90924AE6-9E63-4C99-82AB-B7FF0F20D572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46" authorId="0" shapeId="0" xr:uid="{E717554D-AEEA-45A3-8C2A-CDB00A299A4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46" authorId="0" shapeId="0" xr:uid="{C72C68C0-EE54-42A7-89E0-E1AD58C633B3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47" authorId="0" shapeId="0" xr:uid="{3F2FCE89-7599-41FF-8A12-F9D7D8124C0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48" authorId="0" shapeId="0" xr:uid="{3603446A-42D7-4AFF-B2F7-6A78CB6A8B5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49" authorId="0" shapeId="0" xr:uid="{DACEE9A3-DAB8-42E9-88DA-B4389099BD0F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0" authorId="0" shapeId="0" xr:uid="{BA8EB276-C47D-4F43-B329-2F61AC0616D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50" authorId="0" shapeId="0" xr:uid="{EB485FF1-1354-4005-90E1-F08F96A240EC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52" authorId="0" shapeId="0" xr:uid="{D2C1360D-CC64-4DDB-84CE-D31FE09C0D4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3" authorId="0" shapeId="0" xr:uid="{BEA494CD-AC6B-4D62-9897-F9F48BC816A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4" authorId="0" shapeId="0" xr:uid="{EB015EFC-5804-42F9-B4AB-A5BE0A6D1F0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5" authorId="0" shapeId="0" xr:uid="{7CE9B22B-3912-481B-9B18-311F1174578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6" authorId="0" shapeId="0" xr:uid="{82AABB0A-53F4-472F-A83A-477102FA1E7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56" authorId="0" shapeId="0" xr:uid="{1FEB16E6-9573-4F74-9EE4-0DD5B8B5C6BB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57" authorId="0" shapeId="0" xr:uid="{9EBC3995-395A-495D-95C3-3F6BEE927BB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8" authorId="0" shapeId="0" xr:uid="{F29395B4-7471-477F-B90F-5BEDA5797D1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59" authorId="0" shapeId="0" xr:uid="{2F6D26CD-F1F6-4813-9123-CAEB50365E57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0" authorId="0" shapeId="0" xr:uid="{AC42830F-9D24-4905-83EB-3ECE66027ED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1" authorId="0" shapeId="0" xr:uid="{BE567C78-2180-4ECD-9A39-73EF3143A79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2" authorId="0" shapeId="0" xr:uid="{4FBE61F4-1180-4465-B6DC-D2588469893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3" authorId="0" shapeId="0" xr:uid="{BF76BCE4-3AB5-47C4-BE01-95E3F2320935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4" authorId="0" shapeId="0" xr:uid="{B4BFDCEB-7763-44A0-8AE8-24628666740A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5" authorId="0" shapeId="0" xr:uid="{A1E31DF1-8370-496F-8E2A-E8903C15556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6" authorId="0" shapeId="0" xr:uid="{ED6F89D7-512C-4712-8F5C-D827C3E056AF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67" authorId="0" shapeId="0" xr:uid="{414BF552-4127-4F44-A0B5-008C0C901B0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67" authorId="0" shapeId="0" xr:uid="{640274FA-0339-4939-8D07-8A31C70DBA34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G167" authorId="0" shapeId="0" xr:uid="{50D96966-962E-44C2-9C4A-06FE00A68037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X168" authorId="0" shapeId="0" xr:uid="{120DC0E9-3743-4A43-AFB8-2E53CC8F1241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68" authorId="0" shapeId="0" xr:uid="{9C71B362-40E0-4649-9A9B-16D736C66804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G168" authorId="0" shapeId="0" xr:uid="{F0C50335-1653-480C-A467-D59086AC4614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open-gear grease qty (kg). Confirm from OEM manual.</t>
        </r>
      </text>
    </comment>
    <comment ref="X169" authorId="0" shapeId="0" xr:uid="{19062411-C486-43F4-82D8-586719E0C1C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0" authorId="0" shapeId="0" xr:uid="{870FAA06-EFB3-4D01-B3F9-803F130799C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1" authorId="0" shapeId="0" xr:uid="{AD0B4086-6FCF-4F8D-B570-D9AF2635004C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2" authorId="0" shapeId="0" xr:uid="{D2A6CD5A-1A0F-4CF4-A20D-642411ED5BA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3" authorId="0" shapeId="0" xr:uid="{51193F05-3129-4183-9160-65394A93CC7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4" authorId="0" shapeId="0" xr:uid="{B1E9BD19-4D87-4452-95F6-00903DD5B257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5" authorId="0" shapeId="0" xr:uid="{29E3E30E-959C-481F-ADA6-44321C7836C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6" authorId="0" shapeId="0" xr:uid="{C66B56FD-DF01-4F05-B7C8-1B95B02F8B38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7" authorId="0" shapeId="0" xr:uid="{0AB5EB09-274B-4BAB-A711-9770D6399D16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78" authorId="0" shapeId="0" xr:uid="{20586973-F5BF-4FEA-BD42-0275EED5FA30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80" authorId="0" shapeId="0" xr:uid="{10F104A3-D65D-4DB4-A4E9-10C80C42FBD9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81" authorId="0" shapeId="0" xr:uid="{519889E9-701E-42A2-9836-DB3E41D5AC4E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82" authorId="0" shapeId="0" xr:uid="{D83A2D61-799F-4B2B-B82E-46FEA89CF2D3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X183" authorId="0" shapeId="0" xr:uid="{26DA6856-7642-471A-82B8-CA0EAF03769D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  <comment ref="GD183" authorId="0" shapeId="0" xr:uid="{541B73CA-31A0-4AF7-8C16-F9180DB900F3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GD186" authorId="0" shapeId="0" xr:uid="{329668AB-F9CE-41EC-8A8E-6D214FEC7EB1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VERIFY: typical placeholder wire-rope lube qty (L). Confirm from OEM manual.</t>
        </r>
      </text>
    </comment>
    <comment ref="X187" authorId="0" shapeId="0" xr:uid="{04C67606-F917-4300-A2E2-16AAD025BA74}">
      <text>
        <r>
          <rPr>
            <b/>
            <sz val="9"/>
            <color indexed="81"/>
            <rFont val="Tahoma"/>
            <family val="2"/>
            <charset val="204"/>
          </rPr>
          <t>VERIFY: typical placeholder engine oil. Confirm capacity &amp; grade from OEM manual.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<sst xmlns="http://schemas.openxmlformats.org/spreadsheetml/2006/main" count="4593" uniqueCount="920">
  <si>
    <t>Hydraulic Гидравлич.система</t>
  </si>
  <si>
    <t>Steering Рулевая система</t>
  </si>
  <si>
    <t>Right TandemПравый тандем</t>
  </si>
  <si>
    <t>Compressor Компрессор</t>
  </si>
  <si>
    <t>3A</t>
  </si>
  <si>
    <t>4A</t>
  </si>
  <si>
    <t>4B</t>
  </si>
  <si>
    <t>4C</t>
  </si>
  <si>
    <t>4E</t>
  </si>
  <si>
    <t>4F</t>
  </si>
  <si>
    <t>4K</t>
  </si>
  <si>
    <t>4L</t>
  </si>
  <si>
    <t>5A</t>
  </si>
  <si>
    <t>5B</t>
  </si>
  <si>
    <t>6A</t>
  </si>
  <si>
    <t>6C</t>
  </si>
  <si>
    <t>15W40</t>
  </si>
  <si>
    <t>80W90</t>
  </si>
  <si>
    <t>85W140</t>
  </si>
  <si>
    <t>Grease</t>
  </si>
  <si>
    <t>HYD 10W</t>
  </si>
  <si>
    <t xml:space="preserve">Engine Двигатель </t>
  </si>
  <si>
    <t>AntiFreeze Антифриз</t>
  </si>
  <si>
    <t>AF</t>
  </si>
  <si>
    <t>Type Oil</t>
  </si>
  <si>
    <t>Тип масла</t>
  </si>
  <si>
    <t xml:space="preserve">Transmission КПП  </t>
  </si>
  <si>
    <t>Differential  Мост</t>
  </si>
  <si>
    <t xml:space="preserve">Oil Sample and Change Oil Information Sheet         Информация по  отбору проб и замене масла </t>
  </si>
  <si>
    <t>PMS/TO</t>
  </si>
  <si>
    <t>Inspection/Инспекция</t>
  </si>
  <si>
    <t>Breakdown/Ремонт</t>
  </si>
  <si>
    <t>Major Overhaul Repair/Капитальный ремонт</t>
  </si>
  <si>
    <t>Используйте знак           если заменено масло, или если масло отфильтровано внешней системой фильтрации</t>
  </si>
  <si>
    <t>Используйте знак           если не менялось масло, или масло не отфильтровано внешней системой фильтрации</t>
  </si>
  <si>
    <t>Sample Point Место отбора проб</t>
  </si>
  <si>
    <t>Sample Taken / or X</t>
  </si>
  <si>
    <t>Top Up (Liters)</t>
  </si>
  <si>
    <t>Change Oil / or X</t>
  </si>
  <si>
    <t>Oil Hours</t>
  </si>
  <si>
    <t xml:space="preserve">Kidney looped </t>
  </si>
  <si>
    <t>Взятие пробы / или X</t>
  </si>
  <si>
    <t>Доливка(Литры)</t>
  </si>
  <si>
    <t>замена масла / или X</t>
  </si>
  <si>
    <t>Время работы масла</t>
  </si>
  <si>
    <t>HD 30</t>
  </si>
  <si>
    <t/>
  </si>
  <si>
    <t xml:space="preserve">Remarks Замечания:  </t>
  </si>
  <si>
    <t xml:space="preserve"> ______________________ID No.____________________________</t>
  </si>
  <si>
    <t>Left TandemЛевый тандем</t>
  </si>
  <si>
    <t>Swing Front передний редуктор</t>
  </si>
  <si>
    <t>Swing Rear задний редуктор</t>
  </si>
  <si>
    <t>KOMATSU D275</t>
  </si>
  <si>
    <t>KOMATSU GD825-2</t>
  </si>
  <si>
    <t>Код компонента</t>
  </si>
  <si>
    <t>Перед отбором пробы масла обязательно протрите/очистите отверстие для отбора проб и промойте не менее 150–200 мл масла. Before taking the Oil Sample ensure to wipe/clean the sampling port and flush at least 150 to 200 ml of oil</t>
  </si>
  <si>
    <t>ATF</t>
  </si>
  <si>
    <t>Component Hours since overhaul</t>
  </si>
  <si>
    <t>Часы работы компонента с последнего капремонта</t>
  </si>
  <si>
    <t>FRM-OIL-001</t>
  </si>
  <si>
    <t>Левый задний бортовой редуктор</t>
  </si>
  <si>
    <t xml:space="preserve">Правый задний бортовой редуктор </t>
  </si>
  <si>
    <t xml:space="preserve">Sampled By: ________________________ MyCAT: _________________________  Oil Laboratory: __________________________ Checked: _________________________ Print/Send: ____________________ </t>
  </si>
  <si>
    <t>GDK Baimskaya</t>
  </si>
  <si>
    <t xml:space="preserve">Sampled By: _______________________________ Oil Laboratory: __________________________ Checked: _________________________ Print/Send: ____________________ </t>
  </si>
  <si>
    <t>4AL</t>
  </si>
  <si>
    <t>4AR</t>
  </si>
  <si>
    <t>4BL</t>
  </si>
  <si>
    <t>4BR</t>
  </si>
  <si>
    <t>4CL</t>
  </si>
  <si>
    <t>4CR</t>
  </si>
  <si>
    <t>0W40</t>
  </si>
  <si>
    <t>5W30</t>
  </si>
  <si>
    <t>10W30</t>
  </si>
  <si>
    <t>Front-Left FD Левый передний бортовой редуктор</t>
  </si>
  <si>
    <t xml:space="preserve">Front-Right FD  Правый передний бортовой редуктор </t>
  </si>
  <si>
    <t>Rear-Left FD Левый задний бортовой редуктор</t>
  </si>
  <si>
    <t xml:space="preserve">Rear-Right FD Правый задний бортовой редуктор </t>
  </si>
  <si>
    <t xml:space="preserve">AF 40/60 </t>
  </si>
  <si>
    <t>KOMATSU HM400-3MO (TRUCK, ARTICULATED DUMP KOMATSU HM400-3M0, PAYLOAD 40 MT, TKXXX)</t>
  </si>
  <si>
    <t>Front Differential Передний дифференциал</t>
  </si>
  <si>
    <t>Rear Differential  Задний дифференциал</t>
  </si>
  <si>
    <t>Center Differential Центральный дифференциал</t>
  </si>
  <si>
    <t>Center-Left FD Центральный левый бортовой редуктор</t>
  </si>
  <si>
    <t>Center-Right FD Центральный правый бортовой редуктор</t>
  </si>
  <si>
    <t>NHL TR60 (TRUCK, DUMP NHL TR60, PAYLOAD 55 MT, TKXXX)</t>
  </si>
  <si>
    <t xml:space="preserve">Kidney looped/Liters </t>
  </si>
  <si>
    <t>KOMATSU PC800-8EO (EXCAVATOR, KOMATSU PC800-8E0 (SE), BUCKET CAPACITY 4.5M3)</t>
  </si>
  <si>
    <t>KOMATSU PC2000-8 (EXCAVATOR, KOMATSU PC2000-8 BH, BUCKET CAPACITY 8M3)</t>
  </si>
  <si>
    <t>PTO</t>
  </si>
  <si>
    <t xml:space="preserve">Pump Drive Gear Box A Приводной насос редуктора   </t>
  </si>
  <si>
    <t>HITACHI EX 1200 (EXCAVATOR, HITACHI EX1200-6/7BH, BUCKET CAPACITY 6.7/7M3)</t>
  </si>
  <si>
    <t>CAT D9R (DOZER, TRACK, CAT D9R)</t>
  </si>
  <si>
    <t xml:space="preserve">модель техники
Machine  Model </t>
  </si>
  <si>
    <t>EXSOIL HD TRUCK ARCTIC 0W-40</t>
  </si>
  <si>
    <t>EXSOIL UNIGREASE LiCaX MULTI SEASON OG</t>
  </si>
  <si>
    <t>EXSOIL ANTIFREEZE G12+ 40/60</t>
  </si>
  <si>
    <t xml:space="preserve">Engine/ORS Двигатель </t>
  </si>
  <si>
    <t xml:space="preserve">Transmission Трансмиссия  </t>
  </si>
  <si>
    <t>Differential  Дифференциал</t>
  </si>
  <si>
    <t>Front Differential Передний</t>
  </si>
  <si>
    <t>Rear Differential  Задний</t>
  </si>
  <si>
    <t>Center differential</t>
  </si>
  <si>
    <t>Front-Left Hub Левая передняя ступица</t>
  </si>
  <si>
    <t>Front-Right Hub Правая передняя ступица</t>
  </si>
  <si>
    <t>Center-Left FD</t>
  </si>
  <si>
    <t>Center-Right FD</t>
  </si>
  <si>
    <t>Front Swing reduction box Передний редуктор поворотного круга</t>
  </si>
  <si>
    <t>Rear Swing reduction box Задний редуктор поворотного круга</t>
  </si>
  <si>
    <t xml:space="preserve"> Left TandemЛевый тандем</t>
  </si>
  <si>
    <t xml:space="preserve">Splitter Box\PTO Редуктора насосов </t>
  </si>
  <si>
    <t xml:space="preserve">Pump Drive Gear Box B Приводной насос редуктора  </t>
  </si>
  <si>
    <t>Swing Front- Left Левый передний редуктор</t>
  </si>
  <si>
    <t xml:space="preserve">Swing Front-Right  Правый передний редуктор </t>
  </si>
  <si>
    <t>Swing Rear- Left Левый задний редуктор</t>
  </si>
  <si>
    <t xml:space="preserve">Swing Rear-Right  Правый задний редуктор </t>
  </si>
  <si>
    <t>Rotary Head Головка вращателя</t>
  </si>
  <si>
    <t xml:space="preserve">Boom Смазка венцовой шестерни </t>
  </si>
  <si>
    <t>Automatic Lubricant Емкость системы автоматической смазки</t>
  </si>
  <si>
    <t>Sample Point</t>
  </si>
  <si>
    <t>Total Samples</t>
  </si>
  <si>
    <t>Hours</t>
  </si>
  <si>
    <t>75W140</t>
  </si>
  <si>
    <t>Coolant</t>
  </si>
  <si>
    <t>4I</t>
  </si>
  <si>
    <t>4J</t>
  </si>
  <si>
    <t>6B</t>
  </si>
  <si>
    <t>6D</t>
  </si>
  <si>
    <t>Excavator</t>
  </si>
  <si>
    <t>Dozer</t>
  </si>
  <si>
    <t>CAT D9R</t>
  </si>
  <si>
    <t>NHL TR60</t>
  </si>
  <si>
    <t>NHL NTE360</t>
  </si>
  <si>
    <t>NHL NTE150</t>
  </si>
  <si>
    <t>Hitachi EX 1200-6BH</t>
  </si>
  <si>
    <t>Hitachi EX 1200-7BH</t>
  </si>
  <si>
    <t>Komatsu D275A-5</t>
  </si>
  <si>
    <t>ADT</t>
  </si>
  <si>
    <t>Komatsu HM400-3MO</t>
  </si>
  <si>
    <t>Komatsu PC800-8EO</t>
  </si>
  <si>
    <t>KOMATSU PC2000-8</t>
  </si>
  <si>
    <t>Fleet</t>
  </si>
  <si>
    <t>rickie bon Marrero updated October 22, 2023</t>
  </si>
  <si>
    <t>Rate of Change Oil (Liters/Hour)</t>
  </si>
  <si>
    <t>HD30</t>
  </si>
  <si>
    <t>Hitachi 46</t>
  </si>
  <si>
    <t>Compressor</t>
  </si>
  <si>
    <t>XHP100</t>
  </si>
  <si>
    <t>10W40</t>
  </si>
  <si>
    <t>EP2</t>
  </si>
  <si>
    <t>XHP222</t>
  </si>
  <si>
    <t>Hyd 46</t>
  </si>
  <si>
    <t>EP1</t>
  </si>
  <si>
    <t>EM</t>
  </si>
  <si>
    <t>Samples  every 500PM for 1 year</t>
  </si>
  <si>
    <t>TOTAL</t>
  </si>
  <si>
    <t>Hitachi ZX 470</t>
  </si>
  <si>
    <t>Hitachi ZX 330-5G</t>
  </si>
  <si>
    <t>Luigong 990FHD</t>
  </si>
  <si>
    <t>Luigong CLG970E</t>
  </si>
  <si>
    <t>Komatsu GD825A-2</t>
  </si>
  <si>
    <t>Luigong CLG4260D</t>
  </si>
  <si>
    <t>Cat 160K</t>
  </si>
  <si>
    <t>Shantui SG16-3</t>
  </si>
  <si>
    <t>Shantui SG18-4</t>
  </si>
  <si>
    <t>Komatsu D155A-5</t>
  </si>
  <si>
    <t>Komatsu D375A-6</t>
  </si>
  <si>
    <t>Shantui SD90-C5</t>
  </si>
  <si>
    <t>Shantui SD60-C5</t>
  </si>
  <si>
    <t>Shantui SD34-B3</t>
  </si>
  <si>
    <t>Shantui SD32</t>
  </si>
  <si>
    <t>Sunward SWDE165A</t>
  </si>
  <si>
    <t>Sunward SWDR T250</t>
  </si>
  <si>
    <t>Hyundai HL770-9S</t>
  </si>
  <si>
    <t>Shantui SR20MPA</t>
  </si>
  <si>
    <t>McCloskey J45</t>
  </si>
  <si>
    <t>McCloskey J50V2</t>
  </si>
  <si>
    <t>McCloskey C38</t>
  </si>
  <si>
    <t>McCloskey C44</t>
  </si>
  <si>
    <t>McCloskey S190</t>
  </si>
  <si>
    <t>NMS MT300MC</t>
  </si>
  <si>
    <t>NMS MT1150JC</t>
  </si>
  <si>
    <t>NMS MT1860SR</t>
  </si>
  <si>
    <t>X</t>
  </si>
  <si>
    <t>Dump Truk</t>
  </si>
  <si>
    <t>Dump Truck</t>
  </si>
  <si>
    <t>KAMAZ 65201-6010-49(B5)</t>
  </si>
  <si>
    <t>Объём, л</t>
  </si>
  <si>
    <t>Наработка компонента, м/ч / Дата последней замены масла</t>
  </si>
  <si>
    <t>Total Hours of component/Last oil change date</t>
  </si>
  <si>
    <t>Grader</t>
  </si>
  <si>
    <t>Travel reducer oil</t>
  </si>
  <si>
    <t>Carriage reducer oi</t>
  </si>
  <si>
    <t>Drill</t>
  </si>
  <si>
    <t>Loader</t>
  </si>
  <si>
    <t>Motor Grader</t>
  </si>
  <si>
    <t>EQPT NO</t>
  </si>
  <si>
    <t>Date</t>
  </si>
  <si>
    <t>Hour Meter</t>
  </si>
  <si>
    <t>PM</t>
  </si>
  <si>
    <t>EX024</t>
  </si>
  <si>
    <t>1 Engine</t>
  </si>
  <si>
    <t>3 Hydraulic</t>
  </si>
  <si>
    <t>Y</t>
  </si>
  <si>
    <t>Sample No</t>
  </si>
  <si>
    <t>TK114</t>
  </si>
  <si>
    <t>2 Transmission</t>
  </si>
  <si>
    <t>TK107</t>
  </si>
  <si>
    <t>TK115</t>
  </si>
  <si>
    <t>TK160</t>
  </si>
  <si>
    <t>TK101</t>
  </si>
  <si>
    <t>TK121</t>
  </si>
  <si>
    <t>TK156</t>
  </si>
  <si>
    <t>N</t>
  </si>
  <si>
    <t>TK126</t>
  </si>
  <si>
    <t>Comp hours</t>
  </si>
  <si>
    <t>Last Change</t>
  </si>
  <si>
    <t>Change</t>
  </si>
  <si>
    <t>PRINTED</t>
  </si>
  <si>
    <t>Status</t>
  </si>
  <si>
    <t>Дата</t>
  </si>
  <si>
    <t>Место отбора проб</t>
  </si>
  <si>
    <t>№ пробы</t>
  </si>
  <si>
    <t>№ тех.</t>
  </si>
  <si>
    <t>Моточасы</t>
  </si>
  <si>
    <t>Узел</t>
  </si>
  <si>
    <t>Нараб. узла</t>
  </si>
  <si>
    <t>Замена</t>
  </si>
  <si>
    <t>Нараб. масла</t>
  </si>
  <si>
    <t>DZ003</t>
  </si>
  <si>
    <t>Oil</t>
  </si>
  <si>
    <t>GR012</t>
  </si>
  <si>
    <t>DZ020</t>
  </si>
  <si>
    <t>Масло</t>
  </si>
  <si>
    <t>DR008</t>
  </si>
  <si>
    <t>TK148</t>
  </si>
  <si>
    <t>TK153</t>
  </si>
  <si>
    <t>TK157</t>
  </si>
  <si>
    <t>TK106</t>
  </si>
  <si>
    <t>Comments</t>
  </si>
  <si>
    <t>No Sample Form</t>
  </si>
  <si>
    <t>TK118</t>
  </si>
  <si>
    <t>TK124</t>
  </si>
  <si>
    <t>TK152</t>
  </si>
  <si>
    <t>TK154</t>
  </si>
  <si>
    <t>TK103</t>
  </si>
  <si>
    <t>LD002</t>
  </si>
  <si>
    <t>LD004</t>
  </si>
  <si>
    <t>DZ006</t>
  </si>
  <si>
    <t>LD005</t>
  </si>
  <si>
    <t>4AL Front-Left FD</t>
  </si>
  <si>
    <t>4AR Front-Right FD</t>
  </si>
  <si>
    <t>GR008</t>
  </si>
  <si>
    <t>EX013</t>
  </si>
  <si>
    <t>DR002</t>
  </si>
  <si>
    <t>1A Engine</t>
  </si>
  <si>
    <t>EX012</t>
  </si>
  <si>
    <t>GR014</t>
  </si>
  <si>
    <t>DZ004</t>
  </si>
  <si>
    <t>GR016</t>
  </si>
  <si>
    <t>TK113</t>
  </si>
  <si>
    <t>TK146</t>
  </si>
  <si>
    <t>SR004</t>
  </si>
  <si>
    <t>Omala 150</t>
  </si>
  <si>
    <t>H32</t>
  </si>
  <si>
    <t>Service A</t>
  </si>
  <si>
    <t>SN001</t>
  </si>
  <si>
    <t>CR002</t>
  </si>
  <si>
    <t>CR003</t>
  </si>
  <si>
    <t>CR006</t>
  </si>
  <si>
    <t>DZ011</t>
  </si>
  <si>
    <t>4F Right final drive</t>
  </si>
  <si>
    <t>4E Left final drive</t>
  </si>
  <si>
    <t>TK116</t>
  </si>
  <si>
    <t>LD001</t>
  </si>
  <si>
    <t>DR003</t>
  </si>
  <si>
    <t>TK110</t>
  </si>
  <si>
    <t>TK150</t>
  </si>
  <si>
    <t>TK104</t>
  </si>
  <si>
    <t>CR001</t>
  </si>
  <si>
    <t>EX015</t>
  </si>
  <si>
    <t>5 PTO</t>
  </si>
  <si>
    <t>6A Swing Front</t>
  </si>
  <si>
    <t>6C Swing Rear</t>
  </si>
  <si>
    <t>9 AntiFreeze</t>
  </si>
  <si>
    <t>AF 40/60</t>
  </si>
  <si>
    <t>CR008</t>
  </si>
  <si>
    <t>TK127</t>
  </si>
  <si>
    <t>TK112</t>
  </si>
  <si>
    <t>TK123</t>
  </si>
  <si>
    <t>TK119</t>
  </si>
  <si>
    <t>TK105</t>
  </si>
  <si>
    <t>DZ010</t>
  </si>
  <si>
    <t>DR007</t>
  </si>
  <si>
    <t>1.1 Engine</t>
  </si>
  <si>
    <t>1.2 Engine</t>
  </si>
  <si>
    <t>GR009</t>
  </si>
  <si>
    <t>GR013</t>
  </si>
  <si>
    <t>GR015</t>
  </si>
  <si>
    <t>LD008</t>
  </si>
  <si>
    <t>DZ001</t>
  </si>
  <si>
    <t>GR003</t>
  </si>
  <si>
    <t>EX011</t>
  </si>
  <si>
    <t>DZ005</t>
  </si>
  <si>
    <t>EX021</t>
  </si>
  <si>
    <t>DZ009</t>
  </si>
  <si>
    <t>EX010</t>
  </si>
  <si>
    <t>EX009</t>
  </si>
  <si>
    <t>DZ008</t>
  </si>
  <si>
    <t>TK151</t>
  </si>
  <si>
    <t>TK122</t>
  </si>
  <si>
    <t>TK161</t>
  </si>
  <si>
    <t>TK158</t>
  </si>
  <si>
    <t>TK159</t>
  </si>
  <si>
    <t>TK147</t>
  </si>
  <si>
    <t>TK155</t>
  </si>
  <si>
    <t>DZ019</t>
  </si>
  <si>
    <t>TK117</t>
  </si>
  <si>
    <t>LD006</t>
  </si>
  <si>
    <t>TK109</t>
  </si>
  <si>
    <t>LD007</t>
  </si>
  <si>
    <t>TK125</t>
  </si>
  <si>
    <t>GR004</t>
  </si>
  <si>
    <t>TK149</t>
  </si>
  <si>
    <t>DZ007</t>
  </si>
  <si>
    <t>TK143</t>
  </si>
  <si>
    <t>TK108</t>
  </si>
  <si>
    <t>EX002</t>
  </si>
  <si>
    <t>CR004</t>
  </si>
  <si>
    <t>CR005</t>
  </si>
  <si>
    <t>SN003</t>
  </si>
  <si>
    <t>GR001</t>
  </si>
  <si>
    <t>EX001</t>
  </si>
  <si>
    <t>EX003</t>
  </si>
  <si>
    <t>DZ002</t>
  </si>
  <si>
    <t>EX005</t>
  </si>
  <si>
    <t>P2 rust</t>
  </si>
  <si>
    <t>EX023</t>
  </si>
  <si>
    <t>3A Steering</t>
  </si>
  <si>
    <t>Converter</t>
  </si>
  <si>
    <t>4B Rear Differential</t>
  </si>
  <si>
    <t>75W90</t>
  </si>
  <si>
    <t>4A Front Differential</t>
  </si>
  <si>
    <t>SN004</t>
  </si>
  <si>
    <t>CR007</t>
  </si>
  <si>
    <t>EX11</t>
  </si>
  <si>
    <t>TK09</t>
  </si>
  <si>
    <t>EX025</t>
  </si>
  <si>
    <t>EX15</t>
  </si>
  <si>
    <t>8 Compressor</t>
  </si>
  <si>
    <t>06052026-TK154-3</t>
  </si>
  <si>
    <t>Komatsu P&amp;H 44XT</t>
  </si>
  <si>
    <t>Редуктор подачи бурового инструмента</t>
  </si>
  <si>
    <t>Редуктор привода механизма шагового поворота карусели
буровых штанг</t>
  </si>
  <si>
    <t>Редуктор вращения</t>
  </si>
  <si>
    <t>Масляный бак погружного пневмоударника</t>
  </si>
  <si>
    <t>Контейнер системы смазки резьбы</t>
  </si>
  <si>
    <t>Longyear LF-90D</t>
  </si>
  <si>
    <t xml:space="preserve">URB-2D3 </t>
  </si>
  <si>
    <t>Hanjin D&amp;B-16GT</t>
  </si>
  <si>
    <t>Final Drive
Картер бортовой передачи</t>
  </si>
  <si>
    <t>Blade
rotation gear
case
Картер механизма поворота отвала</t>
  </si>
  <si>
    <t>Front axle
housing
Картер переднего моста</t>
  </si>
  <si>
    <t>Картер демпфера</t>
  </si>
  <si>
    <t>Натяжная пружина</t>
  </si>
  <si>
    <t>Несущее колесо</t>
  </si>
  <si>
    <t>Опорный
каток</t>
  </si>
  <si>
    <t>Направля ющее колесо</t>
  </si>
  <si>
    <t>EXSOIL P-MATIC VG32</t>
  </si>
  <si>
    <t>EXSOIL UNIGREASE MOLY SYNTH EP 1</t>
  </si>
  <si>
    <t>Pivot shaft
case (each
side)</t>
  </si>
  <si>
    <t>NEXXOL HYDRAULIC SYNTH HVLP 32</t>
  </si>
  <si>
    <t>Vibrating drum</t>
  </si>
  <si>
    <t>Shantui SR26-C5</t>
  </si>
  <si>
    <t>Luigong CLGF330</t>
  </si>
  <si>
    <t>Komatsu WA470-6 8?</t>
  </si>
  <si>
    <t>AKSA APD145C</t>
  </si>
  <si>
    <t>AKSA APD70A</t>
  </si>
  <si>
    <t>AKSA AD410</t>
  </si>
  <si>
    <t>AKSA AD710</t>
  </si>
  <si>
    <t>AKSA APD200C</t>
  </si>
  <si>
    <t>AKSA APD25A</t>
  </si>
  <si>
    <t>AKSA APD40A</t>
  </si>
  <si>
    <t>ARMASH ZIF-PV</t>
  </si>
  <si>
    <t>Atlas Copco HiLight V5</t>
  </si>
  <si>
    <t>Atlas Copco HILIGHT V4</t>
  </si>
  <si>
    <t>Atlas Copco LE10-10UV 475FF</t>
  </si>
  <si>
    <t>Atlas Copco QEPS10 Genset</t>
  </si>
  <si>
    <t>Atlas Copco QES 250 Genset</t>
  </si>
  <si>
    <t>Atlas Copco QIS 10 Genset</t>
  </si>
  <si>
    <t>Atlas Copco U250 Air compressor - Diesel</t>
  </si>
  <si>
    <t>Atlas Copco XAHS 450 CUD Air compressor - Diesel</t>
  </si>
  <si>
    <t>Atlas Copco XAVS 650 Compressor</t>
  </si>
  <si>
    <t>Atlas Copco XAS88KD Compressor</t>
  </si>
  <si>
    <t>Belarus 82.1 Tractor</t>
  </si>
  <si>
    <t>Boart Longyear LF90D Drill</t>
  </si>
  <si>
    <t>Bobcat S570 Skid-Steer Loader</t>
  </si>
  <si>
    <t>Bobcat S850H Skidsteer</t>
  </si>
  <si>
    <t>Bobcat T41.140 SLPB Telescopic Handler</t>
  </si>
  <si>
    <t>Bobcat T590 Track Loader</t>
  </si>
  <si>
    <t>BUS DAEWOO BS106A45</t>
  </si>
  <si>
    <t>CAT 336D Excavator</t>
  </si>
  <si>
    <t>CAT 3412C Genset</t>
  </si>
  <si>
    <t>CAT C13 Genset</t>
  </si>
  <si>
    <t>CAT C175-20</t>
  </si>
  <si>
    <t>CAT DE715</t>
  </si>
  <si>
    <t>CAT C18 Genset</t>
  </si>
  <si>
    <t>CHSDM DZ-98V</t>
  </si>
  <si>
    <t>CUMMINS C250 D5 GENERATOR</t>
  </si>
  <si>
    <t>DENYO DLW-400LSW WELDING MACHINE</t>
  </si>
  <si>
    <t>DENYO_DCW-480ESW WELDING MACHINE</t>
  </si>
  <si>
    <t>DENYO DCA-15LSX GENERATOR</t>
  </si>
  <si>
    <t>DENYO DCA-45ESI GENERATOR</t>
  </si>
  <si>
    <t>DIESEL AD 240C GENERATOR</t>
  </si>
  <si>
    <t>DIESEL POWER ED320C-T400-50-2PH-G1 GENERATOR</t>
  </si>
  <si>
    <t>DIESEL POWER ED400C-T400-2RN GENERATOR</t>
  </si>
  <si>
    <t>AD100 GENERATOR</t>
  </si>
  <si>
    <t>DIESEL ЭД20П-Т400-50-2РН-G2 GENERATOR</t>
  </si>
  <si>
    <t>DOOSAN P250/HP210 COMPRESSOR</t>
  </si>
  <si>
    <t>TEREX 1075L CRANE, MOBILE</t>
  </si>
  <si>
    <t>TEREX DEMAG AC350-6 CRANE, MOBILE</t>
  </si>
  <si>
    <t>TEREX DEMAG AC220-5 CRANE, MOBILE</t>
  </si>
  <si>
    <t>TEREX RT100 CRANE, MOBILE</t>
  </si>
  <si>
    <t>TEREX GENIE S-60 Manlift</t>
  </si>
  <si>
    <t>TEREX GENIE SX-105XC Manlift</t>
  </si>
  <si>
    <t>TEREX GENIE SX-125XC Manlift</t>
  </si>
  <si>
    <t>ZOOMLION ZRS4531 KONTAINER LOADER</t>
  </si>
  <si>
    <t>SHINDAIWA DGW 400 Welding machine</t>
  </si>
  <si>
    <t>ELAZ-BL 888 Backhoe Loader</t>
  </si>
  <si>
    <t>Elcos Genset GE.CU.030/027.SS+011</t>
  </si>
  <si>
    <t>FORD TRANSIT DE-ICER VAN</t>
  </si>
  <si>
    <t>GAZ 340901-0000012 ALL TERRAIN VEHICLE</t>
  </si>
  <si>
    <t>GAZ SADKO NEXT TRUCK, BAGGAGE</t>
  </si>
  <si>
    <t>HITACHI ZX210W-5A EXCAVATOR</t>
  </si>
  <si>
    <t>HITACHI ZX280-5G EXCAVATOR</t>
  </si>
  <si>
    <t>Generac CUBE+ Super Lighting Tower</t>
  </si>
  <si>
    <t>IVECO-AMT 653900 Dump Truck</t>
  </si>
  <si>
    <t>IVECO-AMT 653910 Tractor Truck</t>
  </si>
  <si>
    <t>IVECO AMT 473916 EMERGENCY EQUIPMENT FIRE-TRUCK</t>
  </si>
  <si>
    <t>IVECO AA10,0-100 EMERGENCY EQUIPMENT FIRE-TRUCK</t>
  </si>
  <si>
    <t>IVECO-AMT MTGE3 Tractor Truck</t>
  </si>
  <si>
    <t>JCB VM200D COMPACTOR, ROLLER DRUM</t>
  </si>
  <si>
    <t>JLG 520AJ Manlift</t>
  </si>
  <si>
    <t>KOHLER J165 GENERATOR</t>
  </si>
  <si>
    <t>Manitou MHT-X 10135 Tyre Handler</t>
  </si>
  <si>
    <t>Manitou MHT-X 10180 Cylinder Handler</t>
  </si>
  <si>
    <t>Manitou MHT-X 790 Telescopic Handler</t>
  </si>
  <si>
    <t>Manitou MT-X 1840 Telescopic Handler</t>
  </si>
  <si>
    <t>Manitou MT-X1440 Telescopic Handler</t>
  </si>
  <si>
    <t>Manitou M-X-50-4 Forklift</t>
  </si>
  <si>
    <t>MAZ misc trucks</t>
  </si>
  <si>
    <t>New Holland LM1345 Telescopic Handler</t>
  </si>
  <si>
    <t>Pargarant ПГ-300ЖМ2 Steam generator</t>
  </si>
  <si>
    <t>Sany SRC1200C Wheel Crane</t>
  </si>
  <si>
    <t>Sany SRC600A Wheel Crane</t>
  </si>
  <si>
    <t>Shantui SR14P Compactor</t>
  </si>
  <si>
    <t>SINOMACH TTC025G2 Truck Crane</t>
  </si>
  <si>
    <t>Teplorod С-175/DG Industrial Heater</t>
  </si>
  <si>
    <t>Toyota Hilux AT Pickup</t>
  </si>
  <si>
    <t>Toyota Hilux MT Pickup</t>
  </si>
  <si>
    <t>Toyota Landcruiser 200 AT</t>
  </si>
  <si>
    <t>Dongfeng Pickup</t>
  </si>
  <si>
    <t>TREKOL 39294 ALL-TERRAIN VEHICLE</t>
  </si>
  <si>
    <t>TRUCK , BOOM KAMAZ 65117-776010-19</t>
  </si>
  <si>
    <t>TRUCK , CONCRETE PUMP MERCEDES-BENZ 3340</t>
  </si>
  <si>
    <t>TRUCK, CONCRETE TRANSMIXER KAMAZ 6520-6041-43</t>
  </si>
  <si>
    <t>TRUCK , DUMP KAMAZ 65201-6010-49(B5)</t>
  </si>
  <si>
    <t>TRUCK, DUMP KAMAZ 6520-6041-43</t>
  </si>
  <si>
    <t>TRUCK, MECHANIC KAMAZ 5350-3014-42</t>
  </si>
  <si>
    <t>TRUCK, TANKER KAMAZ 65115-3082-48</t>
  </si>
  <si>
    <t>TRUCK, TRACTOR KAMAZ 65116-6010-48</t>
  </si>
  <si>
    <t>TRUCK, WATER KAMAZ УСТ 5453К2</t>
  </si>
  <si>
    <t>TRUCK, TRACTOR MAN TGS 26.400 6x4 BLS WW</t>
  </si>
  <si>
    <t>TRUCK, TRACTOR MAN TGS 40.480 6x4 BBS WW</t>
  </si>
  <si>
    <t>URAL 63704К Fuel Truck</t>
  </si>
  <si>
    <t>URAL 63704-0151 Fuel Truck</t>
  </si>
  <si>
    <t>URAL NEXT 4320 Lube Truck    (1891АА-0001100)</t>
  </si>
  <si>
    <t>URAL NEXT 4320 Mechanical Truck      (1891AA-0001103)</t>
  </si>
  <si>
    <t>URAL 58498А-0000020 Crew bus</t>
  </si>
  <si>
    <t>URAL 32551-5013-71 Crew bus</t>
  </si>
  <si>
    <t>URAL 4672М1-20 WATER TRUCK</t>
  </si>
  <si>
    <t>URAL 4671L2-20 WATER TRUCK</t>
  </si>
  <si>
    <t>URAL 4672M8 VACUUM TRUCK</t>
  </si>
  <si>
    <t>URAL ППУА Steam Truck</t>
  </si>
  <si>
    <t>URAL СШР-1 Snow blower Truck</t>
  </si>
  <si>
    <t>URAL 43441C-10 АЦ 6.0-70 Fire-truck</t>
  </si>
  <si>
    <t>BOART LONGYEAR LF90D Track Drill</t>
  </si>
  <si>
    <t>TZCO  WK-35</t>
  </si>
  <si>
    <t>TZCO  WK-55</t>
  </si>
  <si>
    <t>TLP-4M-030 (ТЛП-4М-030)</t>
  </si>
  <si>
    <t>MILLER Big Blue 800 Duo AIR PAK Welder - Diesel</t>
  </si>
  <si>
    <t>Genset Onis Visa P21CK</t>
  </si>
  <si>
    <t>Taihao HDX Motivator for Electric Rope Shovel based on a truck chassis (6x6)</t>
  </si>
  <si>
    <t>Liugong CLG886H</t>
  </si>
  <si>
    <t>Liugong CLG764A</t>
  </si>
  <si>
    <t>FAW CA3250P66K24L1TE5</t>
  </si>
  <si>
    <t>ZOOMLION ZS2023ERT</t>
  </si>
  <si>
    <t>LIUGONG CLGA20-S</t>
  </si>
  <si>
    <t>FAW CA1121P40K2LE5A85</t>
  </si>
  <si>
    <t>ZOOMLION ZRT400</t>
  </si>
  <si>
    <t>FAW CA1081P40K2L4E5A85</t>
  </si>
  <si>
    <t>LIUGONG 395B</t>
  </si>
  <si>
    <t>LIUGONG CLG2050H</t>
  </si>
  <si>
    <t>ZOOMLION ZT42J</t>
  </si>
  <si>
    <t>ZOOMLION ZS0808HD</t>
  </si>
  <si>
    <t>FAW CA2080P40K8T5E5A84</t>
  </si>
  <si>
    <t xml:space="preserve">LIUGONG CPCD30 </t>
  </si>
  <si>
    <t>Liugong CLG8250H</t>
  </si>
  <si>
    <t>AMUR LYR560 Wheel Dozer (XCMG DL560)</t>
  </si>
  <si>
    <t>ZOOMLION ZCC2600 260 TON</t>
  </si>
  <si>
    <t>Reducer of
hoisting winch 1</t>
  </si>
  <si>
    <t>Reducer of
derricking winch</t>
  </si>
  <si>
    <t>Traveling reducer</t>
  </si>
  <si>
    <t>Slewing reducer</t>
  </si>
  <si>
    <t>Oem</t>
  </si>
  <si>
    <t>L-CKD220</t>
  </si>
  <si>
    <t>SH 0358-95</t>
  </si>
  <si>
    <t>SAE15W-40</t>
  </si>
  <si>
    <t>KAMAZ УСТ 54535</t>
  </si>
  <si>
    <t>KAMAZ УСТ 5849HF-000020</t>
  </si>
  <si>
    <t>MobilFuild 426</t>
  </si>
  <si>
    <t>PO HYDRO OIL HD 46</t>
  </si>
  <si>
    <t>PO MAXIMUS
Turbo Diesel Extra 15W40</t>
  </si>
  <si>
    <t>15W40-API CI-4/CH-4 ACEA E5-E7</t>
  </si>
  <si>
    <t>KAMAZ  43118-3098-50</t>
  </si>
  <si>
    <t>15W/40</t>
  </si>
  <si>
    <t>80W/90</t>
  </si>
  <si>
    <t xml:space="preserve">L-HV 32 </t>
  </si>
  <si>
    <t>OIL COMPRESSOR EXSOIL VDL 46</t>
  </si>
  <si>
    <t>OIL EXSOIL GEARTECH FE 75W90 GL-4/GL-5</t>
  </si>
  <si>
    <t>SAE 75W90</t>
  </si>
  <si>
    <t>Mobil rarus SHC 1025</t>
  </si>
  <si>
    <t>5W-40</t>
  </si>
  <si>
    <t>10W-30</t>
  </si>
  <si>
    <t>ISO VG 15</t>
  </si>
  <si>
    <t xml:space="preserve"> BP TERRAC SUPER TRANSMISSION 10W-30
- CASTROL AGRI TRANS PLUS 10W-30
- MOBILFLUID 426
- SHELL DONAX TD 10W-30
- TOTAL DYNATRANS MPV</t>
  </si>
  <si>
    <t>SAE 10W</t>
  </si>
  <si>
    <t>SHC 460 OH</t>
  </si>
  <si>
    <t>Chevron
Texamatic 1888</t>
  </si>
  <si>
    <t>SHC007</t>
  </si>
  <si>
    <t xml:space="preserve">Front wheel
grease </t>
  </si>
  <si>
    <t xml:space="preserve">Chevron
Ulti-Plex
Synthetic
Grease EP </t>
  </si>
  <si>
    <t>5w30</t>
  </si>
  <si>
    <t>SHC 5w-30</t>
  </si>
  <si>
    <t>NLGI *M II-G-10924C</t>
  </si>
  <si>
    <t>Komatsu EOS0W30</t>
  </si>
  <si>
    <t>TO10</t>
  </si>
  <si>
    <t>HO46-HM</t>
  </si>
  <si>
    <t>G2-LI</t>
  </si>
  <si>
    <t>SAE 10W-30CD</t>
  </si>
  <si>
    <t>SAE 10WCD</t>
  </si>
  <si>
    <t>SAE90</t>
  </si>
  <si>
    <t>Тормоз</t>
  </si>
  <si>
    <t>EOS0W30</t>
  </si>
  <si>
    <t>TOS5w30</t>
  </si>
  <si>
    <t>HO-MVK</t>
  </si>
  <si>
    <t>AXO80</t>
  </si>
  <si>
    <t>Total Transmission TM 80W-90</t>
  </si>
  <si>
    <t>Total Carter
EP 220</t>
  </si>
  <si>
    <t>Sullair AWF</t>
  </si>
  <si>
    <t>Total Equivis SMG 46</t>
  </si>
  <si>
    <t xml:space="preserve"> Total Pneuma NA 150</t>
  </si>
  <si>
    <t>Jet-Lube 21</t>
  </si>
  <si>
    <t>TO30</t>
  </si>
  <si>
    <t>0W-40 (API CJ-4)</t>
  </si>
  <si>
    <t xml:space="preserve">SAE75W-90 (API GL-5) </t>
  </si>
  <si>
    <t>L-HS PLUS 22 extremely
low temperature anti-wear
hydraulic oil (extremely
cold)</t>
  </si>
  <si>
    <t xml:space="preserve"> S4 TXM 10W-30</t>
  </si>
  <si>
    <t>HS PLUS 22
ultra-low
temperature
hydraulic oil</t>
  </si>
  <si>
    <t>CJ-4 0W-40</t>
  </si>
  <si>
    <t>GL-5 75W-90</t>
  </si>
  <si>
    <t>SAE75W-90</t>
  </si>
  <si>
    <t>CH - 4 0W - 40</t>
  </si>
  <si>
    <t>GL - 5 / LS 75W - 90</t>
  </si>
  <si>
    <t>Arctic 32</t>
  </si>
  <si>
    <t>Mobil ATF - 22</t>
  </si>
  <si>
    <t>15W-40</t>
  </si>
  <si>
    <t>Fuchs hydraulictransmission oil 10W</t>
  </si>
  <si>
    <t>Mobil synthetic gear oil SHC680</t>
  </si>
  <si>
    <t>Mobil SHC220 grease</t>
  </si>
  <si>
    <t>SAE 10W - 30</t>
  </si>
  <si>
    <t>Chevron Texamatic 1888</t>
  </si>
  <si>
    <t>Delo Syn-Gear XDM SAE 75W-90</t>
  </si>
  <si>
    <t>SAE10W-30</t>
  </si>
  <si>
    <t>SAE0 W-2 0(CH-4)</t>
  </si>
  <si>
    <t>HS 32</t>
  </si>
  <si>
    <t>SAE 0 W-30</t>
  </si>
  <si>
    <t>SAE 10W-30</t>
  </si>
  <si>
    <t>SAE 30</t>
  </si>
  <si>
    <t>SAE80W-90</t>
  </si>
  <si>
    <t xml:space="preserve">SAE10W-30 </t>
  </si>
  <si>
    <t xml:space="preserve">SAE85W-90 </t>
  </si>
  <si>
    <t xml:space="preserve">SAE15W-40 </t>
  </si>
  <si>
    <t>SAE10W－30CD grade</t>
  </si>
  <si>
    <t>HV-46</t>
  </si>
  <si>
    <t>SAE85W-90</t>
  </si>
  <si>
    <t xml:space="preserve">ＳＡＥ１０Ｗ－30CD </t>
  </si>
  <si>
    <t xml:space="preserve">HV-46 Low solidifying point anti-wear hydraulic oil </t>
  </si>
  <si>
    <t>ＳＡＥ85Ｗ-90</t>
  </si>
  <si>
    <t>SAE 5W-30</t>
  </si>
  <si>
    <t>Низкозастывающее гидравлическое</t>
  </si>
  <si>
    <t>Низкозамерзающее гидравлическое
масло L-HV46#, L-HV32#</t>
  </si>
  <si>
    <t>Rockdrill Oil ISO 320 grade</t>
  </si>
  <si>
    <t xml:space="preserve"> Rock Drill Lubricant 46</t>
  </si>
  <si>
    <t>TellusArctic32</t>
  </si>
  <si>
    <t xml:space="preserve"> 75W-90 GL-5</t>
  </si>
  <si>
    <t xml:space="preserve"> TD5W-30</t>
  </si>
  <si>
    <t>Frequency of replacements</t>
  </si>
  <si>
    <t xml:space="preserve">Coolant
Антифриз </t>
  </si>
  <si>
    <t xml:space="preserve">Fuel
Топлива </t>
  </si>
  <si>
    <t>Shantui SG18-3</t>
  </si>
  <si>
    <t>к-во по участкам
N of Units</t>
  </si>
  <si>
    <t>к-во масла по годам
Oil quantity per year</t>
  </si>
  <si>
    <t>11A</t>
  </si>
  <si>
    <t>11B</t>
  </si>
  <si>
    <t>11C</t>
  </si>
  <si>
    <t>11D</t>
  </si>
  <si>
    <t>11E</t>
  </si>
  <si>
    <t>12A</t>
  </si>
  <si>
    <t>12B</t>
  </si>
  <si>
    <t>12C</t>
  </si>
  <si>
    <t>12D</t>
  </si>
  <si>
    <t>12E</t>
  </si>
  <si>
    <t>12F</t>
  </si>
  <si>
    <t>12G</t>
  </si>
  <si>
    <t>12H</t>
  </si>
  <si>
    <t>14A</t>
  </si>
  <si>
    <t>14B</t>
  </si>
  <si>
    <t>14C</t>
  </si>
  <si>
    <t>14E</t>
  </si>
  <si>
    <t>6E</t>
  </si>
  <si>
    <t>4M</t>
  </si>
  <si>
    <t>7B</t>
  </si>
  <si>
    <t>4N</t>
  </si>
  <si>
    <t>4O</t>
  </si>
  <si>
    <t>4P</t>
  </si>
  <si>
    <t>LUBE MATRIX – COMPONENT &amp; LUBRICANT LEGEND</t>
  </si>
  <si>
    <t>Reference key for the component codes in row 2 of the 'Lube Frequency BMSK' sheet.</t>
  </si>
  <si>
    <t>LUBRICANTS (7 products)</t>
  </si>
  <si>
    <t>Col</t>
  </si>
  <si>
    <t>Product</t>
  </si>
  <si>
    <t>Type</t>
  </si>
  <si>
    <t>Components it covers</t>
  </si>
  <si>
    <t>M</t>
  </si>
  <si>
    <t>Engine oil</t>
  </si>
  <si>
    <t>Engine (1)</t>
  </si>
  <si>
    <t>Hydraulic</t>
  </si>
  <si>
    <t>Hydraulic system (3)</t>
  </si>
  <si>
    <t>O</t>
  </si>
  <si>
    <t>Gear oil</t>
  </si>
  <si>
    <t>All gearboxes, diffs, final drives, swing/pump/travel reducers, winches (2, 4, 5, 6, 7, 11, 12, 14)</t>
  </si>
  <si>
    <t>P</t>
  </si>
  <si>
    <t>Rock-drill oil</t>
  </si>
  <si>
    <t>DTH hammer oil tank (11D)</t>
  </si>
  <si>
    <t>Q</t>
  </si>
  <si>
    <t>Boom slew-ring (6E), Auto-lube (13), Thread lube (11E), Front wheel (4P)</t>
  </si>
  <si>
    <t>R</t>
  </si>
  <si>
    <t>Coolant system (9)</t>
  </si>
  <si>
    <t>S</t>
  </si>
  <si>
    <t>Compressor oil</t>
  </si>
  <si>
    <t>Compressor (8)</t>
  </si>
  <si>
    <t>(T)</t>
  </si>
  <si>
    <t>Fuel – not a lubricant</t>
  </si>
  <si>
    <t>–</t>
  </si>
  <si>
    <t>Tracked for volume only (10)</t>
  </si>
  <si>
    <t>COMPONENT CODES BY SYSTEM</t>
  </si>
  <si>
    <t>Code</t>
  </si>
  <si>
    <t>System / Component</t>
  </si>
  <si>
    <t>Lubricant</t>
  </si>
  <si>
    <t>Engine</t>
  </si>
  <si>
    <t>W</t>
  </si>
  <si>
    <t>Transmission</t>
  </si>
  <si>
    <t>Z</t>
  </si>
  <si>
    <t>Hydraulic system</t>
  </si>
  <si>
    <t>AC</t>
  </si>
  <si>
    <t xml:space="preserve">   Steering</t>
  </si>
  <si>
    <t>Differentials / axles / final drives</t>
  </si>
  <si>
    <t>AI</t>
  </si>
  <si>
    <t xml:space="preserve">   Front Differential</t>
  </si>
  <si>
    <t>AL</t>
  </si>
  <si>
    <t xml:space="preserve">   Rear Differential</t>
  </si>
  <si>
    <t>AO</t>
  </si>
  <si>
    <t xml:space="preserve">   Center Differential</t>
  </si>
  <si>
    <t>AR</t>
  </si>
  <si>
    <t xml:space="preserve">   Front-Left Hub</t>
  </si>
  <si>
    <t>AU</t>
  </si>
  <si>
    <t xml:space="preserve">   Front-Right Hub</t>
  </si>
  <si>
    <t>AX</t>
  </si>
  <si>
    <t xml:space="preserve">   Front-Left Final Drive</t>
  </si>
  <si>
    <t>BA</t>
  </si>
  <si>
    <t xml:space="preserve">   Front-Right Final Drive</t>
  </si>
  <si>
    <t>BD</t>
  </si>
  <si>
    <t xml:space="preserve">   Rear-Left Final Drive</t>
  </si>
  <si>
    <t>BG</t>
  </si>
  <si>
    <t xml:space="preserve">   Rear-Right Final Drive</t>
  </si>
  <si>
    <t>BJ</t>
  </si>
  <si>
    <t xml:space="preserve">   Center-Left Final Drive</t>
  </si>
  <si>
    <t>BM</t>
  </si>
  <si>
    <t xml:space="preserve">   Center-Right Final Drive</t>
  </si>
  <si>
    <t>BP</t>
  </si>
  <si>
    <t xml:space="preserve">   Front Swing reduction box</t>
  </si>
  <si>
    <t>BS</t>
  </si>
  <si>
    <t xml:space="preserve">   Rear Swing reduction box</t>
  </si>
  <si>
    <t>BV</t>
  </si>
  <si>
    <t xml:space="preserve">   Left Tandem</t>
  </si>
  <si>
    <t>BY</t>
  </si>
  <si>
    <t xml:space="preserve">   Right Tandem</t>
  </si>
  <si>
    <t>CB</t>
  </si>
  <si>
    <t xml:space="preserve">   Travel reducer *</t>
  </si>
  <si>
    <t>DL</t>
  </si>
  <si>
    <t xml:space="preserve">   Final Drive (Картер бортовой) *</t>
  </si>
  <si>
    <t>EG</t>
  </si>
  <si>
    <t xml:space="preserve">   Front axle housing *</t>
  </si>
  <si>
    <t xml:space="preserve">   Front wheel grease *</t>
  </si>
  <si>
    <t>FZ</t>
  </si>
  <si>
    <t>Splitter Box / PTO</t>
  </si>
  <si>
    <t>CE</t>
  </si>
  <si>
    <t xml:space="preserve">   Pump Drive Gear Box A</t>
  </si>
  <si>
    <t>CH</t>
  </si>
  <si>
    <t xml:space="preserve">   Pump Drive Gear Box B</t>
  </si>
  <si>
    <t>CK</t>
  </si>
  <si>
    <t>Swing reducers</t>
  </si>
  <si>
    <t xml:space="preserve">   Swing Front-Left</t>
  </si>
  <si>
    <t>CN</t>
  </si>
  <si>
    <t xml:space="preserve">   Swing Front-Right</t>
  </si>
  <si>
    <t>CQ</t>
  </si>
  <si>
    <t xml:space="preserve">   Swing Rear-Left</t>
  </si>
  <si>
    <t>CT</t>
  </si>
  <si>
    <t xml:space="preserve">   Swing Rear-Right</t>
  </si>
  <si>
    <t>CW</t>
  </si>
  <si>
    <t xml:space="preserve">   Boom slew-ring grease *</t>
  </si>
  <si>
    <t>DF</t>
  </si>
  <si>
    <t>Rotary Head</t>
  </si>
  <si>
    <t>CZ</t>
  </si>
  <si>
    <t xml:space="preserve">   Rotation reducer (вращения) *</t>
  </si>
  <si>
    <t>DX</t>
  </si>
  <si>
    <t>DC</t>
  </si>
  <si>
    <t>U</t>
  </si>
  <si>
    <t>Fuel (volume only)</t>
  </si>
  <si>
    <t>T</t>
  </si>
  <si>
    <t>Drilling (drill rig) *</t>
  </si>
  <si>
    <t xml:space="preserve">   Carriage reducer *</t>
  </si>
  <si>
    <t>DO</t>
  </si>
  <si>
    <t xml:space="preserve">   Drill feed reducer *</t>
  </si>
  <si>
    <t>DR</t>
  </si>
  <si>
    <t xml:space="preserve">   Carousel rotation reducer *</t>
  </si>
  <si>
    <t>DU</t>
  </si>
  <si>
    <t xml:space="preserve">   DTH hammer oil tank *</t>
  </si>
  <si>
    <t>EA</t>
  </si>
  <si>
    <t xml:space="preserve">   Thread-lube container *</t>
  </si>
  <si>
    <t>ED</t>
  </si>
  <si>
    <t>Undercarriage / track *</t>
  </si>
  <si>
    <t xml:space="preserve">   Blade rotation gear case *</t>
  </si>
  <si>
    <t>EJ</t>
  </si>
  <si>
    <t xml:space="preserve">   Damper case *</t>
  </si>
  <si>
    <t>EP</t>
  </si>
  <si>
    <t xml:space="preserve">   Tension spring *</t>
  </si>
  <si>
    <t>ES</t>
  </si>
  <si>
    <t xml:space="preserve">   Carrier roller *</t>
  </si>
  <si>
    <t>EV</t>
  </si>
  <si>
    <t xml:space="preserve">   Track roller *</t>
  </si>
  <si>
    <t>EY</t>
  </si>
  <si>
    <t xml:space="preserve">   Idler *</t>
  </si>
  <si>
    <t>FB</t>
  </si>
  <si>
    <t xml:space="preserve">   Pivot shaft case *</t>
  </si>
  <si>
    <t>FE</t>
  </si>
  <si>
    <t xml:space="preserve">   Vibrating drum *</t>
  </si>
  <si>
    <t>FH</t>
  </si>
  <si>
    <t>Automatic Lubrication system *</t>
  </si>
  <si>
    <t>DI</t>
  </si>
  <si>
    <t>Crane *</t>
  </si>
  <si>
    <t xml:space="preserve">   Hoisting winch reducer *</t>
  </si>
  <si>
    <t>FK</t>
  </si>
  <si>
    <t xml:space="preserve">   Derricking winch reducer *</t>
  </si>
  <si>
    <t>FN</t>
  </si>
  <si>
    <t xml:space="preserve">   Slewing reducer *</t>
  </si>
  <si>
    <t>FQ</t>
  </si>
  <si>
    <t>FT</t>
  </si>
  <si>
    <t xml:space="preserve">   Brake *</t>
  </si>
  <si>
    <t>FW</t>
  </si>
  <si>
    <t>* = newly added / recoded in this review. Blue text = new codes.</t>
  </si>
  <si>
    <t xml:space="preserve">   Traveling reducer (unified with 4M) *</t>
  </si>
  <si>
    <t>Wire Rope Канат</t>
  </si>
  <si>
    <t>Open Gear Открытая шестерня</t>
  </si>
  <si>
    <t>EXSOIL WIRE ROPE LUBE (VERIFY product)</t>
  </si>
  <si>
    <t>Wire Rope</t>
  </si>
  <si>
    <t>EXSOIL OPEN GEAR GREASE (VERIFY product)</t>
  </si>
  <si>
    <t>Open Gear</t>
  </si>
  <si>
    <t>GI</t>
  </si>
  <si>
    <t>WIRE ROPE LUBE  (verify product)</t>
  </si>
  <si>
    <t>Wire rope</t>
  </si>
  <si>
    <t>Crane / shovel hoist &amp; derricking wire ropes (15)</t>
  </si>
  <si>
    <t>GJ</t>
  </si>
  <si>
    <t>OPEN GEAR GREASE  (verify product)</t>
  </si>
  <si>
    <t>Open gear</t>
  </si>
  <si>
    <t>Rope-shovel / P&amp;H open swing &amp; hoist gears (16)</t>
  </si>
  <si>
    <t>Wire Rope (crane/shovel ropes) *</t>
  </si>
  <si>
    <t>GC</t>
  </si>
  <si>
    <t>Open Gear (rope-shovel/girth gears) *</t>
  </si>
  <si>
    <t>GF</t>
  </si>
  <si>
    <t>VERIFY</t>
  </si>
  <si>
    <t>EXVG32</t>
  </si>
  <si>
    <t>NEXVG32</t>
  </si>
  <si>
    <t>5W-30</t>
  </si>
  <si>
    <t>10W-40</t>
  </si>
  <si>
    <t>TO-4 SAE 10W</t>
  </si>
  <si>
    <t>TO-4 SAE 50</t>
  </si>
  <si>
    <t>HVLP 32</t>
  </si>
  <si>
    <t>EP2 Grease</t>
  </si>
  <si>
    <t>VDL 46</t>
  </si>
  <si>
    <t>CELL FLAG COLORS</t>
  </si>
  <si>
    <t>Placeholder value to VERIFY (typical figure filled in; confirm against OEM manual)</t>
  </si>
  <si>
    <t>Missing/invalid change-frequency — component has qty + oil but no interval, so it totals 0 until filled</t>
  </si>
  <si>
    <t>Purple</t>
  </si>
  <si>
    <t>Teal</t>
  </si>
  <si>
    <t>Eng?</t>
  </si>
  <si>
    <t>Trans?</t>
  </si>
  <si>
    <t>Hyd?</t>
  </si>
  <si>
    <t>Gear #</t>
  </si>
  <si>
    <t>SAMPLE-TYPE HELPERS (per machine: 1 if that component is sampled = qty &amp; oil present; Gear = count of gear-oil components sampled)</t>
  </si>
  <si>
    <t>LUBE SAMPLING SUMMARY</t>
  </si>
  <si>
    <t>Auto-summarized from 'Lube Frequency BMSK'. Units and samples by year.</t>
  </si>
  <si>
    <t>TABLE 1 — MACHINES &amp; UNITS BY YEAR</t>
  </si>
  <si>
    <t>Machine Model</t>
  </si>
  <si>
    <t>Units 2026</t>
  </si>
  <si>
    <t>Units 2027</t>
  </si>
  <si>
    <t>Units 2028</t>
  </si>
  <si>
    <t>Samples 2026</t>
  </si>
  <si>
    <t>Samples 2027</t>
  </si>
  <si>
    <t>Samples 2028</t>
  </si>
  <si>
    <t>Sample Type</t>
  </si>
  <si>
    <t>Sampling interval (hrs):</t>
  </si>
  <si>
    <t>TABLE 2 — TOTAL SAMPLES / YEAR (at selected interval)</t>
  </si>
  <si>
    <t>Compr?</t>
  </si>
  <si>
    <t>Cool?</t>
  </si>
  <si>
    <t>Note: counts Engine, Transmission, Hydraulic, Gear oil, Compressor oil, Coolant. Grease excluded. Coolant/Compressor are outside the machine Sample-Point total, so this total differs from Table 2.</t>
  </si>
  <si>
    <t>TABLE 4 — SAMPLES BY TYPE, ENGINE @ 250 HRS</t>
  </si>
  <si>
    <t>Engine (@250 hrs)</t>
  </si>
  <si>
    <t>Note: Engine sampled at 250 hrs (fixed); all other types use the interval selector in H1.</t>
  </si>
  <si>
    <t>DIAMAS vs SGS — OIL ANALYSIS PRICE COMPARISON</t>
  </si>
  <si>
    <t>Per-sample prices (RUB, excl. VAT, discounted). Compressor samples tested as hydraulic oil.</t>
  </si>
  <si>
    <t>PRICE REFERENCE (RUB / sample)</t>
  </si>
  <si>
    <t>Diamas</t>
  </si>
  <si>
    <t>SGS</t>
  </si>
  <si>
    <t>Diff (D−S)</t>
  </si>
  <si>
    <t>Engine / Motor</t>
  </si>
  <si>
    <t>Hydraulic (incl. compressor)</t>
  </si>
  <si>
    <t>n/q</t>
  </si>
  <si>
    <t>—</t>
  </si>
  <si>
    <t>Diesel fuel</t>
  </si>
  <si>
    <t>ANNUAL COST @ 2026 SAMPLE VOLUMES</t>
  </si>
  <si>
    <t>Samples/yr</t>
  </si>
  <si>
    <t>Diamas cost</t>
  </si>
  <si>
    <t>SGS cost</t>
  </si>
  <si>
    <t>Saving (D−S)</t>
  </si>
  <si>
    <t>Transmission + Gear oil</t>
  </si>
  <si>
    <t>Comparable subtotal (excl. coolant — SGS did not quote it)</t>
  </si>
  <si>
    <t>Notes:</t>
  </si>
  <si>
    <t>• Sample volumes = 2026, at the interval selected on the Summary tab (H1). Compressor tested as hydraulic; Gear oil priced as transmission.</t>
  </si>
  <si>
    <t>• SGS did not quote Coolant or Diesel. Diamas is higher per sample on all three core types (see Diff column).</t>
  </si>
  <si>
    <t>Diamas/smpl</t>
  </si>
  <si>
    <t>SGS/smpl</t>
  </si>
  <si>
    <t>Diamas cost 2026</t>
  </si>
  <si>
    <t>SGS cost 2026</t>
  </si>
  <si>
    <t>USD/RUB rate:</t>
  </si>
  <si>
    <t>USD figures = RUB ÷ this rate</t>
  </si>
  <si>
    <t>TABLE 3 — SAMPLES BY TYPE &amp; YEAR (@500 HRS)</t>
  </si>
  <si>
    <t>GEAR EXSOIL HEAVYGEAR РАО CLP ISO 150</t>
  </si>
  <si>
    <t>Редукторное</t>
  </si>
  <si>
    <t>EXSOIL GEARTECH FE 75W90 GL-4/GL-5</t>
  </si>
  <si>
    <t>Трансмиссионная</t>
  </si>
  <si>
    <t>ANTIFREEZE CONCENTRATE G12+</t>
  </si>
  <si>
    <t>Антифриз</t>
  </si>
  <si>
    <t>Смазка ЕР 1</t>
  </si>
  <si>
    <t>EXSOIL UNIGREASE MOLY SYNTH EP 00/0</t>
  </si>
  <si>
    <t>Смазка ЕР 00/0</t>
  </si>
  <si>
    <t>EXSOIL HEAVYGEAR PAO CLP 150</t>
  </si>
  <si>
    <t>EXSOIL ARCTIC CK-4 0W40</t>
  </si>
  <si>
    <t>Моторное масло</t>
  </si>
  <si>
    <t>TRANSMISSION EXSOIL GEARTECH FE 75W-90</t>
  </si>
  <si>
    <t>EXSOIL/NEXXOL UTTO 10W-30</t>
  </si>
  <si>
    <t>Трансмиссионно-гидравлическое</t>
  </si>
  <si>
    <t>Гидравлическое</t>
  </si>
  <si>
    <t>SHELL OMALA S2 GX 150</t>
  </si>
  <si>
    <t>LEMARC LEGUARD 40 0W40</t>
  </si>
  <si>
    <t>LEMARC CARTERRA SH 150</t>
  </si>
  <si>
    <t>LEMARC HYDRARD HVLP-ZF LT 32</t>
  </si>
  <si>
    <t>LEMARC AEROGUARD SH 46</t>
  </si>
  <si>
    <t>Компрессорное</t>
  </si>
  <si>
    <t>LEMARC GEAPARD DVI LV</t>
  </si>
  <si>
    <t>LEMARC GEAPARD X4/X5 75W90</t>
  </si>
  <si>
    <t>LEMARC GEAPARD X5 75W140</t>
  </si>
  <si>
    <t>LEMARC LEGUARD MPV LT</t>
  </si>
  <si>
    <t>Гидротрансформаторное масло</t>
  </si>
  <si>
    <t>LEMARC LEGUARD AC 5W30</t>
  </si>
  <si>
    <t>KATANA HABAKI GL-4/5 75W90</t>
  </si>
  <si>
    <t>ANTIFREEZE G12+ 60/40</t>
  </si>
  <si>
    <t>SHELL OMALA S2 GX 68</t>
  </si>
  <si>
    <t>Name</t>
  </si>
  <si>
    <t>Тип масло</t>
  </si>
  <si>
    <t>Type of lube</t>
  </si>
  <si>
    <t>gearbox</t>
  </si>
  <si>
    <t>transmission</t>
  </si>
  <si>
    <t>coolant</t>
  </si>
  <si>
    <t>grease</t>
  </si>
  <si>
    <t>engine</t>
  </si>
  <si>
    <t>transmission-hydraulic</t>
  </si>
  <si>
    <t>hydraulic</t>
  </si>
  <si>
    <t>compressor</t>
  </si>
  <si>
    <t>torque converter</t>
  </si>
  <si>
    <t>Type of brand</t>
  </si>
  <si>
    <t>Exsoil</t>
  </si>
  <si>
    <t>Nexxol</t>
  </si>
  <si>
    <t>Shell</t>
  </si>
  <si>
    <t>Lemarc</t>
  </si>
  <si>
    <t>Katana</t>
  </si>
  <si>
    <t>Antifreeze</t>
  </si>
  <si>
    <t>Color</t>
  </si>
  <si>
    <t>Combine</t>
  </si>
  <si>
    <t>TEBOIL or LEMARC TO4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</si>
</sst>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[$-409]mmmm\ d\,\ yyyy;@"/>
    <numFmt numFmtId="166" formatCode="_(* #,##0.0_);_(* \(#,##0.0\);_(* &quot;-&quot;??_);_(@_)"/>
    <numFmt numFmtId="167" formatCode="_(* #,##0_);_(* \(#,##0\);_(* &quot;-&quot;??_);_(@_)"/>
    <numFmt numFmtId="168" formatCode="_(* #,##0.0000_);_(* \(#,##0.0000\);_(* &quot;-&quot;??_);_(@_)"/>
    <numFmt numFmtId="169" formatCode="0.0"/>
    <numFmt numFmtId="170" formatCode="[$-409]d\-mmm\-yy;@"/>
    <numFmt numFmtId="171" formatCode="[$-3409]dd\-mmm\-yy;@"/>
  </numFmts>
  <fonts count="9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sz val="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  <charset val="204"/>
    </font>
    <font>
      <b/>
      <sz val="18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sz val="18"/>
      <name val="Arial"/>
      <family val="2"/>
    </font>
    <font>
      <b/>
      <sz val="28"/>
      <color rgb="FF0070C0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sz val="13"/>
      <name val="Arial"/>
      <family val="2"/>
    </font>
    <font>
      <b/>
      <sz val="12"/>
      <name val="Arial"/>
      <family val="2"/>
      <charset val="204"/>
    </font>
    <font>
      <b/>
      <sz val="24"/>
      <name val="Arial"/>
      <family val="2"/>
    </font>
    <font>
      <b/>
      <sz val="16"/>
      <name val="Arial"/>
      <family val="2"/>
      <charset val="204"/>
    </font>
    <font>
      <b/>
      <sz val="12"/>
      <color theme="0"/>
      <name val="Arial"/>
      <family val="2"/>
      <charset val="204"/>
    </font>
    <font>
      <sz val="18"/>
      <color rgb="FFFF0000"/>
      <name val="Arial"/>
      <family val="2"/>
      <charset val="204"/>
    </font>
    <font>
      <b/>
      <sz val="24"/>
      <color rgb="FF0070C0"/>
      <name val="Arial"/>
      <family val="2"/>
      <charset val="204"/>
    </font>
    <font>
      <b/>
      <sz val="18"/>
      <name val="Arial"/>
      <family val="2"/>
      <charset val="204"/>
    </font>
    <font>
      <i/>
      <sz val="18"/>
      <name val="Arial"/>
      <family val="2"/>
    </font>
    <font>
      <b/>
      <sz val="22"/>
      <color rgb="FF002060"/>
      <name val="Arial"/>
      <family val="2"/>
    </font>
    <font>
      <i/>
      <sz val="16"/>
      <name val="Arial"/>
      <family val="2"/>
    </font>
    <font>
      <sz val="22"/>
      <name val="Arial"/>
      <family val="2"/>
    </font>
    <font>
      <sz val="12"/>
      <color theme="1"/>
      <name val="Arial"/>
      <family val="2"/>
    </font>
    <font>
      <b/>
      <sz val="16"/>
      <color rgb="FFFF0000"/>
      <name val="Arial"/>
      <family val="2"/>
    </font>
    <font>
      <b/>
      <sz val="18"/>
      <color theme="0"/>
      <name val="Arial"/>
      <family val="2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sz val="8"/>
      <color theme="0"/>
      <name val="Arial"/>
      <family val="2"/>
    </font>
    <font>
      <b/>
      <sz val="1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8"/>
      <name val="Arial"/>
      <family val="2"/>
      <charset val="204"/>
    </font>
    <font>
      <b/>
      <sz val="18"/>
      <color theme="0"/>
      <name val="Arial"/>
      <family val="2"/>
      <charset val="204"/>
    </font>
    <font>
      <b/>
      <sz val="10"/>
      <color theme="1"/>
      <name val="Arial"/>
      <family val="2"/>
    </font>
    <font>
      <sz val="8"/>
      <name val="Arial"/>
      <family val="2"/>
      <charset val="204"/>
    </font>
    <font>
      <sz val="9"/>
      <name val="Arial"/>
      <family val="2"/>
      <charset val="204"/>
    </font>
    <font>
      <b/>
      <sz val="8.5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u/>
      <sz val="10"/>
      <color theme="10"/>
      <name val="Arial"/>
      <family val="2"/>
      <charset val="204"/>
    </font>
    <font>
      <sz val="8"/>
      <name val="Arial"/>
      <family val="2"/>
      <charset val="204"/>
    </font>
    <font>
      <sz val="9"/>
      <name val="Arial"/>
      <family val="2"/>
    </font>
    <font>
      <sz val="20"/>
      <name val="Arial"/>
      <family val="2"/>
    </font>
    <font>
      <sz val="24"/>
      <name val="Arial"/>
      <family val="2"/>
    </font>
    <font>
      <b/>
      <sz val="14"/>
      <color theme="0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24"/>
      <name val="Arial"/>
      <family val="2"/>
      <charset val="204"/>
    </font>
    <font>
      <b/>
      <sz val="20"/>
      <name val="Arial"/>
      <family val="2"/>
      <charset val="204"/>
    </font>
    <font>
      <b/>
      <sz val="16"/>
      <color rgb="FF000000"/>
      <name val="Arial"/>
      <family val="2"/>
      <charset val="204"/>
    </font>
    <font>
      <i/>
      <sz val="10"/>
      <color rgb="FF595959"/>
      <name val="Arial"/>
      <family val="2"/>
      <charset val="204"/>
    </font>
    <font>
      <sz val="10"/>
      <color rgb="FF808080"/>
      <name val="Arial"/>
      <family val="2"/>
      <charset val="204"/>
    </font>
    <font>
      <b/>
      <sz val="10"/>
      <color rgb="FF0070C0"/>
      <name val="Arial"/>
      <family val="2"/>
      <charset val="204"/>
    </font>
    <font>
      <b/>
      <sz val="10"/>
      <color rgb="FF808080"/>
      <name val="Arial"/>
      <family val="2"/>
      <charset val="204"/>
    </font>
    <font>
      <sz val="10"/>
      <color rgb="FF0070C0"/>
      <name val="Arial"/>
      <family val="2"/>
      <charset val="204"/>
    </font>
    <font>
      <i/>
      <sz val="10"/>
      <color rgb="FF0070C0"/>
      <name val="Arial"/>
      <family val="2"/>
      <charset val="204"/>
    </font>
    <font>
      <sz val="16"/>
      <name val="Arial"/>
      <family val="2"/>
      <charset val="204"/>
    </font>
    <font>
      <sz val="16"/>
      <color rgb="FF0070C0"/>
      <name val="Arial"/>
      <family val="2"/>
      <charset val="204"/>
    </font>
    <font>
      <sz val="16"/>
      <color theme="3" tint="0.39997558519241921"/>
      <name val="Arial"/>
      <family val="2"/>
      <charset val="204"/>
    </font>
    <font>
      <i/>
      <sz val="16"/>
      <color rgb="FF0070C0"/>
      <name val="Arial"/>
      <family val="2"/>
      <charset val="204"/>
    </font>
    <font>
      <i/>
      <u/>
      <sz val="16"/>
      <color theme="3" tint="0.39997558519241921"/>
      <name val="Arial"/>
      <family val="2"/>
      <charset val="204"/>
    </font>
    <font>
      <i/>
      <u/>
      <sz val="16"/>
      <color rgb="FF0070C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rgb="FF000000"/>
      <name val="Arial"/>
      <family val="2"/>
    </font>
    <font>
      <b/>
      <sz val="16"/>
      <color rgb="FF000000"/>
      <name val="Arial"/>
      <family val="2"/>
    </font>
    <font>
      <sz val="10"/>
      <color rgb="FF000000"/>
      <name val="Arial"/>
      <family val="2"/>
    </font>
    <font>
      <b/>
      <sz val="14"/>
      <color rgb="FFFFFFFF"/>
      <name val="Arial"/>
      <family val="2"/>
    </font>
    <font>
      <b/>
      <sz val="16"/>
      <color rgb="FFFFFFFF"/>
      <name val="Arial"/>
      <family val="2"/>
    </font>
    <font>
      <sz val="10"/>
      <color rgb="FFFFFFFF"/>
      <name val="Arial"/>
      <family val="2"/>
      <charset val="204"/>
    </font>
    <font>
      <sz val="10"/>
      <color rgb="FFFFFFFF"/>
      <name val="Arial"/>
      <family val="2"/>
    </font>
    <font>
      <sz val="16"/>
      <color rgb="FFFFFFFF"/>
      <name val="Arial"/>
      <family val="2"/>
    </font>
    <font>
      <b/>
      <sz val="14"/>
      <color rgb="FF000000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6"/>
      <color rgb="FFFF0000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i/>
      <sz val="10"/>
      <color rgb="FF808080"/>
      <name val="Arial"/>
      <family val="2"/>
    </font>
    <font>
      <i/>
      <sz val="10"/>
      <color rgb="FF808080"/>
      <name val="Arial"/>
      <family val="2"/>
      <charset val="204"/>
    </font>
    <font>
      <i/>
      <sz val="10"/>
      <name val="Arial"/>
      <family val="2"/>
      <charset val="204"/>
    </font>
    <font>
      <sz val="10"/>
      <color rgb="FF0000FF"/>
      <name val="Arial"/>
      <family val="2"/>
      <charset val="204"/>
    </font>
    <font>
      <b/>
      <sz val="10"/>
      <color rgb="FF0000FF"/>
      <name val="Arial"/>
      <family val="2"/>
      <charset val="204"/>
    </font>
    <font>
      <sz val="9"/>
      <color rgb="FF808080"/>
      <name val="Arial"/>
      <family val="2"/>
      <charset val="204"/>
    </font>
    <font>
      <i/>
      <sz val="9"/>
      <color rgb="FF808080"/>
      <name val="Arial"/>
      <family val="2"/>
      <charset val="204"/>
    </font>
    <font>
      <b/>
      <i/>
      <sz val="10"/>
      <name val="Arial"/>
      <family val="2"/>
      <charset val="204"/>
    </font>
    <font>
      <sz val="10"/>
      <color theme="8" tint="0.59999389629810485"/>
      <name val="Arial"/>
      <family val="2"/>
      <charset val="204"/>
    </font>
    <font>
      <b/>
      <sz val="10"/>
      <color theme="0"/>
      <name val="Arial"/>
      <family val="2"/>
      <charset val="204"/>
    </font>
  </fonts>
  <fills count="5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00B050"/>
        </stop>
      </gradientFill>
    </fill>
    <fill>
      <patternFill patternType="solid">
        <fgColor theme="4" tint="0.79998168889431442"/>
        <bgColor indexed="64"/>
      </patternFill>
    </fill>
    <fill>
      <gradientFill degree="315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B0B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auto="1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D24E51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/>
      <bottom/>
      <diagonal/>
    </border>
    <border>
      <left style="thick">
        <color rgb="FFFFC000"/>
      </left>
      <right style="thick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8"/>
      </left>
      <right style="thick">
        <color theme="8"/>
      </right>
      <top style="thick">
        <color theme="8"/>
      </top>
      <bottom style="thick">
        <color theme="8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 style="thick">
        <color rgb="FFD24E51"/>
      </left>
      <right style="thick">
        <color rgb="FFD24E51"/>
      </right>
      <top style="thick">
        <color rgb="FFD24E51"/>
      </top>
      <bottom style="thick">
        <color rgb="FFD24E51"/>
      </bottom>
      <diagonal/>
    </border>
  </borders>
  <cellStyleXfs count="7">
    <xf numFmtId="0" fontId="0" fillId="0" borderId="0"/>
    <xf numFmtId="0" fontId="5" fillId="0" borderId="0"/>
    <xf numFmtId="0" fontId="19" fillId="0" borderId="0"/>
    <xf numFmtId="0" fontId="11" fillId="0" borderId="0"/>
    <xf numFmtId="0" fontId="2" fillId="0" borderId="0"/>
    <xf numFmtId="164" fontId="1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530">
    <xf numFmtId="0" fontId="0" fillId="0" borderId="0" xfId="0"/>
    <xf numFmtId="0" fontId="5" fillId="0" borderId="0" xfId="1" applyProtection="1">
      <protection hidden="1"/>
    </xf>
    <xf numFmtId="0" fontId="9" fillId="0" borderId="0" xfId="1" applyFont="1" applyProtection="1">
      <protection hidden="1"/>
    </xf>
    <xf numFmtId="0" fontId="8" fillId="2" borderId="2" xfId="1" applyFont="1" applyFill="1" applyBorder="1" applyProtection="1">
      <protection hidden="1"/>
    </xf>
    <xf numFmtId="0" fontId="8" fillId="2" borderId="0" xfId="1" applyFont="1" applyFill="1" applyProtection="1">
      <protection hidden="1"/>
    </xf>
    <xf numFmtId="0" fontId="8" fillId="2" borderId="9" xfId="1" applyFont="1" applyFill="1" applyBorder="1" applyProtection="1">
      <protection hidden="1"/>
    </xf>
    <xf numFmtId="0" fontId="4" fillId="0" borderId="2" xfId="1" applyFont="1" applyBorder="1" applyProtection="1">
      <protection hidden="1"/>
    </xf>
    <xf numFmtId="0" fontId="5" fillId="0" borderId="8" xfId="1" applyBorder="1" applyProtection="1">
      <protection hidden="1"/>
    </xf>
    <xf numFmtId="0" fontId="5" fillId="0" borderId="1" xfId="1" applyBorder="1" applyProtection="1">
      <protection hidden="1"/>
    </xf>
    <xf numFmtId="0" fontId="5" fillId="0" borderId="10" xfId="1" applyBorder="1" applyProtection="1">
      <protection hidden="1"/>
    </xf>
    <xf numFmtId="0" fontId="5" fillId="0" borderId="9" xfId="1" applyBorder="1" applyProtection="1">
      <protection hidden="1"/>
    </xf>
    <xf numFmtId="0" fontId="3" fillId="0" borderId="0" xfId="1" applyFont="1" applyProtection="1">
      <protection hidden="1"/>
    </xf>
    <xf numFmtId="0" fontId="5" fillId="0" borderId="2" xfId="1" applyBorder="1" applyProtection="1">
      <protection hidden="1"/>
    </xf>
    <xf numFmtId="0" fontId="8" fillId="0" borderId="0" xfId="1" applyFont="1" applyProtection="1">
      <protection hidden="1"/>
    </xf>
    <xf numFmtId="0" fontId="8" fillId="0" borderId="11" xfId="1" applyFont="1" applyBorder="1" applyAlignment="1" applyProtection="1">
      <alignment horizontal="left" vertical="center" shrinkToFit="1"/>
      <protection hidden="1"/>
    </xf>
    <xf numFmtId="0" fontId="8" fillId="0" borderId="11" xfId="1" applyFont="1" applyBorder="1" applyProtection="1">
      <protection hidden="1"/>
    </xf>
    <xf numFmtId="0" fontId="8" fillId="0" borderId="13" xfId="1" applyFont="1" applyBorder="1" applyAlignment="1" applyProtection="1">
      <alignment horizontal="center"/>
      <protection hidden="1"/>
    </xf>
    <xf numFmtId="0" fontId="8" fillId="0" borderId="3" xfId="1" applyFont="1" applyBorder="1" applyAlignment="1" applyProtection="1">
      <alignment horizontal="center" vertical="center" wrapText="1" shrinkToFit="1"/>
      <protection hidden="1"/>
    </xf>
    <xf numFmtId="0" fontId="8" fillId="0" borderId="4" xfId="1" applyFont="1" applyBorder="1" applyAlignment="1" applyProtection="1">
      <alignment horizontal="center" vertical="center" wrapText="1" shrinkToFit="1"/>
      <protection hidden="1"/>
    </xf>
    <xf numFmtId="0" fontId="5" fillId="0" borderId="0" xfId="1" applyAlignment="1" applyProtection="1">
      <alignment wrapText="1"/>
      <protection hidden="1"/>
    </xf>
    <xf numFmtId="0" fontId="7" fillId="0" borderId="2" xfId="1" applyFont="1" applyBorder="1" applyProtection="1">
      <protection hidden="1"/>
    </xf>
    <xf numFmtId="0" fontId="13" fillId="0" borderId="0" xfId="1" applyFont="1" applyProtection="1">
      <protection hidden="1"/>
    </xf>
    <xf numFmtId="0" fontId="8" fillId="0" borderId="9" xfId="1" applyFont="1" applyBorder="1" applyProtection="1">
      <protection hidden="1"/>
    </xf>
    <xf numFmtId="0" fontId="13" fillId="0" borderId="2" xfId="1" applyFont="1" applyBorder="1" applyProtection="1">
      <protection hidden="1"/>
    </xf>
    <xf numFmtId="0" fontId="17" fillId="0" borderId="0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hidden="1"/>
    </xf>
    <xf numFmtId="0" fontId="8" fillId="0" borderId="9" xfId="0" applyFont="1" applyBorder="1" applyProtection="1">
      <protection hidden="1"/>
    </xf>
    <xf numFmtId="0" fontId="7" fillId="0" borderId="2" xfId="0" applyFont="1" applyBorder="1" applyProtection="1">
      <protection hidden="1"/>
    </xf>
    <xf numFmtId="0" fontId="4" fillId="0" borderId="9" xfId="1" applyFont="1" applyBorder="1" applyProtection="1">
      <protection hidden="1"/>
    </xf>
    <xf numFmtId="0" fontId="12" fillId="0" borderId="2" xfId="1" applyFont="1" applyBorder="1" applyProtection="1">
      <protection hidden="1"/>
    </xf>
    <xf numFmtId="0" fontId="16" fillId="0" borderId="0" xfId="1" applyFont="1" applyAlignment="1" applyProtection="1">
      <alignment horizontal="left" vertical="top"/>
      <protection hidden="1"/>
    </xf>
    <xf numFmtId="0" fontId="4" fillId="0" borderId="10" xfId="1" applyFont="1" applyBorder="1" applyAlignment="1" applyProtection="1">
      <alignment vertical="center" wrapText="1" shrinkToFit="1"/>
      <protection hidden="1"/>
    </xf>
    <xf numFmtId="0" fontId="16" fillId="0" borderId="0" xfId="1" applyFont="1" applyAlignment="1" applyProtection="1">
      <alignment horizontal="left" vertical="top" shrinkToFit="1"/>
      <protection hidden="1"/>
    </xf>
    <xf numFmtId="0" fontId="13" fillId="0" borderId="9" xfId="1" applyFont="1" applyBorder="1" applyAlignment="1" applyProtection="1">
      <alignment horizontal="left"/>
      <protection hidden="1"/>
    </xf>
    <xf numFmtId="0" fontId="8" fillId="0" borderId="5" xfId="1" applyFont="1" applyBorder="1" applyAlignment="1" applyProtection="1">
      <alignment horizontal="center" vertical="center" wrapText="1" shrinkToFit="1"/>
      <protection hidden="1"/>
    </xf>
    <xf numFmtId="0" fontId="12" fillId="0" borderId="0" xfId="1" applyFont="1" applyAlignment="1" applyProtection="1">
      <alignment vertical="top"/>
      <protection hidden="1"/>
    </xf>
    <xf numFmtId="0" fontId="4" fillId="0" borderId="11" xfId="1" applyFont="1" applyBorder="1" applyAlignment="1" applyProtection="1">
      <alignment horizontal="left" vertical="center" shrinkToFit="1"/>
      <protection hidden="1"/>
    </xf>
    <xf numFmtId="0" fontId="16" fillId="0" borderId="0" xfId="1" applyFont="1" applyAlignment="1" applyProtection="1">
      <alignment vertical="top"/>
      <protection hidden="1"/>
    </xf>
    <xf numFmtId="0" fontId="9" fillId="0" borderId="10" xfId="1" applyFont="1" applyBorder="1" applyAlignment="1" applyProtection="1">
      <alignment horizontal="center" vertical="center" wrapText="1"/>
      <protection hidden="1"/>
    </xf>
    <xf numFmtId="0" fontId="9" fillId="0" borderId="4" xfId="1" applyFont="1" applyBorder="1" applyAlignment="1" applyProtection="1">
      <alignment horizontal="center" vertical="center" wrapText="1"/>
      <protection hidden="1"/>
    </xf>
    <xf numFmtId="0" fontId="8" fillId="2" borderId="0" xfId="1" applyFont="1" applyFill="1" applyAlignment="1" applyProtection="1">
      <alignment wrapText="1"/>
      <protection hidden="1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6" fillId="0" borderId="5" xfId="1" applyFont="1" applyBorder="1" applyProtection="1">
      <protection hidden="1"/>
    </xf>
    <xf numFmtId="0" fontId="5" fillId="0" borderId="6" xfId="1" applyBorder="1" applyProtection="1">
      <protection hidden="1"/>
    </xf>
    <xf numFmtId="0" fontId="7" fillId="0" borderId="2" xfId="0" applyFont="1" applyBorder="1" applyAlignment="1" applyProtection="1">
      <alignment horizontal="left" vertical="top"/>
      <protection hidden="1"/>
    </xf>
    <xf numFmtId="0" fontId="7" fillId="0" borderId="0" xfId="0" applyFont="1" applyAlignment="1" applyProtection="1">
      <alignment horizontal="left" vertical="top"/>
      <protection hidden="1"/>
    </xf>
    <xf numFmtId="0" fontId="18" fillId="0" borderId="11" xfId="1" applyFont="1" applyBorder="1" applyAlignment="1" applyProtection="1">
      <alignment horizontal="left" vertical="center" shrinkToFit="1"/>
      <protection hidden="1"/>
    </xf>
    <xf numFmtId="0" fontId="8" fillId="0" borderId="8" xfId="1" applyFont="1" applyBorder="1" applyAlignment="1" applyProtection="1">
      <alignment horizontal="center" vertical="center" wrapText="1" shrinkToFit="1"/>
      <protection hidden="1"/>
    </xf>
    <xf numFmtId="0" fontId="20" fillId="0" borderId="11" xfId="1" applyFont="1" applyBorder="1" applyAlignment="1" applyProtection="1">
      <alignment horizontal="center" vertical="center"/>
      <protection hidden="1"/>
    </xf>
    <xf numFmtId="0" fontId="7" fillId="8" borderId="0" xfId="1" applyFont="1" applyFill="1" applyAlignment="1" applyProtection="1">
      <alignment horizontal="center"/>
      <protection hidden="1"/>
    </xf>
    <xf numFmtId="0" fontId="14" fillId="8" borderId="0" xfId="1" applyFont="1" applyFill="1" applyAlignment="1" applyProtection="1">
      <alignment horizontal="left"/>
      <protection hidden="1"/>
    </xf>
    <xf numFmtId="0" fontId="22" fillId="8" borderId="0" xfId="1" applyFont="1" applyFill="1" applyAlignment="1" applyProtection="1">
      <alignment horizontal="center"/>
      <protection hidden="1"/>
    </xf>
    <xf numFmtId="0" fontId="14" fillId="8" borderId="0" xfId="1" applyFont="1" applyFill="1" applyAlignment="1" applyProtection="1">
      <alignment horizontal="left" vertical="center"/>
      <protection hidden="1"/>
    </xf>
    <xf numFmtId="0" fontId="12" fillId="0" borderId="5" xfId="1" applyFont="1" applyBorder="1" applyProtection="1">
      <protection hidden="1"/>
    </xf>
    <xf numFmtId="0" fontId="12" fillId="0" borderId="8" xfId="1" applyFont="1" applyBorder="1" applyProtection="1">
      <protection hidden="1"/>
    </xf>
    <xf numFmtId="0" fontId="25" fillId="0" borderId="0" xfId="1" applyFont="1" applyAlignment="1" applyProtection="1">
      <alignment vertical="center"/>
      <protection hidden="1"/>
    </xf>
    <xf numFmtId="0" fontId="4" fillId="0" borderId="9" xfId="1" applyFont="1" applyBorder="1" applyAlignment="1" applyProtection="1">
      <alignment horizontal="center"/>
      <protection hidden="1"/>
    </xf>
    <xf numFmtId="0" fontId="21" fillId="0" borderId="11" xfId="1" applyFont="1" applyBorder="1" applyAlignment="1" applyProtection="1">
      <alignment horizontal="left" vertical="center" shrinkToFit="1"/>
      <protection hidden="1"/>
    </xf>
    <xf numFmtId="0" fontId="21" fillId="10" borderId="11" xfId="1" applyFont="1" applyFill="1" applyBorder="1" applyAlignment="1">
      <alignment horizontal="center" vertical="center" wrapText="1"/>
    </xf>
    <xf numFmtId="0" fontId="21" fillId="9" borderId="11" xfId="1" applyFont="1" applyFill="1" applyBorder="1" applyAlignment="1" applyProtection="1">
      <alignment horizontal="center" vertical="center" shrinkToFit="1" readingOrder="2"/>
      <protection locked="0"/>
    </xf>
    <xf numFmtId="0" fontId="21" fillId="0" borderId="11" xfId="1" applyFont="1" applyBorder="1" applyAlignment="1">
      <alignment horizontal="center" vertical="center" wrapText="1"/>
    </xf>
    <xf numFmtId="0" fontId="21" fillId="0" borderId="11" xfId="1" applyFont="1" applyBorder="1" applyAlignment="1" applyProtection="1">
      <alignment horizontal="center" vertical="center" shrinkToFit="1" readingOrder="2"/>
      <protection locked="0"/>
    </xf>
    <xf numFmtId="0" fontId="13" fillId="8" borderId="2" xfId="1" applyFont="1" applyFill="1" applyBorder="1" applyAlignment="1" applyProtection="1">
      <alignment horizontal="left"/>
      <protection hidden="1"/>
    </xf>
    <xf numFmtId="0" fontId="7" fillId="8" borderId="0" xfId="1" applyFont="1" applyFill="1" applyAlignment="1" applyProtection="1">
      <alignment horizontal="center" vertical="center" shrinkToFit="1"/>
      <protection hidden="1"/>
    </xf>
    <xf numFmtId="0" fontId="7" fillId="8" borderId="9" xfId="1" applyFont="1" applyFill="1" applyBorder="1" applyAlignment="1" applyProtection="1">
      <alignment horizontal="center"/>
      <protection hidden="1"/>
    </xf>
    <xf numFmtId="0" fontId="10" fillId="0" borderId="5" xfId="1" applyFont="1" applyBorder="1" applyProtection="1">
      <protection hidden="1"/>
    </xf>
    <xf numFmtId="0" fontId="8" fillId="0" borderId="6" xfId="1" applyFont="1" applyBorder="1" applyProtection="1">
      <protection hidden="1"/>
    </xf>
    <xf numFmtId="0" fontId="8" fillId="0" borderId="6" xfId="0" applyFont="1" applyBorder="1" applyProtection="1">
      <protection hidden="1"/>
    </xf>
    <xf numFmtId="0" fontId="4" fillId="0" borderId="12" xfId="1" applyFont="1" applyBorder="1" applyProtection="1">
      <protection hidden="1"/>
    </xf>
    <xf numFmtId="0" fontId="8" fillId="0" borderId="13" xfId="1" applyFont="1" applyBorder="1" applyProtection="1">
      <protection hidden="1"/>
    </xf>
    <xf numFmtId="0" fontId="4" fillId="0" borderId="13" xfId="1" applyFont="1" applyBorder="1" applyProtection="1">
      <protection hidden="1"/>
    </xf>
    <xf numFmtId="0" fontId="9" fillId="0" borderId="13" xfId="1" applyFont="1" applyBorder="1" applyAlignment="1" applyProtection="1">
      <alignment vertical="center"/>
      <protection hidden="1"/>
    </xf>
    <xf numFmtId="0" fontId="8" fillId="0" borderId="14" xfId="1" applyFont="1" applyBorder="1" applyProtection="1">
      <protection hidden="1"/>
    </xf>
    <xf numFmtId="0" fontId="5" fillId="0" borderId="12" xfId="1" applyBorder="1" applyProtection="1">
      <protection hidden="1"/>
    </xf>
    <xf numFmtId="0" fontId="5" fillId="0" borderId="13" xfId="1" applyBorder="1" applyProtection="1">
      <protection hidden="1"/>
    </xf>
    <xf numFmtId="0" fontId="5" fillId="0" borderId="14" xfId="1" applyBorder="1" applyProtection="1">
      <protection hidden="1"/>
    </xf>
    <xf numFmtId="0" fontId="23" fillId="0" borderId="0" xfId="0" applyFont="1" applyAlignment="1" applyProtection="1">
      <alignment vertical="center"/>
      <protection hidden="1"/>
    </xf>
    <xf numFmtId="0" fontId="9" fillId="0" borderId="3" xfId="1" applyFont="1" applyBorder="1" applyAlignment="1" applyProtection="1">
      <alignment horizontal="center" vertical="center" wrapText="1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0" fillId="0" borderId="2" xfId="0" applyBorder="1"/>
    <xf numFmtId="0" fontId="23" fillId="0" borderId="0" xfId="1" applyFont="1" applyAlignment="1" applyProtection="1">
      <alignment horizontal="left" shrinkToFit="1"/>
      <protection hidden="1"/>
    </xf>
    <xf numFmtId="0" fontId="24" fillId="3" borderId="0" xfId="1" applyFont="1" applyFill="1" applyAlignment="1">
      <alignment horizontal="center" vertical="center" shrinkToFit="1"/>
    </xf>
    <xf numFmtId="0" fontId="21" fillId="12" borderId="11" xfId="1" applyFont="1" applyFill="1" applyBorder="1" applyAlignment="1" applyProtection="1">
      <alignment horizontal="center" vertical="center" wrapText="1" shrinkToFit="1"/>
      <protection hidden="1"/>
    </xf>
    <xf numFmtId="0" fontId="3" fillId="0" borderId="7" xfId="1" applyFont="1" applyBorder="1" applyAlignment="1" applyProtection="1">
      <alignment horizontal="right"/>
      <protection hidden="1"/>
    </xf>
    <xf numFmtId="0" fontId="16" fillId="0" borderId="12" xfId="1" applyFont="1" applyBorder="1" applyAlignment="1">
      <alignment vertical="center" shrinkToFit="1"/>
    </xf>
    <xf numFmtId="0" fontId="28" fillId="0" borderId="12" xfId="1" applyFont="1" applyBorder="1" applyAlignment="1">
      <alignment vertical="center" shrinkToFit="1"/>
    </xf>
    <xf numFmtId="0" fontId="16" fillId="0" borderId="12" xfId="1" applyFont="1" applyBorder="1" applyAlignment="1" applyProtection="1">
      <alignment vertical="center" shrinkToFit="1"/>
      <protection locked="0"/>
    </xf>
    <xf numFmtId="0" fontId="16" fillId="2" borderId="0" xfId="1" applyFont="1" applyFill="1" applyProtection="1">
      <protection hidden="1"/>
    </xf>
    <xf numFmtId="0" fontId="14" fillId="0" borderId="5" xfId="1" applyFont="1" applyBorder="1" applyAlignment="1" applyProtection="1">
      <alignment horizontal="center"/>
      <protection hidden="1"/>
    </xf>
    <xf numFmtId="0" fontId="30" fillId="0" borderId="12" xfId="1" applyFont="1" applyBorder="1" applyAlignment="1">
      <alignment vertical="center" shrinkToFit="1"/>
    </xf>
    <xf numFmtId="0" fontId="13" fillId="0" borderId="6" xfId="0" applyFont="1" applyBorder="1" applyProtection="1">
      <protection hidden="1"/>
    </xf>
    <xf numFmtId="0" fontId="9" fillId="0" borderId="3" xfId="1" applyFont="1" applyBorder="1" applyAlignment="1" applyProtection="1">
      <alignment horizontal="center" vertical="center" wrapText="1" shrinkToFit="1"/>
      <protection hidden="1"/>
    </xf>
    <xf numFmtId="0" fontId="14" fillId="0" borderId="6" xfId="1" applyFont="1" applyBorder="1" applyAlignment="1" applyProtection="1">
      <alignment horizontal="center" vertical="center" shrinkToFit="1"/>
      <protection hidden="1"/>
    </xf>
    <xf numFmtId="0" fontId="16" fillId="0" borderId="7" xfId="1" applyFont="1" applyBorder="1" applyAlignment="1" applyProtection="1">
      <alignment horizontal="center" vertical="center"/>
      <protection hidden="1"/>
    </xf>
    <xf numFmtId="0" fontId="16" fillId="0" borderId="3" xfId="1" applyFont="1" applyBorder="1" applyAlignment="1" applyProtection="1">
      <alignment horizontal="center" vertical="center" wrapText="1" shrinkToFit="1"/>
      <protection hidden="1"/>
    </xf>
    <xf numFmtId="0" fontId="16" fillId="0" borderId="12" xfId="1" applyFont="1" applyBorder="1" applyAlignment="1">
      <alignment horizontal="left" vertical="center"/>
    </xf>
    <xf numFmtId="0" fontId="16" fillId="0" borderId="12" xfId="1" applyFont="1" applyBorder="1" applyAlignment="1">
      <alignment vertical="center"/>
    </xf>
    <xf numFmtId="0" fontId="14" fillId="0" borderId="12" xfId="1" applyFont="1" applyBorder="1" applyAlignment="1" applyProtection="1">
      <alignment horizontal="center" vertical="center"/>
      <protection hidden="1"/>
    </xf>
    <xf numFmtId="0" fontId="14" fillId="0" borderId="14" xfId="1" applyFont="1" applyBorder="1" applyAlignment="1" applyProtection="1">
      <alignment horizontal="center" vertical="center"/>
      <protection hidden="1"/>
    </xf>
    <xf numFmtId="0" fontId="14" fillId="2" borderId="2" xfId="1" applyFont="1" applyFill="1" applyBorder="1" applyAlignment="1" applyProtection="1">
      <alignment horizontal="center"/>
      <protection hidden="1"/>
    </xf>
    <xf numFmtId="0" fontId="14" fillId="2" borderId="0" xfId="1" applyFont="1" applyFill="1" applyAlignment="1" applyProtection="1">
      <alignment horizontal="center"/>
      <protection hidden="1"/>
    </xf>
    <xf numFmtId="0" fontId="14" fillId="0" borderId="6" xfId="1" applyFont="1" applyBorder="1" applyAlignment="1" applyProtection="1">
      <alignment horizontal="center"/>
      <protection hidden="1"/>
    </xf>
    <xf numFmtId="0" fontId="28" fillId="0" borderId="12" xfId="1" applyFont="1" applyBorder="1" applyAlignment="1" applyProtection="1">
      <alignment vertical="center" shrinkToFit="1"/>
      <protection locked="0"/>
    </xf>
    <xf numFmtId="0" fontId="12" fillId="8" borderId="0" xfId="1" applyFont="1" applyFill="1" applyAlignment="1" applyProtection="1">
      <alignment horizontal="left"/>
      <protection hidden="1"/>
    </xf>
    <xf numFmtId="0" fontId="12" fillId="0" borderId="5" xfId="1" applyFont="1" applyBorder="1" applyAlignment="1" applyProtection="1">
      <alignment horizontal="left" vertical="center"/>
      <protection hidden="1"/>
    </xf>
    <xf numFmtId="0" fontId="18" fillId="3" borderId="0" xfId="1" applyFont="1" applyFill="1" applyAlignment="1">
      <alignment horizontal="center" vertical="center" shrinkToFit="1"/>
    </xf>
    <xf numFmtId="0" fontId="18" fillId="5" borderId="11" xfId="1" applyFont="1" applyFill="1" applyBorder="1" applyAlignment="1">
      <alignment horizontal="center" vertical="center" shrinkToFit="1"/>
    </xf>
    <xf numFmtId="0" fontId="18" fillId="4" borderId="11" xfId="1" applyFont="1" applyFill="1" applyBorder="1" applyAlignment="1">
      <alignment horizontal="center" vertical="center" shrinkToFit="1"/>
    </xf>
    <xf numFmtId="0" fontId="4" fillId="9" borderId="11" xfId="1" applyFont="1" applyFill="1" applyBorder="1" applyAlignment="1" applyProtection="1">
      <alignment horizontal="center" vertical="center" shrinkToFit="1" readingOrder="2"/>
      <protection locked="0"/>
    </xf>
    <xf numFmtId="0" fontId="18" fillId="0" borderId="11" xfId="1" applyFont="1" applyBorder="1" applyAlignment="1">
      <alignment horizontal="center" vertical="center" shrinkToFit="1"/>
    </xf>
    <xf numFmtId="0" fontId="4" fillId="13" borderId="11" xfId="1" applyFont="1" applyFill="1" applyBorder="1" applyAlignment="1">
      <alignment horizontal="center" vertical="center" shrinkToFit="1"/>
    </xf>
    <xf numFmtId="0" fontId="4" fillId="0" borderId="11" xfId="1" applyFont="1" applyBorder="1" applyAlignment="1">
      <alignment horizontal="center" vertical="center" shrinkToFit="1"/>
    </xf>
    <xf numFmtId="0" fontId="4" fillId="0" borderId="11" xfId="1" applyFont="1" applyBorder="1" applyAlignment="1" applyProtection="1">
      <alignment horizontal="center" vertical="center" shrinkToFit="1" readingOrder="2"/>
      <protection locked="0"/>
    </xf>
    <xf numFmtId="0" fontId="13" fillId="0" borderId="13" xfId="1" applyFont="1" applyBorder="1" applyAlignment="1" applyProtection="1">
      <alignment horizontal="center" vertical="center"/>
      <protection hidden="1"/>
    </xf>
    <xf numFmtId="0" fontId="3" fillId="0" borderId="0" xfId="1" applyFont="1" applyAlignment="1">
      <alignment horizontal="center" vertical="center"/>
    </xf>
    <xf numFmtId="0" fontId="15" fillId="0" borderId="3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32" fillId="0" borderId="7" xfId="1" applyFont="1" applyBorder="1" applyAlignment="1">
      <alignment horizontal="center" vertical="center" textRotation="90" wrapText="1"/>
    </xf>
    <xf numFmtId="0" fontId="7" fillId="0" borderId="3" xfId="1" applyFont="1" applyBorder="1" applyAlignment="1">
      <alignment horizontal="center" vertical="center" textRotation="90" wrapText="1"/>
    </xf>
    <xf numFmtId="0" fontId="34" fillId="5" borderId="11" xfId="1" applyFont="1" applyFill="1" applyBorder="1" applyAlignment="1">
      <alignment horizontal="center" vertical="center" shrinkToFit="1"/>
    </xf>
    <xf numFmtId="0" fontId="7" fillId="15" borderId="11" xfId="1" applyFont="1" applyFill="1" applyBorder="1" applyAlignment="1">
      <alignment horizontal="center" vertical="center" wrapText="1"/>
    </xf>
    <xf numFmtId="0" fontId="5" fillId="0" borderId="0" xfId="1"/>
    <xf numFmtId="0" fontId="35" fillId="0" borderId="11" xfId="1" applyFont="1" applyBorder="1" applyAlignment="1">
      <alignment horizontal="center" wrapText="1"/>
    </xf>
    <xf numFmtId="0" fontId="10" fillId="18" borderId="11" xfId="1" applyFont="1" applyFill="1" applyBorder="1" applyAlignment="1">
      <alignment horizontal="center" vertical="center" wrapText="1"/>
    </xf>
    <xf numFmtId="0" fontId="37" fillId="3" borderId="11" xfId="1" applyFont="1" applyFill="1" applyBorder="1" applyAlignment="1">
      <alignment horizontal="center" vertical="center" wrapText="1"/>
    </xf>
    <xf numFmtId="0" fontId="37" fillId="4" borderId="11" xfId="1" applyFont="1" applyFill="1" applyBorder="1" applyAlignment="1">
      <alignment horizontal="center" vertical="center" wrapText="1"/>
    </xf>
    <xf numFmtId="0" fontId="37" fillId="0" borderId="11" xfId="1" applyFont="1" applyBorder="1" applyAlignment="1">
      <alignment horizontal="center" vertical="center" wrapText="1"/>
    </xf>
    <xf numFmtId="0" fontId="37" fillId="0" borderId="11" xfId="1" applyFont="1" applyBorder="1" applyAlignment="1">
      <alignment horizontal="center" wrapText="1"/>
    </xf>
    <xf numFmtId="0" fontId="37" fillId="0" borderId="11" xfId="1" applyFont="1" applyBorder="1" applyAlignment="1">
      <alignment horizontal="center"/>
    </xf>
    <xf numFmtId="0" fontId="37" fillId="0" borderId="11" xfId="1" applyFont="1" applyBorder="1" applyAlignment="1">
      <alignment horizontal="right"/>
    </xf>
    <xf numFmtId="167" fontId="36" fillId="0" borderId="15" xfId="5" applyNumberFormat="1" applyFont="1" applyFill="1" applyBorder="1" applyAlignment="1">
      <alignment horizontal="right" wrapText="1"/>
    </xf>
    <xf numFmtId="167" fontId="4" fillId="0" borderId="11" xfId="1" applyNumberFormat="1" applyFont="1" applyBorder="1" applyAlignment="1">
      <alignment horizontal="center" vertical="center" wrapText="1"/>
    </xf>
    <xf numFmtId="0" fontId="37" fillId="0" borderId="3" xfId="1" applyFont="1" applyBorder="1" applyAlignment="1">
      <alignment horizontal="center" vertical="center" wrapText="1"/>
    </xf>
    <xf numFmtId="0" fontId="5" fillId="0" borderId="0" xfId="1" applyAlignment="1">
      <alignment horizontal="center"/>
    </xf>
    <xf numFmtId="0" fontId="10" fillId="0" borderId="11" xfId="1" applyFont="1" applyBorder="1" applyAlignment="1">
      <alignment horizontal="center" vertical="center" wrapText="1"/>
    </xf>
    <xf numFmtId="0" fontId="37" fillId="0" borderId="11" xfId="1" applyFont="1" applyBorder="1" applyAlignment="1">
      <alignment horizontal="right" wrapText="1"/>
    </xf>
    <xf numFmtId="0" fontId="10" fillId="0" borderId="11" xfId="1" applyFont="1" applyBorder="1" applyAlignment="1">
      <alignment horizontal="right" vertical="center" wrapText="1"/>
    </xf>
    <xf numFmtId="0" fontId="37" fillId="0" borderId="11" xfId="1" applyFont="1" applyBorder="1" applyAlignment="1">
      <alignment horizontal="right" vertical="center" wrapText="1"/>
    </xf>
    <xf numFmtId="0" fontId="12" fillId="20" borderId="11" xfId="1" applyFont="1" applyFill="1" applyBorder="1" applyAlignment="1">
      <alignment horizontal="center" vertical="center" shrinkToFit="1"/>
    </xf>
    <xf numFmtId="0" fontId="35" fillId="0" borderId="11" xfId="1" applyFont="1" applyBorder="1" applyAlignment="1">
      <alignment horizontal="center" shrinkToFit="1"/>
    </xf>
    <xf numFmtId="0" fontId="10" fillId="0" borderId="3" xfId="1" applyFont="1" applyBorder="1" applyAlignment="1">
      <alignment horizontal="center" vertical="center" wrapText="1"/>
    </xf>
    <xf numFmtId="167" fontId="10" fillId="0" borderId="11" xfId="1" applyNumberFormat="1" applyFont="1" applyBorder="1" applyAlignment="1">
      <alignment horizontal="center" vertical="center" wrapText="1"/>
    </xf>
    <xf numFmtId="0" fontId="35" fillId="0" borderId="3" xfId="1" applyFont="1" applyBorder="1" applyAlignment="1">
      <alignment horizontal="center" wrapText="1"/>
    </xf>
    <xf numFmtId="0" fontId="36" fillId="0" borderId="3" xfId="1" applyFont="1" applyBorder="1" applyAlignment="1">
      <alignment horizontal="right"/>
    </xf>
    <xf numFmtId="167" fontId="36" fillId="0" borderId="16" xfId="5" applyNumberFormat="1" applyFont="1" applyFill="1" applyBorder="1" applyAlignment="1">
      <alignment horizontal="right" wrapText="1"/>
    </xf>
    <xf numFmtId="167" fontId="36" fillId="0" borderId="17" xfId="5" applyNumberFormat="1" applyFont="1" applyFill="1" applyBorder="1" applyAlignment="1">
      <alignment horizontal="right" wrapText="1"/>
    </xf>
    <xf numFmtId="167" fontId="35" fillId="25" borderId="18" xfId="5" applyNumberFormat="1" applyFont="1" applyFill="1" applyBorder="1" applyAlignment="1">
      <alignment horizontal="center" vertical="center"/>
    </xf>
    <xf numFmtId="167" fontId="35" fillId="25" borderId="19" xfId="5" applyNumberFormat="1" applyFont="1" applyFill="1" applyBorder="1" applyAlignment="1">
      <alignment horizontal="center" vertical="center"/>
    </xf>
    <xf numFmtId="167" fontId="35" fillId="25" borderId="20" xfId="5" applyNumberFormat="1" applyFont="1" applyFill="1" applyBorder="1" applyAlignment="1">
      <alignment horizontal="center" vertical="center"/>
    </xf>
    <xf numFmtId="167" fontId="35" fillId="25" borderId="21" xfId="5" applyNumberFormat="1" applyFont="1" applyFill="1" applyBorder="1" applyAlignment="1">
      <alignment horizontal="center" vertical="center"/>
    </xf>
    <xf numFmtId="167" fontId="9" fillId="0" borderId="0" xfId="1" applyNumberFormat="1" applyFont="1"/>
    <xf numFmtId="0" fontId="9" fillId="0" borderId="0" xfId="1" applyFont="1" applyAlignment="1">
      <alignment horizontal="right"/>
    </xf>
    <xf numFmtId="0" fontId="9" fillId="0" borderId="0" xfId="1" applyFont="1"/>
    <xf numFmtId="0" fontId="35" fillId="7" borderId="0" xfId="1" applyFont="1" applyFill="1" applyAlignment="1">
      <alignment horizontal="center" vertical="center"/>
    </xf>
    <xf numFmtId="167" fontId="16" fillId="0" borderId="0" xfId="1" applyNumberFormat="1" applyFont="1" applyAlignment="1">
      <alignment shrinkToFit="1"/>
    </xf>
    <xf numFmtId="0" fontId="16" fillId="0" borderId="0" xfId="1" applyFont="1" applyAlignment="1">
      <alignment horizontal="right" shrinkToFit="1"/>
    </xf>
    <xf numFmtId="0" fontId="16" fillId="0" borderId="0" xfId="1" applyFont="1" applyAlignment="1">
      <alignment shrinkToFit="1"/>
    </xf>
    <xf numFmtId="167" fontId="35" fillId="7" borderId="0" xfId="5" applyNumberFormat="1" applyFont="1" applyFill="1" applyBorder="1"/>
    <xf numFmtId="167" fontId="35" fillId="0" borderId="0" xfId="5" applyNumberFormat="1" applyFont="1" applyFill="1" applyBorder="1"/>
    <xf numFmtId="0" fontId="39" fillId="3" borderId="0" xfId="1" applyFont="1" applyFill="1" applyAlignment="1">
      <alignment horizontal="center" vertical="center" wrapText="1" shrinkToFit="1"/>
    </xf>
    <xf numFmtId="0" fontId="16" fillId="0" borderId="0" xfId="1" applyFont="1" applyAlignment="1">
      <alignment horizontal="center" shrinkToFit="1"/>
    </xf>
    <xf numFmtId="0" fontId="12" fillId="19" borderId="11" xfId="1" applyFont="1" applyFill="1" applyBorder="1" applyAlignment="1">
      <alignment horizontal="center" vertical="center" shrinkToFit="1"/>
    </xf>
    <xf numFmtId="0" fontId="34" fillId="16" borderId="11" xfId="1" applyFont="1" applyFill="1" applyBorder="1" applyAlignment="1">
      <alignment horizontal="center" vertical="center" shrinkToFit="1"/>
    </xf>
    <xf numFmtId="0" fontId="34" fillId="0" borderId="0" xfId="1" applyFont="1" applyAlignment="1">
      <alignment horizontal="center" vertical="center" shrinkToFit="1"/>
    </xf>
    <xf numFmtId="0" fontId="27" fillId="0" borderId="0" xfId="1" applyFont="1" applyAlignment="1">
      <alignment horizontal="center" vertical="center" wrapText="1"/>
    </xf>
    <xf numFmtId="0" fontId="12" fillId="15" borderId="11" xfId="1" applyFont="1" applyFill="1" applyBorder="1" applyAlignment="1">
      <alignment horizontal="center" vertical="center" shrinkToFit="1"/>
    </xf>
    <xf numFmtId="0" fontId="12" fillId="11" borderId="11" xfId="1" applyFont="1" applyFill="1" applyBorder="1" applyAlignment="1">
      <alignment horizontal="center" vertical="center" shrinkToFit="1"/>
    </xf>
    <xf numFmtId="0" fontId="34" fillId="6" borderId="11" xfId="1" applyFont="1" applyFill="1" applyBorder="1" applyAlignment="1">
      <alignment horizontal="center" vertical="center" shrinkToFit="1"/>
    </xf>
    <xf numFmtId="0" fontId="40" fillId="13" borderId="11" xfId="1" applyFont="1" applyFill="1" applyBorder="1" applyAlignment="1">
      <alignment vertical="center" shrinkToFit="1"/>
    </xf>
    <xf numFmtId="0" fontId="34" fillId="0" borderId="0" xfId="1" applyFont="1" applyAlignment="1">
      <alignment horizontal="right" vertical="center" shrinkToFit="1"/>
    </xf>
    <xf numFmtId="0" fontId="41" fillId="18" borderId="11" xfId="1" applyFont="1" applyFill="1" applyBorder="1" applyAlignment="1">
      <alignment horizontal="center" vertical="center" wrapText="1"/>
    </xf>
    <xf numFmtId="0" fontId="42" fillId="26" borderId="11" xfId="1" applyFont="1" applyFill="1" applyBorder="1" applyAlignment="1">
      <alignment horizontal="center" vertical="center" wrapText="1" shrinkToFit="1"/>
    </xf>
    <xf numFmtId="0" fontId="34" fillId="24" borderId="11" xfId="1" applyFont="1" applyFill="1" applyBorder="1" applyAlignment="1">
      <alignment horizontal="center" vertical="center" shrinkToFit="1"/>
    </xf>
    <xf numFmtId="0" fontId="37" fillId="22" borderId="14" xfId="1" applyFont="1" applyFill="1" applyBorder="1" applyAlignment="1">
      <alignment horizontal="center" vertical="center" wrapText="1"/>
    </xf>
    <xf numFmtId="0" fontId="43" fillId="0" borderId="0" xfId="1" applyFont="1" applyAlignment="1">
      <alignment horizontal="center"/>
    </xf>
    <xf numFmtId="0" fontId="44" fillId="0" borderId="0" xfId="1" applyFont="1" applyAlignment="1">
      <alignment horizontal="center" vertical="center" wrapText="1"/>
    </xf>
    <xf numFmtId="0" fontId="34" fillId="27" borderId="11" xfId="1" applyFont="1" applyFill="1" applyBorder="1" applyAlignment="1">
      <alignment horizontal="center" vertical="center" shrinkToFit="1"/>
    </xf>
    <xf numFmtId="0" fontId="12" fillId="0" borderId="11" xfId="1" applyFont="1" applyBorder="1" applyAlignment="1">
      <alignment horizontal="center" vertical="center" shrinkToFit="1"/>
    </xf>
    <xf numFmtId="0" fontId="12" fillId="0" borderId="0" xfId="1" applyFont="1" applyAlignment="1">
      <alignment horizontal="center" vertical="center" shrinkToFit="1"/>
    </xf>
    <xf numFmtId="0" fontId="23" fillId="0" borderId="0" xfId="1" applyFont="1" applyAlignment="1">
      <alignment horizontal="center" vertical="center" wrapText="1"/>
    </xf>
    <xf numFmtId="0" fontId="45" fillId="0" borderId="0" xfId="1" applyFont="1" applyAlignment="1">
      <alignment vertical="center" shrinkToFit="1"/>
    </xf>
    <xf numFmtId="0" fontId="18" fillId="0" borderId="0" xfId="1" applyFont="1" applyAlignment="1">
      <alignment horizontal="right" vertical="center" wrapText="1"/>
    </xf>
    <xf numFmtId="0" fontId="10" fillId="0" borderId="0" xfId="1" applyFont="1" applyAlignment="1">
      <alignment horizontal="center" vertical="center" wrapText="1"/>
    </xf>
    <xf numFmtId="0" fontId="34" fillId="17" borderId="11" xfId="1" applyFont="1" applyFill="1" applyBorder="1" applyAlignment="1">
      <alignment horizontal="center" vertical="center" shrinkToFit="1"/>
    </xf>
    <xf numFmtId="0" fontId="12" fillId="23" borderId="11" xfId="1" applyFont="1" applyFill="1" applyBorder="1" applyAlignment="1">
      <alignment horizontal="center" vertical="center" shrinkToFit="1"/>
    </xf>
    <xf numFmtId="0" fontId="35" fillId="7" borderId="0" xfId="1" applyFont="1" applyFill="1"/>
    <xf numFmtId="0" fontId="35" fillId="0" borderId="0" xfId="1" applyFont="1"/>
    <xf numFmtId="167" fontId="35" fillId="0" borderId="0" xfId="1" applyNumberFormat="1" applyFont="1"/>
    <xf numFmtId="0" fontId="5" fillId="0" borderId="0" xfId="1" applyAlignment="1">
      <alignment horizontal="right"/>
    </xf>
    <xf numFmtId="0" fontId="12" fillId="21" borderId="11" xfId="1" applyFont="1" applyFill="1" applyBorder="1" applyAlignment="1">
      <alignment horizontal="center" vertical="center" shrinkToFit="1"/>
    </xf>
    <xf numFmtId="164" fontId="5" fillId="0" borderId="0" xfId="1" applyNumberFormat="1"/>
    <xf numFmtId="0" fontId="10" fillId="0" borderId="7" xfId="1" applyFont="1" applyBorder="1" applyAlignment="1">
      <alignment horizontal="center" vertical="center" wrapText="1"/>
    </xf>
    <xf numFmtId="167" fontId="35" fillId="25" borderId="0" xfId="5" applyNumberFormat="1" applyFont="1" applyFill="1" applyBorder="1" applyAlignment="1">
      <alignment horizontal="center" vertical="center"/>
    </xf>
    <xf numFmtId="168" fontId="35" fillId="25" borderId="22" xfId="5" applyNumberFormat="1" applyFont="1" applyFill="1" applyBorder="1" applyAlignment="1">
      <alignment horizontal="center" vertical="center"/>
    </xf>
    <xf numFmtId="168" fontId="35" fillId="25" borderId="23" xfId="5" applyNumberFormat="1" applyFont="1" applyFill="1" applyBorder="1" applyAlignment="1">
      <alignment horizontal="center" vertical="center"/>
    </xf>
    <xf numFmtId="168" fontId="35" fillId="25" borderId="24" xfId="5" applyNumberFormat="1" applyFont="1" applyFill="1" applyBorder="1" applyAlignment="1">
      <alignment horizontal="center" vertical="center"/>
    </xf>
    <xf numFmtId="0" fontId="35" fillId="25" borderId="18" xfId="1" applyFont="1" applyFill="1" applyBorder="1" applyAlignment="1">
      <alignment horizontal="center" vertical="center"/>
    </xf>
    <xf numFmtId="0" fontId="15" fillId="0" borderId="3" xfId="1" applyFont="1" applyBorder="1" applyAlignment="1">
      <alignment vertical="center" wrapText="1"/>
    </xf>
    <xf numFmtId="0" fontId="35" fillId="0" borderId="3" xfId="1" applyFont="1" applyBorder="1" applyAlignment="1">
      <alignment horizontal="center" shrinkToFit="1"/>
    </xf>
    <xf numFmtId="0" fontId="21" fillId="0" borderId="11" xfId="1" applyFont="1" applyBorder="1" applyAlignment="1" applyProtection="1">
      <alignment horizontal="center" vertical="center" shrinkToFit="1"/>
      <protection hidden="1"/>
    </xf>
    <xf numFmtId="0" fontId="10" fillId="0" borderId="11" xfId="1" applyFont="1" applyBorder="1" applyAlignment="1">
      <alignment horizontal="center" wrapText="1"/>
    </xf>
    <xf numFmtId="0" fontId="16" fillId="0" borderId="0" xfId="1" applyFont="1" applyAlignment="1">
      <alignment horizontal="center"/>
    </xf>
    <xf numFmtId="0" fontId="10" fillId="0" borderId="11" xfId="1" applyFont="1" applyBorder="1" applyAlignment="1">
      <alignment horizontal="center"/>
    </xf>
    <xf numFmtId="0" fontId="10" fillId="0" borderId="11" xfId="1" applyFont="1" applyBorder="1" applyAlignment="1">
      <alignment horizontal="right"/>
    </xf>
    <xf numFmtId="0" fontId="10" fillId="0" borderId="11" xfId="1" applyFont="1" applyBorder="1" applyAlignment="1">
      <alignment horizontal="right" wrapText="1"/>
    </xf>
    <xf numFmtId="0" fontId="0" fillId="0" borderId="0" xfId="0" applyAlignment="1">
      <alignment horizontal="center"/>
    </xf>
    <xf numFmtId="171" fontId="0" fillId="0" borderId="0" xfId="0" applyNumberFormat="1"/>
    <xf numFmtId="170" fontId="0" fillId="0" borderId="0" xfId="0" applyNumberFormat="1" applyAlignment="1">
      <alignment horizontal="center" vertical="center"/>
    </xf>
    <xf numFmtId="0" fontId="47" fillId="0" borderId="0" xfId="0" applyFont="1"/>
    <xf numFmtId="170" fontId="46" fillId="28" borderId="6" xfId="0" applyNumberFormat="1" applyFont="1" applyFill="1" applyBorder="1"/>
    <xf numFmtId="170" fontId="46" fillId="28" borderId="7" xfId="0" applyNumberFormat="1" applyFont="1" applyFill="1" applyBorder="1"/>
    <xf numFmtId="170" fontId="46" fillId="28" borderId="9" xfId="0" applyNumberFormat="1" applyFont="1" applyFill="1" applyBorder="1"/>
    <xf numFmtId="0" fontId="46" fillId="28" borderId="9" xfId="0" applyFont="1" applyFill="1" applyBorder="1"/>
    <xf numFmtId="0" fontId="46" fillId="28" borderId="1" xfId="0" applyFont="1" applyFill="1" applyBorder="1"/>
    <xf numFmtId="0" fontId="46" fillId="28" borderId="10" xfId="0" applyFont="1" applyFill="1" applyBorder="1"/>
    <xf numFmtId="0" fontId="46" fillId="28" borderId="26" xfId="0" applyFont="1" applyFill="1" applyBorder="1" applyAlignment="1">
      <alignment horizontal="left" vertical="center"/>
    </xf>
    <xf numFmtId="170" fontId="46" fillId="28" borderId="29" xfId="0" applyNumberFormat="1" applyFont="1" applyFill="1" applyBorder="1" applyAlignment="1">
      <alignment horizontal="left" vertical="center"/>
    </xf>
    <xf numFmtId="0" fontId="46" fillId="28" borderId="29" xfId="0" applyFont="1" applyFill="1" applyBorder="1" applyAlignment="1">
      <alignment horizontal="left" vertical="center"/>
    </xf>
    <xf numFmtId="0" fontId="46" fillId="28" borderId="32" xfId="0" applyFont="1" applyFill="1" applyBorder="1" applyAlignment="1">
      <alignment horizontal="left" vertical="center"/>
    </xf>
    <xf numFmtId="0" fontId="50" fillId="13" borderId="0" xfId="0" applyFont="1" applyFill="1"/>
    <xf numFmtId="0" fontId="50" fillId="0" borderId="0" xfId="0" applyFont="1"/>
    <xf numFmtId="0" fontId="50" fillId="0" borderId="11" xfId="0" applyFont="1" applyBorder="1" applyAlignment="1">
      <alignment vertical="center" wrapText="1"/>
    </xf>
    <xf numFmtId="170" fontId="50" fillId="0" borderId="11" xfId="0" applyNumberFormat="1" applyFont="1" applyBorder="1" applyAlignment="1">
      <alignment horizontal="center" vertical="center" wrapText="1"/>
    </xf>
    <xf numFmtId="0" fontId="50" fillId="0" borderId="11" xfId="0" applyFont="1" applyBorder="1" applyAlignment="1">
      <alignment horizontal="center" vertical="center" wrapText="1"/>
    </xf>
    <xf numFmtId="0" fontId="47" fillId="0" borderId="11" xfId="0" applyFont="1" applyBorder="1"/>
    <xf numFmtId="170" fontId="47" fillId="0" borderId="11" xfId="0" applyNumberFormat="1" applyFont="1" applyBorder="1" applyAlignment="1">
      <alignment horizontal="center" vertical="center"/>
    </xf>
    <xf numFmtId="0" fontId="51" fillId="0" borderId="11" xfId="0" applyFont="1" applyBorder="1"/>
    <xf numFmtId="171" fontId="47" fillId="0" borderId="11" xfId="0" applyNumberFormat="1" applyFont="1" applyBorder="1"/>
    <xf numFmtId="0" fontId="47" fillId="0" borderId="11" xfId="0" applyFont="1" applyBorder="1" applyAlignment="1">
      <alignment horizontal="center"/>
    </xf>
    <xf numFmtId="0" fontId="47" fillId="0" borderId="11" xfId="0" applyFont="1" applyBorder="1" applyAlignment="1">
      <alignment horizontal="right"/>
    </xf>
    <xf numFmtId="0" fontId="52" fillId="0" borderId="0" xfId="6"/>
    <xf numFmtId="170" fontId="46" fillId="28" borderId="0" xfId="0" applyNumberFormat="1" applyFont="1" applyFill="1"/>
    <xf numFmtId="0" fontId="46" fillId="28" borderId="0" xfId="0" applyFont="1" applyFill="1"/>
    <xf numFmtId="0" fontId="5" fillId="0" borderId="11" xfId="1" applyBorder="1"/>
    <xf numFmtId="0" fontId="5" fillId="0" borderId="11" xfId="1" applyBorder="1" applyAlignment="1">
      <alignment horizontal="center"/>
    </xf>
    <xf numFmtId="0" fontId="34" fillId="4" borderId="0" xfId="1" applyFont="1" applyFill="1" applyAlignment="1">
      <alignment horizontal="center" vertical="center" shrinkToFit="1"/>
    </xf>
    <xf numFmtId="0" fontId="12" fillId="11" borderId="0" xfId="1" applyFont="1" applyFill="1" applyAlignment="1">
      <alignment horizontal="center" vertical="center" shrinkToFit="1"/>
    </xf>
    <xf numFmtId="0" fontId="34" fillId="6" borderId="0" xfId="1" applyFont="1" applyFill="1" applyAlignment="1">
      <alignment horizontal="center" vertical="center" shrinkToFit="1"/>
    </xf>
    <xf numFmtId="0" fontId="40" fillId="13" borderId="0" xfId="1" applyFont="1" applyFill="1" applyAlignment="1">
      <alignment vertical="center" shrinkToFit="1"/>
    </xf>
    <xf numFmtId="0" fontId="41" fillId="18" borderId="0" xfId="1" applyFont="1" applyFill="1" applyAlignment="1">
      <alignment horizontal="center" vertical="center" wrapText="1"/>
    </xf>
    <xf numFmtId="0" fontId="42" fillId="26" borderId="0" xfId="1" applyFont="1" applyFill="1" applyAlignment="1">
      <alignment horizontal="center" vertical="center" wrapText="1" shrinkToFit="1"/>
    </xf>
    <xf numFmtId="0" fontId="34" fillId="17" borderId="0" xfId="1" applyFont="1" applyFill="1" applyAlignment="1">
      <alignment horizontal="center" vertical="center" shrinkToFit="1"/>
    </xf>
    <xf numFmtId="0" fontId="34" fillId="24" borderId="0" xfId="1" applyFont="1" applyFill="1" applyAlignment="1">
      <alignment horizontal="center" vertical="center" shrinkToFit="1"/>
    </xf>
    <xf numFmtId="0" fontId="12" fillId="23" borderId="0" xfId="1" applyFont="1" applyFill="1" applyAlignment="1">
      <alignment horizontal="center" vertical="center" shrinkToFit="1"/>
    </xf>
    <xf numFmtId="0" fontId="12" fillId="20" borderId="0" xfId="1" applyFont="1" applyFill="1" applyAlignment="1">
      <alignment horizontal="center" vertical="center" shrinkToFit="1"/>
    </xf>
    <xf numFmtId="0" fontId="13" fillId="0" borderId="0" xfId="1" applyFont="1" applyAlignment="1">
      <alignment horizontal="center"/>
    </xf>
    <xf numFmtId="0" fontId="54" fillId="29" borderId="0" xfId="1" applyFont="1" applyFill="1" applyAlignment="1">
      <alignment horizontal="center" vertical="center" wrapText="1"/>
    </xf>
    <xf numFmtId="0" fontId="5" fillId="30" borderId="0" xfId="1" applyFill="1" applyAlignment="1">
      <alignment wrapText="1"/>
    </xf>
    <xf numFmtId="0" fontId="34" fillId="4" borderId="11" xfId="1" applyFont="1" applyFill="1" applyBorder="1" applyAlignment="1">
      <alignment horizontal="center" vertical="center" wrapText="1" shrinkToFit="1"/>
    </xf>
    <xf numFmtId="0" fontId="36" fillId="0" borderId="3" xfId="1" applyFont="1" applyBorder="1" applyAlignment="1">
      <alignment horizontal="right" wrapText="1"/>
    </xf>
    <xf numFmtId="0" fontId="10" fillId="0" borderId="3" xfId="1" applyFont="1" applyBorder="1" applyAlignment="1">
      <alignment horizontal="center"/>
    </xf>
    <xf numFmtId="168" fontId="35" fillId="25" borderId="0" xfId="5" applyNumberFormat="1" applyFont="1" applyFill="1" applyBorder="1" applyAlignment="1">
      <alignment horizontal="center" vertical="center"/>
    </xf>
    <xf numFmtId="0" fontId="38" fillId="0" borderId="11" xfId="1" applyFont="1" applyBorder="1" applyAlignment="1">
      <alignment horizontal="center" vertical="center" wrapText="1"/>
    </xf>
    <xf numFmtId="0" fontId="10" fillId="13" borderId="11" xfId="1" applyFont="1" applyFill="1" applyBorder="1" applyAlignment="1">
      <alignment horizontal="center"/>
    </xf>
    <xf numFmtId="0" fontId="5" fillId="29" borderId="11" xfId="1" applyFill="1" applyBorder="1"/>
    <xf numFmtId="0" fontId="10" fillId="29" borderId="11" xfId="1" applyFont="1" applyFill="1" applyBorder="1" applyAlignment="1">
      <alignment horizontal="center" wrapText="1"/>
    </xf>
    <xf numFmtId="0" fontId="55" fillId="29" borderId="11" xfId="1" applyFont="1" applyFill="1" applyBorder="1" applyAlignment="1">
      <alignment horizontal="center"/>
    </xf>
    <xf numFmtId="0" fontId="54" fillId="29" borderId="11" xfId="1" applyFont="1" applyFill="1" applyBorder="1" applyAlignment="1">
      <alignment horizontal="center" vertical="center" wrapText="1"/>
    </xf>
    <xf numFmtId="0" fontId="55" fillId="29" borderId="11" xfId="1" applyFont="1" applyFill="1" applyBorder="1"/>
    <xf numFmtId="0" fontId="56" fillId="29" borderId="11" xfId="1" applyFont="1" applyFill="1" applyBorder="1"/>
    <xf numFmtId="0" fontId="13" fillId="0" borderId="11" xfId="1" applyFont="1" applyBorder="1"/>
    <xf numFmtId="0" fontId="13" fillId="0" borderId="0" xfId="1" applyFont="1"/>
    <xf numFmtId="0" fontId="7" fillId="0" borderId="11" xfId="1" applyFont="1" applyBorder="1" applyAlignment="1">
      <alignment horizontal="center" vertical="center" wrapText="1"/>
    </xf>
    <xf numFmtId="0" fontId="36" fillId="0" borderId="11" xfId="1" applyFont="1" applyBorder="1" applyAlignment="1">
      <alignment horizontal="center" vertical="center" wrapText="1"/>
    </xf>
    <xf numFmtId="0" fontId="13" fillId="0" borderId="11" xfId="1" applyFont="1" applyBorder="1" applyAlignment="1">
      <alignment wrapText="1"/>
    </xf>
    <xf numFmtId="0" fontId="7" fillId="5" borderId="11" xfId="1" applyFont="1" applyFill="1" applyBorder="1" applyAlignment="1">
      <alignment horizontal="center" vertical="center" wrapText="1"/>
    </xf>
    <xf numFmtId="0" fontId="36" fillId="0" borderId="3" xfId="1" applyFont="1" applyBorder="1" applyAlignment="1">
      <alignment horizontal="center" vertical="center" textRotation="90" wrapText="1"/>
    </xf>
    <xf numFmtId="0" fontId="33" fillId="0" borderId="3" xfId="1" applyFont="1" applyBorder="1" applyAlignment="1">
      <alignment horizontal="center" vertical="center" textRotation="90" wrapText="1"/>
    </xf>
    <xf numFmtId="0" fontId="50" fillId="0" borderId="0" xfId="1" applyFont="1"/>
    <xf numFmtId="167" fontId="35" fillId="0" borderId="16" xfId="5" applyNumberFormat="1" applyFont="1" applyFill="1" applyBorder="1" applyAlignment="1">
      <alignment horizontal="right" wrapText="1"/>
    </xf>
    <xf numFmtId="167" fontId="35" fillId="0" borderId="17" xfId="5" applyNumberFormat="1" applyFont="1" applyFill="1" applyBorder="1" applyAlignment="1">
      <alignment horizontal="right" wrapText="1"/>
    </xf>
    <xf numFmtId="167" fontId="35" fillId="0" borderId="15" xfId="5" applyNumberFormat="1" applyFont="1" applyFill="1" applyBorder="1" applyAlignment="1">
      <alignment horizontal="right" wrapText="1"/>
    </xf>
    <xf numFmtId="167" fontId="35" fillId="0" borderId="11" xfId="1" applyNumberFormat="1" applyFont="1" applyBorder="1" applyAlignment="1">
      <alignment horizontal="center" vertical="center" wrapText="1"/>
    </xf>
    <xf numFmtId="0" fontId="35" fillId="18" borderId="11" xfId="1" applyFont="1" applyFill="1" applyBorder="1" applyAlignment="1">
      <alignment horizontal="center" vertical="center" wrapText="1"/>
    </xf>
    <xf numFmtId="0" fontId="35" fillId="0" borderId="11" xfId="1" applyFont="1" applyBorder="1" applyAlignment="1">
      <alignment horizontal="center" vertical="center" wrapText="1"/>
    </xf>
    <xf numFmtId="0" fontId="57" fillId="3" borderId="11" xfId="1" applyFont="1" applyFill="1" applyBorder="1" applyAlignment="1">
      <alignment horizontal="center" vertical="center" wrapText="1"/>
    </xf>
    <xf numFmtId="0" fontId="23" fillId="15" borderId="11" xfId="1" applyFont="1" applyFill="1" applyBorder="1" applyAlignment="1">
      <alignment horizontal="center" vertical="center" wrapText="1"/>
    </xf>
    <xf numFmtId="0" fontId="57" fillId="4" borderId="11" xfId="1" applyFont="1" applyFill="1" applyBorder="1" applyAlignment="1">
      <alignment horizontal="center" vertical="center" wrapText="1"/>
    </xf>
    <xf numFmtId="0" fontId="23" fillId="0" borderId="11" xfId="1" applyFont="1" applyBorder="1" applyAlignment="1">
      <alignment horizontal="center" vertical="center" wrapText="1"/>
    </xf>
    <xf numFmtId="0" fontId="58" fillId="0" borderId="11" xfId="1" applyFont="1" applyBorder="1" applyAlignment="1">
      <alignment horizontal="center" vertical="center" wrapText="1"/>
    </xf>
    <xf numFmtId="0" fontId="57" fillId="0" borderId="11" xfId="1" applyFont="1" applyBorder="1" applyAlignment="1">
      <alignment horizontal="center" vertical="center" wrapText="1"/>
    </xf>
    <xf numFmtId="0" fontId="35" fillId="0" borderId="11" xfId="1" applyFont="1" applyBorder="1" applyAlignment="1">
      <alignment horizontal="center"/>
    </xf>
    <xf numFmtId="0" fontId="50" fillId="29" borderId="11" xfId="1" applyFont="1" applyFill="1" applyBorder="1"/>
    <xf numFmtId="0" fontId="35" fillId="0" borderId="11" xfId="1" applyFont="1" applyBorder="1" applyAlignment="1">
      <alignment horizontal="right"/>
    </xf>
    <xf numFmtId="0" fontId="59" fillId="29" borderId="11" xfId="1" applyFont="1" applyFill="1" applyBorder="1"/>
    <xf numFmtId="0" fontId="35" fillId="0" borderId="11" xfId="1" applyFont="1" applyBorder="1" applyAlignment="1">
      <alignment horizontal="right" vertical="center" wrapText="1"/>
    </xf>
    <xf numFmtId="0" fontId="50" fillId="0" borderId="11" xfId="1" applyFont="1" applyBorder="1"/>
    <xf numFmtId="0" fontId="23" fillId="5" borderId="11" xfId="1" applyFont="1" applyFill="1" applyBorder="1" applyAlignment="1">
      <alignment horizontal="center" vertical="center" wrapText="1"/>
    </xf>
    <xf numFmtId="0" fontId="60" fillId="29" borderId="11" xfId="1" applyFont="1" applyFill="1" applyBorder="1" applyAlignment="1">
      <alignment horizontal="center"/>
    </xf>
    <xf numFmtId="0" fontId="61" fillId="0" borderId="0" xfId="0" applyFont="1"/>
    <xf numFmtId="0" fontId="62" fillId="0" borderId="0" xfId="0" applyFont="1"/>
    <xf numFmtId="0" fontId="21" fillId="31" borderId="0" xfId="0" applyFont="1" applyFill="1"/>
    <xf numFmtId="0" fontId="0" fillId="31" borderId="0" xfId="0" applyFill="1"/>
    <xf numFmtId="0" fontId="50" fillId="32" borderId="0" xfId="0" applyFont="1" applyFill="1"/>
    <xf numFmtId="0" fontId="64" fillId="0" borderId="0" xfId="0" applyFont="1"/>
    <xf numFmtId="0" fontId="67" fillId="0" borderId="0" xfId="0" applyFont="1"/>
    <xf numFmtId="0" fontId="50" fillId="32" borderId="35" xfId="0" applyFont="1" applyFill="1" applyBorder="1"/>
    <xf numFmtId="0" fontId="0" fillId="0" borderId="35" xfId="0" applyBorder="1"/>
    <xf numFmtId="0" fontId="63" fillId="0" borderId="35" xfId="0" applyFont="1" applyBorder="1"/>
    <xf numFmtId="0" fontId="50" fillId="0" borderId="35" xfId="0" applyFont="1" applyBorder="1"/>
    <xf numFmtId="0" fontId="64" fillId="0" borderId="35" xfId="0" applyFont="1" applyBorder="1"/>
    <xf numFmtId="0" fontId="65" fillId="0" borderId="35" xfId="0" applyFont="1" applyBorder="1"/>
    <xf numFmtId="0" fontId="68" fillId="0" borderId="3" xfId="1" applyFont="1" applyBorder="1" applyAlignment="1">
      <alignment horizontal="center" vertical="center" wrapText="1"/>
    </xf>
    <xf numFmtId="0" fontId="69" fillId="0" borderId="3" xfId="1" applyFont="1" applyBorder="1" applyAlignment="1">
      <alignment shrinkToFit="1"/>
    </xf>
    <xf numFmtId="0" fontId="69" fillId="0" borderId="11" xfId="1" applyFont="1" applyBorder="1" applyAlignment="1">
      <alignment shrinkToFit="1"/>
    </xf>
    <xf numFmtId="0" fontId="70" fillId="13" borderId="3" xfId="1" applyFont="1" applyFill="1" applyBorder="1" applyAlignment="1">
      <alignment wrapText="1"/>
    </xf>
    <xf numFmtId="0" fontId="71" fillId="0" borderId="3" xfId="1" applyFont="1" applyBorder="1" applyAlignment="1">
      <alignment shrinkToFit="1"/>
    </xf>
    <xf numFmtId="0" fontId="69" fillId="13" borderId="11" xfId="1" applyFont="1" applyFill="1" applyBorder="1" applyAlignment="1">
      <alignment shrinkToFit="1"/>
    </xf>
    <xf numFmtId="0" fontId="70" fillId="13" borderId="11" xfId="1" applyFont="1" applyFill="1" applyBorder="1" applyAlignment="1">
      <alignment horizontal="left" wrapText="1"/>
    </xf>
    <xf numFmtId="0" fontId="69" fillId="13" borderId="3" xfId="1" applyFont="1" applyFill="1" applyBorder="1" applyAlignment="1">
      <alignment shrinkToFit="1"/>
    </xf>
    <xf numFmtId="0" fontId="72" fillId="13" borderId="3" xfId="1" applyFont="1" applyFill="1" applyBorder="1" applyAlignment="1">
      <alignment wrapText="1"/>
    </xf>
    <xf numFmtId="0" fontId="73" fillId="13" borderId="3" xfId="1" applyFont="1" applyFill="1" applyBorder="1" applyAlignment="1">
      <alignment shrinkToFit="1"/>
    </xf>
    <xf numFmtId="0" fontId="68" fillId="0" borderId="3" xfId="1" applyFont="1" applyBorder="1" applyAlignment="1">
      <alignment wrapText="1"/>
    </xf>
    <xf numFmtId="0" fontId="68" fillId="25" borderId="25" xfId="1" applyFont="1" applyFill="1" applyBorder="1" applyAlignment="1">
      <alignment horizontal="center" vertical="center"/>
    </xf>
    <xf numFmtId="0" fontId="68" fillId="7" borderId="0" xfId="1" applyFont="1" applyFill="1" applyAlignment="1">
      <alignment horizontal="center" vertical="center"/>
    </xf>
    <xf numFmtId="167" fontId="68" fillId="7" borderId="0" xfId="5" applyNumberFormat="1" applyFont="1" applyFill="1" applyBorder="1" applyAlignment="1">
      <alignment horizontal="left"/>
    </xf>
    <xf numFmtId="167" fontId="68" fillId="7" borderId="0" xfId="5" applyNumberFormat="1" applyFont="1" applyFill="1" applyBorder="1"/>
    <xf numFmtId="0" fontId="68" fillId="7" borderId="0" xfId="1" applyFont="1" applyFill="1" applyAlignment="1">
      <alignment horizontal="left"/>
    </xf>
    <xf numFmtId="0" fontId="68" fillId="0" borderId="0" xfId="1" applyFont="1"/>
    <xf numFmtId="0" fontId="7" fillId="0" borderId="0" xfId="1" applyFont="1" applyAlignment="1">
      <alignment horizontal="center" vertical="center"/>
    </xf>
    <xf numFmtId="0" fontId="0" fillId="0" borderId="36" xfId="0" applyBorder="1"/>
    <xf numFmtId="0" fontId="66" fillId="0" borderId="36" xfId="0" applyFont="1" applyBorder="1"/>
    <xf numFmtId="0" fontId="66" fillId="0" borderId="0" xfId="0" applyFont="1"/>
    <xf numFmtId="0" fontId="64" fillId="0" borderId="36" xfId="0" applyFont="1" applyBorder="1"/>
    <xf numFmtId="0" fontId="12" fillId="0" borderId="0" xfId="1" applyFont="1" applyAlignment="1">
      <alignment horizontal="center" vertical="center"/>
    </xf>
    <xf numFmtId="0" fontId="16" fillId="14" borderId="4" xfId="1" applyFont="1" applyFill="1" applyBorder="1" applyAlignment="1">
      <alignment horizontal="center" vertical="center" wrapText="1"/>
    </xf>
    <xf numFmtId="0" fontId="12" fillId="14" borderId="11" xfId="1" applyFont="1" applyFill="1" applyBorder="1" applyAlignment="1">
      <alignment horizontal="center" vertical="center" wrapText="1"/>
    </xf>
    <xf numFmtId="0" fontId="34" fillId="3" borderId="11" xfId="1" applyFont="1" applyFill="1" applyBorder="1" applyAlignment="1">
      <alignment horizontal="center" vertical="center"/>
    </xf>
    <xf numFmtId="0" fontId="12" fillId="15" borderId="11" xfId="1" applyFont="1" applyFill="1" applyBorder="1" applyAlignment="1">
      <alignment horizontal="center" vertical="center" wrapText="1"/>
    </xf>
    <xf numFmtId="0" fontId="12" fillId="29" borderId="11" xfId="1" applyFont="1" applyFill="1" applyBorder="1" applyAlignment="1">
      <alignment vertical="center"/>
    </xf>
    <xf numFmtId="0" fontId="12" fillId="18" borderId="11" xfId="1" applyFont="1" applyFill="1" applyBorder="1" applyAlignment="1">
      <alignment horizontal="center" vertical="center" wrapText="1"/>
    </xf>
    <xf numFmtId="0" fontId="12" fillId="13" borderId="11" xfId="1" applyFont="1" applyFill="1" applyBorder="1" applyAlignment="1">
      <alignment horizontal="center" vertical="center" wrapText="1"/>
    </xf>
    <xf numFmtId="0" fontId="12" fillId="14" borderId="4" xfId="1" applyFont="1" applyFill="1" applyBorder="1" applyAlignment="1">
      <alignment horizontal="center" vertical="center" wrapText="1"/>
    </xf>
    <xf numFmtId="0" fontId="12" fillId="33" borderId="0" xfId="1" applyFont="1" applyFill="1" applyAlignment="1">
      <alignment horizontal="center" vertical="center"/>
    </xf>
    <xf numFmtId="0" fontId="12" fillId="34" borderId="0" xfId="1" applyFont="1" applyFill="1" applyAlignment="1">
      <alignment horizontal="center" vertical="center"/>
    </xf>
    <xf numFmtId="0" fontId="76" fillId="13" borderId="11" xfId="1" applyFont="1" applyFill="1" applyBorder="1" applyAlignment="1">
      <alignment horizontal="center" vertical="center" wrapText="1"/>
    </xf>
    <xf numFmtId="0" fontId="10" fillId="13" borderId="11" xfId="1" applyFont="1" applyFill="1" applyBorder="1" applyAlignment="1">
      <alignment horizontal="center" vertical="center" wrapText="1"/>
    </xf>
    <xf numFmtId="0" fontId="76" fillId="13" borderId="11" xfId="1" applyFont="1" applyFill="1" applyBorder="1" applyAlignment="1">
      <alignment horizontal="center" wrapText="1"/>
    </xf>
    <xf numFmtId="0" fontId="36" fillId="4" borderId="0" xfId="0" applyFont="1" applyFill="1" applyAlignment="1">
      <alignment horizontal="center" vertical="center"/>
    </xf>
    <xf numFmtId="0" fontId="79" fillId="35" borderId="11" xfId="1" applyFont="1" applyFill="1" applyBorder="1" applyAlignment="1">
      <alignment horizontal="center" vertical="center" wrapText="1"/>
    </xf>
    <xf numFmtId="0" fontId="79" fillId="35" borderId="11" xfId="1" applyFont="1" applyFill="1" applyBorder="1" applyAlignment="1">
      <alignment horizontal="center" wrapText="1"/>
    </xf>
    <xf numFmtId="0" fontId="80" fillId="35" borderId="11" xfId="1" applyFont="1" applyFill="1" applyBorder="1" applyAlignment="1">
      <alignment horizontal="center" vertical="center" wrapText="1"/>
    </xf>
    <xf numFmtId="0" fontId="81" fillId="35" borderId="0" xfId="0" applyFont="1" applyFill="1"/>
    <xf numFmtId="0" fontId="79" fillId="35" borderId="11" xfId="1" applyFont="1" applyFill="1" applyBorder="1" applyAlignment="1">
      <alignment horizontal="right"/>
    </xf>
    <xf numFmtId="0" fontId="79" fillId="35" borderId="11" xfId="1" applyFont="1" applyFill="1" applyBorder="1" applyAlignment="1">
      <alignment horizontal="right" vertical="center" wrapText="1"/>
    </xf>
    <xf numFmtId="0" fontId="82" fillId="35" borderId="11" xfId="1" applyFont="1" applyFill="1" applyBorder="1" applyAlignment="1">
      <alignment horizontal="center"/>
    </xf>
    <xf numFmtId="0" fontId="83" fillId="35" borderId="11" xfId="1" applyFont="1" applyFill="1" applyBorder="1" applyAlignment="1">
      <alignment wrapText="1"/>
    </xf>
    <xf numFmtId="0" fontId="76" fillId="36" borderId="11" xfId="1" applyFont="1" applyFill="1" applyBorder="1" applyAlignment="1">
      <alignment horizontal="center" vertical="center" wrapText="1"/>
    </xf>
    <xf numFmtId="0" fontId="76" fillId="36" borderId="11" xfId="1" applyFont="1" applyFill="1" applyBorder="1" applyAlignment="1">
      <alignment horizontal="center" wrapText="1"/>
    </xf>
    <xf numFmtId="0" fontId="76" fillId="36" borderId="11" xfId="1" applyFont="1" applyFill="1" applyBorder="1" applyAlignment="1">
      <alignment horizontal="center"/>
    </xf>
    <xf numFmtId="0" fontId="77" fillId="36" borderId="11" xfId="1" applyFont="1" applyFill="1" applyBorder="1" applyAlignment="1">
      <alignment horizontal="center" vertical="center" wrapText="1"/>
    </xf>
    <xf numFmtId="0" fontId="78" fillId="36" borderId="0" xfId="1" applyFont="1" applyFill="1"/>
    <xf numFmtId="0" fontId="76" fillId="36" borderId="11" xfId="1" applyFont="1" applyFill="1" applyBorder="1" applyAlignment="1">
      <alignment horizontal="right" vertical="center" wrapText="1"/>
    </xf>
    <xf numFmtId="0" fontId="76" fillId="36" borderId="3" xfId="1" applyFont="1" applyFill="1" applyBorder="1" applyAlignment="1">
      <alignment horizontal="center" vertical="center" wrapText="1"/>
    </xf>
    <xf numFmtId="0" fontId="78" fillId="36" borderId="11" xfId="1" applyFont="1" applyFill="1" applyBorder="1" applyAlignment="1">
      <alignment horizontal="center"/>
    </xf>
    <xf numFmtId="0" fontId="76" fillId="36" borderId="11" xfId="1" applyFont="1" applyFill="1" applyBorder="1" applyAlignment="1">
      <alignment horizontal="center" vertical="center" shrinkToFit="1"/>
    </xf>
    <xf numFmtId="0" fontId="76" fillId="36" borderId="11" xfId="1" applyFont="1" applyFill="1" applyBorder="1" applyAlignment="1">
      <alignment horizontal="right"/>
    </xf>
    <xf numFmtId="0" fontId="84" fillId="36" borderId="11" xfId="1" applyFont="1" applyFill="1" applyBorder="1" applyAlignment="1">
      <alignment horizontal="center"/>
    </xf>
    <xf numFmtId="0" fontId="50" fillId="36" borderId="0" xfId="0" applyFont="1" applyFill="1"/>
    <xf numFmtId="0" fontId="85" fillId="35" borderId="0" xfId="0" applyFont="1" applyFill="1"/>
    <xf numFmtId="0" fontId="86" fillId="7" borderId="3" xfId="1" applyFont="1" applyFill="1" applyBorder="1" applyAlignment="1">
      <alignment shrinkToFit="1"/>
    </xf>
    <xf numFmtId="0" fontId="87" fillId="0" borderId="3" xfId="1" applyFont="1" applyBorder="1" applyAlignment="1">
      <alignment horizontal="center" shrinkToFit="1"/>
    </xf>
    <xf numFmtId="0" fontId="88" fillId="0" borderId="0" xfId="1" applyFont="1" applyAlignment="1">
      <alignment horizontal="center" vertical="center"/>
    </xf>
    <xf numFmtId="0" fontId="23" fillId="0" borderId="0" xfId="0" applyFont="1"/>
    <xf numFmtId="0" fontId="89" fillId="0" borderId="0" xfId="0" applyFont="1"/>
    <xf numFmtId="0" fontId="50" fillId="32" borderId="0" xfId="0" applyFont="1" applyFill="1" applyAlignment="1">
      <alignment horizontal="center"/>
    </xf>
    <xf numFmtId="0" fontId="21" fillId="37" borderId="0" xfId="0" applyFont="1" applyFill="1"/>
    <xf numFmtId="0" fontId="0" fillId="37" borderId="0" xfId="0" applyFill="1"/>
    <xf numFmtId="0" fontId="50" fillId="38" borderId="0" xfId="0" applyFont="1" applyFill="1" applyAlignment="1">
      <alignment horizontal="center"/>
    </xf>
    <xf numFmtId="0" fontId="50" fillId="38" borderId="0" xfId="0" applyFont="1" applyFill="1"/>
    <xf numFmtId="0" fontId="21" fillId="39" borderId="0" xfId="0" applyFont="1" applyFill="1"/>
    <xf numFmtId="0" fontId="0" fillId="39" borderId="0" xfId="0" applyFill="1"/>
    <xf numFmtId="0" fontId="50" fillId="0" borderId="0" xfId="0" applyFont="1" applyAlignment="1">
      <alignment horizontal="right"/>
    </xf>
    <xf numFmtId="0" fontId="92" fillId="41" borderId="0" xfId="0" applyFont="1" applyFill="1" applyAlignment="1">
      <alignment horizontal="center"/>
    </xf>
    <xf numFmtId="0" fontId="93" fillId="0" borderId="0" xfId="0" applyFont="1"/>
    <xf numFmtId="0" fontId="94" fillId="0" borderId="0" xfId="0" applyFont="1"/>
    <xf numFmtId="0" fontId="50" fillId="40" borderId="11" xfId="0" applyFont="1" applyFill="1" applyBorder="1"/>
    <xf numFmtId="0" fontId="50" fillId="40" borderId="11" xfId="0" applyFont="1" applyFill="1" applyBorder="1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0" fontId="11" fillId="28" borderId="11" xfId="0" applyFont="1" applyFill="1" applyBorder="1"/>
    <xf numFmtId="0" fontId="11" fillId="0" borderId="11" xfId="0" applyFont="1" applyBorder="1" applyAlignment="1">
      <alignment horizontal="center"/>
    </xf>
    <xf numFmtId="0" fontId="90" fillId="0" borderId="11" xfId="0" applyFont="1" applyBorder="1"/>
    <xf numFmtId="0" fontId="90" fillId="0" borderId="11" xfId="0" applyFont="1" applyBorder="1" applyAlignment="1">
      <alignment horizontal="center"/>
    </xf>
    <xf numFmtId="0" fontId="21" fillId="42" borderId="0" xfId="0" applyFont="1" applyFill="1"/>
    <xf numFmtId="0" fontId="0" fillId="42" borderId="0" xfId="0" applyFill="1"/>
    <xf numFmtId="3" fontId="9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63" fillId="0" borderId="0" xfId="0" applyFont="1" applyAlignment="1">
      <alignment horizontal="center"/>
    </xf>
    <xf numFmtId="3" fontId="50" fillId="38" borderId="0" xfId="0" applyNumberFormat="1" applyFont="1" applyFill="1" applyAlignment="1">
      <alignment horizontal="center"/>
    </xf>
    <xf numFmtId="0" fontId="51" fillId="0" borderId="0" xfId="0" applyFont="1"/>
    <xf numFmtId="2" fontId="92" fillId="41" borderId="0" xfId="0" applyNumberFormat="1" applyFont="1" applyFill="1" applyAlignment="1">
      <alignment horizontal="center"/>
    </xf>
    <xf numFmtId="3" fontId="95" fillId="0" borderId="0" xfId="0" applyNumberFormat="1" applyFont="1" applyAlignment="1">
      <alignment horizontal="center"/>
    </xf>
    <xf numFmtId="0" fontId="95" fillId="0" borderId="0" xfId="0" applyFont="1"/>
    <xf numFmtId="0" fontId="50" fillId="43" borderId="11" xfId="0" applyFont="1" applyFill="1" applyBorder="1"/>
    <xf numFmtId="0" fontId="50" fillId="43" borderId="11" xfId="0" applyFont="1" applyFill="1" applyBorder="1" applyAlignment="1">
      <alignment horizontal="center"/>
    </xf>
    <xf numFmtId="0" fontId="50" fillId="0" borderId="11" xfId="0" applyFont="1" applyBorder="1"/>
    <xf numFmtId="0" fontId="50" fillId="0" borderId="11" xfId="0" applyFon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63" fillId="0" borderId="11" xfId="0" applyFont="1" applyBorder="1" applyAlignment="1">
      <alignment horizontal="center"/>
    </xf>
    <xf numFmtId="0" fontId="0" fillId="44" borderId="11" xfId="0" applyFill="1" applyBorder="1"/>
    <xf numFmtId="3" fontId="50" fillId="40" borderId="11" xfId="0" applyNumberFormat="1" applyFont="1" applyFill="1" applyBorder="1" applyAlignment="1">
      <alignment horizontal="center"/>
    </xf>
    <xf numFmtId="0" fontId="0" fillId="15" borderId="11" xfId="0" applyFill="1" applyBorder="1"/>
    <xf numFmtId="3" fontId="50" fillId="43" borderId="11" xfId="0" applyNumberFormat="1" applyFont="1" applyFill="1" applyBorder="1" applyAlignment="1">
      <alignment horizontal="center"/>
    </xf>
    <xf numFmtId="0" fontId="35" fillId="13" borderId="3" xfId="1" applyFont="1" applyFill="1" applyBorder="1" applyAlignment="1">
      <alignment horizontal="center" shrinkToFit="1"/>
    </xf>
    <xf numFmtId="167" fontId="36" fillId="0" borderId="37" xfId="5" applyNumberFormat="1" applyFont="1" applyFill="1" applyBorder="1" applyAlignment="1">
      <alignment horizontal="right" wrapText="1"/>
    </xf>
    <xf numFmtId="167" fontId="35" fillId="0" borderId="37" xfId="5" applyNumberFormat="1" applyFont="1" applyFill="1" applyBorder="1" applyAlignment="1">
      <alignment horizontal="right" wrapText="1"/>
    </xf>
    <xf numFmtId="167" fontId="35" fillId="25" borderId="38" xfId="5" applyNumberFormat="1" applyFont="1" applyFill="1" applyBorder="1" applyAlignment="1">
      <alignment horizontal="center" vertical="center"/>
    </xf>
    <xf numFmtId="168" fontId="35" fillId="25" borderId="39" xfId="5" applyNumberFormat="1" applyFont="1" applyFill="1" applyBorder="1" applyAlignment="1">
      <alignment horizontal="center" vertical="center"/>
    </xf>
    <xf numFmtId="0" fontId="77" fillId="0" borderId="11" xfId="1" applyFont="1" applyBorder="1" applyAlignment="1">
      <alignment horizontal="center" vertical="center" wrapText="1"/>
    </xf>
    <xf numFmtId="0" fontId="0" fillId="0" borderId="0" xfId="0" applyAlignment="1">
      <alignment vertical="top"/>
    </xf>
    <xf numFmtId="0" fontId="11" fillId="0" borderId="0" xfId="0" applyFont="1"/>
    <xf numFmtId="0" fontId="46" fillId="0" borderId="11" xfId="0" applyFont="1" applyBorder="1" applyAlignment="1">
      <alignment horizontal="left" vertical="top" wrapText="1"/>
    </xf>
    <xf numFmtId="0" fontId="46" fillId="46" borderId="11" xfId="0" applyFont="1" applyFill="1" applyBorder="1" applyAlignment="1">
      <alignment horizontal="left" vertical="top" wrapText="1"/>
    </xf>
    <xf numFmtId="0" fontId="11" fillId="0" borderId="11" xfId="0" applyFont="1" applyBorder="1"/>
    <xf numFmtId="0" fontId="46" fillId="45" borderId="11" xfId="0" applyFont="1" applyFill="1" applyBorder="1" applyAlignment="1">
      <alignment horizontal="left" vertical="top" wrapText="1"/>
    </xf>
    <xf numFmtId="0" fontId="46" fillId="4" borderId="11" xfId="0" applyFont="1" applyFill="1" applyBorder="1" applyAlignment="1">
      <alignment horizontal="left" vertical="top" wrapText="1"/>
    </xf>
    <xf numFmtId="0" fontId="46" fillId="47" borderId="11" xfId="0" applyFont="1" applyFill="1" applyBorder="1" applyAlignment="1">
      <alignment horizontal="left" vertical="top" wrapText="1"/>
    </xf>
    <xf numFmtId="0" fontId="46" fillId="48" borderId="11" xfId="0" applyFont="1" applyFill="1" applyBorder="1" applyAlignment="1">
      <alignment horizontal="left" vertical="top" wrapText="1"/>
    </xf>
    <xf numFmtId="0" fontId="46" fillId="17" borderId="11" xfId="0" applyFont="1" applyFill="1" applyBorder="1" applyAlignment="1">
      <alignment horizontal="left" vertical="top" wrapText="1"/>
    </xf>
    <xf numFmtId="0" fontId="0" fillId="6" borderId="12" xfId="0" applyFill="1" applyBorder="1"/>
    <xf numFmtId="0" fontId="0" fillId="5" borderId="12" xfId="0" applyFill="1" applyBorder="1"/>
    <xf numFmtId="0" fontId="0" fillId="3" borderId="12" xfId="0" applyFill="1" applyBorder="1"/>
    <xf numFmtId="0" fontId="0" fillId="13" borderId="12" xfId="0" applyFill="1" applyBorder="1"/>
    <xf numFmtId="0" fontId="96" fillId="49" borderId="12" xfId="0" applyFont="1" applyFill="1" applyBorder="1"/>
    <xf numFmtId="0" fontId="11" fillId="0" borderId="11" xfId="0" applyFont="1" applyBorder="1" applyAlignment="1">
      <alignment vertical="top"/>
    </xf>
    <xf numFmtId="0" fontId="11" fillId="0" borderId="0" xfId="0" applyFont="1" applyAlignment="1">
      <alignment vertical="top"/>
    </xf>
    <xf numFmtId="0" fontId="46" fillId="50" borderId="11" xfId="0" applyFont="1" applyFill="1" applyBorder="1" applyAlignment="1">
      <alignment horizontal="left" vertical="top" wrapText="1"/>
    </xf>
    <xf numFmtId="0" fontId="0" fillId="51" borderId="12" xfId="0" applyFill="1" applyBorder="1"/>
    <xf numFmtId="0" fontId="0" fillId="52" borderId="12" xfId="0" applyFill="1" applyBorder="1"/>
    <xf numFmtId="0" fontId="0" fillId="5" borderId="11" xfId="0" applyFill="1" applyBorder="1"/>
    <xf numFmtId="0" fontId="0" fillId="13" borderId="11" xfId="0" applyFill="1" applyBorder="1"/>
    <xf numFmtId="0" fontId="0" fillId="52" borderId="11" xfId="0" applyFill="1" applyBorder="1"/>
    <xf numFmtId="0" fontId="46" fillId="47" borderId="12" xfId="0" applyFont="1" applyFill="1" applyBorder="1" applyAlignment="1">
      <alignment horizontal="left" vertical="top" wrapText="1"/>
    </xf>
    <xf numFmtId="0" fontId="46" fillId="50" borderId="3" xfId="0" applyFont="1" applyFill="1" applyBorder="1" applyAlignment="1">
      <alignment horizontal="left" vertical="top" wrapText="1"/>
    </xf>
    <xf numFmtId="0" fontId="0" fillId="6" borderId="40" xfId="0" applyFill="1" applyBorder="1"/>
    <xf numFmtId="0" fontId="97" fillId="6" borderId="40" xfId="0" applyFont="1" applyFill="1" applyBorder="1" applyAlignment="1">
      <alignment horizontal="center" vertical="center"/>
    </xf>
    <xf numFmtId="0" fontId="97" fillId="7" borderId="11" xfId="0" applyFont="1" applyFill="1" applyBorder="1" applyAlignment="1">
      <alignment horizontal="center" vertical="center"/>
    </xf>
    <xf numFmtId="0" fontId="0" fillId="4" borderId="11" xfId="0" applyFill="1" applyBorder="1"/>
    <xf numFmtId="0" fontId="0" fillId="49" borderId="11" xfId="0" applyFill="1" applyBorder="1"/>
    <xf numFmtId="0" fontId="0" fillId="3" borderId="40" xfId="0" applyFill="1" applyBorder="1"/>
    <xf numFmtId="0" fontId="0" fillId="6" borderId="41" xfId="0" applyFill="1" applyBorder="1"/>
    <xf numFmtId="0" fontId="0" fillId="5" borderId="40" xfId="0" applyFill="1" applyBorder="1"/>
    <xf numFmtId="0" fontId="46" fillId="47" borderId="40" xfId="0" applyFont="1" applyFill="1" applyBorder="1" applyAlignment="1">
      <alignment horizontal="left" vertical="top" wrapText="1"/>
    </xf>
    <xf numFmtId="0" fontId="0" fillId="52" borderId="40" xfId="0" applyFill="1" applyBorder="1"/>
    <xf numFmtId="0" fontId="0" fillId="4" borderId="40" xfId="0" applyFill="1" applyBorder="1"/>
    <xf numFmtId="0" fontId="0" fillId="13" borderId="40" xfId="0" applyFill="1" applyBorder="1"/>
    <xf numFmtId="0" fontId="0" fillId="49" borderId="40" xfId="0" applyFill="1" applyBorder="1"/>
    <xf numFmtId="0" fontId="0" fillId="5" borderId="41" xfId="0" applyFill="1" applyBorder="1"/>
    <xf numFmtId="0" fontId="46" fillId="47" borderId="41" xfId="0" applyFont="1" applyFill="1" applyBorder="1" applyAlignment="1">
      <alignment horizontal="left" vertical="top" wrapText="1"/>
    </xf>
    <xf numFmtId="0" fontId="0" fillId="52" borderId="41" xfId="0" applyFill="1" applyBorder="1"/>
    <xf numFmtId="0" fontId="0" fillId="3" borderId="41" xfId="0" applyFill="1" applyBorder="1"/>
    <xf numFmtId="0" fontId="0" fillId="4" borderId="41" xfId="0" applyFill="1" applyBorder="1"/>
    <xf numFmtId="0" fontId="0" fillId="13" borderId="41" xfId="0" applyFill="1" applyBorder="1"/>
    <xf numFmtId="0" fontId="0" fillId="49" borderId="41" xfId="0" applyFill="1" applyBorder="1"/>
    <xf numFmtId="0" fontId="46" fillId="53" borderId="11" xfId="0" applyFont="1" applyFill="1" applyBorder="1" applyAlignment="1">
      <alignment horizontal="left" vertical="top" wrapText="1"/>
    </xf>
    <xf numFmtId="0" fontId="0" fillId="6" borderId="42" xfId="0" applyFill="1" applyBorder="1"/>
    <xf numFmtId="0" fontId="0" fillId="5" borderId="42" xfId="0" applyFill="1" applyBorder="1"/>
    <xf numFmtId="0" fontId="46" fillId="47" borderId="42" xfId="0" applyFont="1" applyFill="1" applyBorder="1" applyAlignment="1">
      <alignment horizontal="left" vertical="top" wrapText="1"/>
    </xf>
    <xf numFmtId="0" fontId="0" fillId="52" borderId="42" xfId="0" applyFill="1" applyBorder="1"/>
    <xf numFmtId="0" fontId="0" fillId="3" borderId="42" xfId="0" applyFill="1" applyBorder="1"/>
    <xf numFmtId="0" fontId="0" fillId="4" borderId="42" xfId="0" applyFill="1" applyBorder="1"/>
    <xf numFmtId="0" fontId="0" fillId="13" borderId="42" xfId="0" applyFill="1" applyBorder="1"/>
    <xf numFmtId="0" fontId="0" fillId="49" borderId="42" xfId="0" applyFill="1" applyBorder="1"/>
    <xf numFmtId="0" fontId="0" fillId="6" borderId="43" xfId="0" applyFill="1" applyBorder="1"/>
    <xf numFmtId="0" fontId="0" fillId="5" borderId="43" xfId="0" applyFill="1" applyBorder="1"/>
    <xf numFmtId="0" fontId="46" fillId="47" borderId="43" xfId="0" applyFont="1" applyFill="1" applyBorder="1" applyAlignment="1">
      <alignment horizontal="left" vertical="top" wrapText="1"/>
    </xf>
    <xf numFmtId="0" fontId="0" fillId="52" borderId="43" xfId="0" applyFill="1" applyBorder="1"/>
    <xf numFmtId="0" fontId="0" fillId="3" borderId="43" xfId="0" applyFill="1" applyBorder="1"/>
    <xf numFmtId="0" fontId="0" fillId="4" borderId="43" xfId="0" applyFill="1" applyBorder="1"/>
    <xf numFmtId="0" fontId="0" fillId="13" borderId="43" xfId="0" applyFill="1" applyBorder="1"/>
    <xf numFmtId="0" fontId="0" fillId="49" borderId="43" xfId="0" applyFill="1" applyBorder="1"/>
    <xf numFmtId="0" fontId="46" fillId="54" borderId="11" xfId="0" applyFont="1" applyFill="1" applyBorder="1" applyAlignment="1">
      <alignment horizontal="left" vertical="top" wrapText="1"/>
    </xf>
    <xf numFmtId="0" fontId="0" fillId="6" borderId="44" xfId="0" applyFill="1" applyBorder="1"/>
    <xf numFmtId="0" fontId="0" fillId="5" borderId="44" xfId="0" applyFill="1" applyBorder="1"/>
    <xf numFmtId="0" fontId="46" fillId="47" borderId="44" xfId="0" applyFont="1" applyFill="1" applyBorder="1" applyAlignment="1">
      <alignment horizontal="left" vertical="top" wrapText="1"/>
    </xf>
    <xf numFmtId="0" fontId="0" fillId="52" borderId="44" xfId="0" applyFill="1" applyBorder="1"/>
    <xf numFmtId="0" fontId="0" fillId="3" borderId="44" xfId="0" applyFill="1" applyBorder="1"/>
    <xf numFmtId="0" fontId="0" fillId="4" borderId="44" xfId="0" applyFill="1" applyBorder="1"/>
    <xf numFmtId="0" fontId="0" fillId="13" borderId="44" xfId="0" applyFill="1" applyBorder="1"/>
    <xf numFmtId="0" fontId="0" fillId="49" borderId="44" xfId="0" applyFill="1" applyBorder="1"/>
    <xf numFmtId="0" fontId="46" fillId="28" borderId="30" xfId="0" applyFont="1" applyFill="1" applyBorder="1" applyAlignment="1">
      <alignment horizontal="left" vertical="center"/>
    </xf>
    <xf numFmtId="0" fontId="46" fillId="28" borderId="31" xfId="0" applyFont="1" applyFill="1" applyBorder="1" applyAlignment="1">
      <alignment horizontal="left" vertical="center"/>
    </xf>
    <xf numFmtId="171" fontId="46" fillId="28" borderId="30" xfId="0" applyNumberFormat="1" applyFont="1" applyFill="1" applyBorder="1" applyAlignment="1">
      <alignment horizontal="left" vertical="center"/>
    </xf>
    <xf numFmtId="171" fontId="46" fillId="28" borderId="31" xfId="0" applyNumberFormat="1" applyFont="1" applyFill="1" applyBorder="1" applyAlignment="1">
      <alignment horizontal="left" vertical="center"/>
    </xf>
    <xf numFmtId="0" fontId="46" fillId="28" borderId="33" xfId="0" applyFont="1" applyFill="1" applyBorder="1" applyAlignment="1">
      <alignment horizontal="left" vertical="center"/>
    </xf>
    <xf numFmtId="0" fontId="46" fillId="28" borderId="34" xfId="0" applyFont="1" applyFill="1" applyBorder="1" applyAlignment="1">
      <alignment horizontal="left" vertical="center"/>
    </xf>
    <xf numFmtId="0" fontId="48" fillId="28" borderId="27" xfId="0" applyFont="1" applyFill="1" applyBorder="1" applyAlignment="1">
      <alignment horizontal="left" vertical="center"/>
    </xf>
    <xf numFmtId="0" fontId="49" fillId="28" borderId="28" xfId="0" applyFont="1" applyFill="1" applyBorder="1" applyAlignment="1">
      <alignment horizontal="left" vertical="center"/>
    </xf>
    <xf numFmtId="170" fontId="46" fillId="28" borderId="30" xfId="0" applyNumberFormat="1" applyFont="1" applyFill="1" applyBorder="1" applyAlignment="1">
      <alignment horizontal="left" vertical="center"/>
    </xf>
    <xf numFmtId="170" fontId="46" fillId="28" borderId="31" xfId="0" applyNumberFormat="1" applyFont="1" applyFill="1" applyBorder="1" applyAlignment="1">
      <alignment horizontal="left" vertical="center"/>
    </xf>
    <xf numFmtId="0" fontId="13" fillId="0" borderId="6" xfId="1" applyFont="1" applyBorder="1" applyAlignment="1">
      <alignment horizontal="center"/>
    </xf>
    <xf numFmtId="169" fontId="13" fillId="0" borderId="0" xfId="1" applyNumberFormat="1" applyFont="1" applyAlignment="1">
      <alignment horizontal="center"/>
    </xf>
    <xf numFmtId="166" fontId="13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 wrapText="1"/>
    </xf>
    <xf numFmtId="0" fontId="15" fillId="0" borderId="0" xfId="1" applyFont="1" applyAlignment="1" applyProtection="1">
      <alignment horizontal="center"/>
      <protection hidden="1"/>
    </xf>
    <xf numFmtId="0" fontId="15" fillId="0" borderId="9" xfId="1" applyFont="1" applyBorder="1" applyAlignment="1" applyProtection="1">
      <alignment horizontal="center"/>
      <protection hidden="1"/>
    </xf>
    <xf numFmtId="0" fontId="27" fillId="0" borderId="0" xfId="1" applyFont="1" applyAlignment="1" applyProtection="1">
      <alignment horizontal="center"/>
      <protection hidden="1"/>
    </xf>
    <xf numFmtId="0" fontId="27" fillId="0" borderId="9" xfId="1" applyFont="1" applyBorder="1" applyAlignment="1" applyProtection="1">
      <alignment horizontal="center"/>
      <protection hidden="1"/>
    </xf>
    <xf numFmtId="0" fontId="12" fillId="2" borderId="2" xfId="1" applyFont="1" applyFill="1" applyBorder="1" applyAlignment="1" applyProtection="1">
      <alignment horizontal="center" vertical="center"/>
      <protection hidden="1"/>
    </xf>
    <xf numFmtId="0" fontId="12" fillId="2" borderId="0" xfId="1" applyFont="1" applyFill="1" applyAlignment="1" applyProtection="1">
      <alignment horizontal="center" vertical="center"/>
      <protection hidden="1"/>
    </xf>
    <xf numFmtId="0" fontId="12" fillId="2" borderId="9" xfId="1" applyFont="1" applyFill="1" applyBorder="1" applyAlignment="1" applyProtection="1">
      <alignment horizontal="center" vertical="center"/>
      <protection hidden="1"/>
    </xf>
    <xf numFmtId="0" fontId="26" fillId="0" borderId="0" xfId="1" applyFont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left" vertical="top"/>
      <protection hidden="1"/>
    </xf>
    <xf numFmtId="0" fontId="7" fillId="0" borderId="0" xfId="0" applyFont="1" applyAlignment="1" applyProtection="1">
      <alignment horizontal="left" vertical="top"/>
      <protection hidden="1"/>
    </xf>
    <xf numFmtId="0" fontId="4" fillId="0" borderId="6" xfId="0" applyFont="1" applyBorder="1" applyAlignment="1" applyProtection="1">
      <alignment horizontal="left" wrapText="1"/>
      <protection hidden="1"/>
    </xf>
    <xf numFmtId="0" fontId="4" fillId="0" borderId="7" xfId="0" applyFont="1" applyBorder="1" applyAlignment="1" applyProtection="1">
      <alignment horizontal="left" wrapText="1"/>
      <protection hidden="1"/>
    </xf>
    <xf numFmtId="0" fontId="4" fillId="0" borderId="1" xfId="0" applyFont="1" applyBorder="1" applyAlignment="1" applyProtection="1">
      <alignment horizontal="left" wrapText="1"/>
      <protection hidden="1"/>
    </xf>
    <xf numFmtId="0" fontId="4" fillId="0" borderId="10" xfId="0" applyFont="1" applyBorder="1" applyAlignment="1" applyProtection="1">
      <alignment horizontal="left" wrapText="1"/>
      <protection hidden="1"/>
    </xf>
    <xf numFmtId="0" fontId="4" fillId="0" borderId="5" xfId="1" applyFont="1" applyBorder="1" applyAlignment="1" applyProtection="1">
      <alignment horizontal="center" vertical="center" textRotation="90" shrinkToFit="1"/>
      <protection hidden="1"/>
    </xf>
    <xf numFmtId="0" fontId="4" fillId="0" borderId="7" xfId="1" applyFont="1" applyBorder="1" applyAlignment="1" applyProtection="1">
      <alignment horizontal="center" vertical="center" textRotation="90" shrinkToFit="1"/>
      <protection hidden="1"/>
    </xf>
    <xf numFmtId="0" fontId="4" fillId="0" borderId="8" xfId="1" applyFont="1" applyBorder="1" applyAlignment="1" applyProtection="1">
      <alignment horizontal="center" vertical="center" textRotation="90" shrinkToFit="1"/>
      <protection hidden="1"/>
    </xf>
    <xf numFmtId="0" fontId="4" fillId="0" borderId="10" xfId="1" applyFont="1" applyBorder="1" applyAlignment="1" applyProtection="1">
      <alignment horizontal="center" vertical="center" textRotation="90" shrinkToFit="1"/>
      <protection hidden="1"/>
    </xf>
    <xf numFmtId="0" fontId="31" fillId="0" borderId="12" xfId="1" applyFont="1" applyBorder="1" applyAlignment="1" applyProtection="1">
      <alignment horizontal="center" vertical="center"/>
      <protection hidden="1"/>
    </xf>
    <xf numFmtId="0" fontId="31" fillId="0" borderId="14" xfId="1" applyFont="1" applyBorder="1" applyAlignment="1" applyProtection="1">
      <alignment horizontal="center" vertical="center"/>
      <protection hidden="1"/>
    </xf>
    <xf numFmtId="0" fontId="14" fillId="0" borderId="12" xfId="1" applyFont="1" applyBorder="1" applyAlignment="1" applyProtection="1">
      <alignment horizontal="center" vertical="center"/>
      <protection hidden="1"/>
    </xf>
    <xf numFmtId="0" fontId="14" fillId="0" borderId="14" xfId="1" applyFont="1" applyBorder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shrinkToFit="1"/>
      <protection hidden="1"/>
    </xf>
    <xf numFmtId="0" fontId="25" fillId="0" borderId="6" xfId="1" applyFont="1" applyBorder="1" applyAlignment="1" applyProtection="1">
      <alignment horizontal="left" vertical="center"/>
      <protection hidden="1"/>
    </xf>
    <xf numFmtId="0" fontId="25" fillId="0" borderId="7" xfId="1" applyFont="1" applyBorder="1" applyAlignment="1" applyProtection="1">
      <alignment horizontal="left" vertical="center"/>
      <protection hidden="1"/>
    </xf>
    <xf numFmtId="0" fontId="25" fillId="0" borderId="1" xfId="1" applyFont="1" applyBorder="1" applyAlignment="1" applyProtection="1">
      <alignment horizontal="left" vertical="center"/>
      <protection hidden="1"/>
    </xf>
    <xf numFmtId="0" fontId="25" fillId="0" borderId="10" xfId="1" applyFont="1" applyBorder="1" applyAlignment="1" applyProtection="1">
      <alignment horizontal="left" vertical="center"/>
      <protection hidden="1"/>
    </xf>
    <xf numFmtId="0" fontId="14" fillId="2" borderId="2" xfId="1" applyFont="1" applyFill="1" applyBorder="1" applyAlignment="1" applyProtection="1">
      <alignment horizontal="center" vertical="center"/>
      <protection hidden="1"/>
    </xf>
    <xf numFmtId="0" fontId="14" fillId="2" borderId="0" xfId="1" applyFont="1" applyFill="1" applyAlignment="1" applyProtection="1">
      <alignment horizontal="center" vertical="center"/>
      <protection hidden="1"/>
    </xf>
    <xf numFmtId="0" fontId="14" fillId="2" borderId="9" xfId="1" applyFont="1" applyFill="1" applyBorder="1" applyAlignment="1" applyProtection="1">
      <alignment horizontal="center" vertical="center"/>
      <protection hidden="1"/>
    </xf>
    <xf numFmtId="0" fontId="14" fillId="0" borderId="12" xfId="1" applyFont="1" applyBorder="1" applyAlignment="1" applyProtection="1">
      <alignment horizontal="center" vertical="center" wrapText="1"/>
      <protection hidden="1"/>
    </xf>
    <xf numFmtId="0" fontId="14" fillId="0" borderId="14" xfId="1" applyFont="1" applyBorder="1" applyAlignment="1" applyProtection="1">
      <alignment horizontal="center" vertical="center" wrapText="1"/>
      <protection hidden="1"/>
    </xf>
    <xf numFmtId="0" fontId="29" fillId="0" borderId="12" xfId="1" applyFont="1" applyBorder="1" applyAlignment="1" applyProtection="1">
      <alignment horizontal="center" vertical="center"/>
      <protection hidden="1"/>
    </xf>
    <xf numFmtId="0" fontId="29" fillId="0" borderId="14" xfId="1" applyFont="1" applyBorder="1" applyAlignment="1" applyProtection="1">
      <alignment horizontal="center" vertical="center"/>
      <protection hidden="1"/>
    </xf>
  </cellXfs>
  <cellStyles count="7">
    <cellStyle name="Comma 2" xfId="5" xr:uid="{E7450046-A868-4FB5-BDF9-3BF903B157E0}"/>
    <cellStyle name="Hyperlink" xfId="6" builtinId="8"/>
    <cellStyle name="Normal" xfId="0" builtinId="0"/>
    <cellStyle name="Normal 2" xfId="1" xr:uid="{00000000-0005-0000-0000-000003000000}"/>
    <cellStyle name="Normal 2 2" xfId="2" xr:uid="{00000000-0005-0000-0000-000004000000}"/>
    <cellStyle name="Normal 3" xfId="3" xr:uid="{00000000-0005-0000-0000-000005000000}"/>
    <cellStyle name="Normal 4" xfId="4" xr:uid="{9F4FA08D-A21C-437E-A4CA-C453CFA8FEEB}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D24E51"/>
      <color rgb="FFFF9966"/>
      <color rgb="FFCC3300"/>
      <color rgb="FFFF9933"/>
      <color rgb="FFFF0066"/>
      <color rgb="FFFFFFCC"/>
      <color rgb="FFB2B2B2"/>
      <color rgb="FFCCCC00"/>
      <color rgb="FFCC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0</xdr:row>
      <xdr:rowOff>142875</xdr:rowOff>
    </xdr:from>
    <xdr:to>
      <xdr:col>8</xdr:col>
      <xdr:colOff>381000</xdr:colOff>
      <xdr:row>2</xdr:row>
      <xdr:rowOff>133350</xdr:rowOff>
    </xdr:to>
    <xdr:sp macro="[0]!Setup_And_Preview_First_Label" textlink="">
      <xdr:nvSpPr>
        <xdr:cNvPr id="309" name="Rectangle 308">
          <a:extLst>
            <a:ext uri="{FF2B5EF4-FFF2-40B4-BE49-F238E27FC236}">
              <a16:creationId xmlns:a16="http://schemas.microsoft.com/office/drawing/2014/main" id="{84D1AC80-27FA-B3FA-4810-2B412F3AFC06}"/>
            </a:ext>
          </a:extLst>
        </xdr:cNvPr>
        <xdr:cNvSpPr/>
      </xdr:nvSpPr>
      <xdr:spPr>
        <a:xfrm>
          <a:off x="3905250" y="142875"/>
          <a:ext cx="1085850" cy="2952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>
              <a:solidFill>
                <a:sysClr val="windowText" lastClr="000000"/>
              </a:solidFill>
            </a:rPr>
            <a:t>Preview Label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161925</xdr:colOff>
      <xdr:row>5</xdr:row>
      <xdr:rowOff>19050</xdr:rowOff>
    </xdr:from>
    <xdr:to>
      <xdr:col>8</xdr:col>
      <xdr:colOff>139700</xdr:colOff>
      <xdr:row>7</xdr:row>
      <xdr:rowOff>28575</xdr:rowOff>
    </xdr:to>
    <xdr:sp macro="[0]!Setup_And_Print_Labels" textlink="">
      <xdr:nvSpPr>
        <xdr:cNvPr id="14" name="Rectangle 13">
          <a:extLst>
            <a:ext uri="{FF2B5EF4-FFF2-40B4-BE49-F238E27FC236}">
              <a16:creationId xmlns:a16="http://schemas.microsoft.com/office/drawing/2014/main" id="{CB402834-535A-4496-BDE9-B6076F706A11}"/>
            </a:ext>
          </a:extLst>
        </xdr:cNvPr>
        <xdr:cNvSpPr/>
      </xdr:nvSpPr>
      <xdr:spPr>
        <a:xfrm>
          <a:off x="4162425" y="781050"/>
          <a:ext cx="587375" cy="3143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>
              <a:solidFill>
                <a:sysClr val="windowText" lastClr="000000"/>
              </a:solidFill>
            </a:rPr>
            <a:t>Print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36225</xdr:colOff>
      <xdr:row>0</xdr:row>
      <xdr:rowOff>5400</xdr:rowOff>
    </xdr:from>
    <xdr:to>
      <xdr:col>5</xdr:col>
      <xdr:colOff>401925</xdr:colOff>
      <xdr:row>5</xdr:row>
      <xdr:rowOff>125400</xdr:rowOff>
    </xdr:to>
    <xdr:pic>
      <xdr:nvPicPr>
        <xdr:cNvPr id="359" name="QR_Label">
          <a:extLst>
            <a:ext uri="{FF2B5EF4-FFF2-40B4-BE49-F238E27FC236}">
              <a16:creationId xmlns:a16="http://schemas.microsoft.com/office/drawing/2014/main" id="{9255DB88-A882-0DBA-6CEB-128A45E67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7900" y="5400"/>
          <a:ext cx="1242000" cy="882000"/>
        </a:xfrm>
        <a:prstGeom prst="rect">
          <a:avLst/>
        </a:prstGeom>
      </xdr:spPr>
    </xdr:pic>
    <xdr:clientData/>
  </xdr:twoCellAnchor>
  <xdr:twoCellAnchor>
    <xdr:from>
      <xdr:col>3</xdr:col>
      <xdr:colOff>36225</xdr:colOff>
      <xdr:row>6</xdr:row>
      <xdr:rowOff>19800</xdr:rowOff>
    </xdr:from>
    <xdr:to>
      <xdr:col>5</xdr:col>
      <xdr:colOff>401925</xdr:colOff>
      <xdr:row>8</xdr:row>
      <xdr:rowOff>147000</xdr:rowOff>
    </xdr:to>
    <xdr:pic>
      <xdr:nvPicPr>
        <xdr:cNvPr id="361" name="BAR_Label">
          <a:extLst>
            <a:ext uri="{FF2B5EF4-FFF2-40B4-BE49-F238E27FC236}">
              <a16:creationId xmlns:a16="http://schemas.microsoft.com/office/drawing/2014/main" id="{53420998-B155-17A8-DD68-CBD4E90E4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7900" y="934200"/>
          <a:ext cx="1242000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0F137A2-6BF2-4556-875D-ABCBBA39A12A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45B7BE-0434-4763-876A-A75A5B911C75}"/>
            </a:ext>
          </a:extLst>
        </xdr:cNvPr>
        <xdr:cNvSpPr txBox="1"/>
      </xdr:nvSpPr>
      <xdr:spPr>
        <a:xfrm>
          <a:off x="11439979" y="1702467"/>
          <a:ext cx="264008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C814570-8A90-46B3-A787-5F2EA559C1DC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1251B76-34A9-4057-97B0-CA8A644CF829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0C5D487-3619-4FA6-B328-756DBEDF4065}"/>
            </a:ext>
          </a:extLst>
        </xdr:cNvPr>
        <xdr:cNvSpPr/>
      </xdr:nvSpPr>
      <xdr:spPr>
        <a:xfrm>
          <a:off x="5756730" y="2504319"/>
          <a:ext cx="2799895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5849014-10A5-4EC8-AC16-EC1AEDD54EBE}"/>
            </a:ext>
          </a:extLst>
        </xdr:cNvPr>
        <xdr:cNvSpPr/>
      </xdr:nvSpPr>
      <xdr:spPr>
        <a:xfrm>
          <a:off x="14194820" y="1671109"/>
          <a:ext cx="4013805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5569540-136D-4AD4-A5F5-1C92A508F4E6}"/>
            </a:ext>
          </a:extLst>
        </xdr:cNvPr>
        <xdr:cNvSpPr/>
      </xdr:nvSpPr>
      <xdr:spPr>
        <a:xfrm>
          <a:off x="13121221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40FE444-B36D-42F9-AE2A-3FD28BC0BA6A}"/>
            </a:ext>
          </a:extLst>
        </xdr:cNvPr>
        <xdr:cNvSpPr/>
      </xdr:nvSpPr>
      <xdr:spPr>
        <a:xfrm>
          <a:off x="13346574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2123989</xdr:colOff>
      <xdr:row>15</xdr:row>
      <xdr:rowOff>67673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F51D358-6FF7-45B4-8EBD-84592601A0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8D70EC4-C8D1-48BB-96F8-AFEC090D03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9082DF2-7070-49D9-B18C-9CF7DDB109B7}"/>
            </a:ext>
          </a:extLst>
        </xdr:cNvPr>
        <xdr:cNvSpPr/>
      </xdr:nvSpPr>
      <xdr:spPr>
        <a:xfrm>
          <a:off x="13125154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8E9EACE-FC36-4AE3-9942-B8F520EA94E8}"/>
            </a:ext>
          </a:extLst>
        </xdr:cNvPr>
        <xdr:cNvSpPr/>
      </xdr:nvSpPr>
      <xdr:spPr>
        <a:xfrm>
          <a:off x="13119107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92F9FBD-93E3-415C-A05A-7241BEFA0DAC}"/>
            </a:ext>
          </a:extLst>
        </xdr:cNvPr>
        <xdr:cNvSpPr/>
      </xdr:nvSpPr>
      <xdr:spPr>
        <a:xfrm>
          <a:off x="14210174" y="2622849"/>
          <a:ext cx="777705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2244B8C-690A-40E0-80B0-429713E5057E}"/>
            </a:ext>
          </a:extLst>
        </xdr:cNvPr>
        <xdr:cNvSpPr/>
      </xdr:nvSpPr>
      <xdr:spPr>
        <a:xfrm>
          <a:off x="15041219" y="2622849"/>
          <a:ext cx="71653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C15AD41-52DF-4799-B9E9-593F3B2FF2A8}"/>
            </a:ext>
          </a:extLst>
        </xdr:cNvPr>
        <xdr:cNvSpPr/>
      </xdr:nvSpPr>
      <xdr:spPr>
        <a:xfrm>
          <a:off x="15798389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789EE77-B08A-4C50-A5F0-A59560D1BA6C}"/>
            </a:ext>
          </a:extLst>
        </xdr:cNvPr>
        <xdr:cNvSpPr/>
      </xdr:nvSpPr>
      <xdr:spPr>
        <a:xfrm>
          <a:off x="16674689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972193B-4023-49DF-8E33-FF0BB363AC43}"/>
            </a:ext>
          </a:extLst>
        </xdr:cNvPr>
        <xdr:cNvSpPr/>
      </xdr:nvSpPr>
      <xdr:spPr>
        <a:xfrm>
          <a:off x="17538289" y="2622849"/>
          <a:ext cx="822960" cy="313929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949074F2-CE13-4F36-97B3-391D661FC3B7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66AF700B-8DBD-44FF-9125-06DBB351DDBC}"/>
            </a:ext>
          </a:extLst>
        </xdr:cNvPr>
        <xdr:cNvSpPr/>
      </xdr:nvSpPr>
      <xdr:spPr>
        <a:xfrm>
          <a:off x="5737701" y="3192887"/>
          <a:ext cx="2459165" cy="593396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D917B00-8E39-4CBD-B500-ADBECDDEE8E1}"/>
            </a:ext>
          </a:extLst>
        </xdr:cNvPr>
        <xdr:cNvSpPr/>
      </xdr:nvSpPr>
      <xdr:spPr>
        <a:xfrm>
          <a:off x="8290776" y="3192887"/>
          <a:ext cx="1384612" cy="60292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314ACF44-7781-4DC1-8466-060755B14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B5881ED-B59A-4713-946C-A791AF9BCEC6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232586-3809-4848-93BD-6C81D2642AD4}"/>
            </a:ext>
          </a:extLst>
        </xdr:cNvPr>
        <xdr:cNvSpPr txBox="1"/>
      </xdr:nvSpPr>
      <xdr:spPr>
        <a:xfrm>
          <a:off x="11678104" y="1702467"/>
          <a:ext cx="277343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6DCD647-CBC6-4E45-9338-1945C4D7A004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EBF98CA-7C3A-4215-940E-DE46E8B3B503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B5947B9-4F9E-41B6-92F9-31ADBBD04324}"/>
            </a:ext>
          </a:extLst>
        </xdr:cNvPr>
        <xdr:cNvSpPr/>
      </xdr:nvSpPr>
      <xdr:spPr>
        <a:xfrm>
          <a:off x="5756730" y="2504319"/>
          <a:ext cx="3038020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529A53D-CE5F-40AE-9258-D13712592BB2}"/>
            </a:ext>
          </a:extLst>
        </xdr:cNvPr>
        <xdr:cNvSpPr/>
      </xdr:nvSpPr>
      <xdr:spPr>
        <a:xfrm>
          <a:off x="14566295" y="1671109"/>
          <a:ext cx="4118580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CFD7A2D8-3517-4FFB-BF7A-85FD6DA381C7}"/>
            </a:ext>
          </a:extLst>
        </xdr:cNvPr>
        <xdr:cNvSpPr/>
      </xdr:nvSpPr>
      <xdr:spPr>
        <a:xfrm>
          <a:off x="13492696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1AC6595-4661-4039-A3A2-0764FDED4DF4}"/>
            </a:ext>
          </a:extLst>
        </xdr:cNvPr>
        <xdr:cNvSpPr/>
      </xdr:nvSpPr>
      <xdr:spPr>
        <a:xfrm>
          <a:off x="134948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E03BC88-B373-4DD9-B707-936F2C354F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D5B863D-DF5F-485D-82D8-80433CC67C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5AA2BF8-E6E3-4E86-91D5-D966E3EDEEA3}"/>
            </a:ext>
          </a:extLst>
        </xdr:cNvPr>
        <xdr:cNvSpPr/>
      </xdr:nvSpPr>
      <xdr:spPr>
        <a:xfrm>
          <a:off x="13496629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B4E2E3C-F182-4479-BB79-C40472B18F6C}"/>
            </a:ext>
          </a:extLst>
        </xdr:cNvPr>
        <xdr:cNvSpPr/>
      </xdr:nvSpPr>
      <xdr:spPr>
        <a:xfrm>
          <a:off x="13490582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8E70615F-E1BB-4F22-A3D1-4558F742CF16}"/>
            </a:ext>
          </a:extLst>
        </xdr:cNvPr>
        <xdr:cNvSpPr/>
      </xdr:nvSpPr>
      <xdr:spPr>
        <a:xfrm>
          <a:off x="14358415" y="2650753"/>
          <a:ext cx="949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416E873-4B6A-4651-9A44-57147A12769C}"/>
            </a:ext>
          </a:extLst>
        </xdr:cNvPr>
        <xdr:cNvSpPr/>
      </xdr:nvSpPr>
      <xdr:spPr>
        <a:xfrm>
          <a:off x="15361715" y="2650753"/>
          <a:ext cx="7213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9B34B83-E5C6-47FE-BC3B-969841F9ACCF}"/>
            </a:ext>
          </a:extLst>
        </xdr:cNvPr>
        <xdr:cNvSpPr/>
      </xdr:nvSpPr>
      <xdr:spPr>
        <a:xfrm>
          <a:off x="161237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23325AC2-5977-49F8-91A7-0D6CB7BAC18C}"/>
            </a:ext>
          </a:extLst>
        </xdr:cNvPr>
        <xdr:cNvSpPr/>
      </xdr:nvSpPr>
      <xdr:spPr>
        <a:xfrm>
          <a:off x="170000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9974E03-993A-4F08-9BDB-FF56B0F63C13}"/>
            </a:ext>
          </a:extLst>
        </xdr:cNvPr>
        <xdr:cNvSpPr/>
      </xdr:nvSpPr>
      <xdr:spPr>
        <a:xfrm>
          <a:off x="178636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E6751E5-366F-4AE8-965A-1F7AAC84F06B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67D6470C-91CD-4390-B945-FA554E54F50F}"/>
            </a:ext>
          </a:extLst>
        </xdr:cNvPr>
        <xdr:cNvSpPr/>
      </xdr:nvSpPr>
      <xdr:spPr>
        <a:xfrm>
          <a:off x="5739311" y="3228438"/>
          <a:ext cx="2466409" cy="6049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29DFFD8-50D2-4ABA-B23F-46EB9DD52942}"/>
            </a:ext>
          </a:extLst>
        </xdr:cNvPr>
        <xdr:cNvSpPr/>
      </xdr:nvSpPr>
      <xdr:spPr>
        <a:xfrm>
          <a:off x="8299630" y="3228438"/>
          <a:ext cx="1390113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0724E3AE-B53D-40AE-B072-0237DB405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52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592F70E-2D16-424F-A490-BBC6BA7B87A0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88BFB72-20E4-488A-8B42-A3175D6D4075}"/>
            </a:ext>
          </a:extLst>
        </xdr:cNvPr>
        <xdr:cNvSpPr txBox="1"/>
      </xdr:nvSpPr>
      <xdr:spPr>
        <a:xfrm>
          <a:off x="11678104" y="1702467"/>
          <a:ext cx="277343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F3105AE-3942-49CB-941F-1BA9A069A572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18B36DD-D5BE-46D8-AAEC-0E834DF4764C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9FEF5AB-7B45-471D-8E96-B748FC7AD647}"/>
            </a:ext>
          </a:extLst>
        </xdr:cNvPr>
        <xdr:cNvSpPr/>
      </xdr:nvSpPr>
      <xdr:spPr>
        <a:xfrm>
          <a:off x="5756730" y="2504319"/>
          <a:ext cx="3038020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E66B45C-EA58-4BAE-9AFD-B1152D86E184}"/>
            </a:ext>
          </a:extLst>
        </xdr:cNvPr>
        <xdr:cNvSpPr/>
      </xdr:nvSpPr>
      <xdr:spPr>
        <a:xfrm>
          <a:off x="14566295" y="1671109"/>
          <a:ext cx="4118580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BC51609-3452-435B-8585-93FEBB045236}"/>
            </a:ext>
          </a:extLst>
        </xdr:cNvPr>
        <xdr:cNvSpPr/>
      </xdr:nvSpPr>
      <xdr:spPr>
        <a:xfrm>
          <a:off x="13492696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CF83DED-3F4C-4E7B-87CE-F9ADFAE11B8B}"/>
            </a:ext>
          </a:extLst>
        </xdr:cNvPr>
        <xdr:cNvSpPr/>
      </xdr:nvSpPr>
      <xdr:spPr>
        <a:xfrm>
          <a:off x="134948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2120179</xdr:colOff>
      <xdr:row>15</xdr:row>
      <xdr:rowOff>63863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AF327EC-9CAD-4009-907B-FD05382151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42E58C2-DF6A-4F07-A645-78FC7C377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FBF0074-2121-478E-AB6B-389580D26D4E}"/>
            </a:ext>
          </a:extLst>
        </xdr:cNvPr>
        <xdr:cNvSpPr/>
      </xdr:nvSpPr>
      <xdr:spPr>
        <a:xfrm>
          <a:off x="13496629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99085D4-1DEB-44D4-90B4-1C988586B466}"/>
            </a:ext>
          </a:extLst>
        </xdr:cNvPr>
        <xdr:cNvSpPr/>
      </xdr:nvSpPr>
      <xdr:spPr>
        <a:xfrm>
          <a:off x="13490582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2CC1DA0-3CFF-4DB0-B3E6-CD4DDD81EBAF}"/>
            </a:ext>
          </a:extLst>
        </xdr:cNvPr>
        <xdr:cNvSpPr/>
      </xdr:nvSpPr>
      <xdr:spPr>
        <a:xfrm>
          <a:off x="14358415" y="2650753"/>
          <a:ext cx="949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C61542E-2B17-4B24-9592-4BF526E75B1D}"/>
            </a:ext>
          </a:extLst>
        </xdr:cNvPr>
        <xdr:cNvSpPr/>
      </xdr:nvSpPr>
      <xdr:spPr>
        <a:xfrm>
          <a:off x="15361715" y="2650753"/>
          <a:ext cx="7213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3097FF7-110E-4AD5-A3C7-233502133481}"/>
            </a:ext>
          </a:extLst>
        </xdr:cNvPr>
        <xdr:cNvSpPr/>
      </xdr:nvSpPr>
      <xdr:spPr>
        <a:xfrm>
          <a:off x="161237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7809EFD-FDDF-40D5-915A-5B1448AE5D01}"/>
            </a:ext>
          </a:extLst>
        </xdr:cNvPr>
        <xdr:cNvSpPr/>
      </xdr:nvSpPr>
      <xdr:spPr>
        <a:xfrm>
          <a:off x="170000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E8CEFE1-89B9-4DEA-9D91-8E0F6CABDBF5}"/>
            </a:ext>
          </a:extLst>
        </xdr:cNvPr>
        <xdr:cNvSpPr/>
      </xdr:nvSpPr>
      <xdr:spPr>
        <a:xfrm>
          <a:off x="178636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32F6743-9957-4412-B362-71416AD5779B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3F14E5C-2076-4BFD-BD96-FDDF54B9DDF6}"/>
            </a:ext>
          </a:extLst>
        </xdr:cNvPr>
        <xdr:cNvSpPr/>
      </xdr:nvSpPr>
      <xdr:spPr>
        <a:xfrm>
          <a:off x="5739311" y="3228438"/>
          <a:ext cx="2466409" cy="6049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E8408A4E-DAE4-4A32-9944-0685EF00CA41}"/>
            </a:ext>
          </a:extLst>
        </xdr:cNvPr>
        <xdr:cNvSpPr/>
      </xdr:nvSpPr>
      <xdr:spPr>
        <a:xfrm>
          <a:off x="8299630" y="3228438"/>
          <a:ext cx="1390113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3E1935F5-CA04-4E02-8CE6-AFB3B88299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52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0B66F1E-9561-4E22-9F8B-22924930D340}"/>
            </a:ext>
          </a:extLst>
        </xdr:cNvPr>
        <xdr:cNvSpPr txBox="1"/>
      </xdr:nvSpPr>
      <xdr:spPr>
        <a:xfrm>
          <a:off x="30240" y="1760765"/>
          <a:ext cx="3100311" cy="48925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4B67D3-B1B5-432A-A6AC-0FB3DA3F0EF5}"/>
            </a:ext>
          </a:extLst>
        </xdr:cNvPr>
        <xdr:cNvSpPr txBox="1"/>
      </xdr:nvSpPr>
      <xdr:spPr>
        <a:xfrm>
          <a:off x="11678104" y="1702467"/>
          <a:ext cx="2773437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D8AA2AA-2A5B-4C80-8753-60F454FC9D51}"/>
            </a:ext>
          </a:extLst>
        </xdr:cNvPr>
        <xdr:cNvSpPr/>
      </xdr:nvSpPr>
      <xdr:spPr>
        <a:xfrm>
          <a:off x="3163812" y="1703917"/>
          <a:ext cx="336398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5B2C141-5E18-4246-9F66-CADCC1040955}"/>
            </a:ext>
          </a:extLst>
        </xdr:cNvPr>
        <xdr:cNvSpPr txBox="1"/>
      </xdr:nvSpPr>
      <xdr:spPr>
        <a:xfrm>
          <a:off x="55940" y="2539094"/>
          <a:ext cx="5593444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0DB7E19-6B5A-42DA-BDF4-27F1E1337096}"/>
            </a:ext>
          </a:extLst>
        </xdr:cNvPr>
        <xdr:cNvSpPr/>
      </xdr:nvSpPr>
      <xdr:spPr>
        <a:xfrm>
          <a:off x="5756730" y="2504319"/>
          <a:ext cx="3038020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A4139B5-C54F-40A0-93E5-AA4B88426F83}"/>
            </a:ext>
          </a:extLst>
        </xdr:cNvPr>
        <xdr:cNvSpPr/>
      </xdr:nvSpPr>
      <xdr:spPr>
        <a:xfrm>
          <a:off x="14566295" y="1671109"/>
          <a:ext cx="4118580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FECCAE8-F722-4819-9E5F-527FDEDC8E4E}"/>
            </a:ext>
          </a:extLst>
        </xdr:cNvPr>
        <xdr:cNvSpPr/>
      </xdr:nvSpPr>
      <xdr:spPr>
        <a:xfrm>
          <a:off x="13492696" y="3004609"/>
          <a:ext cx="82296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13CC77-8349-4D7F-90BA-EB5C817C9E77}"/>
            </a:ext>
          </a:extLst>
        </xdr:cNvPr>
        <xdr:cNvSpPr/>
      </xdr:nvSpPr>
      <xdr:spPr>
        <a:xfrm>
          <a:off x="134948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F64CCDE-5143-42D4-BF7D-2B90AB1238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4195" y="4268259"/>
          <a:ext cx="377974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5BFD64A-10A3-4A10-9938-6311460EA3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5057" y="4594367"/>
          <a:ext cx="365327" cy="33293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D6AEF04-F7AA-42DE-B6F5-1CC4738ED5E3}"/>
            </a:ext>
          </a:extLst>
        </xdr:cNvPr>
        <xdr:cNvSpPr/>
      </xdr:nvSpPr>
      <xdr:spPr>
        <a:xfrm>
          <a:off x="13496629" y="3323167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E80F58F-46CA-4364-82E2-8027E815E4CE}"/>
            </a:ext>
          </a:extLst>
        </xdr:cNvPr>
        <xdr:cNvSpPr/>
      </xdr:nvSpPr>
      <xdr:spPr>
        <a:xfrm>
          <a:off x="13490582" y="3641726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876A5C9B-FDA8-45E2-A076-BB3F75091836}"/>
            </a:ext>
          </a:extLst>
        </xdr:cNvPr>
        <xdr:cNvSpPr/>
      </xdr:nvSpPr>
      <xdr:spPr>
        <a:xfrm>
          <a:off x="14358415" y="2650753"/>
          <a:ext cx="949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2C3C079-C1AA-4F1D-8E70-DAEE741FA406}"/>
            </a:ext>
          </a:extLst>
        </xdr:cNvPr>
        <xdr:cNvSpPr/>
      </xdr:nvSpPr>
      <xdr:spPr>
        <a:xfrm>
          <a:off x="15361715" y="2650753"/>
          <a:ext cx="7213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CC1FCFE-802B-4874-8CB6-EB9BECD84C02}"/>
            </a:ext>
          </a:extLst>
        </xdr:cNvPr>
        <xdr:cNvSpPr/>
      </xdr:nvSpPr>
      <xdr:spPr>
        <a:xfrm>
          <a:off x="161237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562E7C2-35BC-49D9-8B8F-B52A6C093506}"/>
            </a:ext>
          </a:extLst>
        </xdr:cNvPr>
        <xdr:cNvSpPr/>
      </xdr:nvSpPr>
      <xdr:spPr>
        <a:xfrm>
          <a:off x="170000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2012653E-1EAC-4F38-A3A2-9935FCE1CF51}"/>
            </a:ext>
          </a:extLst>
        </xdr:cNvPr>
        <xdr:cNvSpPr/>
      </xdr:nvSpPr>
      <xdr:spPr>
        <a:xfrm>
          <a:off x="17863615" y="2650753"/>
          <a:ext cx="822960" cy="315807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18D05C3-65AF-4785-8D10-A30BBE161F8E}"/>
            </a:ext>
          </a:extLst>
        </xdr:cNvPr>
        <xdr:cNvSpPr txBox="1"/>
      </xdr:nvSpPr>
      <xdr:spPr>
        <a:xfrm>
          <a:off x="26832" y="3276074"/>
          <a:ext cx="5597254" cy="5324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E82631DA-484F-4572-A575-53C415526845}"/>
            </a:ext>
          </a:extLst>
        </xdr:cNvPr>
        <xdr:cNvSpPr/>
      </xdr:nvSpPr>
      <xdr:spPr>
        <a:xfrm>
          <a:off x="5739311" y="3228438"/>
          <a:ext cx="2466409" cy="60493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2B14316-FA73-4993-A116-0A7B17D866EC}"/>
            </a:ext>
          </a:extLst>
        </xdr:cNvPr>
        <xdr:cNvSpPr/>
      </xdr:nvSpPr>
      <xdr:spPr>
        <a:xfrm>
          <a:off x="8299630" y="3228438"/>
          <a:ext cx="1390113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7E14CDB6-E46C-4BDE-B371-79313ADD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39" y="53662"/>
          <a:ext cx="3315236" cy="80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A727B29-551C-4DB1-B2D5-80810C6A6024}"/>
            </a:ext>
          </a:extLst>
        </xdr:cNvPr>
        <xdr:cNvSpPr txBox="1"/>
      </xdr:nvSpPr>
      <xdr:spPr>
        <a:xfrm>
          <a:off x="33415" y="1776640"/>
          <a:ext cx="3100311" cy="49242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45E704-41E6-4245-A5F2-1D22A916ACCD}"/>
            </a:ext>
          </a:extLst>
        </xdr:cNvPr>
        <xdr:cNvSpPr txBox="1"/>
      </xdr:nvSpPr>
      <xdr:spPr>
        <a:xfrm>
          <a:off x="11690804" y="1718342"/>
          <a:ext cx="2776612" cy="55692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A7360C5-CCF0-4F9D-A8C9-57825629F6DF}"/>
            </a:ext>
          </a:extLst>
        </xdr:cNvPr>
        <xdr:cNvSpPr/>
      </xdr:nvSpPr>
      <xdr:spPr>
        <a:xfrm>
          <a:off x="3163812" y="1719792"/>
          <a:ext cx="3367162" cy="64014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CB4F32-F1A9-4514-AF65-5EBC348FBB0F}"/>
            </a:ext>
          </a:extLst>
        </xdr:cNvPr>
        <xdr:cNvSpPr txBox="1"/>
      </xdr:nvSpPr>
      <xdr:spPr>
        <a:xfrm>
          <a:off x="55940" y="2561319"/>
          <a:ext cx="5596619" cy="52795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581E274-2ED1-4E50-BEBE-F93ACF46C885}"/>
            </a:ext>
          </a:extLst>
        </xdr:cNvPr>
        <xdr:cNvSpPr/>
      </xdr:nvSpPr>
      <xdr:spPr>
        <a:xfrm>
          <a:off x="5756730" y="2526544"/>
          <a:ext cx="3047545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A25C378-E953-4FF4-BD6D-F0AFC40C3050}"/>
            </a:ext>
          </a:extLst>
        </xdr:cNvPr>
        <xdr:cNvSpPr/>
      </xdr:nvSpPr>
      <xdr:spPr>
        <a:xfrm>
          <a:off x="14582170" y="1686984"/>
          <a:ext cx="4121755" cy="6369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8AECE29-E1D8-42E0-9C64-19A11036A065}"/>
            </a:ext>
          </a:extLst>
        </xdr:cNvPr>
        <xdr:cNvSpPr/>
      </xdr:nvSpPr>
      <xdr:spPr>
        <a:xfrm>
          <a:off x="13508571" y="3026834"/>
          <a:ext cx="822960" cy="32321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FAFE4F-9600-4BAF-B7BD-0A39975D4048}"/>
            </a:ext>
          </a:extLst>
        </xdr:cNvPr>
        <xdr:cNvSpPr/>
      </xdr:nvSpPr>
      <xdr:spPr>
        <a:xfrm>
          <a:off x="135106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2120179</xdr:colOff>
      <xdr:row>15</xdr:row>
      <xdr:rowOff>63863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254B6EB-1EFB-4E07-9408-CED265775A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7370" y="4306359"/>
          <a:ext cx="374799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BA3FD0F-0CA3-46A0-8938-F3FA7E78B1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8232" y="4632467"/>
          <a:ext cx="362152" cy="336106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2DACDD6E-B612-42BC-B784-B2816FE47E46}"/>
            </a:ext>
          </a:extLst>
        </xdr:cNvPr>
        <xdr:cNvSpPr/>
      </xdr:nvSpPr>
      <xdr:spPr>
        <a:xfrm>
          <a:off x="13512504" y="3351742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65C50AE-A714-4E1A-AA4B-7390111D0675}"/>
            </a:ext>
          </a:extLst>
        </xdr:cNvPr>
        <xdr:cNvSpPr/>
      </xdr:nvSpPr>
      <xdr:spPr>
        <a:xfrm>
          <a:off x="13509632" y="3673476"/>
          <a:ext cx="819785" cy="33020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97D30CA-A412-4156-A299-8911C7ABD926}"/>
            </a:ext>
          </a:extLst>
        </xdr:cNvPr>
        <xdr:cNvSpPr/>
      </xdr:nvSpPr>
      <xdr:spPr>
        <a:xfrm>
          <a:off x="14374290" y="2669803"/>
          <a:ext cx="949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1C8FAF4-9500-4890-8015-63934F90C9F9}"/>
            </a:ext>
          </a:extLst>
        </xdr:cNvPr>
        <xdr:cNvSpPr/>
      </xdr:nvSpPr>
      <xdr:spPr>
        <a:xfrm>
          <a:off x="15377590" y="2669803"/>
          <a:ext cx="7213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547AACB-C693-488F-A436-37116B49B4D2}"/>
            </a:ext>
          </a:extLst>
        </xdr:cNvPr>
        <xdr:cNvSpPr/>
      </xdr:nvSpPr>
      <xdr:spPr>
        <a:xfrm>
          <a:off x="161395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CB82AB0-80E6-4D84-9F1A-91FE77AD463B}"/>
            </a:ext>
          </a:extLst>
        </xdr:cNvPr>
        <xdr:cNvSpPr/>
      </xdr:nvSpPr>
      <xdr:spPr>
        <a:xfrm>
          <a:off x="170158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320920F-08CC-4681-A114-7D6BB0F26C6C}"/>
            </a:ext>
          </a:extLst>
        </xdr:cNvPr>
        <xdr:cNvSpPr/>
      </xdr:nvSpPr>
      <xdr:spPr>
        <a:xfrm>
          <a:off x="17879490" y="2669803"/>
          <a:ext cx="826135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26DCB092-E678-4C2B-93F3-B3C97EC417C9}"/>
            </a:ext>
          </a:extLst>
        </xdr:cNvPr>
        <xdr:cNvSpPr txBox="1"/>
      </xdr:nvSpPr>
      <xdr:spPr>
        <a:xfrm>
          <a:off x="30007" y="3301474"/>
          <a:ext cx="5594079" cy="53883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26D60269-65AF-458F-98C9-3C1E639BDC01}"/>
            </a:ext>
          </a:extLst>
        </xdr:cNvPr>
        <xdr:cNvSpPr/>
      </xdr:nvSpPr>
      <xdr:spPr>
        <a:xfrm>
          <a:off x="5742486" y="3250663"/>
          <a:ext cx="2472759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435828C-3EE8-40A8-83F9-0C198E09D0F8}"/>
            </a:ext>
          </a:extLst>
        </xdr:cNvPr>
        <xdr:cNvSpPr/>
      </xdr:nvSpPr>
      <xdr:spPr>
        <a:xfrm>
          <a:off x="8309155" y="3250663"/>
          <a:ext cx="1390113" cy="62080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F5701B03-9E8C-4F06-89DF-9F91575F8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14" y="53662"/>
          <a:ext cx="3315236" cy="8122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6A7C5-7CE4-4B0D-815A-CA492C6693A6}"/>
            </a:ext>
          </a:extLst>
        </xdr:cNvPr>
        <xdr:cNvSpPr txBox="1"/>
      </xdr:nvSpPr>
      <xdr:spPr>
        <a:xfrm>
          <a:off x="33415" y="1776640"/>
          <a:ext cx="3100311" cy="49242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4C05E4-54C2-4C5F-A06E-58D38A05040D}"/>
            </a:ext>
          </a:extLst>
        </xdr:cNvPr>
        <xdr:cNvSpPr txBox="1"/>
      </xdr:nvSpPr>
      <xdr:spPr>
        <a:xfrm>
          <a:off x="11690804" y="1718342"/>
          <a:ext cx="2776612" cy="55692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F6C815C-86D4-427E-A240-0C7979B91611}"/>
            </a:ext>
          </a:extLst>
        </xdr:cNvPr>
        <xdr:cNvSpPr/>
      </xdr:nvSpPr>
      <xdr:spPr>
        <a:xfrm>
          <a:off x="3163812" y="1719792"/>
          <a:ext cx="3367162" cy="64014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891BF68-803B-44CF-A77D-9F53472B3B59}"/>
            </a:ext>
          </a:extLst>
        </xdr:cNvPr>
        <xdr:cNvSpPr txBox="1"/>
      </xdr:nvSpPr>
      <xdr:spPr>
        <a:xfrm>
          <a:off x="55940" y="2561319"/>
          <a:ext cx="5596619" cy="52795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914FC92-B39A-41AD-A9EB-7B271E60C6F0}"/>
            </a:ext>
          </a:extLst>
        </xdr:cNvPr>
        <xdr:cNvSpPr/>
      </xdr:nvSpPr>
      <xdr:spPr>
        <a:xfrm>
          <a:off x="5756730" y="2526544"/>
          <a:ext cx="3047545" cy="612473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F18278E-1E26-4214-81CA-99C2C2CEFE46}"/>
            </a:ext>
          </a:extLst>
        </xdr:cNvPr>
        <xdr:cNvSpPr/>
      </xdr:nvSpPr>
      <xdr:spPr>
        <a:xfrm>
          <a:off x="14582170" y="1686984"/>
          <a:ext cx="4121755" cy="6369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0E2871E-8DB9-4DE9-B327-398233396BD9}"/>
            </a:ext>
          </a:extLst>
        </xdr:cNvPr>
        <xdr:cNvSpPr/>
      </xdr:nvSpPr>
      <xdr:spPr>
        <a:xfrm>
          <a:off x="13508571" y="3026834"/>
          <a:ext cx="822960" cy="32321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288553</xdr:rowOff>
    </xdr:from>
    <xdr:to>
      <xdr:col>8</xdr:col>
      <xdr:colOff>1411400</xdr:colOff>
      <xdr:row>9</xdr:row>
      <xdr:rowOff>280510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BD91E1E-9FCC-4178-AD02-0AB8D671B418}"/>
            </a:ext>
          </a:extLst>
        </xdr:cNvPr>
        <xdr:cNvSpPr/>
      </xdr:nvSpPr>
      <xdr:spPr>
        <a:xfrm>
          <a:off x="135106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2120179</xdr:colOff>
      <xdr:row>15</xdr:row>
      <xdr:rowOff>63863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24BED6D-BE02-4F7B-A41D-6AE093801E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27370" y="4306359"/>
          <a:ext cx="374799" cy="363794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1AB0210-696C-4AD2-AEB9-E716A94F5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78232" y="4632467"/>
          <a:ext cx="362152" cy="336106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A4C56DD-C75B-462C-9CD5-251F4C5924FC}"/>
            </a:ext>
          </a:extLst>
        </xdr:cNvPr>
        <xdr:cNvSpPr/>
      </xdr:nvSpPr>
      <xdr:spPr>
        <a:xfrm>
          <a:off x="13512504" y="3351742"/>
          <a:ext cx="822960" cy="32702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E643D4E8-E0AD-4547-8480-121FF178802A}"/>
            </a:ext>
          </a:extLst>
        </xdr:cNvPr>
        <xdr:cNvSpPr/>
      </xdr:nvSpPr>
      <xdr:spPr>
        <a:xfrm>
          <a:off x="13509632" y="3673476"/>
          <a:ext cx="819785" cy="33020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288553</xdr:rowOff>
    </xdr:from>
    <xdr:to>
      <xdr:col>9</xdr:col>
      <xdr:colOff>458900</xdr:colOff>
      <xdr:row>9</xdr:row>
      <xdr:rowOff>280510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A610604-DE9F-44DD-B7E7-BA1F92EE0AE6}"/>
            </a:ext>
          </a:extLst>
        </xdr:cNvPr>
        <xdr:cNvSpPr/>
      </xdr:nvSpPr>
      <xdr:spPr>
        <a:xfrm>
          <a:off x="14374290" y="2669803"/>
          <a:ext cx="949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288553</xdr:rowOff>
    </xdr:from>
    <xdr:to>
      <xdr:col>10</xdr:col>
      <xdr:colOff>128700</xdr:colOff>
      <xdr:row>9</xdr:row>
      <xdr:rowOff>280510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56F75A95-DAEE-43A0-8B4E-8AD544AA6904}"/>
            </a:ext>
          </a:extLst>
        </xdr:cNvPr>
        <xdr:cNvSpPr/>
      </xdr:nvSpPr>
      <xdr:spPr>
        <a:xfrm>
          <a:off x="15377590" y="2669803"/>
          <a:ext cx="7213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288553</xdr:rowOff>
    </xdr:from>
    <xdr:to>
      <xdr:col>10</xdr:col>
      <xdr:colOff>992300</xdr:colOff>
      <xdr:row>9</xdr:row>
      <xdr:rowOff>280510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AA2AD2D2-3112-4EBD-B0C4-41076BF997D7}"/>
            </a:ext>
          </a:extLst>
        </xdr:cNvPr>
        <xdr:cNvSpPr/>
      </xdr:nvSpPr>
      <xdr:spPr>
        <a:xfrm>
          <a:off x="161395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288553</xdr:rowOff>
    </xdr:from>
    <xdr:to>
      <xdr:col>10</xdr:col>
      <xdr:colOff>1868600</xdr:colOff>
      <xdr:row>9</xdr:row>
      <xdr:rowOff>280510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B00DB07-701C-403B-9EAB-B19B6354DB64}"/>
            </a:ext>
          </a:extLst>
        </xdr:cNvPr>
        <xdr:cNvSpPr/>
      </xdr:nvSpPr>
      <xdr:spPr>
        <a:xfrm>
          <a:off x="17015890" y="2669803"/>
          <a:ext cx="822960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288553</xdr:rowOff>
    </xdr:from>
    <xdr:to>
      <xdr:col>10</xdr:col>
      <xdr:colOff>2732200</xdr:colOff>
      <xdr:row>9</xdr:row>
      <xdr:rowOff>280510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AAF00C-01F1-4F97-8774-C95EB68BCE64}"/>
            </a:ext>
          </a:extLst>
        </xdr:cNvPr>
        <xdr:cNvSpPr/>
      </xdr:nvSpPr>
      <xdr:spPr>
        <a:xfrm>
          <a:off x="17879490" y="2669803"/>
          <a:ext cx="826135" cy="31898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4631216-90B8-4BB0-B398-3B4410EB39DE}"/>
            </a:ext>
          </a:extLst>
        </xdr:cNvPr>
        <xdr:cNvSpPr txBox="1"/>
      </xdr:nvSpPr>
      <xdr:spPr>
        <a:xfrm>
          <a:off x="30007" y="3301474"/>
          <a:ext cx="5594079" cy="53883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147570</xdr:colOff>
      <xdr:row>12</xdr:row>
      <xdr:rowOff>204346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391A1DF-2771-44B4-9713-F0C63986BBE1}"/>
            </a:ext>
          </a:extLst>
        </xdr:cNvPr>
        <xdr:cNvSpPr/>
      </xdr:nvSpPr>
      <xdr:spPr>
        <a:xfrm>
          <a:off x="5742486" y="3250663"/>
          <a:ext cx="2472759" cy="61445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241480</xdr:colOff>
      <xdr:row>10</xdr:row>
      <xdr:rowOff>228063</xdr:rowOff>
    </xdr:from>
    <xdr:to>
      <xdr:col>5</xdr:col>
      <xdr:colOff>2818</xdr:colOff>
      <xdr:row>12</xdr:row>
      <xdr:rowOff>213871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EA45007-0538-484C-9301-6C4410C36448}"/>
            </a:ext>
          </a:extLst>
        </xdr:cNvPr>
        <xdr:cNvSpPr/>
      </xdr:nvSpPr>
      <xdr:spPr>
        <a:xfrm>
          <a:off x="8309155" y="3250663"/>
          <a:ext cx="1390113" cy="62080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120739</xdr:colOff>
      <xdr:row>0</xdr:row>
      <xdr:rowOff>53662</xdr:rowOff>
    </xdr:from>
    <xdr:to>
      <xdr:col>2</xdr:col>
      <xdr:colOff>2750175</xdr:colOff>
      <xdr:row>2</xdr:row>
      <xdr:rowOff>281725</xdr:rowOff>
    </xdr:to>
    <xdr:pic>
      <xdr:nvPicPr>
        <xdr:cNvPr id="22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9CFBDE93-4C5F-41D2-8E0F-0D52814EC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14" y="53662"/>
          <a:ext cx="3315236" cy="8122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5ADF54-2BD8-4A7F-BBAF-345171DBAB80}"/>
            </a:ext>
          </a:extLst>
        </xdr:cNvPr>
        <xdr:cNvSpPr txBox="1"/>
      </xdr:nvSpPr>
      <xdr:spPr>
        <a:xfrm>
          <a:off x="28335" y="1762670"/>
          <a:ext cx="3123171" cy="48353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53ADD26-B444-4273-B72A-EE5B7C840D25}"/>
            </a:ext>
          </a:extLst>
        </xdr:cNvPr>
        <xdr:cNvSpPr txBox="1"/>
      </xdr:nvSpPr>
      <xdr:spPr>
        <a:xfrm>
          <a:off x="11760019" y="1698657"/>
          <a:ext cx="2668662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689DDB3-EFDA-484E-AA40-4953BA0C6CBE}"/>
            </a:ext>
          </a:extLst>
        </xdr:cNvPr>
        <xdr:cNvSpPr/>
      </xdr:nvSpPr>
      <xdr:spPr>
        <a:xfrm>
          <a:off x="3182862" y="1702012"/>
          <a:ext cx="336779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B4B427C-118D-44CA-AF92-FD319B7BE8B3}"/>
            </a:ext>
          </a:extLst>
        </xdr:cNvPr>
        <xdr:cNvSpPr txBox="1"/>
      </xdr:nvSpPr>
      <xdr:spPr>
        <a:xfrm>
          <a:off x="59750" y="2535284"/>
          <a:ext cx="5610589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4D394CAC-9E9F-4FF8-B4E1-4FF8B50519A4}"/>
            </a:ext>
          </a:extLst>
        </xdr:cNvPr>
        <xdr:cNvSpPr/>
      </xdr:nvSpPr>
      <xdr:spPr>
        <a:xfrm>
          <a:off x="5775780" y="2502414"/>
          <a:ext cx="3003730" cy="61437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5BBE265-876A-4BE9-BCE6-0E925DBAE740}"/>
            </a:ext>
          </a:extLst>
        </xdr:cNvPr>
        <xdr:cNvSpPr/>
      </xdr:nvSpPr>
      <xdr:spPr>
        <a:xfrm>
          <a:off x="14543435" y="1669204"/>
          <a:ext cx="4090005" cy="63569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9F89B3D-8C2A-413E-912F-148282B51172}"/>
            </a:ext>
          </a:extLst>
        </xdr:cNvPr>
        <xdr:cNvSpPr/>
      </xdr:nvSpPr>
      <xdr:spPr>
        <a:xfrm>
          <a:off x="13477456" y="3006514"/>
          <a:ext cx="81915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315383</xdr:rowOff>
    </xdr:from>
    <xdr:to>
      <xdr:col>8</xdr:col>
      <xdr:colOff>1411400</xdr:colOff>
      <xdr:row>9</xdr:row>
      <xdr:rowOff>307340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8C5C395-49EF-49E8-9690-78A6638B35A6}"/>
            </a:ext>
          </a:extLst>
        </xdr:cNvPr>
        <xdr:cNvSpPr/>
      </xdr:nvSpPr>
      <xdr:spPr>
        <a:xfrm>
          <a:off x="1347957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16028A0-B860-4D84-A1A9-0476CC4307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39435" y="4270164"/>
          <a:ext cx="377974" cy="358079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BFA42EE-7091-4D42-BDA0-9DCF7EFBA5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97917" y="4590557"/>
          <a:ext cx="361517" cy="33674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249AB8D3-7247-449F-A22C-6AA864685967}"/>
            </a:ext>
          </a:extLst>
        </xdr:cNvPr>
        <xdr:cNvSpPr/>
      </xdr:nvSpPr>
      <xdr:spPr>
        <a:xfrm>
          <a:off x="13481389" y="3325072"/>
          <a:ext cx="819150" cy="32131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E014B984-9E32-47DD-ACDC-9448FBBB9028}"/>
            </a:ext>
          </a:extLst>
        </xdr:cNvPr>
        <xdr:cNvSpPr/>
      </xdr:nvSpPr>
      <xdr:spPr>
        <a:xfrm>
          <a:off x="13475342" y="3645536"/>
          <a:ext cx="819150" cy="31940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315383</xdr:rowOff>
    </xdr:from>
    <xdr:to>
      <xdr:col>9</xdr:col>
      <xdr:colOff>458900</xdr:colOff>
      <xdr:row>9</xdr:row>
      <xdr:rowOff>307340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D750AEB-628E-4761-93EA-BA54D2635780}"/>
            </a:ext>
          </a:extLst>
        </xdr:cNvPr>
        <xdr:cNvSpPr/>
      </xdr:nvSpPr>
      <xdr:spPr>
        <a:xfrm>
          <a:off x="14341270" y="2679488"/>
          <a:ext cx="82423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315383</xdr:rowOff>
    </xdr:from>
    <xdr:to>
      <xdr:col>10</xdr:col>
      <xdr:colOff>128700</xdr:colOff>
      <xdr:row>9</xdr:row>
      <xdr:rowOff>307340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D8BDE35-9323-4064-99A8-4320090D99A8}"/>
            </a:ext>
          </a:extLst>
        </xdr:cNvPr>
        <xdr:cNvSpPr/>
      </xdr:nvSpPr>
      <xdr:spPr>
        <a:xfrm>
          <a:off x="15222650" y="2679488"/>
          <a:ext cx="81661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315383</xdr:rowOff>
    </xdr:from>
    <xdr:to>
      <xdr:col>10</xdr:col>
      <xdr:colOff>992300</xdr:colOff>
      <xdr:row>9</xdr:row>
      <xdr:rowOff>307340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FAA43CEF-ACF5-45D8-B789-1F54A5358661}"/>
            </a:ext>
          </a:extLst>
        </xdr:cNvPr>
        <xdr:cNvSpPr/>
      </xdr:nvSpPr>
      <xdr:spPr>
        <a:xfrm>
          <a:off x="160799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315383</xdr:rowOff>
    </xdr:from>
    <xdr:to>
      <xdr:col>10</xdr:col>
      <xdr:colOff>1868600</xdr:colOff>
      <xdr:row>9</xdr:row>
      <xdr:rowOff>307340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883E5AA-FDA4-41EF-8315-98820B0C4E2B}"/>
            </a:ext>
          </a:extLst>
        </xdr:cNvPr>
        <xdr:cNvSpPr/>
      </xdr:nvSpPr>
      <xdr:spPr>
        <a:xfrm>
          <a:off x="169562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315383</xdr:rowOff>
    </xdr:from>
    <xdr:to>
      <xdr:col>10</xdr:col>
      <xdr:colOff>2732200</xdr:colOff>
      <xdr:row>9</xdr:row>
      <xdr:rowOff>307340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9549834-99AE-4E81-BA6D-E477A88BCF61}"/>
            </a:ext>
          </a:extLst>
        </xdr:cNvPr>
        <xdr:cNvSpPr/>
      </xdr:nvSpPr>
      <xdr:spPr>
        <a:xfrm>
          <a:off x="1781789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53662</xdr:colOff>
      <xdr:row>10</xdr:row>
      <xdr:rowOff>248868</xdr:rowOff>
    </xdr:from>
    <xdr:to>
      <xdr:col>2</xdr:col>
      <xdr:colOff>4963211</xdr:colOff>
      <xdr:row>12</xdr:row>
      <xdr:rowOff>152700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290F5652-8F8E-443D-86F5-DAB8FEA7ABF0}"/>
            </a:ext>
          </a:extLst>
        </xdr:cNvPr>
        <xdr:cNvSpPr txBox="1"/>
      </xdr:nvSpPr>
      <xdr:spPr>
        <a:xfrm>
          <a:off x="53662" y="3213692"/>
          <a:ext cx="5607155" cy="52094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 :</a:t>
          </a:r>
          <a:endParaRPr lang="az-Cyrl-AZ" sz="1800" b="1"/>
        </a:p>
      </xdr:txBody>
    </xdr:sp>
    <xdr:clientData/>
  </xdr:twoCellAnchor>
  <xdr:twoCellAnchor>
    <xdr:from>
      <xdr:col>2</xdr:col>
      <xdr:colOff>5078436</xdr:colOff>
      <xdr:row>10</xdr:row>
      <xdr:rowOff>201232</xdr:rowOff>
    </xdr:from>
    <xdr:to>
      <xdr:col>4</xdr:col>
      <xdr:colOff>770937</xdr:colOff>
      <xdr:row>12</xdr:row>
      <xdr:rowOff>177515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08992E8-DC1C-4838-B68E-E43DA9C67887}"/>
            </a:ext>
          </a:extLst>
        </xdr:cNvPr>
        <xdr:cNvSpPr/>
      </xdr:nvSpPr>
      <xdr:spPr>
        <a:xfrm>
          <a:off x="5776042" y="3166056"/>
          <a:ext cx="3030775" cy="593396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831760</xdr:colOff>
      <xdr:row>10</xdr:row>
      <xdr:rowOff>187817</xdr:rowOff>
    </xdr:from>
    <xdr:to>
      <xdr:col>4</xdr:col>
      <xdr:colOff>1652921</xdr:colOff>
      <xdr:row>12</xdr:row>
      <xdr:rowOff>173625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D788450-8BE0-4E72-9AC9-06BD4C0892DF}"/>
            </a:ext>
          </a:extLst>
        </xdr:cNvPr>
        <xdr:cNvSpPr/>
      </xdr:nvSpPr>
      <xdr:spPr>
        <a:xfrm>
          <a:off x="8867640" y="3152641"/>
          <a:ext cx="821161" cy="60292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2629436</xdr:colOff>
      <xdr:row>2</xdr:row>
      <xdr:rowOff>228063</xdr:rowOff>
    </xdr:to>
    <xdr:pic>
      <xdr:nvPicPr>
        <xdr:cNvPr id="23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DE314872-1589-45BA-9322-60F2ADBF3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30240</xdr:colOff>
      <xdr:row>5</xdr:row>
      <xdr:rowOff>236765</xdr:rowOff>
    </xdr:from>
    <xdr:to>
      <xdr:col>2</xdr:col>
      <xdr:colOff>2444751</xdr:colOff>
      <xdr:row>7</xdr:row>
      <xdr:rowOff>211667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8135AA-68E0-42B1-9A9E-CF80DD23DF19}"/>
            </a:ext>
          </a:extLst>
        </xdr:cNvPr>
        <xdr:cNvSpPr txBox="1"/>
      </xdr:nvSpPr>
      <xdr:spPr>
        <a:xfrm>
          <a:off x="28335" y="1762670"/>
          <a:ext cx="3123171" cy="483537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Equipment</a:t>
          </a:r>
          <a:r>
            <a:rPr lang="en-US" sz="1800" b="1" baseline="0"/>
            <a:t> </a:t>
          </a:r>
          <a:r>
            <a:rPr lang="ru-RU" sz="1800" b="1"/>
            <a:t>Оборудования:  </a:t>
          </a:r>
          <a:endParaRPr lang="en-US" sz="1800"/>
        </a:p>
      </xdr:txBody>
    </xdr:sp>
    <xdr:clientData/>
  </xdr:twoCellAnchor>
  <xdr:twoCellAnchor>
    <xdr:from>
      <xdr:col>7</xdr:col>
      <xdr:colOff>19504</xdr:colOff>
      <xdr:row>5</xdr:row>
      <xdr:rowOff>178467</xdr:rowOff>
    </xdr:from>
    <xdr:to>
      <xdr:col>8</xdr:col>
      <xdr:colOff>1545166</xdr:colOff>
      <xdr:row>7</xdr:row>
      <xdr:rowOff>214690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2FA0FB-5724-453D-87CD-9B0D4284A3F0}"/>
            </a:ext>
          </a:extLst>
        </xdr:cNvPr>
        <xdr:cNvSpPr txBox="1"/>
      </xdr:nvSpPr>
      <xdr:spPr>
        <a:xfrm>
          <a:off x="11760019" y="1698657"/>
          <a:ext cx="2668662" cy="550573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1"/>
            <a:t> </a:t>
          </a:r>
          <a:r>
            <a:rPr lang="en-US" sz="1800" b="1"/>
            <a:t>Hour Meter </a:t>
          </a:r>
          <a:r>
            <a:rPr lang="ru-RU" sz="1800" b="1"/>
            <a:t>моточасы: </a:t>
          </a:r>
          <a:endParaRPr lang="en-US" sz="1800"/>
        </a:p>
      </xdr:txBody>
    </xdr:sp>
    <xdr:clientData/>
  </xdr:twoCellAnchor>
  <xdr:twoCellAnchor>
    <xdr:from>
      <xdr:col>2</xdr:col>
      <xdr:colOff>2478012</xdr:colOff>
      <xdr:row>5</xdr:row>
      <xdr:rowOff>179917</xdr:rowOff>
    </xdr:from>
    <xdr:to>
      <xdr:col>2</xdr:col>
      <xdr:colOff>5841999</xdr:colOff>
      <xdr:row>7</xdr:row>
      <xdr:rowOff>299357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099BECB-F0FC-4859-BEB3-3FF0A12098EA}"/>
            </a:ext>
          </a:extLst>
        </xdr:cNvPr>
        <xdr:cNvSpPr/>
      </xdr:nvSpPr>
      <xdr:spPr>
        <a:xfrm>
          <a:off x="3182862" y="1702012"/>
          <a:ext cx="3367797" cy="63379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55940</xdr:colOff>
      <xdr:row>8</xdr:row>
      <xdr:rowOff>176894</xdr:rowOff>
    </xdr:from>
    <xdr:to>
      <xdr:col>2</xdr:col>
      <xdr:colOff>4963584</xdr:colOff>
      <xdr:row>10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22F40D0-A003-4AB5-8C21-72FA7FD0D427}"/>
            </a:ext>
          </a:extLst>
        </xdr:cNvPr>
        <xdr:cNvSpPr txBox="1"/>
      </xdr:nvSpPr>
      <xdr:spPr>
        <a:xfrm>
          <a:off x="59750" y="2535284"/>
          <a:ext cx="5610589" cy="52478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Date Sample Taken  </a:t>
          </a:r>
          <a:r>
            <a:rPr lang="az-Cyrl-AZ" sz="1800" b="1"/>
            <a:t>Дата отбора образца масла:</a:t>
          </a:r>
        </a:p>
      </xdr:txBody>
    </xdr:sp>
    <xdr:clientData/>
  </xdr:twoCellAnchor>
  <xdr:twoCellAnchor>
    <xdr:from>
      <xdr:col>2</xdr:col>
      <xdr:colOff>5070930</xdr:colOff>
      <xdr:row>8</xdr:row>
      <xdr:rowOff>142119</xdr:rowOff>
    </xdr:from>
    <xdr:to>
      <xdr:col>4</xdr:col>
      <xdr:colOff>736600</xdr:colOff>
      <xdr:row>10</xdr:row>
      <xdr:rowOff>116417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F57119E-6DB5-4104-B9C4-2F30CA0AAF61}"/>
            </a:ext>
          </a:extLst>
        </xdr:cNvPr>
        <xdr:cNvSpPr/>
      </xdr:nvSpPr>
      <xdr:spPr>
        <a:xfrm>
          <a:off x="5775780" y="2502414"/>
          <a:ext cx="3003730" cy="614378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1659920</xdr:colOff>
      <xdr:row>5</xdr:row>
      <xdr:rowOff>147109</xdr:rowOff>
    </xdr:from>
    <xdr:to>
      <xdr:col>10</xdr:col>
      <xdr:colOff>2730500</xdr:colOff>
      <xdr:row>7</xdr:row>
      <xdr:rowOff>266549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1128226-09DD-43AF-9CA2-C91204EC09A0}"/>
            </a:ext>
          </a:extLst>
        </xdr:cNvPr>
        <xdr:cNvSpPr/>
      </xdr:nvSpPr>
      <xdr:spPr>
        <a:xfrm>
          <a:off x="14543435" y="1669204"/>
          <a:ext cx="4090005" cy="63569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586321</xdr:colOff>
      <xdr:row>10</xdr:row>
      <xdr:rowOff>4234</xdr:rowOff>
    </xdr:from>
    <xdr:to>
      <xdr:col>8</xdr:col>
      <xdr:colOff>1409281</xdr:colOff>
      <xdr:row>11</xdr:row>
      <xdr:rowOff>6774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38D79B1-C3C5-4973-ADE0-86B1BF0CF7E2}"/>
            </a:ext>
          </a:extLst>
        </xdr:cNvPr>
        <xdr:cNvSpPr/>
      </xdr:nvSpPr>
      <xdr:spPr>
        <a:xfrm>
          <a:off x="13477456" y="3006514"/>
          <a:ext cx="819150" cy="31686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588440</xdr:colOff>
      <xdr:row>8</xdr:row>
      <xdr:rowOff>315383</xdr:rowOff>
    </xdr:from>
    <xdr:to>
      <xdr:col>8</xdr:col>
      <xdr:colOff>1411400</xdr:colOff>
      <xdr:row>9</xdr:row>
      <xdr:rowOff>307340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F2B54A7-32E2-4A10-83C0-183C19529D6B}"/>
            </a:ext>
          </a:extLst>
        </xdr:cNvPr>
        <xdr:cNvSpPr/>
      </xdr:nvSpPr>
      <xdr:spPr>
        <a:xfrm>
          <a:off x="1347957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250</a:t>
          </a:r>
          <a:r>
            <a:rPr lang="en-US" sz="1100"/>
            <a:t>0</a:t>
          </a:r>
        </a:p>
      </xdr:txBody>
    </xdr:sp>
    <xdr:clientData/>
  </xdr:twoCellAnchor>
  <xdr:twoCellAnchor editAs="oneCell">
    <xdr:from>
      <xdr:col>2</xdr:col>
      <xdr:colOff>1738395</xdr:colOff>
      <xdr:row>14</xdr:row>
      <xdr:rowOff>10584</xdr:rowOff>
    </xdr:from>
    <xdr:to>
      <xdr:col>2</xdr:col>
      <xdr:colOff>2116369</xdr:colOff>
      <xdr:row>15</xdr:row>
      <xdr:rowOff>60053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B01C614-4AFA-45F9-A53E-A144E8A2E3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5806" r="58483" b="1606"/>
        <a:stretch/>
      </xdr:blipFill>
      <xdr:spPr>
        <a:xfrm>
          <a:off x="2439435" y="4270164"/>
          <a:ext cx="377974" cy="358079"/>
        </a:xfrm>
        <a:prstGeom prst="rect">
          <a:avLst/>
        </a:prstGeom>
      </xdr:spPr>
    </xdr:pic>
    <xdr:clientData/>
  </xdr:twoCellAnchor>
  <xdr:twoCellAnchor editAs="oneCell">
    <xdr:from>
      <xdr:col>2</xdr:col>
      <xdr:colOff>1689257</xdr:colOff>
      <xdr:row>15</xdr:row>
      <xdr:rowOff>22367</xdr:rowOff>
    </xdr:from>
    <xdr:to>
      <xdr:col>2</xdr:col>
      <xdr:colOff>2054584</xdr:colOff>
      <xdr:row>16</xdr:row>
      <xdr:rowOff>40973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81026C7-4A5E-43B9-8F0F-ADC1F8764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49" t="8127" r="-1" b="4799"/>
        <a:stretch/>
      </xdr:blipFill>
      <xdr:spPr>
        <a:xfrm>
          <a:off x="2397917" y="4590557"/>
          <a:ext cx="361517" cy="336741"/>
        </a:xfrm>
        <a:prstGeom prst="rect">
          <a:avLst/>
        </a:prstGeom>
      </xdr:spPr>
    </xdr:pic>
    <xdr:clientData/>
  </xdr:twoCellAnchor>
  <xdr:twoCellAnchor>
    <xdr:from>
      <xdr:col>8</xdr:col>
      <xdr:colOff>590254</xdr:colOff>
      <xdr:row>11</xdr:row>
      <xdr:rowOff>8467</xdr:rowOff>
    </xdr:from>
    <xdr:to>
      <xdr:col>8</xdr:col>
      <xdr:colOff>1413214</xdr:colOff>
      <xdr:row>12</xdr:row>
      <xdr:rowOff>21167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97B037-7650-4183-9A0D-0B079B5035AD}"/>
            </a:ext>
          </a:extLst>
        </xdr:cNvPr>
        <xdr:cNvSpPr/>
      </xdr:nvSpPr>
      <xdr:spPr>
        <a:xfrm>
          <a:off x="13481389" y="3325072"/>
          <a:ext cx="819150" cy="321310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584207</xdr:colOff>
      <xdr:row>12</xdr:row>
      <xdr:rowOff>12701</xdr:rowOff>
    </xdr:from>
    <xdr:to>
      <xdr:col>8</xdr:col>
      <xdr:colOff>1407167</xdr:colOff>
      <xdr:row>13</xdr:row>
      <xdr:rowOff>25401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F91D4D6-5FBD-46A1-A62B-AA50FBAC982E}"/>
            </a:ext>
          </a:extLst>
        </xdr:cNvPr>
        <xdr:cNvSpPr/>
      </xdr:nvSpPr>
      <xdr:spPr>
        <a:xfrm>
          <a:off x="13475342" y="3645536"/>
          <a:ext cx="819150" cy="319405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1452040</xdr:colOff>
      <xdr:row>8</xdr:row>
      <xdr:rowOff>315383</xdr:rowOff>
    </xdr:from>
    <xdr:to>
      <xdr:col>9</xdr:col>
      <xdr:colOff>458900</xdr:colOff>
      <xdr:row>9</xdr:row>
      <xdr:rowOff>307340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B00FE36-A6A5-44BD-B522-DD8B9D4C0BE6}"/>
            </a:ext>
          </a:extLst>
        </xdr:cNvPr>
        <xdr:cNvSpPr/>
      </xdr:nvSpPr>
      <xdr:spPr>
        <a:xfrm>
          <a:off x="14341270" y="2679488"/>
          <a:ext cx="82423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500</a:t>
          </a:r>
          <a:r>
            <a:rPr lang="en-US" sz="1100"/>
            <a:t>0</a:t>
          </a:r>
        </a:p>
      </xdr:txBody>
    </xdr:sp>
    <xdr:clientData/>
  </xdr:twoCellAnchor>
  <xdr:twoCellAnchor>
    <xdr:from>
      <xdr:col>9</xdr:col>
      <xdr:colOff>512240</xdr:colOff>
      <xdr:row>8</xdr:row>
      <xdr:rowOff>315383</xdr:rowOff>
    </xdr:from>
    <xdr:to>
      <xdr:col>10</xdr:col>
      <xdr:colOff>128700</xdr:colOff>
      <xdr:row>9</xdr:row>
      <xdr:rowOff>307340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28555C3-39A2-4B4B-975D-D14745076404}"/>
            </a:ext>
          </a:extLst>
        </xdr:cNvPr>
        <xdr:cNvSpPr/>
      </xdr:nvSpPr>
      <xdr:spPr>
        <a:xfrm>
          <a:off x="15222650" y="2679488"/>
          <a:ext cx="81661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1000</a:t>
          </a:r>
          <a:endParaRPr lang="en-US" sz="1100"/>
        </a:p>
      </xdr:txBody>
    </xdr:sp>
    <xdr:clientData/>
  </xdr:twoCellAnchor>
  <xdr:twoCellAnchor>
    <xdr:from>
      <xdr:col>10</xdr:col>
      <xdr:colOff>169340</xdr:colOff>
      <xdr:row>8</xdr:row>
      <xdr:rowOff>315383</xdr:rowOff>
    </xdr:from>
    <xdr:to>
      <xdr:col>10</xdr:col>
      <xdr:colOff>992300</xdr:colOff>
      <xdr:row>9</xdr:row>
      <xdr:rowOff>307340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CDA7AD63-C708-4C09-AF58-713BE1229EB5}"/>
            </a:ext>
          </a:extLst>
        </xdr:cNvPr>
        <xdr:cNvSpPr/>
      </xdr:nvSpPr>
      <xdr:spPr>
        <a:xfrm>
          <a:off x="160799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2000</a:t>
          </a:r>
          <a:endParaRPr lang="en-US" sz="1100"/>
        </a:p>
      </xdr:txBody>
    </xdr:sp>
    <xdr:clientData/>
  </xdr:twoCellAnchor>
  <xdr:twoCellAnchor>
    <xdr:from>
      <xdr:col>10</xdr:col>
      <xdr:colOff>1045640</xdr:colOff>
      <xdr:row>8</xdr:row>
      <xdr:rowOff>315383</xdr:rowOff>
    </xdr:from>
    <xdr:to>
      <xdr:col>10</xdr:col>
      <xdr:colOff>1868600</xdr:colOff>
      <xdr:row>9</xdr:row>
      <xdr:rowOff>307340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576DD8F8-1742-491F-9698-28020977BF39}"/>
            </a:ext>
          </a:extLst>
        </xdr:cNvPr>
        <xdr:cNvSpPr/>
      </xdr:nvSpPr>
      <xdr:spPr>
        <a:xfrm>
          <a:off x="16956200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4000</a:t>
          </a:r>
          <a:endParaRPr lang="en-US" sz="1100"/>
        </a:p>
      </xdr:txBody>
    </xdr:sp>
    <xdr:clientData/>
  </xdr:twoCellAnchor>
  <xdr:twoCellAnchor>
    <xdr:from>
      <xdr:col>10</xdr:col>
      <xdr:colOff>1909240</xdr:colOff>
      <xdr:row>8</xdr:row>
      <xdr:rowOff>315383</xdr:rowOff>
    </xdr:from>
    <xdr:to>
      <xdr:col>10</xdr:col>
      <xdr:colOff>2732200</xdr:colOff>
      <xdr:row>9</xdr:row>
      <xdr:rowOff>307340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FE1C685-E6A3-485C-B7BB-F6FE1D7E5C4C}"/>
            </a:ext>
          </a:extLst>
        </xdr:cNvPr>
        <xdr:cNvSpPr/>
      </xdr:nvSpPr>
      <xdr:spPr>
        <a:xfrm>
          <a:off x="17817895" y="2679488"/>
          <a:ext cx="819150" cy="313902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ysClr val="windowText" lastClr="000000"/>
              </a:solidFill>
            </a:rPr>
            <a:t>6000</a:t>
          </a:r>
          <a:endParaRPr lang="en-US" sz="1100"/>
        </a:p>
      </xdr:txBody>
    </xdr:sp>
    <xdr:clientData/>
  </xdr:twoCellAnchor>
  <xdr:twoCellAnchor>
    <xdr:from>
      <xdr:col>0</xdr:col>
      <xdr:colOff>26832</xdr:colOff>
      <xdr:row>10</xdr:row>
      <xdr:rowOff>275699</xdr:rowOff>
    </xdr:from>
    <xdr:to>
      <xdr:col>2</xdr:col>
      <xdr:colOff>4938286</xdr:colOff>
      <xdr:row>12</xdr:row>
      <xdr:rowOff>179531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EBA13E0F-AAD3-48F9-B84D-248E02A2E841}"/>
            </a:ext>
          </a:extLst>
        </xdr:cNvPr>
        <xdr:cNvSpPr txBox="1"/>
      </xdr:nvSpPr>
      <xdr:spPr>
        <a:xfrm>
          <a:off x="26832" y="3240523"/>
          <a:ext cx="5609060" cy="52094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800" b="1"/>
            <a:t>Scheduled PMS </a:t>
          </a:r>
          <a:r>
            <a:rPr lang="az-Cyrl-AZ" sz="1800" b="1"/>
            <a:t>Запланированный </a:t>
          </a:r>
          <a:r>
            <a:rPr lang="en-US" sz="1800" b="1"/>
            <a:t>PMS</a:t>
          </a:r>
          <a:r>
            <a:rPr lang="az-Cyrl-AZ" sz="1800" b="1"/>
            <a:t>/Неделя</a:t>
          </a:r>
          <a:r>
            <a:rPr lang="en-US" sz="1800" b="1"/>
            <a:t>:</a:t>
          </a:r>
          <a:endParaRPr lang="az-Cyrl-AZ" sz="1800" b="1"/>
        </a:p>
      </xdr:txBody>
    </xdr:sp>
    <xdr:clientData/>
  </xdr:twoCellAnchor>
  <xdr:twoCellAnchor>
    <xdr:from>
      <xdr:col>2</xdr:col>
      <xdr:colOff>5053511</xdr:colOff>
      <xdr:row>10</xdr:row>
      <xdr:rowOff>228063</xdr:rowOff>
    </xdr:from>
    <xdr:to>
      <xdr:col>4</xdr:col>
      <xdr:colOff>746012</xdr:colOff>
      <xdr:row>12</xdr:row>
      <xdr:rowOff>204346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B998C3EF-311A-4531-A85E-3DC04118CD86}"/>
            </a:ext>
          </a:extLst>
        </xdr:cNvPr>
        <xdr:cNvSpPr/>
      </xdr:nvSpPr>
      <xdr:spPr>
        <a:xfrm>
          <a:off x="5751117" y="3192887"/>
          <a:ext cx="3030775" cy="593396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804930</xdr:colOff>
      <xdr:row>10</xdr:row>
      <xdr:rowOff>228063</xdr:rowOff>
    </xdr:from>
    <xdr:to>
      <xdr:col>4</xdr:col>
      <xdr:colOff>1626091</xdr:colOff>
      <xdr:row>12</xdr:row>
      <xdr:rowOff>213871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6AE47B9-422A-4DE9-A7DF-72CD80136821}"/>
            </a:ext>
          </a:extLst>
        </xdr:cNvPr>
        <xdr:cNvSpPr/>
      </xdr:nvSpPr>
      <xdr:spPr>
        <a:xfrm>
          <a:off x="8840810" y="3192887"/>
          <a:ext cx="821161" cy="602921"/>
        </a:xfrm>
        <a:prstGeom prst="rect">
          <a:avLst/>
        </a:prstGeom>
        <a:noFill/>
        <a:ln w="222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2629436</xdr:colOff>
      <xdr:row>2</xdr:row>
      <xdr:rowOff>228063</xdr:rowOff>
    </xdr:to>
    <xdr:pic>
      <xdr:nvPicPr>
        <xdr:cNvPr id="23" name="Рисунок 1504720245" descr="A picture containing text, clipart&#10;&#10;Description automatically generated">
          <a:extLst>
            <a:ext uri="{FF2B5EF4-FFF2-40B4-BE49-F238E27FC236}">
              <a16:creationId xmlns:a16="http://schemas.microsoft.com/office/drawing/2014/main" id="{BD9FD7D1-DBA4-495A-913E-984DAD835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313626" cy="8049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6-03-01T21:54:22.73" personId="{00000000-0000-0000-0000-000000000000}" id="{83A1E9AE-2718-4CFC-B97E-D03B8C43C365}">
    <text>Mark Print only. If done it will change to Printed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F1CC3E-1EDC-43B2-9B38-A260823168C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21d38c3-d561-4c11-8eb9-73fbd681ea7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NEXVG#@" TargetMode="Externa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E5C62-07FA-4E00-8A32-48382AEE8A0C}">
  <sheetPr codeName="Sheet2">
    <pageSetUpPr fitToPage="1"/>
  </sheetPr>
  <dimension ref="A1:F9"/>
  <sheetViews>
    <sheetView showGridLines="0" zoomScale="180" zoomScaleNormal="180" zoomScaleSheetLayoutView="130" workbookViewId="0">
      <selection activeCell="K26" sqref="K26"/>
    </sheetView>
  </sheetViews>
  <sheetFormatPr defaultRowHeight="12.5" x14ac:dyDescent="0.25"/>
  <cols>
    <col min="1" max="1" width="12.7265625" customWidth="1"/>
    <col min="2" max="2" width="11.26953125" style="205" customWidth="1"/>
    <col min="3" max="3" width="5.54296875" style="205" customWidth="1"/>
    <col min="4" max="6" width="6.54296875" customWidth="1"/>
  </cols>
  <sheetData>
    <row r="1" spans="1:6" ht="12" customHeight="1" x14ac:dyDescent="0.25">
      <c r="A1" s="215" t="s">
        <v>222</v>
      </c>
      <c r="B1" s="487" t="s">
        <v>350</v>
      </c>
      <c r="C1" s="488"/>
      <c r="D1" s="209"/>
      <c r="E1" s="209"/>
      <c r="F1" s="210"/>
    </row>
    <row r="2" spans="1:6" ht="12" customHeight="1" x14ac:dyDescent="0.25">
      <c r="A2" s="216" t="s">
        <v>220</v>
      </c>
      <c r="B2" s="489">
        <v>46148</v>
      </c>
      <c r="C2" s="490"/>
      <c r="D2" s="231"/>
      <c r="E2" s="231"/>
      <c r="F2" s="211"/>
    </row>
    <row r="3" spans="1:6" ht="12" customHeight="1" x14ac:dyDescent="0.25">
      <c r="A3" s="217" t="s">
        <v>223</v>
      </c>
      <c r="B3" s="481" t="s">
        <v>244</v>
      </c>
      <c r="C3" s="482"/>
      <c r="D3" s="231"/>
      <c r="E3" s="231"/>
      <c r="F3" s="211"/>
    </row>
    <row r="4" spans="1:6" ht="12" customHeight="1" x14ac:dyDescent="0.25">
      <c r="A4" s="217" t="s">
        <v>224</v>
      </c>
      <c r="B4" s="481">
        <v>4747</v>
      </c>
      <c r="C4" s="482"/>
      <c r="D4" s="231"/>
      <c r="E4" s="231"/>
      <c r="F4" s="211"/>
    </row>
    <row r="5" spans="1:6" ht="12" customHeight="1" x14ac:dyDescent="0.25">
      <c r="A5" s="217" t="s">
        <v>225</v>
      </c>
      <c r="B5" s="481" t="s">
        <v>202</v>
      </c>
      <c r="C5" s="482"/>
      <c r="D5" s="231"/>
      <c r="E5" s="231"/>
      <c r="F5" s="211"/>
    </row>
    <row r="6" spans="1:6" ht="12" customHeight="1" x14ac:dyDescent="0.25">
      <c r="A6" s="217" t="s">
        <v>226</v>
      </c>
      <c r="B6" s="481"/>
      <c r="C6" s="482"/>
      <c r="D6" s="231"/>
      <c r="E6" s="231"/>
      <c r="F6" s="211"/>
    </row>
    <row r="7" spans="1:6" ht="12" customHeight="1" x14ac:dyDescent="0.25">
      <c r="A7" s="217" t="s">
        <v>227</v>
      </c>
      <c r="B7" s="483"/>
      <c r="C7" s="484"/>
      <c r="D7" s="232"/>
      <c r="E7" s="232"/>
      <c r="F7" s="212"/>
    </row>
    <row r="8" spans="1:6" ht="12" customHeight="1" x14ac:dyDescent="0.25">
      <c r="A8" s="217" t="s">
        <v>228</v>
      </c>
      <c r="B8" s="481"/>
      <c r="C8" s="482"/>
      <c r="D8" s="232"/>
      <c r="E8" s="232"/>
      <c r="F8" s="212"/>
    </row>
    <row r="9" spans="1:6" ht="12" customHeight="1" x14ac:dyDescent="0.25">
      <c r="A9" s="218" t="s">
        <v>233</v>
      </c>
      <c r="B9" s="485" t="s">
        <v>264</v>
      </c>
      <c r="C9" s="486"/>
      <c r="D9" s="213"/>
      <c r="E9" s="213"/>
      <c r="F9" s="214"/>
    </row>
  </sheetData>
  <mergeCells count="9">
    <mergeCell ref="B6:C6"/>
    <mergeCell ref="B7:C7"/>
    <mergeCell ref="B8:C8"/>
    <mergeCell ref="B9:C9"/>
    <mergeCell ref="B1:C1"/>
    <mergeCell ref="B2:C2"/>
    <mergeCell ref="B3:C3"/>
    <mergeCell ref="B4:C4"/>
    <mergeCell ref="B5:C5"/>
  </mergeCells>
  <pageMargins left="3.9370078740157487E-2" right="3.9370078740157487E-2" top="3.9370078740157487E-2" bottom="3.9370078740157487E-2" header="0" footer="0"/>
  <pageSetup paperSize="25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9AC46-B223-4709-9BAC-5B4A46C1CC91}">
  <sheetPr codeName="Sheet3"/>
  <dimension ref="A1:O781"/>
  <sheetViews>
    <sheetView view="pageBreakPreview" zoomScale="130" zoomScaleNormal="120" zoomScaleSheetLayoutView="130" workbookViewId="0">
      <pane ySplit="1" topLeftCell="A2" activePane="bottomLeft" state="frozen"/>
      <selection pane="bottomLeft" activeCell="H110" sqref="H110"/>
    </sheetView>
  </sheetViews>
  <sheetFormatPr defaultRowHeight="12.5" x14ac:dyDescent="0.25"/>
  <cols>
    <col min="1" max="1" width="18.26953125" customWidth="1"/>
    <col min="2" max="2" width="9.7265625" style="207" customWidth="1"/>
    <col min="3" max="3" width="10.26953125" customWidth="1"/>
    <col min="4" max="4" width="9.26953125" customWidth="1"/>
    <col min="5" max="5" width="17.7265625" customWidth="1"/>
    <col min="6" max="6" width="10.54296875" customWidth="1"/>
    <col min="7" max="7" width="11.26953125" style="206" customWidth="1"/>
    <col min="9" max="9" width="9.26953125" style="205" customWidth="1"/>
    <col min="10" max="10" width="9.453125" customWidth="1"/>
    <col min="11" max="11" width="8.1796875" style="205" customWidth="1"/>
    <col min="13" max="13" width="29.7265625" customWidth="1"/>
  </cols>
  <sheetData>
    <row r="1" spans="1:13" s="220" customFormat="1" ht="24.65" customHeight="1" x14ac:dyDescent="0.3">
      <c r="A1" s="221" t="s">
        <v>204</v>
      </c>
      <c r="B1" s="222" t="s">
        <v>197</v>
      </c>
      <c r="C1" s="223" t="s">
        <v>196</v>
      </c>
      <c r="D1" s="223" t="s">
        <v>198</v>
      </c>
      <c r="E1" s="223" t="s">
        <v>221</v>
      </c>
      <c r="F1" s="223" t="s">
        <v>215</v>
      </c>
      <c r="G1" s="223" t="s">
        <v>216</v>
      </c>
      <c r="H1" s="223" t="s">
        <v>39</v>
      </c>
      <c r="I1" s="223" t="s">
        <v>230</v>
      </c>
      <c r="J1" s="223" t="s">
        <v>199</v>
      </c>
      <c r="K1" s="223" t="s">
        <v>217</v>
      </c>
      <c r="L1" s="219" t="s">
        <v>219</v>
      </c>
      <c r="M1" s="220" t="s">
        <v>239</v>
      </c>
    </row>
    <row r="2" spans="1:13" x14ac:dyDescent="0.25">
      <c r="A2" s="224" t="str">
        <f t="shared" ref="A2:A33" si="0">TEXT(DAY(B2),"00")&amp;TEXT(MONTH(B2),"00")&amp;YEAR(B2)&amp;"-"&amp;C2&amp;"-"&amp;LEFT(E2,SEARCH(" ",E2&amp;" ")-1)</f>
        <v>20022026-EX024-1</v>
      </c>
      <c r="B2" s="225">
        <v>46073</v>
      </c>
      <c r="C2" s="226" t="s">
        <v>200</v>
      </c>
      <c r="D2" s="224">
        <v>4039</v>
      </c>
      <c r="E2" s="224" t="s">
        <v>201</v>
      </c>
      <c r="F2" s="224"/>
      <c r="G2" s="227"/>
      <c r="H2" s="224">
        <v>500</v>
      </c>
      <c r="I2" s="228" t="s">
        <v>71</v>
      </c>
      <c r="J2" s="224">
        <v>4000</v>
      </c>
      <c r="K2" s="228" t="s">
        <v>203</v>
      </c>
      <c r="L2" s="208" t="s">
        <v>218</v>
      </c>
    </row>
    <row r="3" spans="1:13" x14ac:dyDescent="0.25">
      <c r="A3" s="224" t="str">
        <f t="shared" si="0"/>
        <v>20022026-EX024-3</v>
      </c>
      <c r="B3" s="225">
        <v>46073</v>
      </c>
      <c r="C3" s="226" t="s">
        <v>200</v>
      </c>
      <c r="D3" s="224">
        <v>4039</v>
      </c>
      <c r="E3" s="224" t="s">
        <v>202</v>
      </c>
      <c r="F3" s="224"/>
      <c r="G3" s="227"/>
      <c r="H3" s="224">
        <v>1000</v>
      </c>
      <c r="I3" s="228" t="s">
        <v>72</v>
      </c>
      <c r="J3" s="224">
        <v>4000</v>
      </c>
      <c r="K3" s="228" t="s">
        <v>203</v>
      </c>
      <c r="L3" s="208" t="s">
        <v>218</v>
      </c>
    </row>
    <row r="4" spans="1:13" x14ac:dyDescent="0.25">
      <c r="A4" s="224" t="str">
        <f t="shared" si="0"/>
        <v>21022026-TK114-1</v>
      </c>
      <c r="B4" s="225">
        <v>46074</v>
      </c>
      <c r="C4" s="226" t="s">
        <v>205</v>
      </c>
      <c r="D4" s="224">
        <v>31468</v>
      </c>
      <c r="E4" s="224" t="s">
        <v>201</v>
      </c>
      <c r="F4" s="224">
        <v>459</v>
      </c>
      <c r="G4" s="227">
        <v>46052</v>
      </c>
      <c r="H4" s="224">
        <v>500</v>
      </c>
      <c r="I4" s="228" t="s">
        <v>71</v>
      </c>
      <c r="J4" s="224">
        <v>500</v>
      </c>
      <c r="K4" s="228" t="s">
        <v>203</v>
      </c>
      <c r="L4" s="208" t="s">
        <v>218</v>
      </c>
    </row>
    <row r="5" spans="1:13" x14ac:dyDescent="0.25">
      <c r="A5" s="224" t="str">
        <f t="shared" si="0"/>
        <v>21022026-TK114-2</v>
      </c>
      <c r="B5" s="225">
        <v>46074</v>
      </c>
      <c r="C5" s="226" t="s">
        <v>205</v>
      </c>
      <c r="D5" s="224">
        <v>31468</v>
      </c>
      <c r="E5" s="224" t="s">
        <v>206</v>
      </c>
      <c r="F5" s="224">
        <v>459</v>
      </c>
      <c r="G5" s="227">
        <v>46052</v>
      </c>
      <c r="H5" s="224">
        <v>1000</v>
      </c>
      <c r="I5" s="228" t="s">
        <v>72</v>
      </c>
      <c r="J5" s="224">
        <v>500</v>
      </c>
      <c r="K5" s="228" t="s">
        <v>203</v>
      </c>
      <c r="L5" s="208" t="s">
        <v>218</v>
      </c>
    </row>
    <row r="6" spans="1:13" x14ac:dyDescent="0.25">
      <c r="A6" s="224" t="str">
        <f t="shared" si="0"/>
        <v>21022026-TK114-3</v>
      </c>
      <c r="B6" s="225">
        <v>46074</v>
      </c>
      <c r="C6" s="226" t="s">
        <v>205</v>
      </c>
      <c r="D6" s="224">
        <v>31468</v>
      </c>
      <c r="E6" s="224" t="s">
        <v>202</v>
      </c>
      <c r="F6" s="224">
        <v>1455</v>
      </c>
      <c r="G6" s="227">
        <v>46052</v>
      </c>
      <c r="H6" s="224">
        <v>2000</v>
      </c>
      <c r="I6" s="228" t="s">
        <v>72</v>
      </c>
      <c r="J6" s="224">
        <v>500</v>
      </c>
      <c r="K6" s="228" t="s">
        <v>203</v>
      </c>
      <c r="L6" s="208" t="s">
        <v>218</v>
      </c>
    </row>
    <row r="7" spans="1:13" x14ac:dyDescent="0.25">
      <c r="A7" s="224" t="str">
        <f t="shared" si="0"/>
        <v>21022026-TK107-1</v>
      </c>
      <c r="B7" s="225">
        <v>46074</v>
      </c>
      <c r="C7" s="226" t="s">
        <v>207</v>
      </c>
      <c r="D7" s="224">
        <v>31026</v>
      </c>
      <c r="E7" s="224" t="s">
        <v>201</v>
      </c>
      <c r="F7" s="224">
        <v>462</v>
      </c>
      <c r="G7" s="227">
        <v>46054</v>
      </c>
      <c r="H7" s="224">
        <v>500</v>
      </c>
      <c r="I7" s="228" t="s">
        <v>71</v>
      </c>
      <c r="J7" s="224">
        <v>1000</v>
      </c>
      <c r="K7" s="228" t="s">
        <v>203</v>
      </c>
      <c r="L7" s="208" t="s">
        <v>218</v>
      </c>
    </row>
    <row r="8" spans="1:13" x14ac:dyDescent="0.25">
      <c r="A8" s="224" t="str">
        <f t="shared" si="0"/>
        <v>21022026-TK107-2</v>
      </c>
      <c r="B8" s="225">
        <v>46074</v>
      </c>
      <c r="C8" s="226" t="s">
        <v>207</v>
      </c>
      <c r="D8" s="224">
        <v>31026</v>
      </c>
      <c r="E8" s="224" t="s">
        <v>206</v>
      </c>
      <c r="F8" s="224">
        <v>976</v>
      </c>
      <c r="G8" s="227">
        <v>46032</v>
      </c>
      <c r="H8" s="224">
        <v>1000</v>
      </c>
      <c r="I8" s="228" t="s">
        <v>72</v>
      </c>
      <c r="J8" s="224">
        <v>1000</v>
      </c>
      <c r="K8" s="228" t="s">
        <v>203</v>
      </c>
      <c r="L8" s="208" t="s">
        <v>218</v>
      </c>
    </row>
    <row r="9" spans="1:13" x14ac:dyDescent="0.25">
      <c r="A9" s="224" t="str">
        <f t="shared" si="0"/>
        <v>21022026-TK107-3</v>
      </c>
      <c r="B9" s="225">
        <v>46074</v>
      </c>
      <c r="C9" s="226" t="s">
        <v>207</v>
      </c>
      <c r="D9" s="224">
        <v>31026</v>
      </c>
      <c r="E9" s="224" t="s">
        <v>202</v>
      </c>
      <c r="F9" s="224">
        <v>976</v>
      </c>
      <c r="G9" s="227">
        <v>46032</v>
      </c>
      <c r="H9" s="224">
        <v>2000</v>
      </c>
      <c r="I9" s="228" t="s">
        <v>72</v>
      </c>
      <c r="J9" s="224">
        <v>1000</v>
      </c>
      <c r="K9" s="228" t="s">
        <v>203</v>
      </c>
      <c r="L9" s="208" t="s">
        <v>218</v>
      </c>
    </row>
    <row r="10" spans="1:13" x14ac:dyDescent="0.25">
      <c r="A10" s="224" t="str">
        <f t="shared" si="0"/>
        <v>22022026-TK115-1</v>
      </c>
      <c r="B10" s="225">
        <v>46075</v>
      </c>
      <c r="C10" s="226" t="s">
        <v>208</v>
      </c>
      <c r="D10" s="224">
        <v>37003</v>
      </c>
      <c r="E10" s="224" t="s">
        <v>201</v>
      </c>
      <c r="F10" s="224"/>
      <c r="G10" s="227"/>
      <c r="H10" s="224"/>
      <c r="I10" s="228" t="s">
        <v>71</v>
      </c>
      <c r="J10" s="224">
        <v>1000</v>
      </c>
      <c r="K10" s="228" t="s">
        <v>203</v>
      </c>
      <c r="L10" s="208" t="s">
        <v>218</v>
      </c>
    </row>
    <row r="11" spans="1:13" x14ac:dyDescent="0.25">
      <c r="A11" s="224" t="str">
        <f t="shared" si="0"/>
        <v>22022026-TK115-2</v>
      </c>
      <c r="B11" s="225">
        <v>46075</v>
      </c>
      <c r="C11" s="226" t="s">
        <v>208</v>
      </c>
      <c r="D11" s="224">
        <v>37003</v>
      </c>
      <c r="E11" s="224" t="s">
        <v>206</v>
      </c>
      <c r="F11" s="224"/>
      <c r="G11" s="227"/>
      <c r="H11" s="224"/>
      <c r="I11" s="228" t="s">
        <v>72</v>
      </c>
      <c r="J11" s="224">
        <v>1000</v>
      </c>
      <c r="K11" s="228" t="s">
        <v>203</v>
      </c>
      <c r="L11" s="208" t="s">
        <v>218</v>
      </c>
    </row>
    <row r="12" spans="1:13" x14ac:dyDescent="0.25">
      <c r="A12" s="224" t="str">
        <f t="shared" si="0"/>
        <v>22022026-TK115-3</v>
      </c>
      <c r="B12" s="225">
        <v>46075</v>
      </c>
      <c r="C12" s="226" t="s">
        <v>208</v>
      </c>
      <c r="D12" s="224">
        <v>37003</v>
      </c>
      <c r="E12" s="224" t="s">
        <v>202</v>
      </c>
      <c r="F12" s="224"/>
      <c r="G12" s="227"/>
      <c r="H12" s="224"/>
      <c r="I12" s="228" t="s">
        <v>72</v>
      </c>
      <c r="J12" s="224">
        <v>1000</v>
      </c>
      <c r="K12" s="228" t="s">
        <v>203</v>
      </c>
      <c r="L12" s="208" t="s">
        <v>218</v>
      </c>
    </row>
    <row r="13" spans="1:13" x14ac:dyDescent="0.25">
      <c r="A13" s="224" t="str">
        <f t="shared" si="0"/>
        <v>23022026-TK160-1</v>
      </c>
      <c r="B13" s="225">
        <v>46076</v>
      </c>
      <c r="C13" s="226" t="s">
        <v>209</v>
      </c>
      <c r="D13" s="224">
        <v>4985</v>
      </c>
      <c r="E13" s="224" t="s">
        <v>201</v>
      </c>
      <c r="F13" s="224"/>
      <c r="G13" s="227"/>
      <c r="H13" s="224">
        <v>250</v>
      </c>
      <c r="I13" s="228" t="s">
        <v>71</v>
      </c>
      <c r="J13" s="224">
        <v>1000</v>
      </c>
      <c r="K13" s="228" t="s">
        <v>203</v>
      </c>
      <c r="L13" s="208" t="s">
        <v>218</v>
      </c>
    </row>
    <row r="14" spans="1:13" x14ac:dyDescent="0.25">
      <c r="A14" s="224" t="str">
        <f t="shared" si="0"/>
        <v>23022026-TK160-2</v>
      </c>
      <c r="B14" s="225">
        <v>46076</v>
      </c>
      <c r="C14" s="226" t="s">
        <v>209</v>
      </c>
      <c r="D14" s="224">
        <v>4985</v>
      </c>
      <c r="E14" s="224" t="s">
        <v>206</v>
      </c>
      <c r="F14" s="224"/>
      <c r="G14" s="227"/>
      <c r="H14" s="224">
        <v>500</v>
      </c>
      <c r="I14" s="228" t="s">
        <v>72</v>
      </c>
      <c r="J14" s="224">
        <v>1000</v>
      </c>
      <c r="K14" s="228" t="s">
        <v>203</v>
      </c>
      <c r="L14" s="208" t="s">
        <v>218</v>
      </c>
    </row>
    <row r="15" spans="1:13" x14ac:dyDescent="0.25">
      <c r="A15" s="224" t="str">
        <f t="shared" si="0"/>
        <v>23022026-TK160-3</v>
      </c>
      <c r="B15" s="225">
        <v>46076</v>
      </c>
      <c r="C15" s="226" t="s">
        <v>209</v>
      </c>
      <c r="D15" s="224">
        <v>4985</v>
      </c>
      <c r="E15" s="224" t="s">
        <v>202</v>
      </c>
      <c r="F15" s="224"/>
      <c r="G15" s="227"/>
      <c r="H15" s="224">
        <v>1000</v>
      </c>
      <c r="I15" s="228" t="s">
        <v>72</v>
      </c>
      <c r="J15" s="224">
        <v>1000</v>
      </c>
      <c r="K15" s="228" t="s">
        <v>203</v>
      </c>
      <c r="L15" s="208" t="s">
        <v>218</v>
      </c>
    </row>
    <row r="16" spans="1:13" x14ac:dyDescent="0.25">
      <c r="A16" s="224" t="str">
        <f t="shared" si="0"/>
        <v>25022026-TK101-1</v>
      </c>
      <c r="B16" s="225">
        <v>46078</v>
      </c>
      <c r="C16" s="226" t="s">
        <v>210</v>
      </c>
      <c r="D16" s="224">
        <v>31010</v>
      </c>
      <c r="E16" s="224" t="s">
        <v>201</v>
      </c>
      <c r="F16" s="224"/>
      <c r="G16" s="227"/>
      <c r="H16" s="224">
        <v>500</v>
      </c>
      <c r="I16" s="228" t="s">
        <v>71</v>
      </c>
      <c r="J16" s="224">
        <v>1000</v>
      </c>
      <c r="K16" s="228" t="s">
        <v>203</v>
      </c>
      <c r="L16" s="208" t="s">
        <v>218</v>
      </c>
    </row>
    <row r="17" spans="1:12" x14ac:dyDescent="0.25">
      <c r="A17" s="224" t="str">
        <f t="shared" si="0"/>
        <v>25022026-TK101-2</v>
      </c>
      <c r="B17" s="225">
        <v>46078</v>
      </c>
      <c r="C17" s="226" t="s">
        <v>210</v>
      </c>
      <c r="D17" s="224">
        <v>31010</v>
      </c>
      <c r="E17" s="224" t="s">
        <v>206</v>
      </c>
      <c r="F17" s="224">
        <v>30502</v>
      </c>
      <c r="G17" s="227"/>
      <c r="H17" s="224">
        <v>1000</v>
      </c>
      <c r="I17" s="228" t="s">
        <v>72</v>
      </c>
      <c r="J17" s="224">
        <v>1000</v>
      </c>
      <c r="K17" s="228" t="s">
        <v>203</v>
      </c>
      <c r="L17" s="208" t="s">
        <v>218</v>
      </c>
    </row>
    <row r="18" spans="1:12" x14ac:dyDescent="0.25">
      <c r="A18" s="224" t="str">
        <f t="shared" si="0"/>
        <v>25022026-TK101-3</v>
      </c>
      <c r="B18" s="225">
        <v>46078</v>
      </c>
      <c r="C18" s="226" t="s">
        <v>210</v>
      </c>
      <c r="D18" s="224">
        <v>31010</v>
      </c>
      <c r="E18" s="224" t="s">
        <v>202</v>
      </c>
      <c r="F18" s="224">
        <v>30025</v>
      </c>
      <c r="G18" s="227"/>
      <c r="H18" s="224">
        <v>4000</v>
      </c>
      <c r="I18" s="228" t="s">
        <v>72</v>
      </c>
      <c r="J18" s="224">
        <v>1000</v>
      </c>
      <c r="K18" s="228" t="s">
        <v>203</v>
      </c>
      <c r="L18" s="208" t="s">
        <v>218</v>
      </c>
    </row>
    <row r="19" spans="1:12" x14ac:dyDescent="0.25">
      <c r="A19" s="224" t="str">
        <f t="shared" si="0"/>
        <v>25022026-TK121-1</v>
      </c>
      <c r="B19" s="225">
        <v>46078</v>
      </c>
      <c r="C19" s="226" t="s">
        <v>211</v>
      </c>
      <c r="D19" s="224">
        <v>25486</v>
      </c>
      <c r="E19" s="224" t="s">
        <v>201</v>
      </c>
      <c r="F19" s="224">
        <v>25486</v>
      </c>
      <c r="G19" s="227">
        <v>46078</v>
      </c>
      <c r="H19" s="224">
        <v>500</v>
      </c>
      <c r="I19" s="228" t="s">
        <v>71</v>
      </c>
      <c r="J19" s="224">
        <v>500</v>
      </c>
      <c r="K19" s="228" t="s">
        <v>203</v>
      </c>
      <c r="L19" s="208" t="s">
        <v>218</v>
      </c>
    </row>
    <row r="20" spans="1:12" x14ac:dyDescent="0.25">
      <c r="A20" s="224" t="str">
        <f t="shared" si="0"/>
        <v>25022026-TK121-2</v>
      </c>
      <c r="B20" s="225">
        <v>46078</v>
      </c>
      <c r="C20" s="226" t="s">
        <v>211</v>
      </c>
      <c r="D20" s="224">
        <v>25486</v>
      </c>
      <c r="E20" s="224" t="s">
        <v>206</v>
      </c>
      <c r="F20" s="224">
        <v>25486</v>
      </c>
      <c r="G20" s="227">
        <v>46078</v>
      </c>
      <c r="H20" s="224">
        <v>500</v>
      </c>
      <c r="I20" s="228" t="s">
        <v>72</v>
      </c>
      <c r="J20" s="224">
        <v>500</v>
      </c>
      <c r="K20" s="228" t="s">
        <v>203</v>
      </c>
      <c r="L20" s="208" t="s">
        <v>218</v>
      </c>
    </row>
    <row r="21" spans="1:12" x14ac:dyDescent="0.25">
      <c r="A21" s="224" t="str">
        <f t="shared" si="0"/>
        <v>25022026-TK121-3</v>
      </c>
      <c r="B21" s="225">
        <v>46078</v>
      </c>
      <c r="C21" s="226" t="s">
        <v>211</v>
      </c>
      <c r="D21" s="224">
        <v>25486</v>
      </c>
      <c r="E21" s="224" t="s">
        <v>202</v>
      </c>
      <c r="F21" s="224">
        <v>25486</v>
      </c>
      <c r="G21" s="227">
        <v>46078</v>
      </c>
      <c r="H21" s="224">
        <v>1500</v>
      </c>
      <c r="I21" s="228" t="s">
        <v>72</v>
      </c>
      <c r="J21" s="224">
        <v>500</v>
      </c>
      <c r="K21" s="228" t="s">
        <v>203</v>
      </c>
      <c r="L21" s="208" t="s">
        <v>218</v>
      </c>
    </row>
    <row r="22" spans="1:12" x14ac:dyDescent="0.25">
      <c r="A22" s="224" t="str">
        <f t="shared" si="0"/>
        <v>26022026-TK156-1</v>
      </c>
      <c r="B22" s="225">
        <v>46079</v>
      </c>
      <c r="C22" s="226" t="s">
        <v>212</v>
      </c>
      <c r="D22" s="224">
        <v>4546</v>
      </c>
      <c r="E22" s="224" t="s">
        <v>201</v>
      </c>
      <c r="F22" s="224"/>
      <c r="G22" s="227"/>
      <c r="H22" s="224"/>
      <c r="I22" s="228" t="s">
        <v>71</v>
      </c>
      <c r="J22" s="224">
        <v>500</v>
      </c>
      <c r="K22" s="228" t="s">
        <v>203</v>
      </c>
      <c r="L22" s="208" t="s">
        <v>218</v>
      </c>
    </row>
    <row r="23" spans="1:12" x14ac:dyDescent="0.25">
      <c r="A23" s="224" t="str">
        <f t="shared" si="0"/>
        <v>26022026-TK156-2</v>
      </c>
      <c r="B23" s="225">
        <v>46079</v>
      </c>
      <c r="C23" s="226" t="s">
        <v>212</v>
      </c>
      <c r="D23" s="224">
        <v>4546</v>
      </c>
      <c r="E23" s="224" t="s">
        <v>206</v>
      </c>
      <c r="F23" s="224"/>
      <c r="G23" s="227"/>
      <c r="H23" s="224"/>
      <c r="I23" s="228" t="s">
        <v>72</v>
      </c>
      <c r="J23" s="224">
        <v>500</v>
      </c>
      <c r="K23" s="228" t="s">
        <v>213</v>
      </c>
      <c r="L23" s="208" t="s">
        <v>218</v>
      </c>
    </row>
    <row r="24" spans="1:12" x14ac:dyDescent="0.25">
      <c r="A24" s="224" t="str">
        <f t="shared" si="0"/>
        <v>26022026-TK156-3</v>
      </c>
      <c r="B24" s="225">
        <v>46079</v>
      </c>
      <c r="C24" s="226" t="s">
        <v>212</v>
      </c>
      <c r="D24" s="224">
        <v>4546</v>
      </c>
      <c r="E24" s="224" t="s">
        <v>202</v>
      </c>
      <c r="F24" s="224"/>
      <c r="G24" s="227"/>
      <c r="H24" s="224"/>
      <c r="I24" s="228" t="s">
        <v>72</v>
      </c>
      <c r="J24" s="224">
        <v>500</v>
      </c>
      <c r="K24" s="228" t="s">
        <v>213</v>
      </c>
      <c r="L24" s="208" t="s">
        <v>218</v>
      </c>
    </row>
    <row r="25" spans="1:12" x14ac:dyDescent="0.25">
      <c r="A25" s="224" t="str">
        <f t="shared" si="0"/>
        <v>27022026-TK126-1</v>
      </c>
      <c r="B25" s="225">
        <v>46080</v>
      </c>
      <c r="C25" s="226" t="s">
        <v>214</v>
      </c>
      <c r="D25" s="224">
        <v>26972</v>
      </c>
      <c r="E25" s="224" t="s">
        <v>201</v>
      </c>
      <c r="F25" s="224">
        <v>26543</v>
      </c>
      <c r="G25" s="227">
        <v>46061</v>
      </c>
      <c r="H25" s="224">
        <v>429</v>
      </c>
      <c r="I25" s="228" t="s">
        <v>71</v>
      </c>
      <c r="J25" s="224">
        <v>1000</v>
      </c>
      <c r="K25" s="228" t="s">
        <v>203</v>
      </c>
      <c r="L25" s="208" t="s">
        <v>218</v>
      </c>
    </row>
    <row r="26" spans="1:12" x14ac:dyDescent="0.25">
      <c r="A26" s="224" t="str">
        <f t="shared" si="0"/>
        <v>27022026-TK126-2</v>
      </c>
      <c r="B26" s="225">
        <v>46080</v>
      </c>
      <c r="C26" s="226" t="s">
        <v>214</v>
      </c>
      <c r="D26" s="224">
        <v>26972</v>
      </c>
      <c r="E26" s="224" t="s">
        <v>206</v>
      </c>
      <c r="F26" s="224">
        <v>26100</v>
      </c>
      <c r="G26" s="227">
        <v>46042</v>
      </c>
      <c r="H26" s="224">
        <v>872</v>
      </c>
      <c r="I26" s="228" t="s">
        <v>72</v>
      </c>
      <c r="J26" s="224">
        <v>1000</v>
      </c>
      <c r="K26" s="228" t="s">
        <v>203</v>
      </c>
      <c r="L26" s="208" t="s">
        <v>218</v>
      </c>
    </row>
    <row r="27" spans="1:12" x14ac:dyDescent="0.25">
      <c r="A27" s="224" t="str">
        <f t="shared" si="0"/>
        <v>27022026-TK126-3</v>
      </c>
      <c r="B27" s="225">
        <v>46080</v>
      </c>
      <c r="C27" s="226" t="s">
        <v>214</v>
      </c>
      <c r="D27" s="224">
        <v>26972</v>
      </c>
      <c r="E27" s="224" t="s">
        <v>202</v>
      </c>
      <c r="F27" s="224">
        <v>24980</v>
      </c>
      <c r="G27" s="227">
        <v>45952</v>
      </c>
      <c r="H27" s="224">
        <v>1992</v>
      </c>
      <c r="I27" s="228" t="s">
        <v>72</v>
      </c>
      <c r="J27" s="224">
        <v>1000</v>
      </c>
      <c r="K27" s="228" t="s">
        <v>213</v>
      </c>
      <c r="L27" s="208" t="s">
        <v>218</v>
      </c>
    </row>
    <row r="28" spans="1:12" x14ac:dyDescent="0.25">
      <c r="A28" s="224" t="str">
        <f t="shared" si="0"/>
        <v>06021901-DZ003-1</v>
      </c>
      <c r="B28" s="225">
        <v>403</v>
      </c>
      <c r="C28" s="226" t="s">
        <v>229</v>
      </c>
      <c r="D28" s="224">
        <v>23522</v>
      </c>
      <c r="E28" s="224" t="s">
        <v>201</v>
      </c>
      <c r="F28" s="224"/>
      <c r="G28" s="227"/>
      <c r="H28" s="224">
        <v>250</v>
      </c>
      <c r="I28" s="228" t="s">
        <v>71</v>
      </c>
      <c r="J28" s="224">
        <v>500</v>
      </c>
      <c r="K28" s="228" t="s">
        <v>203</v>
      </c>
      <c r="L28" s="208" t="s">
        <v>218</v>
      </c>
    </row>
    <row r="29" spans="1:12" x14ac:dyDescent="0.25">
      <c r="A29" s="224" t="str">
        <f t="shared" si="0"/>
        <v>06021901-DZ003-2</v>
      </c>
      <c r="B29" s="225">
        <v>403</v>
      </c>
      <c r="C29" s="226" t="s">
        <v>229</v>
      </c>
      <c r="D29" s="224">
        <v>23522</v>
      </c>
      <c r="E29" s="224" t="s">
        <v>206</v>
      </c>
      <c r="F29" s="224"/>
      <c r="G29" s="227"/>
      <c r="H29" s="224">
        <v>1000</v>
      </c>
      <c r="I29" s="228" t="s">
        <v>72</v>
      </c>
      <c r="J29" s="224">
        <v>500</v>
      </c>
      <c r="K29" s="228" t="s">
        <v>213</v>
      </c>
      <c r="L29" s="208" t="s">
        <v>218</v>
      </c>
    </row>
    <row r="30" spans="1:12" x14ac:dyDescent="0.25">
      <c r="A30" s="224" t="str">
        <f t="shared" si="0"/>
        <v>06021901-DZ003-3</v>
      </c>
      <c r="B30" s="225">
        <v>403</v>
      </c>
      <c r="C30" s="226" t="s">
        <v>229</v>
      </c>
      <c r="D30" s="224">
        <v>23522</v>
      </c>
      <c r="E30" s="224" t="s">
        <v>202</v>
      </c>
      <c r="F30" s="224"/>
      <c r="G30" s="227"/>
      <c r="H30" s="224">
        <v>1000</v>
      </c>
      <c r="I30" s="228" t="s">
        <v>72</v>
      </c>
      <c r="J30" s="224">
        <v>500</v>
      </c>
      <c r="K30" s="228" t="s">
        <v>213</v>
      </c>
      <c r="L30" s="208" t="s">
        <v>218</v>
      </c>
    </row>
    <row r="31" spans="1:12" x14ac:dyDescent="0.25">
      <c r="A31" s="224" t="str">
        <f t="shared" si="0"/>
        <v>21022026-GR012-1</v>
      </c>
      <c r="B31" s="225">
        <v>46074</v>
      </c>
      <c r="C31" s="226" t="s">
        <v>231</v>
      </c>
      <c r="D31" s="224">
        <v>22944</v>
      </c>
      <c r="E31" s="224" t="s">
        <v>201</v>
      </c>
      <c r="F31" s="224"/>
      <c r="G31" s="227"/>
      <c r="H31" s="224">
        <v>500</v>
      </c>
      <c r="I31" s="228" t="s">
        <v>71</v>
      </c>
      <c r="J31" s="224">
        <v>1000</v>
      </c>
      <c r="K31" s="228" t="s">
        <v>203</v>
      </c>
      <c r="L31" s="208" t="s">
        <v>218</v>
      </c>
    </row>
    <row r="32" spans="1:12" x14ac:dyDescent="0.25">
      <c r="A32" s="224" t="str">
        <f t="shared" si="0"/>
        <v>21022026-GR012-2</v>
      </c>
      <c r="B32" s="225">
        <v>46074</v>
      </c>
      <c r="C32" s="226" t="s">
        <v>231</v>
      </c>
      <c r="D32" s="224">
        <v>22944</v>
      </c>
      <c r="E32" s="224" t="s">
        <v>206</v>
      </c>
      <c r="F32" s="224"/>
      <c r="G32" s="227"/>
      <c r="H32" s="224">
        <v>1000</v>
      </c>
      <c r="I32" s="228" t="s">
        <v>72</v>
      </c>
      <c r="J32" s="224">
        <v>1000</v>
      </c>
      <c r="K32" s="228" t="s">
        <v>203</v>
      </c>
      <c r="L32" s="208" t="s">
        <v>218</v>
      </c>
    </row>
    <row r="33" spans="1:13" x14ac:dyDescent="0.25">
      <c r="A33" s="224" t="str">
        <f t="shared" si="0"/>
        <v>21022026-GR012-3</v>
      </c>
      <c r="B33" s="225">
        <v>46074</v>
      </c>
      <c r="C33" s="226" t="s">
        <v>231</v>
      </c>
      <c r="D33" s="224">
        <v>22944</v>
      </c>
      <c r="E33" s="224" t="s">
        <v>202</v>
      </c>
      <c r="F33" s="224"/>
      <c r="G33" s="227"/>
      <c r="H33" s="224">
        <v>1000</v>
      </c>
      <c r="I33" s="228" t="s">
        <v>72</v>
      </c>
      <c r="J33" s="224">
        <v>1000</v>
      </c>
      <c r="K33" s="228" t="s">
        <v>213</v>
      </c>
      <c r="L33" s="208" t="s">
        <v>218</v>
      </c>
    </row>
    <row r="34" spans="1:13" x14ac:dyDescent="0.25">
      <c r="A34" s="224" t="str">
        <f t="shared" ref="A34:A64" si="1">TEXT(DAY(B34),"00")&amp;TEXT(MONTH(B34),"00")&amp;YEAR(B34)&amp;"-"&amp;C34&amp;"-"&amp;LEFT(E34,SEARCH(" ",E34&amp;" ")-1)</f>
        <v>25022026-DZ020-1</v>
      </c>
      <c r="B34" s="225">
        <v>46078</v>
      </c>
      <c r="C34" s="226" t="s">
        <v>232</v>
      </c>
      <c r="D34" s="224">
        <v>5005</v>
      </c>
      <c r="E34" s="224" t="s">
        <v>201</v>
      </c>
      <c r="F34" s="224"/>
      <c r="G34" s="227"/>
      <c r="H34" s="224">
        <v>250</v>
      </c>
      <c r="I34" s="228" t="s">
        <v>71</v>
      </c>
      <c r="J34" s="224">
        <v>1000</v>
      </c>
      <c r="K34" s="228" t="s">
        <v>203</v>
      </c>
      <c r="L34" s="208" t="s">
        <v>218</v>
      </c>
    </row>
    <row r="35" spans="1:13" x14ac:dyDescent="0.25">
      <c r="A35" s="224" t="str">
        <f t="shared" si="1"/>
        <v>25022026-DZ020-2</v>
      </c>
      <c r="B35" s="225">
        <v>46078</v>
      </c>
      <c r="C35" s="226" t="s">
        <v>232</v>
      </c>
      <c r="D35" s="224">
        <v>5005</v>
      </c>
      <c r="E35" s="224" t="s">
        <v>206</v>
      </c>
      <c r="F35" s="224"/>
      <c r="G35" s="227"/>
      <c r="H35" s="224">
        <v>1000</v>
      </c>
      <c r="I35" s="228" t="s">
        <v>72</v>
      </c>
      <c r="J35" s="224">
        <v>1000</v>
      </c>
      <c r="K35" s="228" t="s">
        <v>203</v>
      </c>
      <c r="L35" s="208" t="s">
        <v>218</v>
      </c>
    </row>
    <row r="36" spans="1:13" x14ac:dyDescent="0.25">
      <c r="A36" s="224" t="str">
        <f t="shared" si="1"/>
        <v>25022026-DZ020-3</v>
      </c>
      <c r="B36" s="225">
        <v>46078</v>
      </c>
      <c r="C36" s="226" t="s">
        <v>232</v>
      </c>
      <c r="D36" s="224">
        <v>5005</v>
      </c>
      <c r="E36" s="224" t="s">
        <v>202</v>
      </c>
      <c r="F36" s="224"/>
      <c r="G36" s="227"/>
      <c r="H36" s="224">
        <v>1000</v>
      </c>
      <c r="I36" s="228" t="s">
        <v>72</v>
      </c>
      <c r="J36" s="224">
        <v>1000</v>
      </c>
      <c r="K36" s="228" t="s">
        <v>213</v>
      </c>
      <c r="L36" s="208" t="s">
        <v>218</v>
      </c>
    </row>
    <row r="37" spans="1:13" x14ac:dyDescent="0.25">
      <c r="A37" s="224" t="str">
        <f t="shared" si="1"/>
        <v>25022026-DR008-1</v>
      </c>
      <c r="B37" s="225">
        <v>46078</v>
      </c>
      <c r="C37" s="226" t="s">
        <v>234</v>
      </c>
      <c r="D37" s="224">
        <v>2730</v>
      </c>
      <c r="E37" s="224" t="s">
        <v>201</v>
      </c>
      <c r="F37" s="224"/>
      <c r="G37" s="227"/>
      <c r="H37" s="224">
        <v>250</v>
      </c>
      <c r="I37" s="228" t="s">
        <v>71</v>
      </c>
      <c r="J37" s="224">
        <v>250</v>
      </c>
      <c r="K37" s="228" t="s">
        <v>203</v>
      </c>
      <c r="L37" s="208" t="s">
        <v>218</v>
      </c>
    </row>
    <row r="38" spans="1:13" x14ac:dyDescent="0.25">
      <c r="A38" s="224" t="str">
        <f t="shared" si="1"/>
        <v>25022026-DR008-3</v>
      </c>
      <c r="B38" s="225">
        <v>46078</v>
      </c>
      <c r="C38" s="226" t="s">
        <v>234</v>
      </c>
      <c r="D38" s="224">
        <v>2730</v>
      </c>
      <c r="E38" s="224" t="s">
        <v>202</v>
      </c>
      <c r="F38" s="224"/>
      <c r="G38" s="227"/>
      <c r="H38" s="224"/>
      <c r="I38" s="228" t="s">
        <v>72</v>
      </c>
      <c r="J38" s="224">
        <v>250</v>
      </c>
      <c r="K38" s="228" t="s">
        <v>213</v>
      </c>
      <c r="L38" s="208" t="s">
        <v>218</v>
      </c>
    </row>
    <row r="39" spans="1:13" x14ac:dyDescent="0.25">
      <c r="A39" s="224" t="str">
        <f t="shared" si="1"/>
        <v>05032026-TK148-1</v>
      </c>
      <c r="B39" s="225">
        <v>46086</v>
      </c>
      <c r="C39" s="226" t="s">
        <v>235</v>
      </c>
      <c r="D39" s="224">
        <v>4513</v>
      </c>
      <c r="E39" s="224" t="s">
        <v>201</v>
      </c>
      <c r="F39" s="224"/>
      <c r="G39" s="227">
        <v>46077</v>
      </c>
      <c r="H39" s="224">
        <v>232</v>
      </c>
      <c r="I39" s="228" t="s">
        <v>71</v>
      </c>
      <c r="J39" s="224">
        <v>1500</v>
      </c>
      <c r="K39" s="228" t="s">
        <v>203</v>
      </c>
      <c r="L39" s="208" t="s">
        <v>218</v>
      </c>
    </row>
    <row r="40" spans="1:13" x14ac:dyDescent="0.25">
      <c r="A40" s="224" t="str">
        <f t="shared" si="1"/>
        <v>05032026-TK148-2</v>
      </c>
      <c r="B40" s="225">
        <v>46086</v>
      </c>
      <c r="C40" s="226" t="s">
        <v>235</v>
      </c>
      <c r="D40" s="224">
        <v>4513</v>
      </c>
      <c r="E40" s="224" t="s">
        <v>206</v>
      </c>
      <c r="F40" s="224"/>
      <c r="G40" s="227">
        <v>46065</v>
      </c>
      <c r="H40" s="224">
        <v>513</v>
      </c>
      <c r="I40" s="228" t="s">
        <v>72</v>
      </c>
      <c r="J40" s="224">
        <v>1500</v>
      </c>
      <c r="K40" s="228" t="s">
        <v>213</v>
      </c>
      <c r="L40" s="208" t="s">
        <v>218</v>
      </c>
    </row>
    <row r="41" spans="1:13" x14ac:dyDescent="0.25">
      <c r="A41" s="224" t="str">
        <f t="shared" si="1"/>
        <v>03032026-TK153-1</v>
      </c>
      <c r="B41" s="225">
        <v>46084</v>
      </c>
      <c r="C41" s="226" t="s">
        <v>236</v>
      </c>
      <c r="D41" s="224">
        <v>4519</v>
      </c>
      <c r="E41" s="224" t="s">
        <v>201</v>
      </c>
      <c r="F41" s="224">
        <v>4318</v>
      </c>
      <c r="G41" s="227">
        <v>46075</v>
      </c>
      <c r="H41" s="224">
        <v>201</v>
      </c>
      <c r="I41" s="228" t="s">
        <v>71</v>
      </c>
      <c r="J41" s="224">
        <v>500</v>
      </c>
      <c r="K41" s="228" t="s">
        <v>203</v>
      </c>
      <c r="L41" s="208" t="s">
        <v>218</v>
      </c>
    </row>
    <row r="42" spans="1:13" x14ac:dyDescent="0.25">
      <c r="A42" s="224" t="str">
        <f t="shared" si="1"/>
        <v>03032026-TK153-2</v>
      </c>
      <c r="B42" s="225">
        <v>46084</v>
      </c>
      <c r="C42" s="226" t="s">
        <v>236</v>
      </c>
      <c r="D42" s="224">
        <v>4519</v>
      </c>
      <c r="E42" s="224" t="s">
        <v>206</v>
      </c>
      <c r="F42" s="224">
        <v>3934</v>
      </c>
      <c r="G42" s="227">
        <v>46058</v>
      </c>
      <c r="H42" s="224">
        <v>585</v>
      </c>
      <c r="I42" s="228" t="s">
        <v>72</v>
      </c>
      <c r="J42" s="224">
        <v>500</v>
      </c>
      <c r="K42" s="228" t="s">
        <v>213</v>
      </c>
      <c r="L42" s="208" t="s">
        <v>218</v>
      </c>
    </row>
    <row r="43" spans="1:13" x14ac:dyDescent="0.25">
      <c r="A43" s="224" t="str">
        <f t="shared" si="1"/>
        <v>03032026-TK153-3</v>
      </c>
      <c r="B43" s="225">
        <v>46084</v>
      </c>
      <c r="C43" s="226" t="s">
        <v>236</v>
      </c>
      <c r="D43" s="224">
        <v>4519</v>
      </c>
      <c r="E43" s="224" t="s">
        <v>202</v>
      </c>
      <c r="F43" s="224">
        <v>3934</v>
      </c>
      <c r="G43" s="227">
        <v>46058</v>
      </c>
      <c r="H43" s="224">
        <v>585</v>
      </c>
      <c r="I43" s="228" t="s">
        <v>72</v>
      </c>
      <c r="J43" s="224">
        <v>500</v>
      </c>
      <c r="K43" s="228" t="s">
        <v>213</v>
      </c>
      <c r="L43" s="208" t="s">
        <v>218</v>
      </c>
    </row>
    <row r="44" spans="1:13" x14ac:dyDescent="0.25">
      <c r="A44" s="224" t="str">
        <f t="shared" si="1"/>
        <v>01032026-TK157-1</v>
      </c>
      <c r="B44" s="225">
        <v>46082</v>
      </c>
      <c r="C44" s="226" t="s">
        <v>237</v>
      </c>
      <c r="D44" s="224">
        <v>4992</v>
      </c>
      <c r="E44" s="224" t="s">
        <v>201</v>
      </c>
      <c r="F44" s="224">
        <v>4794</v>
      </c>
      <c r="G44" s="227">
        <v>46073</v>
      </c>
      <c r="H44" s="224">
        <v>198</v>
      </c>
      <c r="I44" s="228" t="s">
        <v>71</v>
      </c>
      <c r="J44" s="224">
        <v>1000</v>
      </c>
      <c r="K44" s="228" t="s">
        <v>203</v>
      </c>
      <c r="L44" s="208" t="s">
        <v>218</v>
      </c>
    </row>
    <row r="45" spans="1:13" x14ac:dyDescent="0.25">
      <c r="A45" s="224" t="str">
        <f t="shared" si="1"/>
        <v>01032026-TK157-2</v>
      </c>
      <c r="B45" s="225">
        <v>46082</v>
      </c>
      <c r="C45" s="226" t="s">
        <v>237</v>
      </c>
      <c r="D45" s="224">
        <v>4992</v>
      </c>
      <c r="E45" s="224" t="s">
        <v>206</v>
      </c>
      <c r="F45" s="224">
        <v>4107</v>
      </c>
      <c r="G45" s="227">
        <v>46033</v>
      </c>
      <c r="H45" s="224">
        <v>885</v>
      </c>
      <c r="I45" s="228" t="s">
        <v>72</v>
      </c>
      <c r="J45" s="224">
        <v>1000</v>
      </c>
      <c r="K45" s="228" t="s">
        <v>203</v>
      </c>
      <c r="L45" s="208" t="s">
        <v>218</v>
      </c>
    </row>
    <row r="46" spans="1:13" x14ac:dyDescent="0.25">
      <c r="A46" s="224" t="str">
        <f t="shared" si="1"/>
        <v>01032026-TK157-3</v>
      </c>
      <c r="B46" s="225">
        <v>46082</v>
      </c>
      <c r="C46" s="226" t="s">
        <v>237</v>
      </c>
      <c r="D46" s="224">
        <v>4992</v>
      </c>
      <c r="E46" s="224" t="s">
        <v>202</v>
      </c>
      <c r="F46" s="224">
        <v>4107</v>
      </c>
      <c r="G46" s="227">
        <v>46033</v>
      </c>
      <c r="H46" s="224">
        <v>885</v>
      </c>
      <c r="I46" s="228" t="s">
        <v>72</v>
      </c>
      <c r="J46" s="224">
        <v>1000</v>
      </c>
      <c r="K46" s="228" t="s">
        <v>203</v>
      </c>
      <c r="L46" s="208" t="s">
        <v>218</v>
      </c>
    </row>
    <row r="47" spans="1:13" x14ac:dyDescent="0.25">
      <c r="A47" s="224" t="str">
        <f t="shared" si="1"/>
        <v>26022026-TK106-1</v>
      </c>
      <c r="B47" s="225">
        <v>46079</v>
      </c>
      <c r="C47" s="226" t="s">
        <v>238</v>
      </c>
      <c r="D47" s="224">
        <v>29055</v>
      </c>
      <c r="E47" s="224" t="s">
        <v>201</v>
      </c>
      <c r="F47" s="224"/>
      <c r="G47" s="227"/>
      <c r="H47" s="224"/>
      <c r="I47" s="228" t="s">
        <v>71</v>
      </c>
      <c r="J47" s="224">
        <v>1000</v>
      </c>
      <c r="K47" s="228" t="s">
        <v>203</v>
      </c>
      <c r="L47" s="208" t="s">
        <v>218</v>
      </c>
      <c r="M47" t="s">
        <v>240</v>
      </c>
    </row>
    <row r="48" spans="1:13" x14ac:dyDescent="0.25">
      <c r="A48" s="224" t="str">
        <f t="shared" si="1"/>
        <v>26022026-TK106-2</v>
      </c>
      <c r="B48" s="225">
        <v>46079</v>
      </c>
      <c r="C48" s="226" t="s">
        <v>238</v>
      </c>
      <c r="D48" s="224">
        <v>29055</v>
      </c>
      <c r="E48" s="224" t="s">
        <v>206</v>
      </c>
      <c r="F48" s="224"/>
      <c r="G48" s="227"/>
      <c r="H48" s="224"/>
      <c r="I48" s="228" t="s">
        <v>72</v>
      </c>
      <c r="J48" s="224">
        <v>1000</v>
      </c>
      <c r="K48" s="228" t="s">
        <v>203</v>
      </c>
      <c r="L48" s="208" t="s">
        <v>218</v>
      </c>
      <c r="M48" t="s">
        <v>240</v>
      </c>
    </row>
    <row r="49" spans="1:13" x14ac:dyDescent="0.25">
      <c r="A49" s="224" t="str">
        <f t="shared" si="1"/>
        <v>26022026-TK106-3</v>
      </c>
      <c r="B49" s="225">
        <v>46079</v>
      </c>
      <c r="C49" s="226" t="s">
        <v>238</v>
      </c>
      <c r="D49" s="224">
        <v>29055</v>
      </c>
      <c r="E49" s="224" t="s">
        <v>202</v>
      </c>
      <c r="F49" s="224"/>
      <c r="G49" s="227"/>
      <c r="H49" s="224"/>
      <c r="I49" s="228" t="s">
        <v>72</v>
      </c>
      <c r="J49" s="224">
        <v>1000</v>
      </c>
      <c r="K49" s="228" t="s">
        <v>203</v>
      </c>
      <c r="L49" s="208" t="s">
        <v>218</v>
      </c>
      <c r="M49" t="s">
        <v>240</v>
      </c>
    </row>
    <row r="50" spans="1:13" x14ac:dyDescent="0.25">
      <c r="A50" s="224" t="str">
        <f t="shared" si="1"/>
        <v>26022026-TK118-1</v>
      </c>
      <c r="B50" s="225">
        <v>46079</v>
      </c>
      <c r="C50" s="226" t="s">
        <v>241</v>
      </c>
      <c r="D50" s="224">
        <v>27973</v>
      </c>
      <c r="E50" s="224" t="s">
        <v>201</v>
      </c>
      <c r="F50" s="224"/>
      <c r="G50" s="227"/>
      <c r="H50" s="224"/>
      <c r="I50" s="228" t="s">
        <v>71</v>
      </c>
      <c r="J50" s="224">
        <v>4000</v>
      </c>
      <c r="K50" s="228" t="s">
        <v>203</v>
      </c>
      <c r="L50" s="208" t="s">
        <v>218</v>
      </c>
      <c r="M50" t="s">
        <v>240</v>
      </c>
    </row>
    <row r="51" spans="1:13" x14ac:dyDescent="0.25">
      <c r="A51" s="224" t="str">
        <f t="shared" si="1"/>
        <v>26022026-TK118-2</v>
      </c>
      <c r="B51" s="225">
        <v>46079</v>
      </c>
      <c r="C51" s="226" t="s">
        <v>241</v>
      </c>
      <c r="D51" s="224">
        <v>27973</v>
      </c>
      <c r="E51" s="224" t="s">
        <v>206</v>
      </c>
      <c r="F51" s="224"/>
      <c r="G51" s="227"/>
      <c r="H51" s="224"/>
      <c r="I51" s="228" t="s">
        <v>72</v>
      </c>
      <c r="J51" s="224">
        <v>4000</v>
      </c>
      <c r="K51" s="228" t="s">
        <v>203</v>
      </c>
      <c r="L51" s="208" t="s">
        <v>218</v>
      </c>
      <c r="M51" t="s">
        <v>240</v>
      </c>
    </row>
    <row r="52" spans="1:13" x14ac:dyDescent="0.25">
      <c r="A52" s="224" t="str">
        <f t="shared" si="1"/>
        <v>26022026-TK118-3</v>
      </c>
      <c r="B52" s="225">
        <v>46079</v>
      </c>
      <c r="C52" s="226" t="s">
        <v>241</v>
      </c>
      <c r="D52" s="224">
        <v>27973</v>
      </c>
      <c r="E52" s="224" t="s">
        <v>202</v>
      </c>
      <c r="F52" s="224"/>
      <c r="G52" s="227"/>
      <c r="H52" s="224"/>
      <c r="I52" s="228" t="s">
        <v>72</v>
      </c>
      <c r="J52" s="224">
        <v>4000</v>
      </c>
      <c r="K52" s="228" t="s">
        <v>203</v>
      </c>
      <c r="L52" s="208" t="s">
        <v>218</v>
      </c>
      <c r="M52" t="s">
        <v>240</v>
      </c>
    </row>
    <row r="53" spans="1:13" x14ac:dyDescent="0.25">
      <c r="A53" s="224" t="str">
        <f t="shared" si="1"/>
        <v>26022026-TK124-1</v>
      </c>
      <c r="B53" s="225">
        <v>46079</v>
      </c>
      <c r="C53" s="226" t="s">
        <v>242</v>
      </c>
      <c r="D53" s="224">
        <v>26503</v>
      </c>
      <c r="E53" s="224" t="s">
        <v>201</v>
      </c>
      <c r="F53" s="224"/>
      <c r="G53" s="227"/>
      <c r="H53" s="224"/>
      <c r="I53" s="228" t="s">
        <v>71</v>
      </c>
      <c r="J53" s="224">
        <v>500</v>
      </c>
      <c r="K53" s="228" t="s">
        <v>203</v>
      </c>
      <c r="L53" s="208" t="s">
        <v>218</v>
      </c>
      <c r="M53" t="s">
        <v>240</v>
      </c>
    </row>
    <row r="54" spans="1:13" x14ac:dyDescent="0.25">
      <c r="A54" s="224" t="str">
        <f t="shared" si="1"/>
        <v>26022026-TK124-2</v>
      </c>
      <c r="B54" s="225">
        <v>46079</v>
      </c>
      <c r="C54" s="226" t="s">
        <v>242</v>
      </c>
      <c r="D54" s="224">
        <v>26503</v>
      </c>
      <c r="E54" s="224" t="s">
        <v>206</v>
      </c>
      <c r="F54" s="224"/>
      <c r="G54" s="227"/>
      <c r="H54" s="224"/>
      <c r="I54" s="228" t="s">
        <v>72</v>
      </c>
      <c r="J54" s="224">
        <v>500</v>
      </c>
      <c r="K54" s="228" t="s">
        <v>213</v>
      </c>
      <c r="L54" s="208" t="s">
        <v>218</v>
      </c>
      <c r="M54" t="s">
        <v>240</v>
      </c>
    </row>
    <row r="55" spans="1:13" x14ac:dyDescent="0.25">
      <c r="A55" s="224" t="str">
        <f t="shared" si="1"/>
        <v>26022026-TK124-3</v>
      </c>
      <c r="B55" s="225">
        <v>46079</v>
      </c>
      <c r="C55" s="226" t="s">
        <v>242</v>
      </c>
      <c r="D55" s="224">
        <v>26503</v>
      </c>
      <c r="E55" s="224" t="s">
        <v>202</v>
      </c>
      <c r="F55" s="224"/>
      <c r="G55" s="227"/>
      <c r="H55" s="224"/>
      <c r="I55" s="228" t="s">
        <v>72</v>
      </c>
      <c r="J55" s="224">
        <v>500</v>
      </c>
      <c r="K55" s="228" t="s">
        <v>213</v>
      </c>
      <c r="L55" s="208" t="s">
        <v>218</v>
      </c>
      <c r="M55" t="s">
        <v>240</v>
      </c>
    </row>
    <row r="56" spans="1:13" x14ac:dyDescent="0.25">
      <c r="A56" s="224" t="str">
        <f t="shared" si="1"/>
        <v>02032026-TK152-1</v>
      </c>
      <c r="B56" s="225">
        <v>46083</v>
      </c>
      <c r="C56" s="226" t="s">
        <v>243</v>
      </c>
      <c r="D56" s="224">
        <v>4503</v>
      </c>
      <c r="E56" s="224" t="s">
        <v>201</v>
      </c>
      <c r="F56" s="224"/>
      <c r="G56" s="227"/>
      <c r="H56" s="224"/>
      <c r="I56" s="228" t="s">
        <v>71</v>
      </c>
      <c r="J56" s="224">
        <v>1500</v>
      </c>
      <c r="K56" s="228" t="s">
        <v>203</v>
      </c>
      <c r="L56" s="208" t="s">
        <v>218</v>
      </c>
      <c r="M56" t="s">
        <v>240</v>
      </c>
    </row>
    <row r="57" spans="1:13" x14ac:dyDescent="0.25">
      <c r="A57" s="224" t="str">
        <f t="shared" si="1"/>
        <v>02032026-TK152-2</v>
      </c>
      <c r="B57" s="225">
        <v>46083</v>
      </c>
      <c r="C57" s="226" t="s">
        <v>243</v>
      </c>
      <c r="D57" s="224">
        <v>4503</v>
      </c>
      <c r="E57" s="224" t="s">
        <v>206</v>
      </c>
      <c r="F57" s="224"/>
      <c r="G57" s="227"/>
      <c r="H57" s="224"/>
      <c r="I57" s="228" t="s">
        <v>72</v>
      </c>
      <c r="J57" s="224">
        <v>1500</v>
      </c>
      <c r="K57" s="228" t="s">
        <v>213</v>
      </c>
      <c r="L57" s="208" t="s">
        <v>218</v>
      </c>
      <c r="M57" t="s">
        <v>240</v>
      </c>
    </row>
    <row r="58" spans="1:13" x14ac:dyDescent="0.25">
      <c r="A58" s="224" t="str">
        <f t="shared" si="1"/>
        <v>02032026-TK152-3</v>
      </c>
      <c r="B58" s="225">
        <v>46083</v>
      </c>
      <c r="C58" s="226" t="s">
        <v>243</v>
      </c>
      <c r="D58" s="224">
        <v>4503</v>
      </c>
      <c r="E58" s="224" t="s">
        <v>202</v>
      </c>
      <c r="F58" s="224"/>
      <c r="G58" s="227"/>
      <c r="H58" s="224"/>
      <c r="I58" s="228" t="s">
        <v>72</v>
      </c>
      <c r="J58" s="224">
        <v>1500</v>
      </c>
      <c r="K58" s="228" t="s">
        <v>213</v>
      </c>
      <c r="L58" s="208" t="s">
        <v>218</v>
      </c>
      <c r="M58" t="s">
        <v>240</v>
      </c>
    </row>
    <row r="59" spans="1:13" x14ac:dyDescent="0.25">
      <c r="A59" s="224" t="str">
        <f t="shared" si="1"/>
        <v>02032026-TK154-1</v>
      </c>
      <c r="B59" s="225">
        <v>46083</v>
      </c>
      <c r="C59" s="226" t="s">
        <v>244</v>
      </c>
      <c r="D59" s="224">
        <v>3266</v>
      </c>
      <c r="E59" s="224" t="s">
        <v>201</v>
      </c>
      <c r="F59" s="224"/>
      <c r="G59" s="227"/>
      <c r="H59" s="224"/>
      <c r="I59" s="228" t="s">
        <v>71</v>
      </c>
      <c r="J59" s="224">
        <v>250</v>
      </c>
      <c r="K59" s="228" t="s">
        <v>203</v>
      </c>
      <c r="L59" s="208" t="s">
        <v>218</v>
      </c>
      <c r="M59" t="s">
        <v>240</v>
      </c>
    </row>
    <row r="60" spans="1:13" x14ac:dyDescent="0.25">
      <c r="A60" s="224" t="str">
        <f t="shared" si="1"/>
        <v>02032026-TK154-2</v>
      </c>
      <c r="B60" s="225">
        <v>46083</v>
      </c>
      <c r="C60" s="226" t="s">
        <v>244</v>
      </c>
      <c r="D60" s="224">
        <v>3266</v>
      </c>
      <c r="E60" s="224" t="s">
        <v>206</v>
      </c>
      <c r="F60" s="224"/>
      <c r="G60" s="227"/>
      <c r="H60" s="224"/>
      <c r="I60" s="228" t="s">
        <v>72</v>
      </c>
      <c r="J60" s="224">
        <v>250</v>
      </c>
      <c r="K60" s="228" t="s">
        <v>213</v>
      </c>
      <c r="L60" s="208" t="s">
        <v>218</v>
      </c>
      <c r="M60" t="s">
        <v>240</v>
      </c>
    </row>
    <row r="61" spans="1:13" x14ac:dyDescent="0.25">
      <c r="A61" s="224" t="str">
        <f t="shared" si="1"/>
        <v>02032026-TK154-3</v>
      </c>
      <c r="B61" s="225">
        <v>46083</v>
      </c>
      <c r="C61" s="226" t="s">
        <v>244</v>
      </c>
      <c r="D61" s="224">
        <v>3266</v>
      </c>
      <c r="E61" s="224" t="s">
        <v>202</v>
      </c>
      <c r="F61" s="224"/>
      <c r="G61" s="227"/>
      <c r="H61" s="224"/>
      <c r="I61" s="228" t="s">
        <v>72</v>
      </c>
      <c r="J61" s="224">
        <v>250</v>
      </c>
      <c r="K61" s="228" t="s">
        <v>213</v>
      </c>
      <c r="L61" s="208" t="s">
        <v>218</v>
      </c>
      <c r="M61" t="s">
        <v>240</v>
      </c>
    </row>
    <row r="62" spans="1:13" x14ac:dyDescent="0.25">
      <c r="A62" s="224" t="str">
        <f t="shared" si="1"/>
        <v>05032026-TK103-1</v>
      </c>
      <c r="B62" s="225">
        <v>46086</v>
      </c>
      <c r="C62" s="226" t="s">
        <v>245</v>
      </c>
      <c r="D62" s="224">
        <v>32009</v>
      </c>
      <c r="E62" s="224" t="s">
        <v>201</v>
      </c>
      <c r="F62" s="224"/>
      <c r="G62" s="227"/>
      <c r="H62" s="224"/>
      <c r="I62" s="228" t="s">
        <v>71</v>
      </c>
      <c r="J62" s="224">
        <v>4000</v>
      </c>
      <c r="K62" s="228" t="s">
        <v>203</v>
      </c>
      <c r="L62" s="208" t="s">
        <v>218</v>
      </c>
      <c r="M62" t="s">
        <v>240</v>
      </c>
    </row>
    <row r="63" spans="1:13" x14ac:dyDescent="0.25">
      <c r="A63" s="224" t="str">
        <f t="shared" si="1"/>
        <v>05032026-TK103-2</v>
      </c>
      <c r="B63" s="225">
        <v>46086</v>
      </c>
      <c r="C63" s="226" t="s">
        <v>245</v>
      </c>
      <c r="D63" s="224">
        <v>32009</v>
      </c>
      <c r="E63" s="224" t="s">
        <v>206</v>
      </c>
      <c r="F63" s="224"/>
      <c r="G63" s="227"/>
      <c r="H63" s="224"/>
      <c r="I63" s="228" t="s">
        <v>72</v>
      </c>
      <c r="J63" s="224">
        <v>4000</v>
      </c>
      <c r="K63" s="228" t="s">
        <v>203</v>
      </c>
      <c r="L63" s="208" t="s">
        <v>218</v>
      </c>
      <c r="M63" t="s">
        <v>240</v>
      </c>
    </row>
    <row r="64" spans="1:13" x14ac:dyDescent="0.25">
      <c r="A64" s="224" t="str">
        <f t="shared" si="1"/>
        <v>05032026-TK103-3</v>
      </c>
      <c r="B64" s="225">
        <v>46086</v>
      </c>
      <c r="C64" s="226" t="s">
        <v>245</v>
      </c>
      <c r="D64" s="224">
        <v>32009</v>
      </c>
      <c r="E64" s="224" t="s">
        <v>202</v>
      </c>
      <c r="F64" s="224"/>
      <c r="G64" s="227"/>
      <c r="H64" s="224"/>
      <c r="I64" s="228" t="s">
        <v>72</v>
      </c>
      <c r="J64" s="224">
        <v>4000</v>
      </c>
      <c r="K64" s="228" t="s">
        <v>203</v>
      </c>
      <c r="L64" s="208" t="s">
        <v>218</v>
      </c>
      <c r="M64" t="s">
        <v>240</v>
      </c>
    </row>
    <row r="65" spans="1:15" x14ac:dyDescent="0.25">
      <c r="A65" s="224" t="str">
        <f t="shared" ref="A65:A96" si="2">TEXT(DAY(B65),"00")&amp;TEXT(MONTH(B65),"00")&amp;YEAR(B65)&amp;"-"&amp;C65&amp;"-"&amp;LEFT(E65,SEARCH(" ",E65&amp;" ")-1)</f>
        <v>01032026-LD002-1</v>
      </c>
      <c r="B65" s="225">
        <v>46082</v>
      </c>
      <c r="C65" s="226" t="s">
        <v>246</v>
      </c>
      <c r="D65" s="224">
        <v>30096</v>
      </c>
      <c r="E65" s="224" t="s">
        <v>201</v>
      </c>
      <c r="F65" s="224"/>
      <c r="G65" s="227"/>
      <c r="H65" s="224"/>
      <c r="I65" s="228" t="s">
        <v>71</v>
      </c>
      <c r="J65" s="224">
        <v>2000</v>
      </c>
      <c r="K65" s="228" t="s">
        <v>203</v>
      </c>
      <c r="L65" s="208" t="s">
        <v>218</v>
      </c>
      <c r="M65" t="s">
        <v>240</v>
      </c>
    </row>
    <row r="66" spans="1:15" x14ac:dyDescent="0.25">
      <c r="A66" s="224" t="str">
        <f t="shared" si="2"/>
        <v>01032026-LD002-2</v>
      </c>
      <c r="B66" s="225">
        <v>46082</v>
      </c>
      <c r="C66" s="226" t="s">
        <v>246</v>
      </c>
      <c r="D66" s="224">
        <v>30096</v>
      </c>
      <c r="E66" s="224" t="s">
        <v>206</v>
      </c>
      <c r="F66" s="224"/>
      <c r="G66" s="227"/>
      <c r="H66" s="224"/>
      <c r="I66" s="228" t="s">
        <v>72</v>
      </c>
      <c r="J66" s="224">
        <v>2000</v>
      </c>
      <c r="K66" s="228" t="s">
        <v>203</v>
      </c>
      <c r="L66" s="208" t="s">
        <v>218</v>
      </c>
      <c r="M66" t="s">
        <v>240</v>
      </c>
    </row>
    <row r="67" spans="1:15" x14ac:dyDescent="0.25">
      <c r="A67" s="224" t="str">
        <f t="shared" si="2"/>
        <v>01032026-LD002-3</v>
      </c>
      <c r="B67" s="225">
        <v>46082</v>
      </c>
      <c r="C67" s="226" t="s">
        <v>246</v>
      </c>
      <c r="D67" s="224">
        <v>30096</v>
      </c>
      <c r="E67" s="224" t="s">
        <v>202</v>
      </c>
      <c r="F67" s="224"/>
      <c r="G67" s="227"/>
      <c r="H67" s="224"/>
      <c r="I67" s="228" t="s">
        <v>72</v>
      </c>
      <c r="J67" s="224">
        <v>2000</v>
      </c>
      <c r="K67" s="228" t="s">
        <v>203</v>
      </c>
      <c r="L67" s="208" t="s">
        <v>218</v>
      </c>
      <c r="M67" t="s">
        <v>240</v>
      </c>
      <c r="O67" s="230"/>
    </row>
    <row r="68" spans="1:15" x14ac:dyDescent="0.25">
      <c r="A68" s="224" t="str">
        <f t="shared" si="2"/>
        <v>01032026-LD004-1</v>
      </c>
      <c r="B68" s="225">
        <v>46082</v>
      </c>
      <c r="C68" s="226" t="s">
        <v>247</v>
      </c>
      <c r="D68" s="224">
        <v>20016</v>
      </c>
      <c r="E68" s="224" t="s">
        <v>201</v>
      </c>
      <c r="F68" s="224"/>
      <c r="G68" s="227"/>
      <c r="H68" s="224"/>
      <c r="I68" s="228" t="s">
        <v>71</v>
      </c>
      <c r="J68" s="224">
        <v>4000</v>
      </c>
      <c r="K68" s="228" t="s">
        <v>203</v>
      </c>
      <c r="L68" s="208" t="s">
        <v>218</v>
      </c>
      <c r="M68" t="s">
        <v>240</v>
      </c>
    </row>
    <row r="69" spans="1:15" x14ac:dyDescent="0.25">
      <c r="A69" s="224" t="str">
        <f t="shared" si="2"/>
        <v>01032026-LD004-2</v>
      </c>
      <c r="B69" s="225">
        <v>46082</v>
      </c>
      <c r="C69" s="226" t="s">
        <v>247</v>
      </c>
      <c r="D69" s="224">
        <v>20016</v>
      </c>
      <c r="E69" s="224" t="s">
        <v>206</v>
      </c>
      <c r="F69" s="224"/>
      <c r="G69" s="227"/>
      <c r="H69" s="224"/>
      <c r="I69" s="228" t="s">
        <v>72</v>
      </c>
      <c r="J69" s="224">
        <v>4000</v>
      </c>
      <c r="K69" s="228" t="s">
        <v>203</v>
      </c>
      <c r="L69" s="208" t="s">
        <v>218</v>
      </c>
      <c r="M69" t="s">
        <v>240</v>
      </c>
    </row>
    <row r="70" spans="1:15" x14ac:dyDescent="0.25">
      <c r="A70" s="224" t="str">
        <f t="shared" si="2"/>
        <v>01032026-LD004-3</v>
      </c>
      <c r="B70" s="225">
        <v>46082</v>
      </c>
      <c r="C70" s="226" t="s">
        <v>247</v>
      </c>
      <c r="D70" s="224">
        <v>20016</v>
      </c>
      <c r="E70" s="224" t="s">
        <v>202</v>
      </c>
      <c r="F70" s="224"/>
      <c r="G70" s="227"/>
      <c r="H70" s="224"/>
      <c r="I70" s="228" t="s">
        <v>72</v>
      </c>
      <c r="J70" s="224">
        <v>4000</v>
      </c>
      <c r="K70" s="228" t="s">
        <v>203</v>
      </c>
      <c r="L70" s="208" t="s">
        <v>218</v>
      </c>
      <c r="M70" t="s">
        <v>240</v>
      </c>
    </row>
    <row r="71" spans="1:15" x14ac:dyDescent="0.25">
      <c r="A71" s="224" t="str">
        <f t="shared" si="2"/>
        <v>26022026-DZ006-2</v>
      </c>
      <c r="B71" s="225">
        <v>46079</v>
      </c>
      <c r="C71" s="226" t="s">
        <v>248</v>
      </c>
      <c r="D71" s="224">
        <v>25122</v>
      </c>
      <c r="E71" s="224" t="s">
        <v>206</v>
      </c>
      <c r="F71" s="224"/>
      <c r="G71" s="227"/>
      <c r="H71" s="224"/>
      <c r="I71" s="228" t="s">
        <v>72</v>
      </c>
      <c r="J71" s="224">
        <v>1000</v>
      </c>
      <c r="K71" s="228" t="s">
        <v>203</v>
      </c>
      <c r="L71" s="208" t="s">
        <v>218</v>
      </c>
      <c r="M71" t="s">
        <v>240</v>
      </c>
    </row>
    <row r="72" spans="1:15" x14ac:dyDescent="0.25">
      <c r="A72" s="224" t="str">
        <f t="shared" si="2"/>
        <v>26022026-DZ006-3</v>
      </c>
      <c r="B72" s="225">
        <v>46079</v>
      </c>
      <c r="C72" s="226" t="s">
        <v>248</v>
      </c>
      <c r="D72" s="224">
        <v>25122</v>
      </c>
      <c r="E72" s="224" t="s">
        <v>202</v>
      </c>
      <c r="F72" s="224"/>
      <c r="G72" s="227"/>
      <c r="H72" s="224"/>
      <c r="I72" s="228" t="s">
        <v>72</v>
      </c>
      <c r="J72" s="224">
        <v>1000</v>
      </c>
      <c r="K72" s="228" t="s">
        <v>203</v>
      </c>
      <c r="L72" s="208" t="s">
        <v>218</v>
      </c>
      <c r="M72" t="s">
        <v>240</v>
      </c>
    </row>
    <row r="73" spans="1:15" x14ac:dyDescent="0.25">
      <c r="A73" s="224" t="str">
        <f t="shared" si="2"/>
        <v>22022026-LD005-1</v>
      </c>
      <c r="B73" s="225">
        <v>46075</v>
      </c>
      <c r="C73" s="226" t="s">
        <v>249</v>
      </c>
      <c r="D73" s="224">
        <v>18008</v>
      </c>
      <c r="E73" s="224" t="s">
        <v>201</v>
      </c>
      <c r="F73" s="224"/>
      <c r="G73" s="227"/>
      <c r="H73" s="224"/>
      <c r="I73" s="228" t="s">
        <v>71</v>
      </c>
      <c r="J73" s="224">
        <v>2000</v>
      </c>
      <c r="K73" s="228" t="s">
        <v>203</v>
      </c>
      <c r="L73" s="208" t="s">
        <v>218</v>
      </c>
      <c r="M73" t="s">
        <v>240</v>
      </c>
    </row>
    <row r="74" spans="1:15" x14ac:dyDescent="0.25">
      <c r="A74" s="224" t="str">
        <f t="shared" si="2"/>
        <v>22022026-LD005-2</v>
      </c>
      <c r="B74" s="225">
        <v>46075</v>
      </c>
      <c r="C74" s="226" t="s">
        <v>249</v>
      </c>
      <c r="D74" s="224">
        <v>18008</v>
      </c>
      <c r="E74" s="224" t="s">
        <v>206</v>
      </c>
      <c r="F74" s="224"/>
      <c r="G74" s="227"/>
      <c r="H74" s="224"/>
      <c r="I74" s="228" t="s">
        <v>72</v>
      </c>
      <c r="J74" s="224">
        <v>2000</v>
      </c>
      <c r="K74" s="228" t="s">
        <v>203</v>
      </c>
      <c r="L74" s="208" t="s">
        <v>218</v>
      </c>
      <c r="M74" t="s">
        <v>240</v>
      </c>
    </row>
    <row r="75" spans="1:15" x14ac:dyDescent="0.25">
      <c r="A75" s="224" t="str">
        <f t="shared" ref="A75" si="3">TEXT(DAY(B75),"00")&amp;TEXT(MONTH(B75),"00")&amp;YEAR(B75)&amp;"-"&amp;C75&amp;"-"&amp;LEFT(E75,SEARCH(" ",E75&amp;" ")-1)</f>
        <v>22022026-LD005-3</v>
      </c>
      <c r="B75" s="225">
        <v>46075</v>
      </c>
      <c r="C75" s="226" t="s">
        <v>249</v>
      </c>
      <c r="D75" s="224">
        <v>18008</v>
      </c>
      <c r="E75" s="224" t="s">
        <v>202</v>
      </c>
      <c r="F75" s="224"/>
      <c r="G75" s="227"/>
      <c r="H75" s="224"/>
      <c r="I75" s="228" t="s">
        <v>72</v>
      </c>
      <c r="J75" s="224">
        <v>2000</v>
      </c>
      <c r="K75" s="228" t="s">
        <v>203</v>
      </c>
      <c r="L75" s="208" t="s">
        <v>218</v>
      </c>
      <c r="M75" t="s">
        <v>240</v>
      </c>
    </row>
    <row r="76" spans="1:15" x14ac:dyDescent="0.25">
      <c r="A76" s="224" t="str">
        <f t="shared" si="2"/>
        <v>25022026-DZ020-1</v>
      </c>
      <c r="B76" s="225">
        <v>46078</v>
      </c>
      <c r="C76" s="226" t="s">
        <v>232</v>
      </c>
      <c r="D76" s="224">
        <v>5004</v>
      </c>
      <c r="E76" s="224" t="s">
        <v>201</v>
      </c>
      <c r="F76" s="224"/>
      <c r="G76" s="227"/>
      <c r="H76" s="224"/>
      <c r="I76" s="228" t="s">
        <v>71</v>
      </c>
      <c r="J76" s="224">
        <v>5000</v>
      </c>
      <c r="K76" s="228" t="s">
        <v>203</v>
      </c>
      <c r="L76" s="208" t="s">
        <v>218</v>
      </c>
      <c r="M76" t="s">
        <v>240</v>
      </c>
    </row>
    <row r="77" spans="1:15" x14ac:dyDescent="0.25">
      <c r="A77" s="224" t="str">
        <f t="shared" si="2"/>
        <v>25022026-DZ020-2</v>
      </c>
      <c r="B77" s="225">
        <v>46078</v>
      </c>
      <c r="C77" s="226" t="s">
        <v>232</v>
      </c>
      <c r="D77" s="224">
        <v>5004</v>
      </c>
      <c r="E77" s="224" t="s">
        <v>206</v>
      </c>
      <c r="F77" s="224"/>
      <c r="G77" s="227"/>
      <c r="H77" s="224"/>
      <c r="I77" s="228" t="s">
        <v>72</v>
      </c>
      <c r="J77" s="224">
        <v>5000</v>
      </c>
      <c r="K77" s="228" t="s">
        <v>203</v>
      </c>
      <c r="L77" s="208" t="s">
        <v>218</v>
      </c>
      <c r="M77" t="s">
        <v>240</v>
      </c>
    </row>
    <row r="78" spans="1:15" x14ac:dyDescent="0.25">
      <c r="A78" s="224" t="str">
        <f t="shared" si="2"/>
        <v>25022026-DZ020-4AL</v>
      </c>
      <c r="B78" s="225">
        <v>46078</v>
      </c>
      <c r="C78" s="226" t="s">
        <v>232</v>
      </c>
      <c r="D78" s="224">
        <v>5004</v>
      </c>
      <c r="E78" s="224" t="s">
        <v>250</v>
      </c>
      <c r="F78" s="224"/>
      <c r="G78" s="227"/>
      <c r="H78" s="224"/>
      <c r="I78" s="228" t="s">
        <v>72</v>
      </c>
      <c r="J78" s="224">
        <v>5000</v>
      </c>
      <c r="K78" s="228" t="s">
        <v>203</v>
      </c>
      <c r="L78" s="208" t="s">
        <v>218</v>
      </c>
    </row>
    <row r="79" spans="1:15" x14ac:dyDescent="0.25">
      <c r="A79" s="224" t="str">
        <f t="shared" si="2"/>
        <v>25022026-DZ020-4AR</v>
      </c>
      <c r="B79" s="225">
        <v>46078</v>
      </c>
      <c r="C79" s="226" t="s">
        <v>232</v>
      </c>
      <c r="D79" s="224">
        <v>5004</v>
      </c>
      <c r="E79" s="224" t="s">
        <v>251</v>
      </c>
      <c r="F79" s="224"/>
      <c r="G79" s="227"/>
      <c r="H79" s="224"/>
      <c r="I79" s="228" t="s">
        <v>72</v>
      </c>
      <c r="J79" s="224">
        <v>5000</v>
      </c>
      <c r="K79" s="228" t="s">
        <v>203</v>
      </c>
      <c r="L79" s="208" t="s">
        <v>218</v>
      </c>
    </row>
    <row r="80" spans="1:15" x14ac:dyDescent="0.25">
      <c r="A80" s="224" t="str">
        <f t="shared" si="2"/>
        <v>03032026-GR008-1</v>
      </c>
      <c r="B80" s="225">
        <v>46084</v>
      </c>
      <c r="C80" s="226" t="s">
        <v>252</v>
      </c>
      <c r="D80" s="224">
        <v>22057</v>
      </c>
      <c r="E80" s="224" t="s">
        <v>201</v>
      </c>
      <c r="F80" s="224"/>
      <c r="G80" s="227"/>
      <c r="H80" s="224"/>
      <c r="I80" s="228" t="s">
        <v>71</v>
      </c>
      <c r="J80" s="224">
        <v>2000</v>
      </c>
      <c r="K80" s="228" t="s">
        <v>203</v>
      </c>
      <c r="L80" s="208" t="s">
        <v>218</v>
      </c>
    </row>
    <row r="81" spans="1:12" x14ac:dyDescent="0.25">
      <c r="A81" s="224" t="str">
        <f t="shared" si="2"/>
        <v>03032026-GR008-2</v>
      </c>
      <c r="B81" s="225">
        <v>46084</v>
      </c>
      <c r="C81" s="226" t="s">
        <v>252</v>
      </c>
      <c r="D81" s="224">
        <v>22057</v>
      </c>
      <c r="E81" s="224" t="s">
        <v>206</v>
      </c>
      <c r="F81" s="224"/>
      <c r="G81" s="227"/>
      <c r="H81" s="224"/>
      <c r="I81" s="228" t="s">
        <v>72</v>
      </c>
      <c r="J81" s="224">
        <v>2000</v>
      </c>
      <c r="K81" s="228" t="s">
        <v>203</v>
      </c>
      <c r="L81" s="208" t="s">
        <v>218</v>
      </c>
    </row>
    <row r="82" spans="1:12" x14ac:dyDescent="0.25">
      <c r="A82" s="224" t="str">
        <f t="shared" si="2"/>
        <v>03032026-GR008-3</v>
      </c>
      <c r="B82" s="225">
        <v>46084</v>
      </c>
      <c r="C82" s="226" t="s">
        <v>252</v>
      </c>
      <c r="D82" s="224">
        <v>22057</v>
      </c>
      <c r="E82" s="224" t="s">
        <v>202</v>
      </c>
      <c r="F82" s="224"/>
      <c r="G82" s="227"/>
      <c r="H82" s="224"/>
      <c r="I82" s="228" t="s">
        <v>72</v>
      </c>
      <c r="J82" s="224">
        <v>2000</v>
      </c>
      <c r="K82" s="228" t="s">
        <v>203</v>
      </c>
      <c r="L82" s="208" t="s">
        <v>218</v>
      </c>
    </row>
    <row r="83" spans="1:12" x14ac:dyDescent="0.25">
      <c r="A83" s="224" t="str">
        <f t="shared" si="2"/>
        <v>05032026-EX013-1</v>
      </c>
      <c r="B83" s="225">
        <v>46086</v>
      </c>
      <c r="C83" s="226" t="s">
        <v>253</v>
      </c>
      <c r="D83" s="224">
        <v>12564</v>
      </c>
      <c r="E83" s="224" t="s">
        <v>201</v>
      </c>
      <c r="F83" s="224"/>
      <c r="G83" s="227"/>
      <c r="H83" s="224"/>
      <c r="I83" s="228" t="s">
        <v>71</v>
      </c>
      <c r="J83" s="224">
        <v>500</v>
      </c>
      <c r="K83" s="228" t="s">
        <v>203</v>
      </c>
      <c r="L83" s="208" t="s">
        <v>218</v>
      </c>
    </row>
    <row r="84" spans="1:12" x14ac:dyDescent="0.25">
      <c r="A84" s="224" t="str">
        <f t="shared" si="2"/>
        <v>05032026-EX013-3</v>
      </c>
      <c r="B84" s="225">
        <v>46086</v>
      </c>
      <c r="C84" s="226" t="s">
        <v>253</v>
      </c>
      <c r="D84" s="224">
        <v>12564</v>
      </c>
      <c r="E84" s="224" t="s">
        <v>202</v>
      </c>
      <c r="F84" s="224"/>
      <c r="G84" s="227"/>
      <c r="H84" s="224"/>
      <c r="I84" s="228" t="s">
        <v>72</v>
      </c>
      <c r="J84" s="224">
        <v>500</v>
      </c>
      <c r="K84" s="228" t="s">
        <v>213</v>
      </c>
      <c r="L84" s="208" t="s">
        <v>218</v>
      </c>
    </row>
    <row r="85" spans="1:12" x14ac:dyDescent="0.25">
      <c r="A85" s="224" t="str">
        <f t="shared" si="2"/>
        <v>19022026-DR002-1</v>
      </c>
      <c r="B85" s="225">
        <v>46072</v>
      </c>
      <c r="C85" s="226" t="s">
        <v>254</v>
      </c>
      <c r="D85" s="224">
        <v>4449</v>
      </c>
      <c r="E85" s="224" t="s">
        <v>201</v>
      </c>
      <c r="F85" s="224"/>
      <c r="G85" s="227"/>
      <c r="H85" s="224"/>
      <c r="I85" s="228" t="s">
        <v>71</v>
      </c>
      <c r="J85" s="224">
        <v>500</v>
      </c>
      <c r="K85" s="228" t="s">
        <v>203</v>
      </c>
      <c r="L85" s="208" t="s">
        <v>218</v>
      </c>
    </row>
    <row r="86" spans="1:12" x14ac:dyDescent="0.25">
      <c r="A86" s="224" t="str">
        <f t="shared" si="2"/>
        <v>19022026-DR002-3</v>
      </c>
      <c r="B86" s="225">
        <v>46072</v>
      </c>
      <c r="C86" s="226" t="s">
        <v>254</v>
      </c>
      <c r="D86" s="224">
        <v>4449</v>
      </c>
      <c r="E86" s="224" t="s">
        <v>202</v>
      </c>
      <c r="F86" s="224"/>
      <c r="G86" s="227"/>
      <c r="H86" s="224"/>
      <c r="I86" s="228" t="s">
        <v>72</v>
      </c>
      <c r="J86" s="224">
        <v>500</v>
      </c>
      <c r="K86" s="228" t="s">
        <v>213</v>
      </c>
      <c r="L86" s="208" t="s">
        <v>218</v>
      </c>
    </row>
    <row r="87" spans="1:12" x14ac:dyDescent="0.25">
      <c r="A87" s="224" t="str">
        <f t="shared" si="2"/>
        <v>21022026-GR012-1</v>
      </c>
      <c r="B87" s="225">
        <v>46074</v>
      </c>
      <c r="C87" s="226" t="s">
        <v>231</v>
      </c>
      <c r="D87" s="224">
        <v>22994</v>
      </c>
      <c r="E87" s="224" t="s">
        <v>201</v>
      </c>
      <c r="F87" s="224"/>
      <c r="G87" s="227"/>
      <c r="H87" s="224"/>
      <c r="I87" s="228" t="s">
        <v>71</v>
      </c>
      <c r="J87" s="224">
        <v>1000</v>
      </c>
      <c r="K87" s="228" t="s">
        <v>203</v>
      </c>
      <c r="L87" s="208" t="s">
        <v>218</v>
      </c>
    </row>
    <row r="88" spans="1:12" x14ac:dyDescent="0.25">
      <c r="A88" s="224" t="str">
        <f t="shared" si="2"/>
        <v>21022026-GR012-3</v>
      </c>
      <c r="B88" s="225">
        <v>46074</v>
      </c>
      <c r="C88" s="226" t="s">
        <v>231</v>
      </c>
      <c r="D88" s="224">
        <v>22994</v>
      </c>
      <c r="E88" s="224" t="s">
        <v>202</v>
      </c>
      <c r="F88" s="224"/>
      <c r="G88" s="227"/>
      <c r="H88" s="224"/>
      <c r="I88" s="228" t="s">
        <v>72</v>
      </c>
      <c r="J88" s="224">
        <v>1000</v>
      </c>
      <c r="K88" s="228" t="s">
        <v>213</v>
      </c>
      <c r="L88" s="208" t="s">
        <v>218</v>
      </c>
    </row>
    <row r="89" spans="1:12" x14ac:dyDescent="0.25">
      <c r="A89" s="224" t="str">
        <f t="shared" si="2"/>
        <v>24022026-DR008-1</v>
      </c>
      <c r="B89" s="225">
        <v>46077</v>
      </c>
      <c r="C89" s="226" t="s">
        <v>234</v>
      </c>
      <c r="D89" s="224">
        <v>2728</v>
      </c>
      <c r="E89" s="224" t="s">
        <v>201</v>
      </c>
      <c r="F89" s="224"/>
      <c r="G89" s="227"/>
      <c r="H89" s="224"/>
      <c r="I89" s="228" t="s">
        <v>71</v>
      </c>
      <c r="J89" s="224">
        <v>250</v>
      </c>
      <c r="K89" s="228" t="s">
        <v>203</v>
      </c>
      <c r="L89" s="208" t="s">
        <v>218</v>
      </c>
    </row>
    <row r="90" spans="1:12" x14ac:dyDescent="0.25">
      <c r="A90" s="224" t="str">
        <f t="shared" si="2"/>
        <v>24022026-DR008-1A</v>
      </c>
      <c r="B90" s="225">
        <v>46077</v>
      </c>
      <c r="C90" s="226" t="s">
        <v>234</v>
      </c>
      <c r="D90" s="224">
        <v>2728</v>
      </c>
      <c r="E90" s="224" t="s">
        <v>255</v>
      </c>
      <c r="F90" s="224"/>
      <c r="G90" s="227"/>
      <c r="H90" s="224"/>
      <c r="I90" s="228" t="s">
        <v>71</v>
      </c>
      <c r="J90" s="224">
        <v>250</v>
      </c>
      <c r="K90" s="228" t="s">
        <v>203</v>
      </c>
      <c r="L90" s="208" t="s">
        <v>218</v>
      </c>
    </row>
    <row r="91" spans="1:12" x14ac:dyDescent="0.25">
      <c r="A91" s="224" t="str">
        <f t="shared" si="2"/>
        <v>28022026-EX012-3</v>
      </c>
      <c r="B91" s="225">
        <v>46081</v>
      </c>
      <c r="C91" s="226" t="s">
        <v>256</v>
      </c>
      <c r="D91" s="224">
        <v>4529</v>
      </c>
      <c r="E91" s="224" t="s">
        <v>202</v>
      </c>
      <c r="F91" s="224"/>
      <c r="G91" s="227">
        <v>46070</v>
      </c>
      <c r="H91" s="224">
        <v>4282</v>
      </c>
      <c r="I91" s="228" t="s">
        <v>72</v>
      </c>
      <c r="J91" s="224">
        <v>500</v>
      </c>
      <c r="K91" s="228" t="s">
        <v>213</v>
      </c>
      <c r="L91" s="208" t="s">
        <v>218</v>
      </c>
    </row>
    <row r="92" spans="1:12" x14ac:dyDescent="0.25">
      <c r="A92" s="224" t="str">
        <f t="shared" si="2"/>
        <v>27022026-GR014-1</v>
      </c>
      <c r="B92" s="225">
        <v>46080</v>
      </c>
      <c r="C92" s="226" t="s">
        <v>257</v>
      </c>
      <c r="D92" s="224">
        <v>527</v>
      </c>
      <c r="E92" s="224" t="s">
        <v>201</v>
      </c>
      <c r="F92" s="224"/>
      <c r="G92" s="227"/>
      <c r="H92" s="224"/>
      <c r="I92" s="228" t="s">
        <v>71</v>
      </c>
      <c r="J92" s="224">
        <v>500</v>
      </c>
      <c r="K92" s="228" t="s">
        <v>203</v>
      </c>
      <c r="L92" s="208" t="s">
        <v>218</v>
      </c>
    </row>
    <row r="93" spans="1:12" x14ac:dyDescent="0.25">
      <c r="A93" s="224" t="str">
        <f t="shared" si="2"/>
        <v>21022026-DZ004-2</v>
      </c>
      <c r="B93" s="225">
        <v>46074</v>
      </c>
      <c r="C93" s="226" t="s">
        <v>258</v>
      </c>
      <c r="D93" s="224">
        <v>23504</v>
      </c>
      <c r="E93" s="224" t="s">
        <v>206</v>
      </c>
      <c r="F93" s="224"/>
      <c r="G93" s="227"/>
      <c r="H93" s="224"/>
      <c r="I93" s="228" t="s">
        <v>72</v>
      </c>
      <c r="J93" s="224">
        <v>500</v>
      </c>
      <c r="K93" s="228" t="s">
        <v>213</v>
      </c>
      <c r="L93" s="208" t="s">
        <v>218</v>
      </c>
    </row>
    <row r="94" spans="1:12" x14ac:dyDescent="0.25">
      <c r="A94" s="224" t="str">
        <f t="shared" si="2"/>
        <v>23022026-GR016-1</v>
      </c>
      <c r="B94" s="225">
        <v>46076</v>
      </c>
      <c r="C94" s="226" t="s">
        <v>259</v>
      </c>
      <c r="D94" s="224">
        <v>3286</v>
      </c>
      <c r="E94" s="224" t="s">
        <v>201</v>
      </c>
      <c r="F94" s="224"/>
      <c r="G94" s="227"/>
      <c r="H94" s="224"/>
      <c r="I94" s="228" t="s">
        <v>71</v>
      </c>
      <c r="J94" s="224">
        <v>250</v>
      </c>
      <c r="K94" s="228" t="s">
        <v>203</v>
      </c>
      <c r="L94" s="208" t="s">
        <v>218</v>
      </c>
    </row>
    <row r="95" spans="1:12" x14ac:dyDescent="0.25">
      <c r="A95" s="224" t="str">
        <f t="shared" si="2"/>
        <v>16022026-TK113-1</v>
      </c>
      <c r="B95" s="225">
        <v>46069</v>
      </c>
      <c r="C95" s="226" t="s">
        <v>260</v>
      </c>
      <c r="D95" s="224">
        <v>34496</v>
      </c>
      <c r="E95" s="224" t="s">
        <v>201</v>
      </c>
      <c r="F95" s="224"/>
      <c r="G95" s="227"/>
      <c r="H95" s="224"/>
      <c r="I95" s="228" t="s">
        <v>71</v>
      </c>
      <c r="J95" s="224">
        <v>500</v>
      </c>
      <c r="K95" s="228" t="s">
        <v>203</v>
      </c>
      <c r="L95" s="208" t="s">
        <v>218</v>
      </c>
    </row>
    <row r="96" spans="1:12" x14ac:dyDescent="0.25">
      <c r="A96" s="224" t="str">
        <f t="shared" si="2"/>
        <v>25022026-TK101-1</v>
      </c>
      <c r="B96" s="225">
        <v>46078</v>
      </c>
      <c r="C96" s="226" t="s">
        <v>210</v>
      </c>
      <c r="D96" s="224">
        <v>31010</v>
      </c>
      <c r="E96" s="224" t="s">
        <v>201</v>
      </c>
      <c r="F96" s="224"/>
      <c r="G96" s="227"/>
      <c r="H96" s="224"/>
      <c r="I96" s="228" t="s">
        <v>71</v>
      </c>
      <c r="J96" s="224">
        <v>1000</v>
      </c>
      <c r="K96" s="228" t="s">
        <v>203</v>
      </c>
      <c r="L96" s="208" t="s">
        <v>218</v>
      </c>
    </row>
    <row r="97" spans="1:12" x14ac:dyDescent="0.25">
      <c r="A97" s="224" t="str">
        <f t="shared" ref="A97:A128" si="4">TEXT(DAY(B97),"00")&amp;TEXT(MONTH(B97),"00")&amp;YEAR(B97)&amp;"-"&amp;C97&amp;"-"&amp;LEFT(E97,SEARCH(" ",E97&amp;" ")-1)</f>
        <v>25022026-TK101-3</v>
      </c>
      <c r="B97" s="225">
        <v>46078</v>
      </c>
      <c r="C97" s="226" t="s">
        <v>210</v>
      </c>
      <c r="D97" s="224">
        <v>31010</v>
      </c>
      <c r="E97" s="224" t="s">
        <v>202</v>
      </c>
      <c r="F97" s="224"/>
      <c r="G97" s="227"/>
      <c r="H97" s="224"/>
      <c r="I97" s="228" t="s">
        <v>72</v>
      </c>
      <c r="J97" s="224">
        <v>1000</v>
      </c>
      <c r="K97" s="228" t="s">
        <v>213</v>
      </c>
      <c r="L97" s="208" t="s">
        <v>218</v>
      </c>
    </row>
    <row r="98" spans="1:12" x14ac:dyDescent="0.25">
      <c r="A98" s="224" t="str">
        <f t="shared" si="4"/>
        <v>23022026-TK146-2</v>
      </c>
      <c r="B98" s="225">
        <v>46076</v>
      </c>
      <c r="C98" s="226" t="s">
        <v>261</v>
      </c>
      <c r="D98" s="224">
        <v>50</v>
      </c>
      <c r="E98" s="224" t="s">
        <v>206</v>
      </c>
      <c r="F98" s="224"/>
      <c r="G98" s="227"/>
      <c r="H98" s="224"/>
      <c r="I98" s="228" t="s">
        <v>71</v>
      </c>
      <c r="J98" s="224">
        <v>50</v>
      </c>
      <c r="K98" s="228" t="s">
        <v>203</v>
      </c>
      <c r="L98" s="208" t="s">
        <v>218</v>
      </c>
    </row>
    <row r="99" spans="1:12" x14ac:dyDescent="0.25">
      <c r="A99" s="224" t="str">
        <f t="shared" si="4"/>
        <v>28022026-EX012-1</v>
      </c>
      <c r="B99" s="225">
        <v>46081</v>
      </c>
      <c r="C99" s="226" t="s">
        <v>256</v>
      </c>
      <c r="D99" s="224">
        <v>4529</v>
      </c>
      <c r="E99" s="224" t="s">
        <v>201</v>
      </c>
      <c r="F99" s="224"/>
      <c r="G99" s="227"/>
      <c r="H99" s="224"/>
      <c r="I99" s="228" t="s">
        <v>71</v>
      </c>
      <c r="J99" s="224">
        <v>500</v>
      </c>
      <c r="K99" s="228" t="s">
        <v>203</v>
      </c>
      <c r="L99" s="208" t="s">
        <v>218</v>
      </c>
    </row>
    <row r="100" spans="1:12" x14ac:dyDescent="0.25">
      <c r="A100" s="224" t="str">
        <f t="shared" si="4"/>
        <v>13032026-SR004-1</v>
      </c>
      <c r="B100" s="225">
        <v>46094</v>
      </c>
      <c r="C100" s="226" t="s">
        <v>262</v>
      </c>
      <c r="D100" s="224">
        <v>22797</v>
      </c>
      <c r="E100" s="224" t="s">
        <v>201</v>
      </c>
      <c r="F100" s="224"/>
      <c r="G100" s="227"/>
      <c r="H100" s="224"/>
      <c r="I100" s="228" t="s">
        <v>71</v>
      </c>
      <c r="J100" s="229" t="s">
        <v>265</v>
      </c>
      <c r="K100" s="228" t="s">
        <v>203</v>
      </c>
      <c r="L100" s="208" t="s">
        <v>218</v>
      </c>
    </row>
    <row r="101" spans="1:12" x14ac:dyDescent="0.25">
      <c r="A101" s="224" t="str">
        <f t="shared" si="4"/>
        <v>13032026-SR004-2</v>
      </c>
      <c r="B101" s="225">
        <v>46094</v>
      </c>
      <c r="C101" s="226" t="s">
        <v>262</v>
      </c>
      <c r="D101" s="224">
        <v>22797</v>
      </c>
      <c r="E101" s="224" t="s">
        <v>206</v>
      </c>
      <c r="F101" s="224"/>
      <c r="G101" s="227"/>
      <c r="H101" s="224"/>
      <c r="I101" s="228" t="s">
        <v>263</v>
      </c>
      <c r="J101" s="229" t="s">
        <v>265</v>
      </c>
      <c r="K101" s="228" t="s">
        <v>213</v>
      </c>
      <c r="L101" s="208" t="s">
        <v>218</v>
      </c>
    </row>
    <row r="102" spans="1:12" x14ac:dyDescent="0.25">
      <c r="A102" s="224" t="str">
        <f t="shared" si="4"/>
        <v>13032026-SR004-3</v>
      </c>
      <c r="B102" s="225">
        <v>46094</v>
      </c>
      <c r="C102" s="226" t="s">
        <v>262</v>
      </c>
      <c r="D102" s="224">
        <v>22797</v>
      </c>
      <c r="E102" s="224" t="s">
        <v>202</v>
      </c>
      <c r="F102" s="224"/>
      <c r="G102" s="227"/>
      <c r="H102" s="224"/>
      <c r="I102" s="228" t="s">
        <v>264</v>
      </c>
      <c r="J102" s="229" t="s">
        <v>265</v>
      </c>
      <c r="K102" s="228" t="s">
        <v>213</v>
      </c>
      <c r="L102" s="208" t="s">
        <v>218</v>
      </c>
    </row>
    <row r="103" spans="1:12" x14ac:dyDescent="0.25">
      <c r="A103" s="224" t="str">
        <f t="shared" si="4"/>
        <v>13032026-SN001-1</v>
      </c>
      <c r="B103" s="225">
        <v>46094</v>
      </c>
      <c r="C103" s="226" t="s">
        <v>266</v>
      </c>
      <c r="D103" s="224">
        <v>32115</v>
      </c>
      <c r="E103" s="224" t="s">
        <v>201</v>
      </c>
      <c r="F103" s="224"/>
      <c r="G103" s="227"/>
      <c r="H103" s="224"/>
      <c r="I103" s="228" t="s">
        <v>71</v>
      </c>
      <c r="J103" s="229" t="s">
        <v>265</v>
      </c>
      <c r="K103" s="228" t="s">
        <v>203</v>
      </c>
      <c r="L103" s="208" t="s">
        <v>218</v>
      </c>
    </row>
    <row r="104" spans="1:12" x14ac:dyDescent="0.25">
      <c r="A104" s="224" t="str">
        <f t="shared" si="4"/>
        <v>02032026-CR002-1</v>
      </c>
      <c r="B104" s="225">
        <v>46083</v>
      </c>
      <c r="C104" s="226" t="s">
        <v>267</v>
      </c>
      <c r="D104" s="224">
        <v>6647</v>
      </c>
      <c r="E104" s="224" t="s">
        <v>201</v>
      </c>
      <c r="F104" s="224"/>
      <c r="G104" s="227"/>
      <c r="H104" s="224">
        <v>250</v>
      </c>
      <c r="I104" s="228" t="s">
        <v>71</v>
      </c>
      <c r="J104" s="224">
        <v>500</v>
      </c>
      <c r="K104" s="228" t="s">
        <v>203</v>
      </c>
      <c r="L104" s="208" t="s">
        <v>218</v>
      </c>
    </row>
    <row r="105" spans="1:12" x14ac:dyDescent="0.25">
      <c r="A105" s="224" t="str">
        <f t="shared" si="4"/>
        <v>02032026-CR003-1</v>
      </c>
      <c r="B105" s="225">
        <v>46083</v>
      </c>
      <c r="C105" s="226" t="s">
        <v>268</v>
      </c>
      <c r="D105" s="224">
        <v>15115</v>
      </c>
      <c r="E105" s="224" t="s">
        <v>201</v>
      </c>
      <c r="F105" s="224"/>
      <c r="G105" s="227"/>
      <c r="H105" s="224">
        <v>131</v>
      </c>
      <c r="I105" s="228" t="s">
        <v>71</v>
      </c>
      <c r="J105" s="224">
        <v>1000</v>
      </c>
      <c r="K105" s="228" t="s">
        <v>203</v>
      </c>
      <c r="L105" s="208" t="s">
        <v>218</v>
      </c>
    </row>
    <row r="106" spans="1:12" x14ac:dyDescent="0.25">
      <c r="A106" s="224" t="str">
        <f>TEXT(DAY(B106),"00")&amp;TEXT(MONTH(B106),"00")&amp;YEAR(B106)&amp;"-"&amp;C106&amp;"-"&amp;LEFT(E106,SEARCH(" ",E106&amp;" ")-1)</f>
        <v>02032026-CR006-1</v>
      </c>
      <c r="B106" s="225">
        <v>46083</v>
      </c>
      <c r="C106" s="226" t="s">
        <v>269</v>
      </c>
      <c r="D106" s="224">
        <v>3574</v>
      </c>
      <c r="E106" s="224" t="s">
        <v>201</v>
      </c>
      <c r="F106" s="224"/>
      <c r="G106" s="227"/>
      <c r="H106" s="224"/>
      <c r="I106" s="228" t="s">
        <v>71</v>
      </c>
      <c r="J106" s="224">
        <v>500</v>
      </c>
      <c r="K106" s="228" t="s">
        <v>203</v>
      </c>
      <c r="L106" s="208" t="s">
        <v>218</v>
      </c>
    </row>
    <row r="107" spans="1:12" x14ac:dyDescent="0.25">
      <c r="A107" s="224" t="str">
        <f>TEXT(DAY(B107),"00")&amp;TEXT(MONTH(B107),"00")&amp;YEAR(B107)&amp;"-"&amp;C107&amp;"-"&amp;LEFT(E107,SEARCH(" ",E107&amp;" ")-1)</f>
        <v>11032026-DZ011-4F</v>
      </c>
      <c r="B107" s="225">
        <v>46092</v>
      </c>
      <c r="C107" s="224" t="s">
        <v>270</v>
      </c>
      <c r="D107" s="224">
        <v>28521</v>
      </c>
      <c r="E107" s="224" t="s">
        <v>271</v>
      </c>
      <c r="F107" s="224"/>
      <c r="G107" s="227"/>
      <c r="H107" s="224"/>
      <c r="I107" s="228" t="s">
        <v>72</v>
      </c>
      <c r="J107" s="224">
        <v>500</v>
      </c>
      <c r="K107" s="228" t="s">
        <v>213</v>
      </c>
      <c r="L107" s="208" t="s">
        <v>218</v>
      </c>
    </row>
    <row r="108" spans="1:12" x14ac:dyDescent="0.25">
      <c r="A108" s="224" t="str">
        <f t="shared" si="4"/>
        <v>11032026-DZ011-1</v>
      </c>
      <c r="B108" s="225">
        <v>46092</v>
      </c>
      <c r="C108" s="224" t="s">
        <v>270</v>
      </c>
      <c r="D108" s="224">
        <v>28521</v>
      </c>
      <c r="E108" s="224" t="s">
        <v>201</v>
      </c>
      <c r="F108" s="224"/>
      <c r="G108" s="227"/>
      <c r="H108" s="224"/>
      <c r="I108" s="228" t="s">
        <v>71</v>
      </c>
      <c r="J108" s="224">
        <v>500</v>
      </c>
      <c r="K108" s="228" t="s">
        <v>203</v>
      </c>
      <c r="L108" s="208" t="s">
        <v>218</v>
      </c>
    </row>
    <row r="109" spans="1:12" x14ac:dyDescent="0.25">
      <c r="A109" s="224" t="str">
        <f t="shared" si="4"/>
        <v>11032026-DZ011-4E</v>
      </c>
      <c r="B109" s="225">
        <v>46092</v>
      </c>
      <c r="C109" s="224" t="s">
        <v>270</v>
      </c>
      <c r="D109" s="224">
        <v>28521</v>
      </c>
      <c r="E109" s="224" t="s">
        <v>272</v>
      </c>
      <c r="F109" s="224"/>
      <c r="G109" s="227"/>
      <c r="H109" s="224"/>
      <c r="I109" s="228" t="s">
        <v>72</v>
      </c>
      <c r="J109" s="224">
        <v>500</v>
      </c>
      <c r="K109" s="228" t="s">
        <v>213</v>
      </c>
      <c r="L109" s="208" t="s">
        <v>218</v>
      </c>
    </row>
    <row r="110" spans="1:12" x14ac:dyDescent="0.25">
      <c r="A110" s="224" t="str">
        <f t="shared" si="4"/>
        <v>11032026-DZ011-3</v>
      </c>
      <c r="B110" s="225">
        <v>46092</v>
      </c>
      <c r="C110" s="224" t="s">
        <v>270</v>
      </c>
      <c r="D110" s="224">
        <v>28521</v>
      </c>
      <c r="E110" s="224" t="s">
        <v>202</v>
      </c>
      <c r="F110" s="224"/>
      <c r="G110" s="227"/>
      <c r="H110" s="224"/>
      <c r="I110" s="228" t="s">
        <v>264</v>
      </c>
      <c r="J110" s="224">
        <v>500</v>
      </c>
      <c r="K110" s="228" t="s">
        <v>213</v>
      </c>
      <c r="L110" s="208" t="s">
        <v>218</v>
      </c>
    </row>
    <row r="111" spans="1:12" x14ac:dyDescent="0.25">
      <c r="A111" s="224" t="str">
        <f t="shared" si="4"/>
        <v>11032026-DZ011-2</v>
      </c>
      <c r="B111" s="225">
        <v>46092</v>
      </c>
      <c r="C111" s="224" t="s">
        <v>270</v>
      </c>
      <c r="D111" s="224">
        <v>28521</v>
      </c>
      <c r="E111" s="224" t="s">
        <v>206</v>
      </c>
      <c r="F111" s="224"/>
      <c r="G111" s="227"/>
      <c r="H111" s="224"/>
      <c r="I111" s="228" t="s">
        <v>72</v>
      </c>
      <c r="J111" s="224">
        <v>500</v>
      </c>
      <c r="K111" s="228" t="s">
        <v>213</v>
      </c>
      <c r="L111" s="208" t="s">
        <v>218</v>
      </c>
    </row>
    <row r="112" spans="1:12" x14ac:dyDescent="0.25">
      <c r="A112" s="224" t="str">
        <f t="shared" si="4"/>
        <v>20032026-DR002-1</v>
      </c>
      <c r="B112" s="225">
        <v>46101</v>
      </c>
      <c r="C112" s="224" t="s">
        <v>254</v>
      </c>
      <c r="D112" s="224">
        <v>5038</v>
      </c>
      <c r="E112" s="224" t="s">
        <v>201</v>
      </c>
      <c r="F112" s="224"/>
      <c r="G112" s="227"/>
      <c r="H112" s="224"/>
      <c r="I112" s="228" t="s">
        <v>71</v>
      </c>
      <c r="J112" s="224">
        <v>5000</v>
      </c>
      <c r="K112" s="228" t="s">
        <v>203</v>
      </c>
      <c r="L112" s="208" t="s">
        <v>218</v>
      </c>
    </row>
    <row r="113" spans="1:12" x14ac:dyDescent="0.25">
      <c r="A113" s="224" t="str">
        <f t="shared" si="4"/>
        <v>20032026-DR002-3</v>
      </c>
      <c r="B113" s="225">
        <v>46101</v>
      </c>
      <c r="C113" s="224" t="s">
        <v>254</v>
      </c>
      <c r="D113" s="224">
        <v>5038</v>
      </c>
      <c r="E113" s="224" t="s">
        <v>202</v>
      </c>
      <c r="F113" s="224"/>
      <c r="G113" s="227"/>
      <c r="H113" s="224"/>
      <c r="I113" s="228" t="s">
        <v>264</v>
      </c>
      <c r="J113" s="224">
        <v>5000</v>
      </c>
      <c r="K113" s="228" t="s">
        <v>203</v>
      </c>
      <c r="L113" s="208" t="s">
        <v>218</v>
      </c>
    </row>
    <row r="114" spans="1:12" x14ac:dyDescent="0.25">
      <c r="A114" s="224" t="str">
        <f t="shared" si="4"/>
        <v>06032026-TK116-1</v>
      </c>
      <c r="B114" s="225">
        <v>46087</v>
      </c>
      <c r="C114" s="224" t="s">
        <v>273</v>
      </c>
      <c r="D114" s="224">
        <v>25968</v>
      </c>
      <c r="E114" s="224" t="s">
        <v>201</v>
      </c>
      <c r="F114" s="224"/>
      <c r="G114" s="227"/>
      <c r="H114" s="224"/>
      <c r="I114" s="228" t="s">
        <v>71</v>
      </c>
      <c r="J114" s="224">
        <v>2000</v>
      </c>
      <c r="K114" s="228" t="s">
        <v>203</v>
      </c>
      <c r="L114" s="208" t="s">
        <v>218</v>
      </c>
    </row>
    <row r="115" spans="1:12" x14ac:dyDescent="0.25">
      <c r="A115" s="224" t="str">
        <f t="shared" si="4"/>
        <v>06032026-TK116-3</v>
      </c>
      <c r="B115" s="225">
        <v>46087</v>
      </c>
      <c r="C115" s="224" t="s">
        <v>273</v>
      </c>
      <c r="D115" s="224">
        <v>25968</v>
      </c>
      <c r="E115" s="224" t="s">
        <v>202</v>
      </c>
      <c r="F115" s="224"/>
      <c r="G115" s="227"/>
      <c r="H115" s="224"/>
      <c r="I115" s="228" t="s">
        <v>264</v>
      </c>
      <c r="J115" s="224">
        <v>2000</v>
      </c>
      <c r="K115" s="228" t="s">
        <v>213</v>
      </c>
      <c r="L115" s="208" t="s">
        <v>218</v>
      </c>
    </row>
    <row r="116" spans="1:12" x14ac:dyDescent="0.25">
      <c r="A116" s="224" t="str">
        <f t="shared" si="4"/>
        <v>06032026-TK116-2</v>
      </c>
      <c r="B116" s="225">
        <v>46087</v>
      </c>
      <c r="C116" s="224" t="s">
        <v>273</v>
      </c>
      <c r="D116" s="224">
        <v>25968</v>
      </c>
      <c r="E116" s="224" t="s">
        <v>206</v>
      </c>
      <c r="F116" s="224"/>
      <c r="G116" s="227"/>
      <c r="H116" s="224"/>
      <c r="I116" s="228" t="s">
        <v>72</v>
      </c>
      <c r="J116" s="224">
        <v>2000</v>
      </c>
      <c r="K116" s="228" t="s">
        <v>203</v>
      </c>
      <c r="L116" s="208" t="s">
        <v>218</v>
      </c>
    </row>
    <row r="117" spans="1:12" x14ac:dyDescent="0.25">
      <c r="A117" s="224" t="str">
        <f t="shared" si="4"/>
        <v>18032026-TK107-1</v>
      </c>
      <c r="B117" s="225">
        <v>46099</v>
      </c>
      <c r="C117" s="224" t="s">
        <v>207</v>
      </c>
      <c r="D117" s="224">
        <v>31431</v>
      </c>
      <c r="E117" s="224" t="s">
        <v>201</v>
      </c>
      <c r="F117" s="224"/>
      <c r="G117" s="227"/>
      <c r="H117" s="224"/>
      <c r="I117" s="228" t="s">
        <v>71</v>
      </c>
      <c r="J117" s="224">
        <v>500</v>
      </c>
      <c r="K117" s="228" t="s">
        <v>203</v>
      </c>
      <c r="L117" s="208" t="s">
        <v>218</v>
      </c>
    </row>
    <row r="118" spans="1:12" x14ac:dyDescent="0.25">
      <c r="A118" s="224" t="str">
        <f t="shared" si="4"/>
        <v>18032026-TK107-3</v>
      </c>
      <c r="B118" s="225">
        <v>46099</v>
      </c>
      <c r="C118" s="224" t="s">
        <v>207</v>
      </c>
      <c r="D118" s="224">
        <v>31431</v>
      </c>
      <c r="E118" s="224" t="s">
        <v>202</v>
      </c>
      <c r="F118" s="224"/>
      <c r="G118" s="227"/>
      <c r="H118" s="224"/>
      <c r="I118" s="228" t="s">
        <v>264</v>
      </c>
      <c r="J118" s="224">
        <v>500</v>
      </c>
      <c r="K118" s="228" t="s">
        <v>213</v>
      </c>
      <c r="L118" s="208" t="s">
        <v>218</v>
      </c>
    </row>
    <row r="119" spans="1:12" x14ac:dyDescent="0.25">
      <c r="A119" s="224" t="str">
        <f t="shared" si="4"/>
        <v>18032026-TK107-2</v>
      </c>
      <c r="B119" s="225">
        <v>46099</v>
      </c>
      <c r="C119" s="224" t="s">
        <v>207</v>
      </c>
      <c r="D119" s="224">
        <v>31431</v>
      </c>
      <c r="E119" s="224" t="s">
        <v>206</v>
      </c>
      <c r="F119" s="224"/>
      <c r="G119" s="227"/>
      <c r="H119" s="224"/>
      <c r="I119" s="228" t="s">
        <v>72</v>
      </c>
      <c r="J119" s="224">
        <v>500</v>
      </c>
      <c r="K119" s="228" t="s">
        <v>213</v>
      </c>
      <c r="L119" s="208" t="s">
        <v>218</v>
      </c>
    </row>
    <row r="120" spans="1:12" x14ac:dyDescent="0.25">
      <c r="A120" s="224" t="str">
        <f t="shared" si="4"/>
        <v>06032026-LD001-1</v>
      </c>
      <c r="B120" s="225">
        <v>46087</v>
      </c>
      <c r="C120" s="226" t="s">
        <v>274</v>
      </c>
      <c r="D120" s="224">
        <v>30932</v>
      </c>
      <c r="E120" s="224" t="s">
        <v>201</v>
      </c>
      <c r="F120" s="224"/>
      <c r="G120" s="227"/>
      <c r="H120" s="224"/>
      <c r="I120" s="228" t="s">
        <v>71</v>
      </c>
      <c r="J120" s="224">
        <v>1000</v>
      </c>
      <c r="K120" s="228" t="s">
        <v>203</v>
      </c>
      <c r="L120" s="208" t="s">
        <v>218</v>
      </c>
    </row>
    <row r="121" spans="1:12" x14ac:dyDescent="0.25">
      <c r="A121" s="224" t="str">
        <f t="shared" si="4"/>
        <v>06032026-TK150-1</v>
      </c>
      <c r="B121" s="225">
        <v>46087</v>
      </c>
      <c r="C121" s="224" t="s">
        <v>277</v>
      </c>
      <c r="D121" s="224">
        <v>4016</v>
      </c>
      <c r="E121" s="224" t="s">
        <v>201</v>
      </c>
      <c r="F121" s="224"/>
      <c r="G121" s="227"/>
      <c r="H121" s="224"/>
      <c r="I121" s="228" t="s">
        <v>71</v>
      </c>
      <c r="J121" s="224">
        <v>1000</v>
      </c>
      <c r="K121" s="228" t="s">
        <v>203</v>
      </c>
      <c r="L121" s="208" t="s">
        <v>218</v>
      </c>
    </row>
    <row r="122" spans="1:12" x14ac:dyDescent="0.25">
      <c r="A122" s="224" t="str">
        <f t="shared" si="4"/>
        <v>21032026-DR003-1</v>
      </c>
      <c r="B122" s="225">
        <v>46102</v>
      </c>
      <c r="C122" s="224" t="s">
        <v>275</v>
      </c>
      <c r="D122" s="224">
        <v>6966</v>
      </c>
      <c r="E122" s="224" t="s">
        <v>201</v>
      </c>
      <c r="F122" s="224"/>
      <c r="G122" s="227"/>
      <c r="H122" s="224"/>
      <c r="I122" s="228" t="s">
        <v>71</v>
      </c>
      <c r="J122" s="224">
        <v>1000</v>
      </c>
      <c r="K122" s="228" t="s">
        <v>203</v>
      </c>
      <c r="L122" s="208" t="s">
        <v>218</v>
      </c>
    </row>
    <row r="123" spans="1:12" x14ac:dyDescent="0.25">
      <c r="A123" s="224" t="str">
        <f t="shared" si="4"/>
        <v>21032026-DR003-3</v>
      </c>
      <c r="B123" s="225">
        <v>46102</v>
      </c>
      <c r="C123" s="224" t="s">
        <v>275</v>
      </c>
      <c r="D123" s="224">
        <v>6966</v>
      </c>
      <c r="E123" s="224" t="s">
        <v>202</v>
      </c>
      <c r="F123" s="224"/>
      <c r="G123" s="227"/>
      <c r="H123" s="224"/>
      <c r="I123" s="228" t="s">
        <v>264</v>
      </c>
      <c r="J123" s="224">
        <v>1000</v>
      </c>
      <c r="K123" s="228" t="s">
        <v>203</v>
      </c>
      <c r="L123" s="208" t="s">
        <v>218</v>
      </c>
    </row>
    <row r="124" spans="1:12" x14ac:dyDescent="0.25">
      <c r="A124" s="224" t="str">
        <f t="shared" si="4"/>
        <v>21032026-TK156-1</v>
      </c>
      <c r="B124" s="225">
        <v>46102</v>
      </c>
      <c r="C124" s="224" t="s">
        <v>212</v>
      </c>
      <c r="D124" s="224">
        <v>5000</v>
      </c>
      <c r="E124" s="224" t="s">
        <v>201</v>
      </c>
      <c r="F124" s="224"/>
      <c r="G124" s="227"/>
      <c r="H124" s="224"/>
      <c r="I124" s="228" t="s">
        <v>71</v>
      </c>
      <c r="J124" s="224">
        <v>1000</v>
      </c>
      <c r="K124" s="228" t="s">
        <v>203</v>
      </c>
      <c r="L124" s="208" t="s">
        <v>218</v>
      </c>
    </row>
    <row r="125" spans="1:12" x14ac:dyDescent="0.25">
      <c r="A125" s="224" t="str">
        <f t="shared" si="4"/>
        <v>21032026-TK156-2</v>
      </c>
      <c r="B125" s="225">
        <v>46102</v>
      </c>
      <c r="C125" s="224" t="s">
        <v>212</v>
      </c>
      <c r="D125" s="224">
        <v>5000</v>
      </c>
      <c r="E125" s="224" t="s">
        <v>206</v>
      </c>
      <c r="F125" s="224"/>
      <c r="G125" s="227"/>
      <c r="H125" s="224"/>
      <c r="I125" s="228" t="s">
        <v>72</v>
      </c>
      <c r="J125" s="224">
        <v>1000</v>
      </c>
      <c r="K125" s="228" t="s">
        <v>203</v>
      </c>
      <c r="L125" s="208" t="s">
        <v>218</v>
      </c>
    </row>
    <row r="126" spans="1:12" x14ac:dyDescent="0.25">
      <c r="A126" s="224" t="str">
        <f t="shared" si="4"/>
        <v>21032026-TK156-3</v>
      </c>
      <c r="B126" s="225">
        <v>46102</v>
      </c>
      <c r="C126" s="224" t="s">
        <v>212</v>
      </c>
      <c r="D126" s="224">
        <v>5000</v>
      </c>
      <c r="E126" s="224" t="s">
        <v>202</v>
      </c>
      <c r="F126" s="224"/>
      <c r="G126" s="227"/>
      <c r="H126" s="224"/>
      <c r="I126" s="228" t="s">
        <v>264</v>
      </c>
      <c r="J126" s="224">
        <v>1000</v>
      </c>
      <c r="K126" s="228" t="s">
        <v>213</v>
      </c>
      <c r="L126" s="208" t="s">
        <v>218</v>
      </c>
    </row>
    <row r="127" spans="1:12" x14ac:dyDescent="0.25">
      <c r="A127" s="224" t="str">
        <f t="shared" si="4"/>
        <v>20032026-TK110-1</v>
      </c>
      <c r="B127" s="225">
        <v>46101</v>
      </c>
      <c r="C127" s="224" t="s">
        <v>276</v>
      </c>
      <c r="D127" s="224">
        <v>33581</v>
      </c>
      <c r="E127" s="224" t="s">
        <v>201</v>
      </c>
      <c r="F127" s="224"/>
      <c r="G127" s="227"/>
      <c r="H127" s="224"/>
      <c r="I127" s="228" t="s">
        <v>71</v>
      </c>
      <c r="J127" s="224">
        <v>500</v>
      </c>
      <c r="K127" s="228" t="s">
        <v>203</v>
      </c>
      <c r="L127" s="208" t="s">
        <v>218</v>
      </c>
    </row>
    <row r="128" spans="1:12" x14ac:dyDescent="0.25">
      <c r="A128" s="224" t="str">
        <f t="shared" si="4"/>
        <v>20032026-TK110-2</v>
      </c>
      <c r="B128" s="225">
        <v>46101</v>
      </c>
      <c r="C128" s="224" t="s">
        <v>276</v>
      </c>
      <c r="D128" s="224">
        <v>33581</v>
      </c>
      <c r="E128" s="224" t="s">
        <v>206</v>
      </c>
      <c r="F128" s="224"/>
      <c r="G128" s="227"/>
      <c r="H128" s="224"/>
      <c r="I128" s="228" t="s">
        <v>72</v>
      </c>
      <c r="J128" s="224">
        <v>500</v>
      </c>
      <c r="K128" s="228" t="s">
        <v>213</v>
      </c>
      <c r="L128" s="208" t="s">
        <v>218</v>
      </c>
    </row>
    <row r="129" spans="1:12" x14ac:dyDescent="0.25">
      <c r="A129" s="224" t="str">
        <f t="shared" ref="A129:A141" si="5">TEXT(DAY(B129),"00")&amp;TEXT(MONTH(B129),"00")&amp;YEAR(B129)&amp;"-"&amp;C129&amp;"-"&amp;LEFT(E129,SEARCH(" ",E129&amp;" ")-1)</f>
        <v>20032026-TK110-3</v>
      </c>
      <c r="B129" s="225">
        <v>46101</v>
      </c>
      <c r="C129" s="224" t="s">
        <v>276</v>
      </c>
      <c r="D129" s="224">
        <v>33581</v>
      </c>
      <c r="E129" s="224" t="s">
        <v>202</v>
      </c>
      <c r="F129" s="224"/>
      <c r="G129" s="227"/>
      <c r="H129" s="224"/>
      <c r="I129" s="228" t="s">
        <v>264</v>
      </c>
      <c r="J129" s="224">
        <v>500</v>
      </c>
      <c r="K129" s="228" t="s">
        <v>213</v>
      </c>
      <c r="L129" s="208" t="s">
        <v>218</v>
      </c>
    </row>
    <row r="130" spans="1:12" x14ac:dyDescent="0.25">
      <c r="A130" s="224" t="str">
        <f t="shared" si="5"/>
        <v>19032026-TK104-1</v>
      </c>
      <c r="B130" s="225">
        <v>46100</v>
      </c>
      <c r="C130" s="224" t="s">
        <v>278</v>
      </c>
      <c r="D130" s="224">
        <v>30281</v>
      </c>
      <c r="E130" s="224" t="s">
        <v>201</v>
      </c>
      <c r="F130" s="224"/>
      <c r="G130" s="227"/>
      <c r="H130" s="224">
        <v>250</v>
      </c>
      <c r="I130" s="228" t="s">
        <v>72</v>
      </c>
      <c r="J130" s="224">
        <v>250</v>
      </c>
      <c r="K130" s="228" t="s">
        <v>213</v>
      </c>
      <c r="L130" s="208" t="s">
        <v>218</v>
      </c>
    </row>
    <row r="131" spans="1:12" x14ac:dyDescent="0.25">
      <c r="A131" s="224" t="str">
        <f t="shared" si="5"/>
        <v>19032026-TK121-1</v>
      </c>
      <c r="B131" s="225">
        <v>46100</v>
      </c>
      <c r="C131" s="224" t="s">
        <v>211</v>
      </c>
      <c r="D131" s="224">
        <v>26003</v>
      </c>
      <c r="E131" s="224" t="s">
        <v>201</v>
      </c>
      <c r="F131" s="224"/>
      <c r="G131" s="227"/>
      <c r="H131" s="224">
        <v>500</v>
      </c>
      <c r="I131" s="228" t="s">
        <v>71</v>
      </c>
      <c r="J131" s="224">
        <v>2000</v>
      </c>
      <c r="K131" s="228" t="s">
        <v>203</v>
      </c>
      <c r="L131" s="208" t="s">
        <v>218</v>
      </c>
    </row>
    <row r="132" spans="1:12" x14ac:dyDescent="0.25">
      <c r="A132" s="224" t="str">
        <f t="shared" si="5"/>
        <v>19032026-TK121-2</v>
      </c>
      <c r="B132" s="225">
        <v>46100</v>
      </c>
      <c r="C132" s="224" t="s">
        <v>211</v>
      </c>
      <c r="D132" s="224">
        <v>26003</v>
      </c>
      <c r="E132" s="224" t="s">
        <v>206</v>
      </c>
      <c r="F132" s="224"/>
      <c r="G132" s="227"/>
      <c r="H132" s="224">
        <v>1022</v>
      </c>
      <c r="I132" s="228" t="s">
        <v>72</v>
      </c>
      <c r="J132" s="224">
        <v>2000</v>
      </c>
      <c r="K132" s="228" t="s">
        <v>203</v>
      </c>
      <c r="L132" s="208" t="s">
        <v>218</v>
      </c>
    </row>
    <row r="133" spans="1:12" x14ac:dyDescent="0.25">
      <c r="A133" s="224" t="str">
        <f t="shared" si="5"/>
        <v>19032026-TK121-3</v>
      </c>
      <c r="B133" s="225">
        <v>46100</v>
      </c>
      <c r="C133" s="224" t="s">
        <v>211</v>
      </c>
      <c r="D133" s="224">
        <v>26003</v>
      </c>
      <c r="E133" s="224" t="s">
        <v>202</v>
      </c>
      <c r="F133" s="224"/>
      <c r="G133" s="227"/>
      <c r="H133" s="224">
        <v>1929</v>
      </c>
      <c r="I133" s="228" t="s">
        <v>264</v>
      </c>
      <c r="J133" s="224">
        <v>2000</v>
      </c>
      <c r="K133" s="228" t="s">
        <v>213</v>
      </c>
      <c r="L133" s="208" t="s">
        <v>218</v>
      </c>
    </row>
    <row r="134" spans="1:12" x14ac:dyDescent="0.25">
      <c r="A134" s="224" t="str">
        <f t="shared" si="5"/>
        <v>22032026-CR001-1</v>
      </c>
      <c r="B134" s="225">
        <v>46103</v>
      </c>
      <c r="C134" s="224" t="s">
        <v>279</v>
      </c>
      <c r="D134" s="224">
        <v>13452</v>
      </c>
      <c r="E134" s="224" t="s">
        <v>201</v>
      </c>
      <c r="F134" s="224"/>
      <c r="G134" s="227"/>
      <c r="H134" s="224"/>
      <c r="I134" s="228" t="s">
        <v>71</v>
      </c>
      <c r="J134" s="224">
        <v>500</v>
      </c>
      <c r="K134" s="228" t="s">
        <v>203</v>
      </c>
      <c r="L134" s="208" t="s">
        <v>218</v>
      </c>
    </row>
    <row r="135" spans="1:12" x14ac:dyDescent="0.25">
      <c r="A135" s="224" t="str">
        <f t="shared" si="5"/>
        <v>22032026-CR001-3</v>
      </c>
      <c r="B135" s="225">
        <v>46103</v>
      </c>
      <c r="C135" s="224" t="s">
        <v>279</v>
      </c>
      <c r="D135" s="224">
        <v>13452</v>
      </c>
      <c r="E135" s="224" t="s">
        <v>202</v>
      </c>
      <c r="F135" s="224"/>
      <c r="G135" s="227"/>
      <c r="H135" s="224"/>
      <c r="I135" s="228" t="s">
        <v>264</v>
      </c>
      <c r="J135" s="224">
        <v>500</v>
      </c>
      <c r="K135" s="228" t="s">
        <v>213</v>
      </c>
      <c r="L135" s="208" t="s">
        <v>218</v>
      </c>
    </row>
    <row r="136" spans="1:12" x14ac:dyDescent="0.25">
      <c r="A136" s="224" t="str">
        <f t="shared" si="5"/>
        <v>24022026-EX015-1</v>
      </c>
      <c r="B136" s="225">
        <v>46077</v>
      </c>
      <c r="C136" s="224" t="s">
        <v>280</v>
      </c>
      <c r="D136" s="224">
        <v>4040</v>
      </c>
      <c r="E136" s="224" t="s">
        <v>201</v>
      </c>
      <c r="F136" s="224"/>
      <c r="G136" s="227"/>
      <c r="H136" s="224">
        <v>500</v>
      </c>
      <c r="I136" s="228" t="s">
        <v>71</v>
      </c>
      <c r="J136" s="224">
        <v>4000</v>
      </c>
      <c r="K136" s="228" t="s">
        <v>203</v>
      </c>
      <c r="L136" s="208" t="s">
        <v>218</v>
      </c>
    </row>
    <row r="137" spans="1:12" x14ac:dyDescent="0.25">
      <c r="A137" s="224" t="str">
        <f t="shared" si="5"/>
        <v>24022026-EX015-3</v>
      </c>
      <c r="B137" s="225">
        <v>46077</v>
      </c>
      <c r="C137" s="224" t="s">
        <v>280</v>
      </c>
      <c r="D137" s="224">
        <v>4040</v>
      </c>
      <c r="E137" s="224" t="s">
        <v>202</v>
      </c>
      <c r="F137" s="224"/>
      <c r="G137" s="227"/>
      <c r="H137" s="224">
        <v>4040</v>
      </c>
      <c r="I137" s="228" t="s">
        <v>264</v>
      </c>
      <c r="J137" s="224">
        <v>4000</v>
      </c>
      <c r="K137" s="228" t="s">
        <v>203</v>
      </c>
      <c r="L137" s="208" t="s">
        <v>218</v>
      </c>
    </row>
    <row r="138" spans="1:12" x14ac:dyDescent="0.25">
      <c r="A138" s="224" t="str">
        <f t="shared" si="5"/>
        <v>24022026-EX015-5</v>
      </c>
      <c r="B138" s="225">
        <v>46077</v>
      </c>
      <c r="C138" s="224" t="s">
        <v>280</v>
      </c>
      <c r="D138" s="224">
        <v>4040</v>
      </c>
      <c r="E138" s="224" t="s">
        <v>281</v>
      </c>
      <c r="F138" s="224"/>
      <c r="G138" s="227"/>
      <c r="H138" s="224">
        <v>4040</v>
      </c>
      <c r="I138" s="228" t="s">
        <v>72</v>
      </c>
      <c r="J138" s="224">
        <v>4000</v>
      </c>
      <c r="K138" s="228" t="s">
        <v>203</v>
      </c>
      <c r="L138" s="208" t="s">
        <v>218</v>
      </c>
    </row>
    <row r="139" spans="1:12" x14ac:dyDescent="0.25">
      <c r="A139" s="224" t="str">
        <f t="shared" si="5"/>
        <v>24022026-EX015-6A</v>
      </c>
      <c r="B139" s="225">
        <v>46077</v>
      </c>
      <c r="C139" s="224" t="s">
        <v>280</v>
      </c>
      <c r="D139" s="224">
        <v>4040</v>
      </c>
      <c r="E139" s="224" t="s">
        <v>282</v>
      </c>
      <c r="F139" s="224"/>
      <c r="G139" s="227"/>
      <c r="H139" s="224">
        <v>4040</v>
      </c>
      <c r="I139" s="228" t="s">
        <v>72</v>
      </c>
      <c r="J139" s="224">
        <v>4000</v>
      </c>
      <c r="K139" s="228" t="s">
        <v>203</v>
      </c>
      <c r="L139" s="208" t="s">
        <v>218</v>
      </c>
    </row>
    <row r="140" spans="1:12" x14ac:dyDescent="0.25">
      <c r="A140" s="224" t="str">
        <f t="shared" si="5"/>
        <v>24022026-EX015-6C</v>
      </c>
      <c r="B140" s="225">
        <v>46077</v>
      </c>
      <c r="C140" s="224" t="s">
        <v>280</v>
      </c>
      <c r="D140" s="224">
        <v>4040</v>
      </c>
      <c r="E140" s="224" t="s">
        <v>283</v>
      </c>
      <c r="F140" s="224"/>
      <c r="G140" s="227"/>
      <c r="H140" s="224">
        <v>4040</v>
      </c>
      <c r="I140" s="228" t="s">
        <v>72</v>
      </c>
      <c r="J140" s="224">
        <v>4000</v>
      </c>
      <c r="K140" s="228" t="s">
        <v>203</v>
      </c>
      <c r="L140" s="208" t="s">
        <v>218</v>
      </c>
    </row>
    <row r="141" spans="1:12" x14ac:dyDescent="0.25">
      <c r="A141" s="224" t="str">
        <f t="shared" si="5"/>
        <v>24022026-EX015-4AL</v>
      </c>
      <c r="B141" s="225">
        <v>46077</v>
      </c>
      <c r="C141" s="224" t="s">
        <v>280</v>
      </c>
      <c r="D141" s="224">
        <v>4040</v>
      </c>
      <c r="E141" s="224" t="s">
        <v>250</v>
      </c>
      <c r="F141" s="224"/>
      <c r="G141" s="227"/>
      <c r="H141" s="224">
        <v>4040</v>
      </c>
      <c r="I141" s="228" t="s">
        <v>72</v>
      </c>
      <c r="J141" s="224">
        <v>4000</v>
      </c>
      <c r="K141" s="228" t="s">
        <v>203</v>
      </c>
      <c r="L141" s="208" t="s">
        <v>218</v>
      </c>
    </row>
    <row r="142" spans="1:12" x14ac:dyDescent="0.25">
      <c r="A142" s="224" t="str">
        <f t="shared" ref="A142:A151" si="6">TEXT(DAY(B142),"00")&amp;TEXT(MONTH(B142),"00")&amp;YEAR(B142)&amp;"-"&amp;C142&amp;"-"&amp;LEFT(E142,SEARCH(" ",E142&amp;" ")-1)</f>
        <v>24022026-EX015-4AR</v>
      </c>
      <c r="B142" s="225">
        <v>46077</v>
      </c>
      <c r="C142" s="224" t="s">
        <v>280</v>
      </c>
      <c r="D142" s="224">
        <v>4040</v>
      </c>
      <c r="E142" s="224" t="s">
        <v>251</v>
      </c>
      <c r="F142" s="224"/>
      <c r="G142" s="227"/>
      <c r="H142" s="224">
        <v>4040</v>
      </c>
      <c r="I142" s="228" t="s">
        <v>72</v>
      </c>
      <c r="J142" s="224">
        <v>4000</v>
      </c>
      <c r="K142" s="228" t="s">
        <v>203</v>
      </c>
      <c r="L142" s="208" t="s">
        <v>218</v>
      </c>
    </row>
    <row r="143" spans="1:12" x14ac:dyDescent="0.25">
      <c r="A143" s="224" t="str">
        <f t="shared" si="6"/>
        <v>24022026-EX015-9</v>
      </c>
      <c r="B143" s="225">
        <v>46077</v>
      </c>
      <c r="C143" s="224" t="s">
        <v>280</v>
      </c>
      <c r="D143" s="224">
        <v>4040</v>
      </c>
      <c r="E143" s="224" t="s">
        <v>284</v>
      </c>
      <c r="F143" s="224"/>
      <c r="G143" s="227"/>
      <c r="H143" s="224">
        <v>4040</v>
      </c>
      <c r="I143" s="228" t="s">
        <v>285</v>
      </c>
      <c r="J143" s="224">
        <v>4000</v>
      </c>
      <c r="K143" s="228" t="s">
        <v>203</v>
      </c>
      <c r="L143" s="208" t="s">
        <v>218</v>
      </c>
    </row>
    <row r="144" spans="1:12" x14ac:dyDescent="0.25">
      <c r="A144" s="224" t="str">
        <f t="shared" si="6"/>
        <v>22032026-CR008-3</v>
      </c>
      <c r="B144" s="225">
        <v>46103</v>
      </c>
      <c r="C144" s="224" t="s">
        <v>286</v>
      </c>
      <c r="D144" s="224">
        <v>3723</v>
      </c>
      <c r="E144" s="224" t="s">
        <v>202</v>
      </c>
      <c r="F144" s="224"/>
      <c r="G144" s="227"/>
      <c r="H144" s="224"/>
      <c r="I144" s="228" t="s">
        <v>264</v>
      </c>
      <c r="J144" s="224">
        <v>500</v>
      </c>
      <c r="K144" s="228" t="s">
        <v>213</v>
      </c>
      <c r="L144" s="208" t="s">
        <v>218</v>
      </c>
    </row>
    <row r="145" spans="1:12" x14ac:dyDescent="0.25">
      <c r="A145" s="224" t="str">
        <f t="shared" si="6"/>
        <v>19032026-CR002-1</v>
      </c>
      <c r="B145" s="225">
        <v>46100</v>
      </c>
      <c r="C145" s="224" t="s">
        <v>267</v>
      </c>
      <c r="D145" s="224">
        <v>6997</v>
      </c>
      <c r="E145" s="224" t="s">
        <v>201</v>
      </c>
      <c r="F145" s="224"/>
      <c r="G145" s="227"/>
      <c r="H145" s="224">
        <v>500</v>
      </c>
      <c r="I145" s="228" t="s">
        <v>71</v>
      </c>
      <c r="J145" s="224">
        <v>1000</v>
      </c>
      <c r="K145" s="228" t="s">
        <v>203</v>
      </c>
      <c r="L145" s="208" t="s">
        <v>218</v>
      </c>
    </row>
    <row r="146" spans="1:12" x14ac:dyDescent="0.25">
      <c r="A146" s="224" t="str">
        <f t="shared" si="6"/>
        <v>19032026-CR002-3</v>
      </c>
      <c r="B146" s="225">
        <v>46100</v>
      </c>
      <c r="C146" s="224" t="s">
        <v>267</v>
      </c>
      <c r="D146" s="224">
        <v>6997</v>
      </c>
      <c r="E146" s="224" t="s">
        <v>202</v>
      </c>
      <c r="F146" s="224"/>
      <c r="G146" s="227"/>
      <c r="H146" s="224"/>
      <c r="I146" s="228" t="s">
        <v>264</v>
      </c>
      <c r="J146" s="224">
        <v>1000</v>
      </c>
      <c r="K146" s="228" t="s">
        <v>213</v>
      </c>
      <c r="L146" s="208" t="s">
        <v>218</v>
      </c>
    </row>
    <row r="147" spans="1:12" x14ac:dyDescent="0.25">
      <c r="A147" s="224" t="str">
        <f t="shared" si="6"/>
        <v>03032026-CR003-1</v>
      </c>
      <c r="B147" s="225">
        <v>46084</v>
      </c>
      <c r="C147" s="224" t="s">
        <v>268</v>
      </c>
      <c r="D147" s="224">
        <v>15468</v>
      </c>
      <c r="E147" s="224" t="s">
        <v>201</v>
      </c>
      <c r="F147" s="224"/>
      <c r="G147" s="227"/>
      <c r="H147" s="224">
        <v>500</v>
      </c>
      <c r="I147" s="228" t="s">
        <v>71</v>
      </c>
      <c r="J147" s="224">
        <v>500</v>
      </c>
      <c r="K147" s="228" t="s">
        <v>203</v>
      </c>
      <c r="L147" s="208" t="s">
        <v>218</v>
      </c>
    </row>
    <row r="148" spans="1:12" x14ac:dyDescent="0.25">
      <c r="A148" s="224" t="str">
        <f t="shared" si="6"/>
        <v>03032026-CR003-3</v>
      </c>
      <c r="B148" s="225">
        <v>46084</v>
      </c>
      <c r="C148" s="224" t="s">
        <v>268</v>
      </c>
      <c r="D148" s="224">
        <v>15468</v>
      </c>
      <c r="E148" s="224" t="s">
        <v>202</v>
      </c>
      <c r="F148" s="224"/>
      <c r="G148" s="227"/>
      <c r="H148" s="224"/>
      <c r="I148" s="228" t="s">
        <v>264</v>
      </c>
      <c r="J148" s="224">
        <v>500</v>
      </c>
      <c r="K148" s="228" t="s">
        <v>213</v>
      </c>
      <c r="L148" s="208" t="s">
        <v>218</v>
      </c>
    </row>
    <row r="149" spans="1:12" x14ac:dyDescent="0.25">
      <c r="A149" s="224" t="str">
        <f t="shared" si="6"/>
        <v>17032026-TK127-1</v>
      </c>
      <c r="B149" s="225">
        <v>46098</v>
      </c>
      <c r="C149" s="224" t="s">
        <v>287</v>
      </c>
      <c r="D149" s="224">
        <v>27977</v>
      </c>
      <c r="E149" s="224" t="s">
        <v>201</v>
      </c>
      <c r="F149" s="224"/>
      <c r="G149" s="227"/>
      <c r="H149" s="224">
        <v>500</v>
      </c>
      <c r="I149" s="228" t="s">
        <v>71</v>
      </c>
      <c r="J149" s="224">
        <v>4000</v>
      </c>
      <c r="K149" s="228" t="s">
        <v>203</v>
      </c>
      <c r="L149" s="208" t="s">
        <v>218</v>
      </c>
    </row>
    <row r="150" spans="1:12" x14ac:dyDescent="0.25">
      <c r="A150" s="224" t="str">
        <f t="shared" si="6"/>
        <v>17032026-TK127-2</v>
      </c>
      <c r="B150" s="225">
        <v>46098</v>
      </c>
      <c r="C150" s="224" t="s">
        <v>287</v>
      </c>
      <c r="D150" s="224">
        <v>27977</v>
      </c>
      <c r="E150" s="224" t="s">
        <v>206</v>
      </c>
      <c r="F150" s="224"/>
      <c r="G150" s="227"/>
      <c r="H150" s="224">
        <v>1000</v>
      </c>
      <c r="I150" s="228" t="s">
        <v>72</v>
      </c>
      <c r="J150" s="224">
        <v>4000</v>
      </c>
      <c r="K150" s="228" t="s">
        <v>203</v>
      </c>
      <c r="L150" s="208" t="s">
        <v>218</v>
      </c>
    </row>
    <row r="151" spans="1:12" x14ac:dyDescent="0.25">
      <c r="A151" s="224" t="str">
        <f t="shared" si="6"/>
        <v>17032026-TK127-3</v>
      </c>
      <c r="B151" s="225">
        <v>46098</v>
      </c>
      <c r="C151" s="224" t="s">
        <v>287</v>
      </c>
      <c r="D151" s="224">
        <v>27977</v>
      </c>
      <c r="E151" s="224" t="s">
        <v>202</v>
      </c>
      <c r="F151" s="224"/>
      <c r="G151" s="227"/>
      <c r="H151" s="224">
        <v>4000</v>
      </c>
      <c r="I151" s="228" t="s">
        <v>264</v>
      </c>
      <c r="J151" s="224">
        <v>4000</v>
      </c>
      <c r="K151" s="228" t="s">
        <v>203</v>
      </c>
      <c r="L151" s="208" t="s">
        <v>218</v>
      </c>
    </row>
    <row r="152" spans="1:12" x14ac:dyDescent="0.25">
      <c r="A152" s="224" t="str">
        <f t="shared" ref="A152:A175" si="7">TEXT(DAY(B152),"00")&amp;TEXT(MONTH(B152),"00")&amp;YEAR(B152)&amp;"-"&amp;C152&amp;"-"&amp;LEFT(E152,SEARCH(" ",E152&amp;" ")-1)</f>
        <v>15032026-TK115-1</v>
      </c>
      <c r="B152" s="225">
        <v>46096</v>
      </c>
      <c r="C152" s="224" t="s">
        <v>208</v>
      </c>
      <c r="D152" s="224">
        <v>37500</v>
      </c>
      <c r="E152" s="224" t="s">
        <v>201</v>
      </c>
      <c r="F152" s="224"/>
      <c r="G152" s="227"/>
      <c r="H152" s="224"/>
      <c r="I152" s="228" t="s">
        <v>71</v>
      </c>
      <c r="J152" s="224">
        <v>500</v>
      </c>
      <c r="K152" s="228" t="s">
        <v>203</v>
      </c>
      <c r="L152" s="208" t="s">
        <v>218</v>
      </c>
    </row>
    <row r="153" spans="1:12" x14ac:dyDescent="0.25">
      <c r="A153" s="224" t="str">
        <f t="shared" si="7"/>
        <v>15032026-TK115-2</v>
      </c>
      <c r="B153" s="225">
        <v>46096</v>
      </c>
      <c r="C153" s="224" t="s">
        <v>208</v>
      </c>
      <c r="D153" s="224">
        <v>37500</v>
      </c>
      <c r="E153" s="224" t="s">
        <v>206</v>
      </c>
      <c r="F153" s="224"/>
      <c r="G153" s="227"/>
      <c r="H153" s="224"/>
      <c r="I153" s="228" t="s">
        <v>72</v>
      </c>
      <c r="J153" s="224">
        <v>500</v>
      </c>
      <c r="K153" s="228" t="s">
        <v>213</v>
      </c>
      <c r="L153" s="208" t="s">
        <v>218</v>
      </c>
    </row>
    <row r="154" spans="1:12" x14ac:dyDescent="0.25">
      <c r="A154" s="224" t="str">
        <f t="shared" si="7"/>
        <v>15032026-TK115-3</v>
      </c>
      <c r="B154" s="225">
        <v>46096</v>
      </c>
      <c r="C154" s="224" t="s">
        <v>208</v>
      </c>
      <c r="D154" s="224">
        <v>37500</v>
      </c>
      <c r="E154" s="224" t="s">
        <v>202</v>
      </c>
      <c r="F154" s="224"/>
      <c r="G154" s="227"/>
      <c r="H154" s="224"/>
      <c r="I154" s="228" t="s">
        <v>264</v>
      </c>
      <c r="J154" s="224">
        <v>500</v>
      </c>
      <c r="K154" s="228" t="s">
        <v>213</v>
      </c>
      <c r="L154" s="208" t="s">
        <v>218</v>
      </c>
    </row>
    <row r="155" spans="1:12" x14ac:dyDescent="0.25">
      <c r="A155" s="224" t="str">
        <f t="shared" si="7"/>
        <v>14032026-TK112-1</v>
      </c>
      <c r="B155" s="225">
        <v>46095</v>
      </c>
      <c r="C155" s="224" t="s">
        <v>288</v>
      </c>
      <c r="D155" s="224">
        <v>33933</v>
      </c>
      <c r="E155" s="224" t="s">
        <v>201</v>
      </c>
      <c r="F155" s="224"/>
      <c r="G155" s="227"/>
      <c r="H155" s="224"/>
      <c r="I155" s="228" t="s">
        <v>71</v>
      </c>
      <c r="J155" s="224">
        <v>2000</v>
      </c>
      <c r="K155" s="228" t="s">
        <v>203</v>
      </c>
      <c r="L155" s="208" t="s">
        <v>218</v>
      </c>
    </row>
    <row r="156" spans="1:12" x14ac:dyDescent="0.25">
      <c r="A156" s="224" t="str">
        <f t="shared" si="7"/>
        <v>14032026-TK112-2</v>
      </c>
      <c r="B156" s="225">
        <v>46095</v>
      </c>
      <c r="C156" s="224" t="s">
        <v>288</v>
      </c>
      <c r="D156" s="224">
        <v>33933</v>
      </c>
      <c r="E156" s="224" t="s">
        <v>206</v>
      </c>
      <c r="F156" s="224"/>
      <c r="G156" s="227"/>
      <c r="H156" s="224"/>
      <c r="I156" s="228" t="s">
        <v>72</v>
      </c>
      <c r="J156" s="224">
        <v>2000</v>
      </c>
      <c r="K156" s="228" t="s">
        <v>203</v>
      </c>
      <c r="L156" s="208" t="s">
        <v>218</v>
      </c>
    </row>
    <row r="157" spans="1:12" x14ac:dyDescent="0.25">
      <c r="A157" s="224" t="str">
        <f t="shared" si="7"/>
        <v>14032026-TK112-3</v>
      </c>
      <c r="B157" s="225">
        <v>46095</v>
      </c>
      <c r="C157" s="224" t="s">
        <v>288</v>
      </c>
      <c r="D157" s="224">
        <v>33933</v>
      </c>
      <c r="E157" s="224" t="s">
        <v>202</v>
      </c>
      <c r="F157" s="224"/>
      <c r="G157" s="227"/>
      <c r="H157" s="224"/>
      <c r="I157" s="228" t="s">
        <v>264</v>
      </c>
      <c r="J157" s="224">
        <v>2000</v>
      </c>
      <c r="K157" s="228" t="s">
        <v>213</v>
      </c>
      <c r="L157" s="208" t="s">
        <v>218</v>
      </c>
    </row>
    <row r="158" spans="1:12" x14ac:dyDescent="0.25">
      <c r="A158" s="224" t="str">
        <f t="shared" si="7"/>
        <v>16032026-TK114-1</v>
      </c>
      <c r="B158" s="225">
        <v>46097</v>
      </c>
      <c r="C158" s="224" t="s">
        <v>205</v>
      </c>
      <c r="D158" s="224">
        <v>31989</v>
      </c>
      <c r="E158" s="224" t="s">
        <v>201</v>
      </c>
      <c r="F158" s="224"/>
      <c r="G158" s="227"/>
      <c r="H158" s="224"/>
      <c r="I158" s="228" t="s">
        <v>71</v>
      </c>
      <c r="J158" s="224">
        <v>8000</v>
      </c>
      <c r="K158" s="228" t="s">
        <v>203</v>
      </c>
      <c r="L158" s="208" t="s">
        <v>218</v>
      </c>
    </row>
    <row r="159" spans="1:12" x14ac:dyDescent="0.25">
      <c r="A159" s="224" t="str">
        <f t="shared" si="7"/>
        <v>16032026-TK114-2</v>
      </c>
      <c r="B159" s="225">
        <v>46097</v>
      </c>
      <c r="C159" s="224" t="s">
        <v>205</v>
      </c>
      <c r="D159" s="224">
        <v>31989</v>
      </c>
      <c r="E159" s="224" t="s">
        <v>206</v>
      </c>
      <c r="F159" s="224"/>
      <c r="G159" s="227"/>
      <c r="H159" s="224"/>
      <c r="I159" s="228" t="s">
        <v>72</v>
      </c>
      <c r="J159" s="224">
        <v>8000</v>
      </c>
      <c r="K159" s="228" t="s">
        <v>203</v>
      </c>
      <c r="L159" s="208" t="s">
        <v>218</v>
      </c>
    </row>
    <row r="160" spans="1:12" x14ac:dyDescent="0.25">
      <c r="A160" s="224" t="str">
        <f t="shared" si="7"/>
        <v>16032026-TK114-3</v>
      </c>
      <c r="B160" s="225">
        <v>46097</v>
      </c>
      <c r="C160" s="224" t="s">
        <v>205</v>
      </c>
      <c r="D160" s="224">
        <v>31989</v>
      </c>
      <c r="E160" s="224" t="s">
        <v>202</v>
      </c>
      <c r="F160" s="224"/>
      <c r="G160" s="227"/>
      <c r="H160" s="224"/>
      <c r="I160" s="228" t="s">
        <v>264</v>
      </c>
      <c r="J160" s="224">
        <v>8000</v>
      </c>
      <c r="K160" s="228" t="s">
        <v>203</v>
      </c>
      <c r="L160" s="208" t="s">
        <v>218</v>
      </c>
    </row>
    <row r="161" spans="1:12" x14ac:dyDescent="0.25">
      <c r="A161" s="224" t="str">
        <f t="shared" si="7"/>
        <v>12032026-TK123-1</v>
      </c>
      <c r="B161" s="225">
        <v>46093</v>
      </c>
      <c r="C161" s="224" t="s">
        <v>289</v>
      </c>
      <c r="D161" s="224">
        <v>27507</v>
      </c>
      <c r="E161" s="224" t="s">
        <v>201</v>
      </c>
      <c r="F161" s="224"/>
      <c r="G161" s="227"/>
      <c r="H161" s="224"/>
      <c r="I161" s="228" t="s">
        <v>71</v>
      </c>
      <c r="J161" s="224">
        <v>500</v>
      </c>
      <c r="K161" s="228" t="s">
        <v>203</v>
      </c>
      <c r="L161" s="208" t="s">
        <v>218</v>
      </c>
    </row>
    <row r="162" spans="1:12" x14ac:dyDescent="0.25">
      <c r="A162" s="224" t="str">
        <f t="shared" si="7"/>
        <v>12032026-TK123-2</v>
      </c>
      <c r="B162" s="225">
        <v>46093</v>
      </c>
      <c r="C162" s="224" t="s">
        <v>289</v>
      </c>
      <c r="D162" s="224">
        <v>27507</v>
      </c>
      <c r="E162" s="224" t="s">
        <v>206</v>
      </c>
      <c r="F162" s="224"/>
      <c r="G162" s="227"/>
      <c r="H162" s="224"/>
      <c r="I162" s="228" t="s">
        <v>72</v>
      </c>
      <c r="J162" s="224">
        <v>500</v>
      </c>
      <c r="K162" s="228" t="s">
        <v>213</v>
      </c>
      <c r="L162" s="208" t="s">
        <v>218</v>
      </c>
    </row>
    <row r="163" spans="1:12" x14ac:dyDescent="0.25">
      <c r="A163" s="224" t="str">
        <f t="shared" si="7"/>
        <v>12032026-TK123-3</v>
      </c>
      <c r="B163" s="225">
        <v>46093</v>
      </c>
      <c r="C163" s="224" t="s">
        <v>289</v>
      </c>
      <c r="D163" s="224">
        <v>27507</v>
      </c>
      <c r="E163" s="224" t="s">
        <v>202</v>
      </c>
      <c r="F163" s="224"/>
      <c r="G163" s="227"/>
      <c r="H163" s="224"/>
      <c r="I163" s="228" t="s">
        <v>264</v>
      </c>
      <c r="J163" s="224">
        <v>500</v>
      </c>
      <c r="K163" s="228" t="s">
        <v>213</v>
      </c>
      <c r="L163" s="208" t="s">
        <v>218</v>
      </c>
    </row>
    <row r="164" spans="1:12" x14ac:dyDescent="0.25">
      <c r="A164" s="224" t="str">
        <f t="shared" si="7"/>
        <v>12032026-TK119-1</v>
      </c>
      <c r="B164" s="225">
        <v>46093</v>
      </c>
      <c r="C164" s="224" t="s">
        <v>290</v>
      </c>
      <c r="D164" s="224">
        <v>24563</v>
      </c>
      <c r="E164" s="224" t="s">
        <v>201</v>
      </c>
      <c r="F164" s="224"/>
      <c r="G164" s="227"/>
      <c r="H164" s="224"/>
      <c r="I164" s="228" t="s">
        <v>71</v>
      </c>
      <c r="J164" s="224">
        <v>500</v>
      </c>
      <c r="K164" s="228" t="s">
        <v>203</v>
      </c>
      <c r="L164" s="208" t="s">
        <v>218</v>
      </c>
    </row>
    <row r="165" spans="1:12" x14ac:dyDescent="0.25">
      <c r="A165" s="224" t="str">
        <f t="shared" si="7"/>
        <v>12032026-TK119-2</v>
      </c>
      <c r="B165" s="225">
        <v>46093</v>
      </c>
      <c r="C165" s="224" t="s">
        <v>290</v>
      </c>
      <c r="D165" s="224">
        <v>24563</v>
      </c>
      <c r="E165" s="224" t="s">
        <v>206</v>
      </c>
      <c r="F165" s="224"/>
      <c r="G165" s="227"/>
      <c r="H165" s="224"/>
      <c r="I165" s="228" t="s">
        <v>72</v>
      </c>
      <c r="J165" s="224">
        <v>500</v>
      </c>
      <c r="K165" s="228" t="s">
        <v>213</v>
      </c>
      <c r="L165" s="208" t="s">
        <v>218</v>
      </c>
    </row>
    <row r="166" spans="1:12" x14ac:dyDescent="0.25">
      <c r="A166" s="224" t="str">
        <f t="shared" si="7"/>
        <v>12032026-TK119-3</v>
      </c>
      <c r="B166" s="225">
        <v>46093</v>
      </c>
      <c r="C166" s="224" t="s">
        <v>290</v>
      </c>
      <c r="D166" s="224">
        <v>24563</v>
      </c>
      <c r="E166" s="224" t="s">
        <v>202</v>
      </c>
      <c r="F166" s="224"/>
      <c r="G166" s="227"/>
      <c r="H166" s="224"/>
      <c r="I166" s="228" t="s">
        <v>264</v>
      </c>
      <c r="J166" s="224">
        <v>500</v>
      </c>
      <c r="K166" s="228" t="s">
        <v>213</v>
      </c>
      <c r="L166" s="208" t="s">
        <v>218</v>
      </c>
    </row>
    <row r="167" spans="1:12" x14ac:dyDescent="0.25">
      <c r="A167" s="224" t="str">
        <f t="shared" si="7"/>
        <v>15032026-TK105-1</v>
      </c>
      <c r="B167" s="225">
        <v>46096</v>
      </c>
      <c r="C167" s="224" t="s">
        <v>291</v>
      </c>
      <c r="D167" s="224">
        <v>30963</v>
      </c>
      <c r="E167" s="224" t="s">
        <v>201</v>
      </c>
      <c r="F167" s="224"/>
      <c r="G167" s="227"/>
      <c r="H167" s="224"/>
      <c r="I167" s="228" t="s">
        <v>71</v>
      </c>
      <c r="J167" s="224">
        <v>1000</v>
      </c>
      <c r="K167" s="228" t="s">
        <v>203</v>
      </c>
      <c r="L167" s="208" t="s">
        <v>218</v>
      </c>
    </row>
    <row r="168" spans="1:12" x14ac:dyDescent="0.25">
      <c r="A168" s="224" t="str">
        <f t="shared" si="7"/>
        <v>15032026-TK105-2</v>
      </c>
      <c r="B168" s="225">
        <v>46096</v>
      </c>
      <c r="C168" s="224" t="s">
        <v>291</v>
      </c>
      <c r="D168" s="224">
        <v>30963</v>
      </c>
      <c r="E168" s="224" t="s">
        <v>206</v>
      </c>
      <c r="F168" s="224"/>
      <c r="G168" s="227"/>
      <c r="H168" s="224"/>
      <c r="I168" s="228" t="s">
        <v>72</v>
      </c>
      <c r="J168" s="224">
        <v>1000</v>
      </c>
      <c r="K168" s="228" t="s">
        <v>203</v>
      </c>
      <c r="L168" s="208" t="s">
        <v>218</v>
      </c>
    </row>
    <row r="169" spans="1:12" x14ac:dyDescent="0.25">
      <c r="A169" s="224" t="str">
        <f t="shared" si="7"/>
        <v>15032026-TK105-3</v>
      </c>
      <c r="B169" s="225">
        <v>46096</v>
      </c>
      <c r="C169" s="224" t="s">
        <v>291</v>
      </c>
      <c r="D169" s="224">
        <v>30963</v>
      </c>
      <c r="E169" s="224" t="s">
        <v>202</v>
      </c>
      <c r="F169" s="224"/>
      <c r="G169" s="227"/>
      <c r="H169" s="224"/>
      <c r="I169" s="228" t="s">
        <v>264</v>
      </c>
      <c r="J169" s="224">
        <v>1000</v>
      </c>
      <c r="K169" s="228" t="s">
        <v>213</v>
      </c>
      <c r="L169" s="208" t="s">
        <v>218</v>
      </c>
    </row>
    <row r="170" spans="1:12" x14ac:dyDescent="0.25">
      <c r="A170" s="224" t="str">
        <f t="shared" si="7"/>
        <v>16032026-GR012-1</v>
      </c>
      <c r="B170" s="225">
        <v>46097</v>
      </c>
      <c r="C170" s="224" t="s">
        <v>231</v>
      </c>
      <c r="D170" s="224">
        <v>23496</v>
      </c>
      <c r="E170" s="224" t="s">
        <v>201</v>
      </c>
      <c r="F170" s="224"/>
      <c r="G170" s="227"/>
      <c r="H170" s="224"/>
      <c r="I170" s="228" t="s">
        <v>71</v>
      </c>
      <c r="J170" s="224">
        <v>500</v>
      </c>
      <c r="K170" s="228" t="s">
        <v>203</v>
      </c>
      <c r="L170" s="208" t="s">
        <v>218</v>
      </c>
    </row>
    <row r="171" spans="1:12" x14ac:dyDescent="0.25">
      <c r="A171" s="224" t="str">
        <f t="shared" si="7"/>
        <v>16032026-GR012-2</v>
      </c>
      <c r="B171" s="225">
        <v>46097</v>
      </c>
      <c r="C171" s="224" t="s">
        <v>231</v>
      </c>
      <c r="D171" s="224">
        <v>23496</v>
      </c>
      <c r="E171" s="224" t="s">
        <v>206</v>
      </c>
      <c r="F171" s="224"/>
      <c r="G171" s="227"/>
      <c r="H171" s="224"/>
      <c r="I171" s="228" t="s">
        <v>72</v>
      </c>
      <c r="J171" s="224">
        <v>500</v>
      </c>
      <c r="K171" s="228" t="s">
        <v>213</v>
      </c>
      <c r="L171" s="208" t="s">
        <v>218</v>
      </c>
    </row>
    <row r="172" spans="1:12" x14ac:dyDescent="0.25">
      <c r="A172" s="224" t="str">
        <f t="shared" si="7"/>
        <v>16032026-GR012-3</v>
      </c>
      <c r="B172" s="225">
        <v>46097</v>
      </c>
      <c r="C172" s="224" t="s">
        <v>231</v>
      </c>
      <c r="D172" s="224">
        <v>23496</v>
      </c>
      <c r="E172" s="224" t="s">
        <v>202</v>
      </c>
      <c r="F172" s="224"/>
      <c r="G172" s="227"/>
      <c r="H172" s="224"/>
      <c r="I172" s="228" t="s">
        <v>264</v>
      </c>
      <c r="J172" s="224">
        <v>500</v>
      </c>
      <c r="K172" s="228" t="s">
        <v>213</v>
      </c>
      <c r="L172" s="208" t="s">
        <v>218</v>
      </c>
    </row>
    <row r="173" spans="1:12" x14ac:dyDescent="0.25">
      <c r="A173" s="224" t="str">
        <f t="shared" si="7"/>
        <v>08032026-TK104-1</v>
      </c>
      <c r="B173" s="225">
        <v>46089</v>
      </c>
      <c r="C173" s="224" t="s">
        <v>278</v>
      </c>
      <c r="D173" s="224">
        <v>30024</v>
      </c>
      <c r="E173" s="224" t="s">
        <v>201</v>
      </c>
      <c r="F173" s="224"/>
      <c r="G173" s="227"/>
      <c r="H173" s="224"/>
      <c r="I173" s="228" t="s">
        <v>71</v>
      </c>
      <c r="J173" s="224">
        <v>2000</v>
      </c>
      <c r="K173" s="228" t="s">
        <v>203</v>
      </c>
      <c r="L173" s="208" t="s">
        <v>218</v>
      </c>
    </row>
    <row r="174" spans="1:12" x14ac:dyDescent="0.25">
      <c r="A174" s="224" t="str">
        <f t="shared" si="7"/>
        <v>08032026-TK104-2</v>
      </c>
      <c r="B174" s="225">
        <v>46089</v>
      </c>
      <c r="C174" s="224" t="s">
        <v>278</v>
      </c>
      <c r="D174" s="224">
        <v>30024</v>
      </c>
      <c r="E174" s="224" t="s">
        <v>206</v>
      </c>
      <c r="F174" s="224"/>
      <c r="G174" s="227"/>
      <c r="H174" s="224"/>
      <c r="I174" s="228" t="s">
        <v>72</v>
      </c>
      <c r="J174" s="224">
        <v>2000</v>
      </c>
      <c r="K174" s="228" t="s">
        <v>203</v>
      </c>
      <c r="L174" s="208" t="s">
        <v>218</v>
      </c>
    </row>
    <row r="175" spans="1:12" x14ac:dyDescent="0.25">
      <c r="A175" s="224" t="str">
        <f t="shared" si="7"/>
        <v>08032026-TK104-3</v>
      </c>
      <c r="B175" s="225">
        <v>46089</v>
      </c>
      <c r="C175" s="224" t="s">
        <v>278</v>
      </c>
      <c r="D175" s="224">
        <v>30024</v>
      </c>
      <c r="E175" s="224" t="s">
        <v>202</v>
      </c>
      <c r="F175" s="224"/>
      <c r="G175" s="227"/>
      <c r="H175" s="224"/>
      <c r="I175" s="228" t="s">
        <v>264</v>
      </c>
      <c r="J175" s="224">
        <v>2000</v>
      </c>
      <c r="K175" s="228" t="s">
        <v>213</v>
      </c>
      <c r="L175" s="208" t="s">
        <v>218</v>
      </c>
    </row>
    <row r="176" spans="1:12" x14ac:dyDescent="0.25">
      <c r="A176" s="224" t="str">
        <f t="shared" ref="A176:A239" si="8">TEXT(DAY(B176),"00")&amp;TEXT(MONTH(B176),"00")&amp;YEAR(B176)&amp;"-"&amp;C176&amp;"-"&amp;LEFT(E176,SEARCH(" ",E176&amp;" ")-1)</f>
        <v>09032026-DZ010-1</v>
      </c>
      <c r="B176" s="225">
        <v>46090</v>
      </c>
      <c r="C176" s="224" t="s">
        <v>292</v>
      </c>
      <c r="D176" s="224">
        <v>22020</v>
      </c>
      <c r="E176" s="224" t="s">
        <v>201</v>
      </c>
      <c r="F176" s="224"/>
      <c r="G176" s="227"/>
      <c r="H176" s="224"/>
      <c r="I176" s="228" t="s">
        <v>71</v>
      </c>
      <c r="J176" s="224">
        <v>2000</v>
      </c>
      <c r="K176" s="228" t="s">
        <v>203</v>
      </c>
      <c r="L176" s="208" t="s">
        <v>218</v>
      </c>
    </row>
    <row r="177" spans="1:12" x14ac:dyDescent="0.25">
      <c r="A177" s="224" t="str">
        <f t="shared" si="8"/>
        <v>09032026-DZ010-2</v>
      </c>
      <c r="B177" s="225">
        <v>46090</v>
      </c>
      <c r="C177" s="224" t="s">
        <v>292</v>
      </c>
      <c r="D177" s="224">
        <v>22020</v>
      </c>
      <c r="E177" s="224" t="s">
        <v>206</v>
      </c>
      <c r="F177" s="224"/>
      <c r="G177" s="227"/>
      <c r="H177" s="224"/>
      <c r="I177" s="228" t="s">
        <v>72</v>
      </c>
      <c r="J177" s="224">
        <v>2000</v>
      </c>
      <c r="K177" s="228" t="s">
        <v>203</v>
      </c>
      <c r="L177" s="208" t="s">
        <v>218</v>
      </c>
    </row>
    <row r="178" spans="1:12" x14ac:dyDescent="0.25">
      <c r="A178" s="224" t="str">
        <f t="shared" si="8"/>
        <v>09032026-DZ010-3</v>
      </c>
      <c r="B178" s="225">
        <v>46090</v>
      </c>
      <c r="C178" s="224" t="s">
        <v>292</v>
      </c>
      <c r="D178" s="224">
        <v>22020</v>
      </c>
      <c r="E178" s="224" t="s">
        <v>202</v>
      </c>
      <c r="F178" s="224"/>
      <c r="G178" s="227"/>
      <c r="H178" s="224"/>
      <c r="I178" s="228" t="s">
        <v>264</v>
      </c>
      <c r="J178" s="224">
        <v>2000</v>
      </c>
      <c r="K178" s="228" t="s">
        <v>213</v>
      </c>
      <c r="L178" s="208" t="s">
        <v>218</v>
      </c>
    </row>
    <row r="179" spans="1:12" x14ac:dyDescent="0.25">
      <c r="A179" s="224" t="str">
        <f t="shared" si="8"/>
        <v>10032026-DZ020-1</v>
      </c>
      <c r="B179" s="225">
        <v>46091</v>
      </c>
      <c r="C179" s="224" t="s">
        <v>232</v>
      </c>
      <c r="D179" s="224">
        <v>5293</v>
      </c>
      <c r="E179" s="224" t="s">
        <v>201</v>
      </c>
      <c r="F179" s="224"/>
      <c r="G179" s="227"/>
      <c r="H179" s="224"/>
      <c r="I179" s="228" t="s">
        <v>71</v>
      </c>
      <c r="J179" s="224">
        <v>1000</v>
      </c>
      <c r="K179" s="228" t="s">
        <v>203</v>
      </c>
      <c r="L179" s="208" t="s">
        <v>218</v>
      </c>
    </row>
    <row r="180" spans="1:12" x14ac:dyDescent="0.25">
      <c r="A180" s="224" t="str">
        <f t="shared" si="8"/>
        <v>10032026-DZ020-2</v>
      </c>
      <c r="B180" s="225">
        <v>46091</v>
      </c>
      <c r="C180" s="224" t="s">
        <v>232</v>
      </c>
      <c r="D180" s="224">
        <v>5293</v>
      </c>
      <c r="E180" s="224" t="s">
        <v>206</v>
      </c>
      <c r="F180" s="224"/>
      <c r="G180" s="227"/>
      <c r="H180" s="224"/>
      <c r="I180" s="228" t="s">
        <v>72</v>
      </c>
      <c r="J180" s="224">
        <v>1000</v>
      </c>
      <c r="K180" s="228" t="s">
        <v>203</v>
      </c>
      <c r="L180" s="208" t="s">
        <v>218</v>
      </c>
    </row>
    <row r="181" spans="1:12" x14ac:dyDescent="0.25">
      <c r="A181" s="224" t="str">
        <f t="shared" si="8"/>
        <v>10032026-DZ020-3</v>
      </c>
      <c r="B181" s="225">
        <v>46091</v>
      </c>
      <c r="C181" s="224" t="s">
        <v>232</v>
      </c>
      <c r="D181" s="224">
        <v>5293</v>
      </c>
      <c r="E181" s="224" t="s">
        <v>202</v>
      </c>
      <c r="F181" s="224"/>
      <c r="G181" s="227"/>
      <c r="H181" s="224"/>
      <c r="I181" s="228" t="s">
        <v>264</v>
      </c>
      <c r="J181" s="224">
        <v>1000</v>
      </c>
      <c r="K181" s="228" t="s">
        <v>213</v>
      </c>
      <c r="L181" s="208" t="s">
        <v>218</v>
      </c>
    </row>
    <row r="182" spans="1:12" x14ac:dyDescent="0.25">
      <c r="A182" s="224" t="str">
        <f t="shared" si="8"/>
        <v>11032026-TK113-1</v>
      </c>
      <c r="B182" s="225">
        <v>46092</v>
      </c>
      <c r="C182" s="224" t="s">
        <v>260</v>
      </c>
      <c r="D182" s="224">
        <v>34996</v>
      </c>
      <c r="E182" s="224" t="s">
        <v>201</v>
      </c>
      <c r="F182" s="224"/>
      <c r="G182" s="227"/>
      <c r="H182" s="224"/>
      <c r="I182" s="228" t="s">
        <v>71</v>
      </c>
      <c r="J182" s="224">
        <v>1000</v>
      </c>
      <c r="K182" s="228" t="s">
        <v>203</v>
      </c>
      <c r="L182" s="208" t="s">
        <v>218</v>
      </c>
    </row>
    <row r="183" spans="1:12" x14ac:dyDescent="0.25">
      <c r="A183" s="224" t="str">
        <f t="shared" si="8"/>
        <v>11032026-TK113-2</v>
      </c>
      <c r="B183" s="225">
        <v>46092</v>
      </c>
      <c r="C183" s="224" t="s">
        <v>260</v>
      </c>
      <c r="D183" s="224">
        <v>34996</v>
      </c>
      <c r="E183" s="224" t="s">
        <v>206</v>
      </c>
      <c r="F183" s="224"/>
      <c r="G183" s="227"/>
      <c r="H183" s="224"/>
      <c r="I183" s="228" t="s">
        <v>72</v>
      </c>
      <c r="J183" s="224">
        <v>1000</v>
      </c>
      <c r="K183" s="228" t="s">
        <v>203</v>
      </c>
      <c r="L183" s="208" t="s">
        <v>218</v>
      </c>
    </row>
    <row r="184" spans="1:12" x14ac:dyDescent="0.25">
      <c r="A184" s="224" t="str">
        <f t="shared" si="8"/>
        <v>11032026-TK113-3</v>
      </c>
      <c r="B184" s="225">
        <v>46092</v>
      </c>
      <c r="C184" s="224" t="s">
        <v>260</v>
      </c>
      <c r="D184" s="224">
        <v>34996</v>
      </c>
      <c r="E184" s="224" t="s">
        <v>202</v>
      </c>
      <c r="F184" s="224"/>
      <c r="G184" s="227"/>
      <c r="H184" s="224"/>
      <c r="I184" s="228" t="s">
        <v>264</v>
      </c>
      <c r="J184" s="224">
        <v>1000</v>
      </c>
      <c r="K184" s="228" t="s">
        <v>213</v>
      </c>
      <c r="L184" s="208" t="s">
        <v>218</v>
      </c>
    </row>
    <row r="185" spans="1:12" x14ac:dyDescent="0.25">
      <c r="A185" s="224" t="str">
        <f t="shared" si="8"/>
        <v>09032026-DR007-1.1</v>
      </c>
      <c r="B185" s="225">
        <v>46090</v>
      </c>
      <c r="C185" s="224" t="s">
        <v>293</v>
      </c>
      <c r="D185" s="224">
        <v>3634</v>
      </c>
      <c r="E185" s="224" t="s">
        <v>294</v>
      </c>
      <c r="F185" s="224"/>
      <c r="G185" s="227"/>
      <c r="H185" s="224"/>
      <c r="I185" s="228" t="s">
        <v>71</v>
      </c>
      <c r="J185" s="224">
        <v>500</v>
      </c>
      <c r="K185" s="228" t="s">
        <v>203</v>
      </c>
      <c r="L185" s="208" t="s">
        <v>218</v>
      </c>
    </row>
    <row r="186" spans="1:12" x14ac:dyDescent="0.25">
      <c r="A186" s="224" t="str">
        <f t="shared" si="8"/>
        <v>09032026-DR007-1.2</v>
      </c>
      <c r="B186" s="225">
        <v>46090</v>
      </c>
      <c r="C186" s="224" t="s">
        <v>293</v>
      </c>
      <c r="D186" s="224">
        <v>3634</v>
      </c>
      <c r="E186" s="224" t="s">
        <v>295</v>
      </c>
      <c r="F186" s="224"/>
      <c r="G186" s="227"/>
      <c r="H186" s="224"/>
      <c r="I186" s="228" t="s">
        <v>71</v>
      </c>
      <c r="J186" s="224">
        <v>500</v>
      </c>
      <c r="K186" s="228" t="s">
        <v>203</v>
      </c>
      <c r="L186" s="208" t="s">
        <v>218</v>
      </c>
    </row>
    <row r="187" spans="1:12" x14ac:dyDescent="0.25">
      <c r="A187" s="224" t="str">
        <f t="shared" si="8"/>
        <v>22032026-DZ004-1</v>
      </c>
      <c r="B187" s="225">
        <v>46103</v>
      </c>
      <c r="C187" s="224" t="s">
        <v>258</v>
      </c>
      <c r="D187" s="224">
        <v>23921</v>
      </c>
      <c r="E187" s="224" t="s">
        <v>201</v>
      </c>
      <c r="F187" s="224"/>
      <c r="G187" s="227"/>
      <c r="H187" s="224"/>
      <c r="I187" s="228" t="s">
        <v>71</v>
      </c>
      <c r="J187" s="224">
        <v>8000</v>
      </c>
      <c r="K187" s="228" t="s">
        <v>203</v>
      </c>
      <c r="L187" s="208" t="s">
        <v>218</v>
      </c>
    </row>
    <row r="188" spans="1:12" x14ac:dyDescent="0.25">
      <c r="A188" s="224" t="str">
        <f t="shared" si="8"/>
        <v>22032026-DZ004-2</v>
      </c>
      <c r="B188" s="225">
        <v>46103</v>
      </c>
      <c r="C188" s="224" t="s">
        <v>258</v>
      </c>
      <c r="D188" s="224">
        <v>23921</v>
      </c>
      <c r="E188" s="224" t="s">
        <v>206</v>
      </c>
      <c r="F188" s="224"/>
      <c r="G188" s="227"/>
      <c r="H188" s="224"/>
      <c r="I188" s="228" t="s">
        <v>72</v>
      </c>
      <c r="J188" s="224">
        <v>8000</v>
      </c>
      <c r="K188" s="228" t="s">
        <v>203</v>
      </c>
      <c r="L188" s="208" t="s">
        <v>218</v>
      </c>
    </row>
    <row r="189" spans="1:12" x14ac:dyDescent="0.25">
      <c r="A189" s="224" t="str">
        <f t="shared" si="8"/>
        <v>22032026-DZ004-3</v>
      </c>
      <c r="B189" s="225">
        <v>46103</v>
      </c>
      <c r="C189" s="224" t="s">
        <v>258</v>
      </c>
      <c r="D189" s="224">
        <v>23921</v>
      </c>
      <c r="E189" s="224" t="s">
        <v>202</v>
      </c>
      <c r="F189" s="224"/>
      <c r="G189" s="227"/>
      <c r="H189" s="224"/>
      <c r="I189" s="228" t="s">
        <v>264</v>
      </c>
      <c r="J189" s="224">
        <v>8000</v>
      </c>
      <c r="K189" s="228" t="s">
        <v>203</v>
      </c>
      <c r="L189" s="208" t="s">
        <v>218</v>
      </c>
    </row>
    <row r="190" spans="1:12" x14ac:dyDescent="0.25">
      <c r="A190" s="224" t="str">
        <f t="shared" si="8"/>
        <v>23032026-GR009-1</v>
      </c>
      <c r="B190" s="225">
        <v>46104</v>
      </c>
      <c r="C190" s="224" t="s">
        <v>296</v>
      </c>
      <c r="D190" s="224">
        <v>21373</v>
      </c>
      <c r="E190" s="224" t="s">
        <v>201</v>
      </c>
      <c r="F190" s="224"/>
      <c r="G190" s="227"/>
      <c r="H190" s="224"/>
      <c r="I190" s="228" t="s">
        <v>71</v>
      </c>
      <c r="J190" s="224">
        <v>250</v>
      </c>
      <c r="K190" s="228" t="s">
        <v>203</v>
      </c>
      <c r="L190" s="208" t="s">
        <v>218</v>
      </c>
    </row>
    <row r="191" spans="1:12" x14ac:dyDescent="0.25">
      <c r="A191" s="224" t="str">
        <f t="shared" si="8"/>
        <v>26032026-GR013-1</v>
      </c>
      <c r="B191" s="225">
        <v>46107</v>
      </c>
      <c r="C191" s="224" t="s">
        <v>297</v>
      </c>
      <c r="D191" s="224">
        <v>3993</v>
      </c>
      <c r="E191" s="224" t="s">
        <v>201</v>
      </c>
      <c r="F191" s="224"/>
      <c r="G191" s="227"/>
      <c r="H191" s="224"/>
      <c r="I191" s="228" t="s">
        <v>71</v>
      </c>
      <c r="J191" s="224">
        <v>4000</v>
      </c>
      <c r="K191" s="228" t="s">
        <v>203</v>
      </c>
      <c r="L191" s="208" t="s">
        <v>218</v>
      </c>
    </row>
    <row r="192" spans="1:12" x14ac:dyDescent="0.25">
      <c r="A192" s="224" t="str">
        <f t="shared" si="8"/>
        <v>26032026-GR013-2</v>
      </c>
      <c r="B192" s="225">
        <v>46107</v>
      </c>
      <c r="C192" s="224" t="s">
        <v>297</v>
      </c>
      <c r="D192" s="224">
        <v>3993</v>
      </c>
      <c r="E192" s="224" t="s">
        <v>206</v>
      </c>
      <c r="F192" s="224"/>
      <c r="G192" s="227"/>
      <c r="H192" s="224"/>
      <c r="I192" s="228" t="s">
        <v>72</v>
      </c>
      <c r="J192" s="224">
        <v>4000</v>
      </c>
      <c r="K192" s="228" t="s">
        <v>203</v>
      </c>
      <c r="L192" s="208" t="s">
        <v>218</v>
      </c>
    </row>
    <row r="193" spans="1:12" x14ac:dyDescent="0.25">
      <c r="A193" s="224" t="str">
        <f t="shared" si="8"/>
        <v>26032026-GR013-3</v>
      </c>
      <c r="B193" s="225">
        <v>46107</v>
      </c>
      <c r="C193" s="224" t="s">
        <v>297</v>
      </c>
      <c r="D193" s="224">
        <v>3993</v>
      </c>
      <c r="E193" s="224" t="s">
        <v>202</v>
      </c>
      <c r="F193" s="224"/>
      <c r="G193" s="227"/>
      <c r="H193" s="224"/>
      <c r="I193" s="228" t="s">
        <v>264</v>
      </c>
      <c r="J193" s="224">
        <v>4000</v>
      </c>
      <c r="K193" s="228" t="s">
        <v>203</v>
      </c>
      <c r="L193" s="208" t="s">
        <v>218</v>
      </c>
    </row>
    <row r="194" spans="1:12" x14ac:dyDescent="0.25">
      <c r="A194" s="224" t="str">
        <f t="shared" si="8"/>
        <v>27032026-GR015-1</v>
      </c>
      <c r="B194" s="225">
        <v>46108</v>
      </c>
      <c r="C194" s="224" t="s">
        <v>298</v>
      </c>
      <c r="D194" s="224">
        <v>3970</v>
      </c>
      <c r="E194" s="224" t="s">
        <v>201</v>
      </c>
      <c r="F194" s="224"/>
      <c r="G194" s="227"/>
      <c r="H194" s="224"/>
      <c r="I194" s="228" t="s">
        <v>71</v>
      </c>
      <c r="J194" s="224">
        <v>4000</v>
      </c>
      <c r="K194" s="228" t="s">
        <v>203</v>
      </c>
      <c r="L194" s="208" t="s">
        <v>218</v>
      </c>
    </row>
    <row r="195" spans="1:12" x14ac:dyDescent="0.25">
      <c r="A195" s="224" t="str">
        <f t="shared" si="8"/>
        <v>27032026-GR015-2</v>
      </c>
      <c r="B195" s="225">
        <v>46108</v>
      </c>
      <c r="C195" s="224" t="s">
        <v>298</v>
      </c>
      <c r="D195" s="224">
        <v>3970</v>
      </c>
      <c r="E195" s="224" t="s">
        <v>206</v>
      </c>
      <c r="F195" s="224"/>
      <c r="G195" s="227"/>
      <c r="H195" s="224"/>
      <c r="I195" s="228" t="s">
        <v>72</v>
      </c>
      <c r="J195" s="224">
        <v>4000</v>
      </c>
      <c r="K195" s="228" t="s">
        <v>203</v>
      </c>
      <c r="L195" s="208" t="s">
        <v>218</v>
      </c>
    </row>
    <row r="196" spans="1:12" x14ac:dyDescent="0.25">
      <c r="A196" s="224" t="str">
        <f t="shared" si="8"/>
        <v>27032026-GR015-3</v>
      </c>
      <c r="B196" s="225">
        <v>46108</v>
      </c>
      <c r="C196" s="224" t="s">
        <v>298</v>
      </c>
      <c r="D196" s="224">
        <v>3970</v>
      </c>
      <c r="E196" s="224" t="s">
        <v>202</v>
      </c>
      <c r="F196" s="224"/>
      <c r="G196" s="227"/>
      <c r="H196" s="224"/>
      <c r="I196" s="228" t="s">
        <v>264</v>
      </c>
      <c r="J196" s="224">
        <v>4000</v>
      </c>
      <c r="K196" s="228" t="s">
        <v>203</v>
      </c>
      <c r="L196" s="208" t="s">
        <v>218</v>
      </c>
    </row>
    <row r="197" spans="1:12" x14ac:dyDescent="0.25">
      <c r="A197" s="224" t="str">
        <f t="shared" si="8"/>
        <v>28032026-DZ003-1</v>
      </c>
      <c r="B197" s="225">
        <v>46109</v>
      </c>
      <c r="C197" s="224" t="s">
        <v>229</v>
      </c>
      <c r="D197" s="224">
        <v>24067</v>
      </c>
      <c r="E197" s="224" t="s">
        <v>201</v>
      </c>
      <c r="F197" s="224"/>
      <c r="G197" s="227"/>
      <c r="H197" s="224"/>
      <c r="I197" s="228" t="s">
        <v>71</v>
      </c>
      <c r="J197" s="224">
        <v>8000</v>
      </c>
      <c r="K197" s="228" t="s">
        <v>203</v>
      </c>
      <c r="L197" s="208" t="s">
        <v>218</v>
      </c>
    </row>
    <row r="198" spans="1:12" x14ac:dyDescent="0.25">
      <c r="A198" s="224" t="str">
        <f t="shared" si="8"/>
        <v>28032026-DZ003-2</v>
      </c>
      <c r="B198" s="225">
        <v>46109</v>
      </c>
      <c r="C198" s="224" t="s">
        <v>229</v>
      </c>
      <c r="D198" s="224">
        <v>24067</v>
      </c>
      <c r="E198" s="224" t="s">
        <v>206</v>
      </c>
      <c r="F198" s="224"/>
      <c r="G198" s="227"/>
      <c r="H198" s="224"/>
      <c r="I198" s="228" t="s">
        <v>72</v>
      </c>
      <c r="J198" s="224">
        <v>8000</v>
      </c>
      <c r="K198" s="228" t="s">
        <v>203</v>
      </c>
      <c r="L198" s="208" t="s">
        <v>218</v>
      </c>
    </row>
    <row r="199" spans="1:12" x14ac:dyDescent="0.25">
      <c r="A199" s="224" t="str">
        <f t="shared" si="8"/>
        <v>28032026-DZ003-3</v>
      </c>
      <c r="B199" s="225">
        <v>46109</v>
      </c>
      <c r="C199" s="224" t="s">
        <v>229</v>
      </c>
      <c r="D199" s="224">
        <v>24067</v>
      </c>
      <c r="E199" s="224" t="s">
        <v>202</v>
      </c>
      <c r="F199" s="224"/>
      <c r="G199" s="227"/>
      <c r="H199" s="224"/>
      <c r="I199" s="228" t="s">
        <v>264</v>
      </c>
      <c r="J199" s="224">
        <v>8000</v>
      </c>
      <c r="K199" s="228" t="s">
        <v>203</v>
      </c>
      <c r="L199" s="208" t="s">
        <v>218</v>
      </c>
    </row>
    <row r="200" spans="1:12" x14ac:dyDescent="0.25">
      <c r="A200" s="224" t="str">
        <f t="shared" si="8"/>
        <v>29032026-LD008-1</v>
      </c>
      <c r="B200" s="225">
        <v>46110</v>
      </c>
      <c r="C200" s="224" t="s">
        <v>299</v>
      </c>
      <c r="D200" s="224">
        <v>18980</v>
      </c>
      <c r="E200" s="224" t="s">
        <v>201</v>
      </c>
      <c r="F200" s="224"/>
      <c r="G200" s="227"/>
      <c r="H200" s="224"/>
      <c r="I200" s="228" t="s">
        <v>71</v>
      </c>
      <c r="J200" s="224">
        <v>1000</v>
      </c>
      <c r="K200" s="228" t="s">
        <v>203</v>
      </c>
      <c r="L200" s="208" t="s">
        <v>218</v>
      </c>
    </row>
    <row r="201" spans="1:12" x14ac:dyDescent="0.25">
      <c r="A201" s="224" t="str">
        <f t="shared" si="8"/>
        <v>29032026-LD008-2</v>
      </c>
      <c r="B201" s="225">
        <v>46110</v>
      </c>
      <c r="C201" s="224" t="s">
        <v>299</v>
      </c>
      <c r="D201" s="224">
        <v>18980</v>
      </c>
      <c r="E201" s="224" t="s">
        <v>206</v>
      </c>
      <c r="F201" s="224"/>
      <c r="G201" s="227"/>
      <c r="H201" s="224"/>
      <c r="I201" s="228" t="s">
        <v>72</v>
      </c>
      <c r="J201" s="224">
        <v>1000</v>
      </c>
      <c r="K201" s="228" t="s">
        <v>203</v>
      </c>
      <c r="L201" s="208" t="s">
        <v>218</v>
      </c>
    </row>
    <row r="202" spans="1:12" x14ac:dyDescent="0.25">
      <c r="A202" s="224" t="str">
        <f t="shared" si="8"/>
        <v>29032026-LD008-3</v>
      </c>
      <c r="B202" s="225">
        <v>46110</v>
      </c>
      <c r="C202" s="224" t="s">
        <v>299</v>
      </c>
      <c r="D202" s="224">
        <v>18980</v>
      </c>
      <c r="E202" s="224" t="s">
        <v>202</v>
      </c>
      <c r="F202" s="224"/>
      <c r="G202" s="227"/>
      <c r="H202" s="224"/>
      <c r="I202" s="228" t="s">
        <v>264</v>
      </c>
      <c r="J202" s="224">
        <v>1000</v>
      </c>
      <c r="K202" s="228" t="s">
        <v>213</v>
      </c>
      <c r="L202" s="208" t="s">
        <v>218</v>
      </c>
    </row>
    <row r="203" spans="1:12" x14ac:dyDescent="0.25">
      <c r="A203" s="224" t="str">
        <f t="shared" si="8"/>
        <v>30032026-TK104-1</v>
      </c>
      <c r="B203" s="225">
        <v>46111</v>
      </c>
      <c r="C203" s="224" t="s">
        <v>278</v>
      </c>
      <c r="D203" s="224">
        <v>30509</v>
      </c>
      <c r="E203" s="224" t="s">
        <v>201</v>
      </c>
      <c r="F203" s="224"/>
      <c r="G203" s="227"/>
      <c r="H203" s="224"/>
      <c r="I203" s="228" t="s">
        <v>148</v>
      </c>
      <c r="J203" s="224">
        <v>500</v>
      </c>
      <c r="K203" s="228" t="s">
        <v>213</v>
      </c>
      <c r="L203" s="208" t="s">
        <v>218</v>
      </c>
    </row>
    <row r="204" spans="1:12" x14ac:dyDescent="0.25">
      <c r="A204" s="224" t="str">
        <f t="shared" si="8"/>
        <v>30032026-TK104-2</v>
      </c>
      <c r="B204" s="225">
        <v>46111</v>
      </c>
      <c r="C204" s="224" t="s">
        <v>278</v>
      </c>
      <c r="D204" s="224">
        <v>30509</v>
      </c>
      <c r="E204" s="224" t="s">
        <v>206</v>
      </c>
      <c r="F204" s="224"/>
      <c r="G204" s="227"/>
      <c r="H204" s="224"/>
      <c r="I204" s="228" t="s">
        <v>72</v>
      </c>
      <c r="J204" s="224">
        <v>500</v>
      </c>
      <c r="K204" s="228" t="s">
        <v>213</v>
      </c>
      <c r="L204" s="208" t="s">
        <v>218</v>
      </c>
    </row>
    <row r="205" spans="1:12" x14ac:dyDescent="0.25">
      <c r="A205" s="224" t="str">
        <f t="shared" si="8"/>
        <v>30032026-TK104-3</v>
      </c>
      <c r="B205" s="225">
        <v>46111</v>
      </c>
      <c r="C205" s="224" t="s">
        <v>278</v>
      </c>
      <c r="D205" s="224">
        <v>30509</v>
      </c>
      <c r="E205" s="224" t="s">
        <v>202</v>
      </c>
      <c r="F205" s="224"/>
      <c r="G205" s="227"/>
      <c r="H205" s="224"/>
      <c r="I205" s="228" t="s">
        <v>264</v>
      </c>
      <c r="J205" s="224">
        <v>500</v>
      </c>
      <c r="K205" s="228" t="s">
        <v>213</v>
      </c>
      <c r="L205" s="208" t="s">
        <v>218</v>
      </c>
    </row>
    <row r="206" spans="1:12" x14ac:dyDescent="0.25">
      <c r="A206" s="224" t="str">
        <f t="shared" si="8"/>
        <v>31032026-TK119-1</v>
      </c>
      <c r="B206" s="225">
        <v>46112</v>
      </c>
      <c r="C206" s="224" t="s">
        <v>290</v>
      </c>
      <c r="D206" s="224">
        <v>25000</v>
      </c>
      <c r="E206" s="224" t="s">
        <v>201</v>
      </c>
      <c r="F206" s="224"/>
      <c r="G206" s="227"/>
      <c r="H206" s="224"/>
      <c r="I206" s="228" t="s">
        <v>148</v>
      </c>
      <c r="J206" s="224">
        <v>1000</v>
      </c>
      <c r="K206" s="228" t="s">
        <v>203</v>
      </c>
      <c r="L206" s="208" t="s">
        <v>218</v>
      </c>
    </row>
    <row r="207" spans="1:12" x14ac:dyDescent="0.25">
      <c r="A207" s="224" t="str">
        <f t="shared" si="8"/>
        <v>31032026-TK119-2</v>
      </c>
      <c r="B207" s="225">
        <v>46112</v>
      </c>
      <c r="C207" s="224" t="s">
        <v>290</v>
      </c>
      <c r="D207" s="224">
        <v>25000</v>
      </c>
      <c r="E207" s="224" t="s">
        <v>206</v>
      </c>
      <c r="F207" s="224"/>
      <c r="G207" s="227"/>
      <c r="H207" s="224"/>
      <c r="I207" s="228" t="s">
        <v>72</v>
      </c>
      <c r="J207" s="224">
        <v>1000</v>
      </c>
      <c r="K207" s="228" t="s">
        <v>203</v>
      </c>
      <c r="L207" s="208" t="s">
        <v>218</v>
      </c>
    </row>
    <row r="208" spans="1:12" x14ac:dyDescent="0.25">
      <c r="A208" s="224" t="str">
        <f t="shared" si="8"/>
        <v>31032026-TK119-3</v>
      </c>
      <c r="B208" s="225">
        <v>46112</v>
      </c>
      <c r="C208" s="224" t="s">
        <v>290</v>
      </c>
      <c r="D208" s="224">
        <v>25000</v>
      </c>
      <c r="E208" s="224" t="s">
        <v>202</v>
      </c>
      <c r="F208" s="224"/>
      <c r="G208" s="227"/>
      <c r="H208" s="224"/>
      <c r="I208" s="228" t="s">
        <v>264</v>
      </c>
      <c r="J208" s="224">
        <v>1000</v>
      </c>
      <c r="K208" s="228" t="s">
        <v>213</v>
      </c>
      <c r="L208" s="208" t="s">
        <v>218</v>
      </c>
    </row>
    <row r="209" spans="1:12" x14ac:dyDescent="0.25">
      <c r="A209" s="224" t="str">
        <f t="shared" si="8"/>
        <v>01042026-DZ010-1</v>
      </c>
      <c r="B209" s="225">
        <v>46113</v>
      </c>
      <c r="C209" s="224" t="s">
        <v>292</v>
      </c>
      <c r="D209" s="224">
        <v>22100</v>
      </c>
      <c r="E209" s="224" t="s">
        <v>201</v>
      </c>
      <c r="F209" s="224"/>
      <c r="G209" s="227"/>
      <c r="H209" s="224"/>
      <c r="I209" s="228" t="s">
        <v>148</v>
      </c>
      <c r="J209" s="224">
        <v>250</v>
      </c>
      <c r="K209" s="228" t="s">
        <v>203</v>
      </c>
      <c r="L209" s="208" t="s">
        <v>218</v>
      </c>
    </row>
    <row r="210" spans="1:12" x14ac:dyDescent="0.25">
      <c r="A210" s="224" t="str">
        <f t="shared" si="8"/>
        <v>01042026-DZ010-2</v>
      </c>
      <c r="B210" s="225">
        <v>46113</v>
      </c>
      <c r="C210" s="224" t="s">
        <v>292</v>
      </c>
      <c r="D210" s="224">
        <v>22100</v>
      </c>
      <c r="E210" s="224" t="s">
        <v>206</v>
      </c>
      <c r="F210" s="224"/>
      <c r="G210" s="227"/>
      <c r="H210" s="224"/>
      <c r="I210" s="228" t="s">
        <v>72</v>
      </c>
      <c r="J210" s="224">
        <v>250</v>
      </c>
      <c r="K210" s="228" t="s">
        <v>213</v>
      </c>
      <c r="L210" s="208" t="s">
        <v>218</v>
      </c>
    </row>
    <row r="211" spans="1:12" x14ac:dyDescent="0.25">
      <c r="A211" s="224" t="str">
        <f t="shared" si="8"/>
        <v>01042026-DZ010-3</v>
      </c>
      <c r="B211" s="225">
        <v>46113</v>
      </c>
      <c r="C211" s="224" t="s">
        <v>292</v>
      </c>
      <c r="D211" s="224">
        <v>22100</v>
      </c>
      <c r="E211" s="224" t="s">
        <v>202</v>
      </c>
      <c r="F211" s="224"/>
      <c r="G211" s="227"/>
      <c r="H211" s="224"/>
      <c r="I211" s="228" t="s">
        <v>264</v>
      </c>
      <c r="J211" s="224">
        <v>250</v>
      </c>
      <c r="K211" s="228" t="s">
        <v>213</v>
      </c>
      <c r="L211" s="208" t="s">
        <v>218</v>
      </c>
    </row>
    <row r="212" spans="1:12" x14ac:dyDescent="0.25">
      <c r="A212" s="224" t="str">
        <f t="shared" si="8"/>
        <v>06032026-DZ001-1</v>
      </c>
      <c r="B212" s="225">
        <v>46087</v>
      </c>
      <c r="C212" s="224" t="s">
        <v>300</v>
      </c>
      <c r="D212" s="224">
        <v>25077</v>
      </c>
      <c r="E212" s="224" t="s">
        <v>201</v>
      </c>
      <c r="F212" s="224"/>
      <c r="G212" s="227"/>
      <c r="H212" s="224"/>
      <c r="I212" s="228" t="s">
        <v>148</v>
      </c>
      <c r="J212" s="224">
        <v>1000</v>
      </c>
      <c r="K212" s="228" t="s">
        <v>203</v>
      </c>
      <c r="L212" s="208" t="s">
        <v>218</v>
      </c>
    </row>
    <row r="213" spans="1:12" x14ac:dyDescent="0.25">
      <c r="A213" s="224" t="str">
        <f t="shared" si="8"/>
        <v>06032026-DZ001-2</v>
      </c>
      <c r="B213" s="225">
        <v>46087</v>
      </c>
      <c r="C213" s="224" t="s">
        <v>300</v>
      </c>
      <c r="D213" s="224">
        <v>25077</v>
      </c>
      <c r="E213" s="224" t="s">
        <v>206</v>
      </c>
      <c r="F213" s="224"/>
      <c r="G213" s="227"/>
      <c r="H213" s="224"/>
      <c r="I213" s="228" t="s">
        <v>72</v>
      </c>
      <c r="J213" s="224">
        <v>1000</v>
      </c>
      <c r="K213" s="228" t="s">
        <v>203</v>
      </c>
      <c r="L213" s="208" t="s">
        <v>218</v>
      </c>
    </row>
    <row r="214" spans="1:12" x14ac:dyDescent="0.25">
      <c r="A214" s="224" t="str">
        <f t="shared" si="8"/>
        <v>06032026-DZ001-3</v>
      </c>
      <c r="B214" s="225">
        <v>46087</v>
      </c>
      <c r="C214" s="224" t="s">
        <v>300</v>
      </c>
      <c r="D214" s="224">
        <v>25077</v>
      </c>
      <c r="E214" s="224" t="s">
        <v>202</v>
      </c>
      <c r="F214" s="224"/>
      <c r="G214" s="227"/>
      <c r="H214" s="224"/>
      <c r="I214" s="228" t="s">
        <v>264</v>
      </c>
      <c r="J214" s="224">
        <v>1000</v>
      </c>
      <c r="K214" s="228" t="s">
        <v>213</v>
      </c>
      <c r="L214" s="208" t="s">
        <v>218</v>
      </c>
    </row>
    <row r="215" spans="1:12" x14ac:dyDescent="0.25">
      <c r="A215" s="224" t="str">
        <f t="shared" si="8"/>
        <v>06042026-DZ001-1</v>
      </c>
      <c r="B215" s="225">
        <v>46118</v>
      </c>
      <c r="C215" s="224" t="s">
        <v>300</v>
      </c>
      <c r="D215" s="224">
        <v>25722</v>
      </c>
      <c r="E215" s="224" t="s">
        <v>201</v>
      </c>
      <c r="F215" s="224"/>
      <c r="G215" s="227"/>
      <c r="H215" s="224">
        <v>400</v>
      </c>
      <c r="I215" s="228" t="s">
        <v>148</v>
      </c>
      <c r="J215" s="224">
        <v>250</v>
      </c>
      <c r="K215" s="228" t="s">
        <v>203</v>
      </c>
      <c r="L215" s="208" t="s">
        <v>218</v>
      </c>
    </row>
    <row r="216" spans="1:12" x14ac:dyDescent="0.25">
      <c r="A216" s="224" t="str">
        <f t="shared" si="8"/>
        <v>29032026-GR016-1</v>
      </c>
      <c r="B216" s="225">
        <v>46110</v>
      </c>
      <c r="C216" s="224" t="s">
        <v>259</v>
      </c>
      <c r="D216" s="224">
        <v>3996</v>
      </c>
      <c r="E216" s="224" t="s">
        <v>201</v>
      </c>
      <c r="F216" s="224"/>
      <c r="G216" s="227"/>
      <c r="H216" s="224"/>
      <c r="I216" s="228" t="s">
        <v>148</v>
      </c>
      <c r="J216" s="224">
        <v>4000</v>
      </c>
      <c r="K216" s="228" t="s">
        <v>203</v>
      </c>
      <c r="L216" s="208" t="s">
        <v>218</v>
      </c>
    </row>
    <row r="217" spans="1:12" x14ac:dyDescent="0.25">
      <c r="A217" s="224" t="str">
        <f t="shared" si="8"/>
        <v>29032026-GR016-2</v>
      </c>
      <c r="B217" s="225">
        <v>46110</v>
      </c>
      <c r="C217" s="224" t="s">
        <v>259</v>
      </c>
      <c r="D217" s="224">
        <v>3996</v>
      </c>
      <c r="E217" s="224" t="s">
        <v>206</v>
      </c>
      <c r="F217" s="224"/>
      <c r="G217" s="227"/>
      <c r="H217" s="224"/>
      <c r="I217" s="228" t="s">
        <v>72</v>
      </c>
      <c r="J217" s="224">
        <v>4000</v>
      </c>
      <c r="K217" s="228" t="s">
        <v>203</v>
      </c>
      <c r="L217" s="208" t="s">
        <v>218</v>
      </c>
    </row>
    <row r="218" spans="1:12" x14ac:dyDescent="0.25">
      <c r="A218" s="224" t="str">
        <f t="shared" si="8"/>
        <v>29032026-GR016-3</v>
      </c>
      <c r="B218" s="225">
        <v>46110</v>
      </c>
      <c r="C218" s="224" t="s">
        <v>259</v>
      </c>
      <c r="D218" s="224">
        <v>3996</v>
      </c>
      <c r="E218" s="224" t="s">
        <v>202</v>
      </c>
      <c r="F218" s="224"/>
      <c r="G218" s="227"/>
      <c r="H218" s="224"/>
      <c r="I218" s="228" t="s">
        <v>264</v>
      </c>
      <c r="J218" s="224">
        <v>4000</v>
      </c>
      <c r="K218" s="228" t="s">
        <v>203</v>
      </c>
      <c r="L218" s="208" t="s">
        <v>218</v>
      </c>
    </row>
    <row r="219" spans="1:12" x14ac:dyDescent="0.25">
      <c r="A219" s="224" t="str">
        <f t="shared" si="8"/>
        <v>24032026-TK118-1</v>
      </c>
      <c r="B219" s="225">
        <v>46105</v>
      </c>
      <c r="C219" s="224" t="s">
        <v>241</v>
      </c>
      <c r="D219" s="224">
        <v>28492</v>
      </c>
      <c r="E219" s="224" t="s">
        <v>201</v>
      </c>
      <c r="F219" s="224"/>
      <c r="G219" s="227"/>
      <c r="H219" s="224"/>
      <c r="I219" s="228" t="s">
        <v>148</v>
      </c>
      <c r="J219" s="224">
        <v>500</v>
      </c>
      <c r="K219" s="228" t="s">
        <v>203</v>
      </c>
      <c r="L219" s="208" t="s">
        <v>218</v>
      </c>
    </row>
    <row r="220" spans="1:12" x14ac:dyDescent="0.25">
      <c r="A220" s="224" t="str">
        <f t="shared" si="8"/>
        <v>24032026-TK118-2</v>
      </c>
      <c r="B220" s="225">
        <v>46105</v>
      </c>
      <c r="C220" s="224" t="s">
        <v>241</v>
      </c>
      <c r="D220" s="224">
        <v>28492</v>
      </c>
      <c r="E220" s="224" t="s">
        <v>206</v>
      </c>
      <c r="F220" s="224"/>
      <c r="G220" s="227"/>
      <c r="H220" s="224"/>
      <c r="I220" s="228" t="s">
        <v>72</v>
      </c>
      <c r="J220" s="224">
        <v>500</v>
      </c>
      <c r="K220" s="228" t="s">
        <v>213</v>
      </c>
      <c r="L220" s="208" t="s">
        <v>218</v>
      </c>
    </row>
    <row r="221" spans="1:12" x14ac:dyDescent="0.25">
      <c r="A221" s="224" t="str">
        <f t="shared" si="8"/>
        <v>24032026-TK118-3</v>
      </c>
      <c r="B221" s="225">
        <v>46105</v>
      </c>
      <c r="C221" s="224" t="s">
        <v>241</v>
      </c>
      <c r="D221" s="224">
        <v>28492</v>
      </c>
      <c r="E221" s="224" t="s">
        <v>202</v>
      </c>
      <c r="F221" s="224"/>
      <c r="G221" s="227"/>
      <c r="H221" s="224"/>
      <c r="I221" s="228" t="s">
        <v>264</v>
      </c>
      <c r="J221" s="224">
        <v>500</v>
      </c>
      <c r="K221" s="228" t="s">
        <v>213</v>
      </c>
      <c r="L221" s="208" t="s">
        <v>218</v>
      </c>
    </row>
    <row r="222" spans="1:12" x14ac:dyDescent="0.25">
      <c r="A222" s="224" t="str">
        <f t="shared" si="8"/>
        <v>21032026-LD004-1</v>
      </c>
      <c r="B222" s="225">
        <v>46102</v>
      </c>
      <c r="C222" s="224" t="s">
        <v>247</v>
      </c>
      <c r="D222" s="224">
        <v>20514</v>
      </c>
      <c r="E222" s="224" t="s">
        <v>201</v>
      </c>
      <c r="F222" s="224"/>
      <c r="G222" s="227"/>
      <c r="H222" s="224"/>
      <c r="I222" s="228" t="s">
        <v>148</v>
      </c>
      <c r="J222" s="224">
        <v>500</v>
      </c>
      <c r="K222" s="228" t="s">
        <v>203</v>
      </c>
      <c r="L222" s="208" t="s">
        <v>218</v>
      </c>
    </row>
    <row r="223" spans="1:12" x14ac:dyDescent="0.25">
      <c r="A223" s="224" t="str">
        <f t="shared" si="8"/>
        <v>21032026-LD004-2</v>
      </c>
      <c r="B223" s="225">
        <v>46102</v>
      </c>
      <c r="C223" s="224" t="s">
        <v>247</v>
      </c>
      <c r="D223" s="224">
        <v>20514</v>
      </c>
      <c r="E223" s="224" t="s">
        <v>206</v>
      </c>
      <c r="F223" s="224"/>
      <c r="G223" s="227"/>
      <c r="H223" s="224"/>
      <c r="I223" s="228" t="s">
        <v>72</v>
      </c>
      <c r="J223" s="224">
        <v>500</v>
      </c>
      <c r="K223" s="228" t="s">
        <v>213</v>
      </c>
      <c r="L223" s="208" t="s">
        <v>218</v>
      </c>
    </row>
    <row r="224" spans="1:12" x14ac:dyDescent="0.25">
      <c r="A224" s="224" t="str">
        <f t="shared" si="8"/>
        <v>21032026-LD004-3</v>
      </c>
      <c r="B224" s="225">
        <v>46102</v>
      </c>
      <c r="C224" s="224" t="s">
        <v>247</v>
      </c>
      <c r="D224" s="224">
        <v>20514</v>
      </c>
      <c r="E224" s="224" t="s">
        <v>202</v>
      </c>
      <c r="F224" s="224"/>
      <c r="G224" s="227"/>
      <c r="H224" s="224"/>
      <c r="I224" s="228" t="s">
        <v>264</v>
      </c>
      <c r="J224" s="224">
        <v>500</v>
      </c>
      <c r="K224" s="228" t="s">
        <v>213</v>
      </c>
      <c r="L224" s="208" t="s">
        <v>218</v>
      </c>
    </row>
    <row r="225" spans="1:12" x14ac:dyDescent="0.25">
      <c r="A225" s="224" t="str">
        <f t="shared" si="8"/>
        <v>25032026-TK103-1</v>
      </c>
      <c r="B225" s="225">
        <v>46106</v>
      </c>
      <c r="C225" s="224" t="s">
        <v>245</v>
      </c>
      <c r="D225" s="224">
        <v>32461</v>
      </c>
      <c r="E225" s="224" t="s">
        <v>201</v>
      </c>
      <c r="F225" s="224"/>
      <c r="G225" s="227"/>
      <c r="H225" s="224"/>
      <c r="I225" s="228" t="s">
        <v>148</v>
      </c>
      <c r="J225" s="224">
        <v>500</v>
      </c>
      <c r="K225" s="228" t="s">
        <v>203</v>
      </c>
      <c r="L225" s="208" t="s">
        <v>218</v>
      </c>
    </row>
    <row r="226" spans="1:12" x14ac:dyDescent="0.25">
      <c r="A226" s="224" t="str">
        <f t="shared" si="8"/>
        <v>25032026-TK103-2</v>
      </c>
      <c r="B226" s="225">
        <v>46106</v>
      </c>
      <c r="C226" s="224" t="s">
        <v>245</v>
      </c>
      <c r="D226" s="224">
        <v>32461</v>
      </c>
      <c r="E226" s="224" t="s">
        <v>206</v>
      </c>
      <c r="F226" s="224"/>
      <c r="G226" s="227"/>
      <c r="H226" s="224"/>
      <c r="I226" s="228" t="s">
        <v>72</v>
      </c>
      <c r="J226" s="224">
        <v>500</v>
      </c>
      <c r="K226" s="228" t="s">
        <v>213</v>
      </c>
      <c r="L226" s="208" t="s">
        <v>218</v>
      </c>
    </row>
    <row r="227" spans="1:12" x14ac:dyDescent="0.25">
      <c r="A227" s="224" t="str">
        <f t="shared" si="8"/>
        <v>25032026-TK103-3</v>
      </c>
      <c r="B227" s="225">
        <v>46106</v>
      </c>
      <c r="C227" s="224" t="s">
        <v>245</v>
      </c>
      <c r="D227" s="224">
        <v>32461</v>
      </c>
      <c r="E227" s="224" t="s">
        <v>202</v>
      </c>
      <c r="F227" s="224"/>
      <c r="G227" s="227"/>
      <c r="H227" s="224"/>
      <c r="I227" s="228" t="s">
        <v>264</v>
      </c>
      <c r="J227" s="224">
        <v>500</v>
      </c>
      <c r="K227" s="228" t="s">
        <v>213</v>
      </c>
      <c r="L227" s="208" t="s">
        <v>218</v>
      </c>
    </row>
    <row r="228" spans="1:12" x14ac:dyDescent="0.25">
      <c r="A228" s="224" t="str">
        <f t="shared" si="8"/>
        <v>22032026-GR003-1</v>
      </c>
      <c r="B228" s="225">
        <v>46103</v>
      </c>
      <c r="C228" s="224" t="s">
        <v>301</v>
      </c>
      <c r="D228" s="224">
        <v>5474</v>
      </c>
      <c r="E228" s="224" t="s">
        <v>201</v>
      </c>
      <c r="F228" s="224"/>
      <c r="G228" s="227"/>
      <c r="H228" s="224"/>
      <c r="I228" s="228" t="s">
        <v>148</v>
      </c>
      <c r="J228" s="224">
        <v>500</v>
      </c>
      <c r="K228" s="228" t="s">
        <v>203</v>
      </c>
      <c r="L228" s="208" t="s">
        <v>218</v>
      </c>
    </row>
    <row r="229" spans="1:12" x14ac:dyDescent="0.25">
      <c r="A229" s="224" t="str">
        <f t="shared" si="8"/>
        <v>22032026-GR003-2</v>
      </c>
      <c r="B229" s="225">
        <v>46103</v>
      </c>
      <c r="C229" s="224" t="s">
        <v>301</v>
      </c>
      <c r="D229" s="224">
        <v>5474</v>
      </c>
      <c r="E229" s="224" t="s">
        <v>206</v>
      </c>
      <c r="F229" s="224"/>
      <c r="G229" s="227"/>
      <c r="H229" s="224"/>
      <c r="I229" s="228" t="s">
        <v>72</v>
      </c>
      <c r="J229" s="224">
        <v>500</v>
      </c>
      <c r="K229" s="228" t="s">
        <v>213</v>
      </c>
      <c r="L229" s="208" t="s">
        <v>218</v>
      </c>
    </row>
    <row r="230" spans="1:12" x14ac:dyDescent="0.25">
      <c r="A230" s="224" t="str">
        <f t="shared" si="8"/>
        <v>22032026-GR003-3</v>
      </c>
      <c r="B230" s="225">
        <v>46103</v>
      </c>
      <c r="C230" s="224" t="s">
        <v>301</v>
      </c>
      <c r="D230" s="224">
        <v>5474</v>
      </c>
      <c r="E230" s="224" t="s">
        <v>202</v>
      </c>
      <c r="F230" s="224"/>
      <c r="G230" s="227"/>
      <c r="H230" s="224"/>
      <c r="I230" s="228" t="s">
        <v>264</v>
      </c>
      <c r="J230" s="224">
        <v>500</v>
      </c>
      <c r="K230" s="228" t="s">
        <v>213</v>
      </c>
      <c r="L230" s="208" t="s">
        <v>218</v>
      </c>
    </row>
    <row r="231" spans="1:12" x14ac:dyDescent="0.25">
      <c r="A231" s="224" t="str">
        <f t="shared" si="8"/>
        <v>30032026-GR003-1</v>
      </c>
      <c r="B231" s="225">
        <v>46111</v>
      </c>
      <c r="C231" s="224" t="s">
        <v>301</v>
      </c>
      <c r="D231" s="224">
        <v>5643</v>
      </c>
      <c r="E231" s="224" t="s">
        <v>201</v>
      </c>
      <c r="F231" s="224"/>
      <c r="G231" s="227"/>
      <c r="H231" s="224">
        <v>169</v>
      </c>
      <c r="I231" s="228" t="s">
        <v>148</v>
      </c>
      <c r="J231" s="224">
        <v>500</v>
      </c>
      <c r="K231" s="228" t="s">
        <v>203</v>
      </c>
      <c r="L231" s="208" t="s">
        <v>218</v>
      </c>
    </row>
    <row r="232" spans="1:12" x14ac:dyDescent="0.25">
      <c r="A232" s="224" t="str">
        <f t="shared" si="8"/>
        <v>30032026-GR003-2</v>
      </c>
      <c r="B232" s="225">
        <v>46111</v>
      </c>
      <c r="C232" s="224" t="s">
        <v>301</v>
      </c>
      <c r="D232" s="224">
        <v>5643</v>
      </c>
      <c r="E232" s="224" t="s">
        <v>206</v>
      </c>
      <c r="F232" s="224"/>
      <c r="G232" s="227"/>
      <c r="H232" s="224">
        <v>169</v>
      </c>
      <c r="I232" s="228" t="s">
        <v>72</v>
      </c>
      <c r="J232" s="224">
        <v>500</v>
      </c>
      <c r="K232" s="228" t="s">
        <v>213</v>
      </c>
      <c r="L232" s="208" t="s">
        <v>218</v>
      </c>
    </row>
    <row r="233" spans="1:12" x14ac:dyDescent="0.25">
      <c r="A233" s="224" t="str">
        <f t="shared" si="8"/>
        <v>30032026-GR003-3</v>
      </c>
      <c r="B233" s="225">
        <v>46111</v>
      </c>
      <c r="C233" s="224" t="s">
        <v>301</v>
      </c>
      <c r="D233" s="224">
        <v>5643</v>
      </c>
      <c r="E233" s="224" t="s">
        <v>202</v>
      </c>
      <c r="F233" s="224"/>
      <c r="G233" s="227"/>
      <c r="H233" s="224">
        <v>169</v>
      </c>
      <c r="I233" s="228" t="s">
        <v>264</v>
      </c>
      <c r="J233" s="224">
        <v>500</v>
      </c>
      <c r="K233" s="228" t="s">
        <v>213</v>
      </c>
      <c r="L233" s="208" t="s">
        <v>218</v>
      </c>
    </row>
    <row r="234" spans="1:12" x14ac:dyDescent="0.25">
      <c r="A234" s="224" t="str">
        <f t="shared" si="8"/>
        <v>31032026-TK150-1</v>
      </c>
      <c r="B234" s="225">
        <v>46112</v>
      </c>
      <c r="C234" s="224" t="s">
        <v>277</v>
      </c>
      <c r="D234" s="224">
        <v>4566</v>
      </c>
      <c r="E234" s="224" t="s">
        <v>201</v>
      </c>
      <c r="F234" s="224"/>
      <c r="G234" s="227"/>
      <c r="H234" s="224"/>
      <c r="I234" s="228" t="s">
        <v>148</v>
      </c>
      <c r="J234" s="224">
        <v>500</v>
      </c>
      <c r="K234" s="228" t="s">
        <v>203</v>
      </c>
      <c r="L234" s="208" t="s">
        <v>218</v>
      </c>
    </row>
    <row r="235" spans="1:12" x14ac:dyDescent="0.25">
      <c r="A235" s="224" t="str">
        <f t="shared" si="8"/>
        <v>31032026-TK150-2</v>
      </c>
      <c r="B235" s="225">
        <v>46112</v>
      </c>
      <c r="C235" s="224" t="s">
        <v>277</v>
      </c>
      <c r="D235" s="224">
        <v>4566</v>
      </c>
      <c r="E235" s="224" t="s">
        <v>206</v>
      </c>
      <c r="F235" s="224"/>
      <c r="G235" s="227"/>
      <c r="H235" s="224"/>
      <c r="I235" s="228" t="s">
        <v>72</v>
      </c>
      <c r="J235" s="224">
        <v>500</v>
      </c>
      <c r="K235" s="228" t="s">
        <v>213</v>
      </c>
      <c r="L235" s="208" t="s">
        <v>218</v>
      </c>
    </row>
    <row r="236" spans="1:12" x14ac:dyDescent="0.25">
      <c r="A236" s="224" t="str">
        <f t="shared" si="8"/>
        <v>31032026-TK150-3</v>
      </c>
      <c r="B236" s="225">
        <v>46112</v>
      </c>
      <c r="C236" s="224" t="s">
        <v>277</v>
      </c>
      <c r="D236" s="224">
        <v>4566</v>
      </c>
      <c r="E236" s="224" t="s">
        <v>202</v>
      </c>
      <c r="F236" s="224"/>
      <c r="G236" s="227"/>
      <c r="H236" s="224"/>
      <c r="I236" s="228" t="s">
        <v>264</v>
      </c>
      <c r="J236" s="224">
        <v>500</v>
      </c>
      <c r="K236" s="228" t="s">
        <v>213</v>
      </c>
      <c r="L236" s="208" t="s">
        <v>218</v>
      </c>
    </row>
    <row r="237" spans="1:12" x14ac:dyDescent="0.25">
      <c r="A237" s="224" t="str">
        <f t="shared" si="8"/>
        <v>22052026-EX012-1</v>
      </c>
      <c r="B237" s="225">
        <v>46164</v>
      </c>
      <c r="C237" s="224" t="s">
        <v>256</v>
      </c>
      <c r="D237" s="224">
        <v>5054</v>
      </c>
      <c r="E237" s="224" t="s">
        <v>201</v>
      </c>
      <c r="F237" s="224"/>
      <c r="G237" s="227"/>
      <c r="H237" s="224"/>
      <c r="I237" s="228" t="s">
        <v>148</v>
      </c>
      <c r="J237" s="224">
        <v>1000</v>
      </c>
      <c r="K237" s="228" t="s">
        <v>203</v>
      </c>
      <c r="L237" s="208" t="s">
        <v>218</v>
      </c>
    </row>
    <row r="238" spans="1:12" x14ac:dyDescent="0.25">
      <c r="A238" s="224" t="str">
        <f t="shared" si="8"/>
        <v>22052026-EX012-3</v>
      </c>
      <c r="B238" s="225">
        <v>46164</v>
      </c>
      <c r="C238" s="224" t="s">
        <v>256</v>
      </c>
      <c r="D238" s="224">
        <v>5054</v>
      </c>
      <c r="E238" s="224" t="s">
        <v>202</v>
      </c>
      <c r="F238" s="224"/>
      <c r="G238" s="227"/>
      <c r="H238" s="224"/>
      <c r="I238" s="228" t="s">
        <v>264</v>
      </c>
      <c r="J238" s="224">
        <v>1000</v>
      </c>
      <c r="K238" s="228" t="s">
        <v>213</v>
      </c>
      <c r="L238" s="208" t="s">
        <v>218</v>
      </c>
    </row>
    <row r="239" spans="1:12" x14ac:dyDescent="0.25">
      <c r="A239" s="224" t="str">
        <f t="shared" si="8"/>
        <v>26032026-EX011-1</v>
      </c>
      <c r="B239" s="225">
        <v>46107</v>
      </c>
      <c r="C239" s="224" t="s">
        <v>302</v>
      </c>
      <c r="D239" s="224">
        <v>27518</v>
      </c>
      <c r="E239" s="224" t="s">
        <v>201</v>
      </c>
      <c r="F239" s="224"/>
      <c r="G239" s="227"/>
      <c r="H239" s="224"/>
      <c r="I239" s="228" t="s">
        <v>148</v>
      </c>
      <c r="J239" s="224">
        <v>500</v>
      </c>
      <c r="K239" s="228" t="s">
        <v>203</v>
      </c>
      <c r="L239" s="208" t="s">
        <v>218</v>
      </c>
    </row>
    <row r="240" spans="1:12" x14ac:dyDescent="0.25">
      <c r="A240" s="224" t="str">
        <f t="shared" ref="A240:A274" si="9">TEXT(DAY(B240),"00")&amp;TEXT(MONTH(B240),"00")&amp;YEAR(B240)&amp;"-"&amp;C240&amp;"-"&amp;LEFT(E240,SEARCH(" ",E240&amp;" ")-1)</f>
        <v>24032026-DZ005-1</v>
      </c>
      <c r="B240" s="225">
        <v>46105</v>
      </c>
      <c r="C240" s="224" t="s">
        <v>303</v>
      </c>
      <c r="D240" s="224">
        <v>22430</v>
      </c>
      <c r="E240" s="224" t="s">
        <v>201</v>
      </c>
      <c r="F240" s="224"/>
      <c r="G240" s="227"/>
      <c r="H240" s="224"/>
      <c r="I240" s="228" t="s">
        <v>148</v>
      </c>
      <c r="J240" s="224">
        <v>500</v>
      </c>
      <c r="K240" s="228" t="s">
        <v>203</v>
      </c>
      <c r="L240" s="208" t="s">
        <v>218</v>
      </c>
    </row>
    <row r="241" spans="1:12" x14ac:dyDescent="0.25">
      <c r="A241" s="224" t="str">
        <f t="shared" si="9"/>
        <v>26032026-EX021-1</v>
      </c>
      <c r="B241" s="225">
        <v>46107</v>
      </c>
      <c r="C241" s="224" t="s">
        <v>304</v>
      </c>
      <c r="D241" s="224">
        <v>5000</v>
      </c>
      <c r="E241" s="224" t="s">
        <v>201</v>
      </c>
      <c r="F241" s="224"/>
      <c r="G241" s="227"/>
      <c r="H241" s="224"/>
      <c r="I241" s="228" t="s">
        <v>148</v>
      </c>
      <c r="J241" s="224">
        <v>1000</v>
      </c>
      <c r="K241" s="228" t="s">
        <v>203</v>
      </c>
      <c r="L241" s="208" t="s">
        <v>218</v>
      </c>
    </row>
    <row r="242" spans="1:12" x14ac:dyDescent="0.25">
      <c r="A242" s="224" t="str">
        <f t="shared" si="9"/>
        <v>30032026-DZ009-1</v>
      </c>
      <c r="B242" s="225">
        <v>46111</v>
      </c>
      <c r="C242" s="224" t="s">
        <v>305</v>
      </c>
      <c r="D242" s="224">
        <v>25451</v>
      </c>
      <c r="E242" s="224" t="s">
        <v>201</v>
      </c>
      <c r="F242" s="224"/>
      <c r="G242" s="227"/>
      <c r="H242" s="224"/>
      <c r="I242" s="228" t="s">
        <v>148</v>
      </c>
      <c r="J242" s="224">
        <v>500</v>
      </c>
      <c r="K242" s="228" t="s">
        <v>203</v>
      </c>
      <c r="L242" s="208" t="s">
        <v>218</v>
      </c>
    </row>
    <row r="243" spans="1:12" x14ac:dyDescent="0.25">
      <c r="A243" s="224" t="str">
        <f t="shared" si="9"/>
        <v>30032026-DZ009-2</v>
      </c>
      <c r="B243" s="225">
        <v>46111</v>
      </c>
      <c r="C243" s="224" t="s">
        <v>305</v>
      </c>
      <c r="D243" s="224">
        <v>25451</v>
      </c>
      <c r="E243" s="224" t="s">
        <v>206</v>
      </c>
      <c r="F243" s="224"/>
      <c r="G243" s="227"/>
      <c r="H243" s="224"/>
      <c r="I243" s="228" t="s">
        <v>72</v>
      </c>
      <c r="J243" s="224">
        <v>500</v>
      </c>
      <c r="K243" s="228" t="s">
        <v>213</v>
      </c>
      <c r="L243" s="208" t="s">
        <v>218</v>
      </c>
    </row>
    <row r="244" spans="1:12" x14ac:dyDescent="0.25">
      <c r="A244" s="224" t="str">
        <f t="shared" si="9"/>
        <v>22032026-EX013-1</v>
      </c>
      <c r="B244" s="225">
        <v>46103</v>
      </c>
      <c r="C244" s="224" t="s">
        <v>253</v>
      </c>
      <c r="D244" s="224">
        <v>12973</v>
      </c>
      <c r="E244" s="224" t="s">
        <v>201</v>
      </c>
      <c r="F244" s="224"/>
      <c r="G244" s="227"/>
      <c r="H244" s="224"/>
      <c r="I244" s="228" t="s">
        <v>148</v>
      </c>
      <c r="J244" s="224">
        <v>1000</v>
      </c>
      <c r="K244" s="228" t="s">
        <v>203</v>
      </c>
      <c r="L244" s="208" t="s">
        <v>218</v>
      </c>
    </row>
    <row r="245" spans="1:12" x14ac:dyDescent="0.25">
      <c r="A245" s="224" t="str">
        <f t="shared" si="9"/>
        <v>22032026-EX013-3</v>
      </c>
      <c r="B245" s="225">
        <v>46103</v>
      </c>
      <c r="C245" s="224" t="s">
        <v>253</v>
      </c>
      <c r="D245" s="224">
        <v>12973</v>
      </c>
      <c r="E245" s="224" t="s">
        <v>202</v>
      </c>
      <c r="F245" s="224"/>
      <c r="G245" s="227"/>
      <c r="H245" s="224"/>
      <c r="I245" s="228" t="s">
        <v>264</v>
      </c>
      <c r="J245" s="224">
        <v>1000</v>
      </c>
      <c r="K245" s="228" t="s">
        <v>213</v>
      </c>
      <c r="L245" s="208" t="s">
        <v>218</v>
      </c>
    </row>
    <row r="246" spans="1:12" x14ac:dyDescent="0.25">
      <c r="A246" s="224" t="str">
        <f t="shared" si="9"/>
        <v>04042026-EX010-1</v>
      </c>
      <c r="B246" s="225">
        <v>46116</v>
      </c>
      <c r="C246" s="224" t="s">
        <v>306</v>
      </c>
      <c r="D246" s="224">
        <v>26505</v>
      </c>
      <c r="E246" s="224" t="s">
        <v>201</v>
      </c>
      <c r="F246" s="224"/>
      <c r="G246" s="227"/>
      <c r="H246" s="224"/>
      <c r="I246" s="228" t="s">
        <v>148</v>
      </c>
      <c r="J246" s="224">
        <v>500</v>
      </c>
      <c r="K246" s="228" t="s">
        <v>203</v>
      </c>
      <c r="L246" s="208" t="s">
        <v>218</v>
      </c>
    </row>
    <row r="247" spans="1:12" x14ac:dyDescent="0.25">
      <c r="A247" s="224" t="str">
        <f t="shared" si="9"/>
        <v>30032026-EX009-1</v>
      </c>
      <c r="B247" s="225">
        <v>46111</v>
      </c>
      <c r="C247" s="224" t="s">
        <v>307</v>
      </c>
      <c r="D247" s="224">
        <v>24990</v>
      </c>
      <c r="E247" s="224" t="s">
        <v>201</v>
      </c>
      <c r="F247" s="224"/>
      <c r="G247" s="227"/>
      <c r="H247" s="224"/>
      <c r="I247" s="228" t="s">
        <v>148</v>
      </c>
      <c r="J247" s="224">
        <v>1000</v>
      </c>
      <c r="K247" s="228" t="s">
        <v>203</v>
      </c>
      <c r="L247" s="208" t="s">
        <v>218</v>
      </c>
    </row>
    <row r="248" spans="1:12" x14ac:dyDescent="0.25">
      <c r="A248" s="224" t="str">
        <f t="shared" si="9"/>
        <v>25032026-TK152-2</v>
      </c>
      <c r="B248" s="225">
        <v>46106</v>
      </c>
      <c r="C248" s="224" t="s">
        <v>243</v>
      </c>
      <c r="D248" s="224">
        <v>4991</v>
      </c>
      <c r="E248" s="224" t="s">
        <v>206</v>
      </c>
      <c r="F248" s="224"/>
      <c r="G248" s="227"/>
      <c r="H248" s="224"/>
      <c r="I248" s="228" t="s">
        <v>72</v>
      </c>
      <c r="J248" s="224">
        <v>1000</v>
      </c>
      <c r="K248" s="228" t="s">
        <v>203</v>
      </c>
      <c r="L248" s="208" t="s">
        <v>218</v>
      </c>
    </row>
    <row r="249" spans="1:12" x14ac:dyDescent="0.25">
      <c r="A249" s="224" t="str">
        <f t="shared" si="9"/>
        <v>25032026-TK152-3</v>
      </c>
      <c r="B249" s="225">
        <v>46106</v>
      </c>
      <c r="C249" s="224" t="s">
        <v>243</v>
      </c>
      <c r="D249" s="224">
        <v>4991</v>
      </c>
      <c r="E249" s="224" t="s">
        <v>202</v>
      </c>
      <c r="F249" s="224"/>
      <c r="G249" s="227"/>
      <c r="H249" s="224"/>
      <c r="I249" s="228" t="s">
        <v>264</v>
      </c>
      <c r="J249" s="224">
        <v>1000</v>
      </c>
      <c r="K249" s="228" t="s">
        <v>203</v>
      </c>
      <c r="L249" s="208" t="s">
        <v>218</v>
      </c>
    </row>
    <row r="250" spans="1:12" x14ac:dyDescent="0.25">
      <c r="A250" s="224" t="str">
        <f t="shared" si="9"/>
        <v>27032026-DZ008-1</v>
      </c>
      <c r="B250" s="225">
        <v>46108</v>
      </c>
      <c r="C250" s="224" t="s">
        <v>308</v>
      </c>
      <c r="D250" s="224">
        <v>24959</v>
      </c>
      <c r="E250" s="224" t="s">
        <v>201</v>
      </c>
      <c r="F250" s="224"/>
      <c r="G250" s="227"/>
      <c r="H250" s="224"/>
      <c r="I250" s="228" t="s">
        <v>148</v>
      </c>
      <c r="J250" s="224">
        <v>1000</v>
      </c>
      <c r="K250" s="228" t="s">
        <v>203</v>
      </c>
      <c r="L250" s="208" t="s">
        <v>218</v>
      </c>
    </row>
    <row r="251" spans="1:12" x14ac:dyDescent="0.25">
      <c r="A251" s="224" t="str">
        <f t="shared" si="9"/>
        <v>27032026-DZ008-2</v>
      </c>
      <c r="B251" s="225">
        <v>46108</v>
      </c>
      <c r="C251" s="224" t="s">
        <v>308</v>
      </c>
      <c r="D251" s="224">
        <v>24959</v>
      </c>
      <c r="E251" s="224" t="s">
        <v>206</v>
      </c>
      <c r="F251" s="224"/>
      <c r="G251" s="227"/>
      <c r="H251" s="224"/>
      <c r="I251" s="228" t="s">
        <v>72</v>
      </c>
      <c r="J251" s="224">
        <v>1000</v>
      </c>
      <c r="K251" s="228" t="s">
        <v>203</v>
      </c>
      <c r="L251" s="208" t="s">
        <v>218</v>
      </c>
    </row>
    <row r="252" spans="1:12" x14ac:dyDescent="0.25">
      <c r="A252" s="224" t="str">
        <f t="shared" si="9"/>
        <v>04042026-TK151-1</v>
      </c>
      <c r="B252" s="225">
        <v>46116</v>
      </c>
      <c r="C252" s="224" t="s">
        <v>309</v>
      </c>
      <c r="D252" s="224">
        <v>3899</v>
      </c>
      <c r="E252" s="224" t="s">
        <v>201</v>
      </c>
      <c r="F252" s="224"/>
      <c r="G252" s="227"/>
      <c r="H252" s="224"/>
      <c r="I252" s="228" t="s">
        <v>148</v>
      </c>
      <c r="J252" s="224">
        <v>4000</v>
      </c>
      <c r="K252" s="228" t="s">
        <v>203</v>
      </c>
      <c r="L252" s="208" t="s">
        <v>218</v>
      </c>
    </row>
    <row r="253" spans="1:12" x14ac:dyDescent="0.25">
      <c r="A253" s="224" t="str">
        <f t="shared" si="9"/>
        <v>04042026-TK151-2</v>
      </c>
      <c r="B253" s="225">
        <v>46116</v>
      </c>
      <c r="C253" s="224" t="s">
        <v>309</v>
      </c>
      <c r="D253" s="224">
        <v>3899</v>
      </c>
      <c r="E253" s="224" t="s">
        <v>206</v>
      </c>
      <c r="F253" s="224"/>
      <c r="G253" s="227"/>
      <c r="H253" s="224"/>
      <c r="I253" s="228" t="s">
        <v>72</v>
      </c>
      <c r="J253" s="224">
        <v>4000</v>
      </c>
      <c r="K253" s="228" t="s">
        <v>203</v>
      </c>
      <c r="L253" s="208" t="s">
        <v>218</v>
      </c>
    </row>
    <row r="254" spans="1:12" x14ac:dyDescent="0.25">
      <c r="A254" s="224" t="str">
        <f t="shared" si="9"/>
        <v>04042026-TK151-3</v>
      </c>
      <c r="B254" s="225">
        <v>46116</v>
      </c>
      <c r="C254" s="224" t="s">
        <v>309</v>
      </c>
      <c r="D254" s="224">
        <v>3899</v>
      </c>
      <c r="E254" s="224" t="s">
        <v>202</v>
      </c>
      <c r="F254" s="224"/>
      <c r="G254" s="227"/>
      <c r="H254" s="224"/>
      <c r="I254" s="228" t="s">
        <v>264</v>
      </c>
      <c r="J254" s="224">
        <v>4000</v>
      </c>
      <c r="K254" s="228" t="s">
        <v>203</v>
      </c>
      <c r="L254" s="208" t="s">
        <v>218</v>
      </c>
    </row>
    <row r="255" spans="1:12" x14ac:dyDescent="0.25">
      <c r="A255" s="224" t="str">
        <f t="shared" si="9"/>
        <v>02042026-TK113-1</v>
      </c>
      <c r="B255" s="225">
        <v>46114</v>
      </c>
      <c r="C255" s="224" t="s">
        <v>260</v>
      </c>
      <c r="D255" s="224">
        <v>35490</v>
      </c>
      <c r="E255" s="224" t="s">
        <v>201</v>
      </c>
      <c r="F255" s="224"/>
      <c r="G255" s="227"/>
      <c r="H255" s="224">
        <v>493</v>
      </c>
      <c r="I255" s="228" t="s">
        <v>148</v>
      </c>
      <c r="J255" s="224">
        <v>500</v>
      </c>
      <c r="K255" s="228" t="s">
        <v>203</v>
      </c>
      <c r="L255" s="208" t="s">
        <v>218</v>
      </c>
    </row>
    <row r="256" spans="1:12" x14ac:dyDescent="0.25">
      <c r="A256" s="224" t="str">
        <f t="shared" si="9"/>
        <v>02042026-TK113-2</v>
      </c>
      <c r="B256" s="225">
        <v>46114</v>
      </c>
      <c r="C256" s="224" t="s">
        <v>260</v>
      </c>
      <c r="D256" s="224">
        <v>35490</v>
      </c>
      <c r="E256" s="224" t="s">
        <v>206</v>
      </c>
      <c r="F256" s="224"/>
      <c r="G256" s="227"/>
      <c r="H256" s="224">
        <v>493</v>
      </c>
      <c r="I256" s="228" t="s">
        <v>72</v>
      </c>
      <c r="J256" s="224">
        <v>500</v>
      </c>
      <c r="K256" s="228" t="s">
        <v>213</v>
      </c>
      <c r="L256" s="208" t="s">
        <v>218</v>
      </c>
    </row>
    <row r="257" spans="1:12" x14ac:dyDescent="0.25">
      <c r="A257" s="224" t="str">
        <f t="shared" si="9"/>
        <v>02042026-TK113-3</v>
      </c>
      <c r="B257" s="225">
        <v>46114</v>
      </c>
      <c r="C257" s="224" t="s">
        <v>260</v>
      </c>
      <c r="D257" s="224">
        <v>35490</v>
      </c>
      <c r="E257" s="224" t="s">
        <v>202</v>
      </c>
      <c r="F257" s="224"/>
      <c r="G257" s="227"/>
      <c r="H257" s="224"/>
      <c r="I257" s="228" t="s">
        <v>264</v>
      </c>
      <c r="J257" s="224">
        <v>500</v>
      </c>
      <c r="K257" s="228" t="s">
        <v>213</v>
      </c>
      <c r="L257" s="208" t="s">
        <v>218</v>
      </c>
    </row>
    <row r="258" spans="1:12" x14ac:dyDescent="0.25">
      <c r="A258" s="224" t="str">
        <f t="shared" si="9"/>
        <v>02042026-GR009-1</v>
      </c>
      <c r="B258" s="225">
        <v>46114</v>
      </c>
      <c r="C258" s="224" t="s">
        <v>296</v>
      </c>
      <c r="D258" s="224">
        <v>21611</v>
      </c>
      <c r="E258" s="224" t="s">
        <v>201</v>
      </c>
      <c r="F258" s="224"/>
      <c r="G258" s="227"/>
      <c r="H258" s="224">
        <v>238</v>
      </c>
      <c r="I258" s="228" t="s">
        <v>148</v>
      </c>
      <c r="J258" s="224">
        <v>500</v>
      </c>
      <c r="K258" s="228" t="s">
        <v>203</v>
      </c>
      <c r="L258" s="208" t="s">
        <v>218</v>
      </c>
    </row>
    <row r="259" spans="1:12" x14ac:dyDescent="0.25">
      <c r="A259" s="224" t="str">
        <f t="shared" si="9"/>
        <v>02042026-GR009-2</v>
      </c>
      <c r="B259" s="225">
        <v>46114</v>
      </c>
      <c r="C259" s="224" t="s">
        <v>296</v>
      </c>
      <c r="D259" s="224">
        <v>21611</v>
      </c>
      <c r="E259" s="224" t="s">
        <v>206</v>
      </c>
      <c r="F259" s="224"/>
      <c r="G259" s="227"/>
      <c r="H259" s="224">
        <v>571</v>
      </c>
      <c r="I259" s="228" t="s">
        <v>72</v>
      </c>
      <c r="J259" s="224">
        <v>500</v>
      </c>
      <c r="K259" s="228" t="s">
        <v>213</v>
      </c>
      <c r="L259" s="208" t="s">
        <v>218</v>
      </c>
    </row>
    <row r="260" spans="1:12" x14ac:dyDescent="0.25">
      <c r="A260" s="224" t="str">
        <f t="shared" si="9"/>
        <v>02042026-GR009-3</v>
      </c>
      <c r="B260" s="225">
        <v>46114</v>
      </c>
      <c r="C260" s="224" t="s">
        <v>296</v>
      </c>
      <c r="D260" s="224">
        <v>21611</v>
      </c>
      <c r="E260" s="224" t="s">
        <v>202</v>
      </c>
      <c r="F260" s="224"/>
      <c r="G260" s="227"/>
      <c r="H260" s="224">
        <v>1543</v>
      </c>
      <c r="I260" s="228" t="s">
        <v>264</v>
      </c>
      <c r="J260" s="224">
        <v>500</v>
      </c>
      <c r="K260" s="228" t="s">
        <v>213</v>
      </c>
      <c r="L260" s="208" t="s">
        <v>218</v>
      </c>
    </row>
    <row r="261" spans="1:12" x14ac:dyDescent="0.25">
      <c r="A261" s="224" t="str">
        <f t="shared" si="9"/>
        <v>02042026-LD001-1</v>
      </c>
      <c r="B261" s="225">
        <v>46114</v>
      </c>
      <c r="C261" s="224" t="s">
        <v>274</v>
      </c>
      <c r="D261" s="224">
        <v>31626</v>
      </c>
      <c r="E261" s="224" t="s">
        <v>201</v>
      </c>
      <c r="F261" s="224"/>
      <c r="G261" s="227"/>
      <c r="H261" s="224">
        <v>644</v>
      </c>
      <c r="I261" s="228" t="s">
        <v>148</v>
      </c>
      <c r="J261" s="224">
        <v>500</v>
      </c>
      <c r="K261" s="228" t="s">
        <v>203</v>
      </c>
      <c r="L261" s="208" t="s">
        <v>218</v>
      </c>
    </row>
    <row r="262" spans="1:12" x14ac:dyDescent="0.25">
      <c r="A262" s="224" t="str">
        <f t="shared" si="9"/>
        <v>02042026-LD001-2</v>
      </c>
      <c r="B262" s="225">
        <v>46114</v>
      </c>
      <c r="C262" s="224" t="s">
        <v>274</v>
      </c>
      <c r="D262" s="224">
        <v>31626</v>
      </c>
      <c r="E262" s="224" t="s">
        <v>206</v>
      </c>
      <c r="F262" s="224"/>
      <c r="G262" s="227"/>
      <c r="H262" s="224">
        <v>1656</v>
      </c>
      <c r="I262" s="228" t="s">
        <v>72</v>
      </c>
      <c r="J262" s="224">
        <v>500</v>
      </c>
      <c r="K262" s="228" t="s">
        <v>213</v>
      </c>
      <c r="L262" s="208" t="s">
        <v>218</v>
      </c>
    </row>
    <row r="263" spans="1:12" x14ac:dyDescent="0.25">
      <c r="A263" s="224" t="str">
        <f t="shared" si="9"/>
        <v>02042026-LD001-3</v>
      </c>
      <c r="B263" s="225">
        <v>46114</v>
      </c>
      <c r="C263" s="224" t="s">
        <v>274</v>
      </c>
      <c r="D263" s="224">
        <v>31626</v>
      </c>
      <c r="E263" s="224" t="s">
        <v>202</v>
      </c>
      <c r="F263" s="224"/>
      <c r="G263" s="227"/>
      <c r="H263" s="224"/>
      <c r="I263" s="228" t="s">
        <v>264</v>
      </c>
      <c r="J263" s="224">
        <v>500</v>
      </c>
      <c r="K263" s="228" t="s">
        <v>213</v>
      </c>
      <c r="L263" s="208" t="s">
        <v>218</v>
      </c>
    </row>
    <row r="264" spans="1:12" x14ac:dyDescent="0.25">
      <c r="A264" s="224" t="str">
        <f t="shared" si="9"/>
        <v>02042026-TK123-1</v>
      </c>
      <c r="B264" s="225">
        <v>46114</v>
      </c>
      <c r="C264" s="224" t="s">
        <v>289</v>
      </c>
      <c r="D264" s="224">
        <v>27940</v>
      </c>
      <c r="E264" s="224" t="s">
        <v>201</v>
      </c>
      <c r="F264" s="224"/>
      <c r="G264" s="227"/>
      <c r="H264" s="224">
        <v>433</v>
      </c>
      <c r="I264" s="228" t="s">
        <v>148</v>
      </c>
      <c r="J264" s="224">
        <v>4000</v>
      </c>
      <c r="K264" s="228" t="s">
        <v>203</v>
      </c>
      <c r="L264" s="208" t="s">
        <v>218</v>
      </c>
    </row>
    <row r="265" spans="1:12" x14ac:dyDescent="0.25">
      <c r="A265" s="224" t="str">
        <f t="shared" si="9"/>
        <v>02042026-TK123-2</v>
      </c>
      <c r="B265" s="225">
        <v>46114</v>
      </c>
      <c r="C265" s="224" t="s">
        <v>289</v>
      </c>
      <c r="D265" s="224">
        <v>27940</v>
      </c>
      <c r="E265" s="224" t="s">
        <v>206</v>
      </c>
      <c r="F265" s="224"/>
      <c r="G265" s="227"/>
      <c r="H265" s="224">
        <v>964</v>
      </c>
      <c r="I265" s="228" t="s">
        <v>72</v>
      </c>
      <c r="J265" s="224">
        <v>4000</v>
      </c>
      <c r="K265" s="228" t="s">
        <v>203</v>
      </c>
      <c r="L265" s="208" t="s">
        <v>218</v>
      </c>
    </row>
    <row r="266" spans="1:12" x14ac:dyDescent="0.25">
      <c r="A266" s="224" t="str">
        <f t="shared" si="9"/>
        <v>02042026-TK123-3</v>
      </c>
      <c r="B266" s="225">
        <v>46114</v>
      </c>
      <c r="C266" s="224" t="s">
        <v>289</v>
      </c>
      <c r="D266" s="224">
        <v>27940</v>
      </c>
      <c r="E266" s="224" t="s">
        <v>202</v>
      </c>
      <c r="F266" s="224"/>
      <c r="G266" s="227"/>
      <c r="H266" s="224">
        <v>3932</v>
      </c>
      <c r="I266" s="228" t="s">
        <v>264</v>
      </c>
      <c r="J266" s="224">
        <v>4000</v>
      </c>
      <c r="K266" s="228" t="s">
        <v>203</v>
      </c>
      <c r="L266" s="208" t="s">
        <v>218</v>
      </c>
    </row>
    <row r="267" spans="1:12" x14ac:dyDescent="0.25">
      <c r="A267" s="224" t="str">
        <f t="shared" si="9"/>
        <v>03042026-DR003-1</v>
      </c>
      <c r="B267" s="225">
        <v>46115</v>
      </c>
      <c r="C267" s="224" t="s">
        <v>275</v>
      </c>
      <c r="D267" s="224">
        <v>7168</v>
      </c>
      <c r="E267" s="224" t="s">
        <v>201</v>
      </c>
      <c r="F267" s="224"/>
      <c r="G267" s="227"/>
      <c r="H267" s="224"/>
      <c r="I267" s="228" t="s">
        <v>148</v>
      </c>
      <c r="J267" s="224">
        <v>250</v>
      </c>
      <c r="K267" s="228" t="s">
        <v>203</v>
      </c>
      <c r="L267" s="208" t="s">
        <v>218</v>
      </c>
    </row>
    <row r="268" spans="1:12" x14ac:dyDescent="0.25">
      <c r="A268" s="224" t="str">
        <f t="shared" si="9"/>
        <v>03042026-DZ020-1</v>
      </c>
      <c r="B268" s="225">
        <v>46115</v>
      </c>
      <c r="C268" s="224" t="s">
        <v>232</v>
      </c>
      <c r="D268" s="224">
        <v>5805</v>
      </c>
      <c r="E268" s="224" t="s">
        <v>201</v>
      </c>
      <c r="F268" s="224"/>
      <c r="G268" s="227"/>
      <c r="H268" s="224"/>
      <c r="I268" s="228" t="s">
        <v>148</v>
      </c>
      <c r="J268" s="224">
        <v>250</v>
      </c>
      <c r="K268" s="228" t="s">
        <v>203</v>
      </c>
      <c r="L268" s="208" t="s">
        <v>218</v>
      </c>
    </row>
    <row r="269" spans="1:12" x14ac:dyDescent="0.25">
      <c r="A269" s="224" t="str">
        <f t="shared" si="9"/>
        <v>03042026-EX024-1</v>
      </c>
      <c r="B269" s="225">
        <v>46115</v>
      </c>
      <c r="C269" s="224" t="s">
        <v>200</v>
      </c>
      <c r="D269" s="224">
        <v>5021</v>
      </c>
      <c r="E269" s="224" t="s">
        <v>201</v>
      </c>
      <c r="F269" s="224"/>
      <c r="G269" s="227"/>
      <c r="H269" s="224"/>
      <c r="I269" s="228" t="s">
        <v>148</v>
      </c>
      <c r="J269" s="224">
        <v>1000</v>
      </c>
      <c r="K269" s="228" t="s">
        <v>203</v>
      </c>
      <c r="L269" s="208" t="s">
        <v>218</v>
      </c>
    </row>
    <row r="270" spans="1:12" x14ac:dyDescent="0.25">
      <c r="A270" s="224" t="str">
        <f t="shared" si="9"/>
        <v>06042026-TK114-1</v>
      </c>
      <c r="B270" s="225">
        <v>46118</v>
      </c>
      <c r="C270" s="224" t="s">
        <v>205</v>
      </c>
      <c r="D270" s="224">
        <v>32428</v>
      </c>
      <c r="E270" s="224" t="s">
        <v>201</v>
      </c>
      <c r="F270" s="224"/>
      <c r="G270" s="227"/>
      <c r="H270" s="224">
        <v>439</v>
      </c>
      <c r="I270" s="228" t="s">
        <v>148</v>
      </c>
      <c r="J270" s="224">
        <v>500</v>
      </c>
      <c r="K270" s="228" t="s">
        <v>203</v>
      </c>
      <c r="L270" s="208" t="s">
        <v>218</v>
      </c>
    </row>
    <row r="271" spans="1:12" x14ac:dyDescent="0.25">
      <c r="A271" s="224" t="str">
        <f t="shared" si="9"/>
        <v>06042026-TK114-2</v>
      </c>
      <c r="B271" s="225">
        <v>46118</v>
      </c>
      <c r="C271" s="224" t="s">
        <v>205</v>
      </c>
      <c r="D271" s="224">
        <v>32428</v>
      </c>
      <c r="E271" s="224" t="s">
        <v>206</v>
      </c>
      <c r="F271" s="224"/>
      <c r="G271" s="227"/>
      <c r="H271" s="224">
        <v>439</v>
      </c>
      <c r="I271" s="228" t="s">
        <v>72</v>
      </c>
      <c r="J271" s="224">
        <v>500</v>
      </c>
      <c r="K271" s="228" t="s">
        <v>213</v>
      </c>
      <c r="L271" s="208" t="s">
        <v>218</v>
      </c>
    </row>
    <row r="272" spans="1:12" x14ac:dyDescent="0.25">
      <c r="A272" s="224" t="str">
        <f t="shared" si="9"/>
        <v>06042026-TK114-3</v>
      </c>
      <c r="B272" s="225">
        <v>46118</v>
      </c>
      <c r="C272" s="224" t="s">
        <v>205</v>
      </c>
      <c r="D272" s="224">
        <v>32428</v>
      </c>
      <c r="E272" s="224" t="s">
        <v>202</v>
      </c>
      <c r="F272" s="224"/>
      <c r="G272" s="227"/>
      <c r="H272" s="224">
        <v>439</v>
      </c>
      <c r="I272" s="228" t="s">
        <v>264</v>
      </c>
      <c r="J272" s="224">
        <v>500</v>
      </c>
      <c r="K272" s="228" t="s">
        <v>213</v>
      </c>
      <c r="L272" s="208" t="s">
        <v>218</v>
      </c>
    </row>
    <row r="273" spans="1:12" x14ac:dyDescent="0.25">
      <c r="A273" s="224" t="str">
        <f t="shared" si="9"/>
        <v>07042026-TK110-1</v>
      </c>
      <c r="B273" s="225">
        <v>46119</v>
      </c>
      <c r="C273" s="224" t="s">
        <v>276</v>
      </c>
      <c r="D273" s="224">
        <v>34008</v>
      </c>
      <c r="E273" s="224" t="s">
        <v>201</v>
      </c>
      <c r="F273" s="224"/>
      <c r="G273" s="227"/>
      <c r="H273" s="224">
        <v>427</v>
      </c>
      <c r="I273" s="228" t="s">
        <v>148</v>
      </c>
      <c r="J273" s="224">
        <v>2000</v>
      </c>
      <c r="K273" s="228" t="s">
        <v>203</v>
      </c>
      <c r="L273" s="208" t="s">
        <v>218</v>
      </c>
    </row>
    <row r="274" spans="1:12" x14ac:dyDescent="0.25">
      <c r="A274" s="224" t="str">
        <f t="shared" si="9"/>
        <v>07042026-TK110-2</v>
      </c>
      <c r="B274" s="225">
        <v>46119</v>
      </c>
      <c r="C274" s="224" t="s">
        <v>276</v>
      </c>
      <c r="D274" s="224">
        <v>34008</v>
      </c>
      <c r="E274" s="224" t="s">
        <v>206</v>
      </c>
      <c r="F274" s="224"/>
      <c r="G274" s="227"/>
      <c r="H274" s="224">
        <v>1055</v>
      </c>
      <c r="I274" s="228" t="s">
        <v>72</v>
      </c>
      <c r="J274" s="224">
        <v>2000</v>
      </c>
      <c r="K274" s="228" t="s">
        <v>203</v>
      </c>
      <c r="L274" s="208" t="s">
        <v>218</v>
      </c>
    </row>
    <row r="275" spans="1:12" x14ac:dyDescent="0.25">
      <c r="A275" s="224" t="str">
        <f t="shared" ref="A275:A284" si="10">TEXT(DAY(B275),"00")&amp;TEXT(MONTH(B275),"00")&amp;YEAR(B275)&amp;"-"&amp;C275&amp;"-"&amp;LEFT(E275,SEARCH(" ",E275&amp;" ")-1)</f>
        <v>07042026-TK110-3</v>
      </c>
      <c r="B275" s="225">
        <v>46119</v>
      </c>
      <c r="C275" s="224" t="s">
        <v>276</v>
      </c>
      <c r="D275" s="224">
        <v>34008</v>
      </c>
      <c r="E275" s="224" t="s">
        <v>202</v>
      </c>
      <c r="F275" s="224"/>
      <c r="G275" s="227"/>
      <c r="H275" s="224">
        <v>1988</v>
      </c>
      <c r="I275" s="228" t="s">
        <v>264</v>
      </c>
      <c r="J275" s="224">
        <v>2000</v>
      </c>
      <c r="K275" s="228" t="s">
        <v>213</v>
      </c>
      <c r="L275" s="208" t="s">
        <v>218</v>
      </c>
    </row>
    <row r="276" spans="1:12" x14ac:dyDescent="0.25">
      <c r="A276" s="224" t="str">
        <f t="shared" si="10"/>
        <v>14032026-TK122-2</v>
      </c>
      <c r="B276" s="225">
        <v>46095</v>
      </c>
      <c r="C276" s="224" t="s">
        <v>310</v>
      </c>
      <c r="D276" s="224">
        <v>27507</v>
      </c>
      <c r="E276" s="224" t="s">
        <v>206</v>
      </c>
      <c r="F276" s="224"/>
      <c r="G276" s="227"/>
      <c r="H276" s="224"/>
      <c r="I276" s="228" t="s">
        <v>72</v>
      </c>
      <c r="J276" s="224">
        <v>500</v>
      </c>
      <c r="K276" s="228" t="s">
        <v>213</v>
      </c>
      <c r="L276" s="208" t="s">
        <v>218</v>
      </c>
    </row>
    <row r="277" spans="1:12" x14ac:dyDescent="0.25">
      <c r="A277" s="224" t="str">
        <f t="shared" si="10"/>
        <v>14032026-TK122-3</v>
      </c>
      <c r="B277" s="225">
        <v>46095</v>
      </c>
      <c r="C277" s="224" t="s">
        <v>310</v>
      </c>
      <c r="D277" s="224">
        <v>27507</v>
      </c>
      <c r="E277" s="224" t="s">
        <v>202</v>
      </c>
      <c r="F277" s="224"/>
      <c r="G277" s="227"/>
      <c r="H277" s="224"/>
      <c r="I277" s="228" t="s">
        <v>264</v>
      </c>
      <c r="J277" s="224">
        <v>500</v>
      </c>
      <c r="K277" s="228" t="s">
        <v>213</v>
      </c>
      <c r="L277" s="208" t="s">
        <v>218</v>
      </c>
    </row>
    <row r="278" spans="1:12" x14ac:dyDescent="0.25">
      <c r="A278" s="224" t="str">
        <f t="shared" si="10"/>
        <v>11032026-TK161-2</v>
      </c>
      <c r="B278" s="225">
        <v>46092</v>
      </c>
      <c r="C278" s="224" t="s">
        <v>311</v>
      </c>
      <c r="D278" s="224">
        <v>5047</v>
      </c>
      <c r="E278" s="224" t="s">
        <v>206</v>
      </c>
      <c r="F278" s="224"/>
      <c r="G278" s="227"/>
      <c r="H278" s="224"/>
      <c r="I278" s="228" t="s">
        <v>72</v>
      </c>
      <c r="J278" s="224">
        <v>5000</v>
      </c>
      <c r="K278" s="228" t="s">
        <v>203</v>
      </c>
      <c r="L278" s="208" t="s">
        <v>218</v>
      </c>
    </row>
    <row r="279" spans="1:12" x14ac:dyDescent="0.25">
      <c r="A279" s="224" t="str">
        <f t="shared" si="10"/>
        <v>18032026-TK150-3</v>
      </c>
      <c r="B279" s="225">
        <v>46099</v>
      </c>
      <c r="C279" s="224" t="s">
        <v>277</v>
      </c>
      <c r="D279" s="224">
        <v>5485</v>
      </c>
      <c r="E279" s="224" t="s">
        <v>202</v>
      </c>
      <c r="F279" s="224"/>
      <c r="G279" s="227"/>
      <c r="H279" s="224"/>
      <c r="I279" s="228" t="s">
        <v>264</v>
      </c>
      <c r="J279" s="224">
        <v>500</v>
      </c>
      <c r="K279" s="228" t="s">
        <v>213</v>
      </c>
      <c r="L279" s="208" t="s">
        <v>218</v>
      </c>
    </row>
    <row r="280" spans="1:12" x14ac:dyDescent="0.25">
      <c r="A280" s="224" t="str">
        <f t="shared" si="10"/>
        <v>14032026-DZ009-3</v>
      </c>
      <c r="B280" s="225">
        <v>46095</v>
      </c>
      <c r="C280" s="224" t="s">
        <v>305</v>
      </c>
      <c r="D280" s="224">
        <v>25111</v>
      </c>
      <c r="E280" s="224" t="s">
        <v>202</v>
      </c>
      <c r="F280" s="224"/>
      <c r="G280" s="227"/>
      <c r="H280" s="224"/>
      <c r="I280" s="228" t="s">
        <v>264</v>
      </c>
      <c r="J280" s="224">
        <v>1000</v>
      </c>
      <c r="K280" s="228" t="s">
        <v>213</v>
      </c>
      <c r="L280" s="208" t="s">
        <v>218</v>
      </c>
    </row>
    <row r="281" spans="1:12" x14ac:dyDescent="0.25">
      <c r="A281" s="224" t="str">
        <f t="shared" si="10"/>
        <v>17032026-TK154-3</v>
      </c>
      <c r="B281" s="225">
        <v>46098</v>
      </c>
      <c r="C281" s="224" t="s">
        <v>244</v>
      </c>
      <c r="D281" s="224">
        <v>3527</v>
      </c>
      <c r="E281" s="224" t="s">
        <v>202</v>
      </c>
      <c r="F281" s="224"/>
      <c r="G281" s="227"/>
      <c r="H281" s="224"/>
      <c r="I281" s="228" t="s">
        <v>264</v>
      </c>
      <c r="J281" s="224">
        <v>500</v>
      </c>
      <c r="K281" s="228" t="s">
        <v>213</v>
      </c>
      <c r="L281" s="208" t="s">
        <v>218</v>
      </c>
    </row>
    <row r="282" spans="1:12" x14ac:dyDescent="0.25">
      <c r="A282" s="224" t="str">
        <f t="shared" si="10"/>
        <v>16032026-TK158-3</v>
      </c>
      <c r="B282" s="225">
        <v>46097</v>
      </c>
      <c r="C282" s="224" t="s">
        <v>312</v>
      </c>
      <c r="D282" s="224">
        <v>5019</v>
      </c>
      <c r="E282" s="224" t="s">
        <v>202</v>
      </c>
      <c r="F282" s="224"/>
      <c r="G282" s="227"/>
      <c r="H282" s="224"/>
      <c r="I282" s="228" t="s">
        <v>264</v>
      </c>
      <c r="J282" s="224">
        <v>5000</v>
      </c>
      <c r="K282" s="228" t="s">
        <v>213</v>
      </c>
      <c r="L282" s="208" t="s">
        <v>218</v>
      </c>
    </row>
    <row r="283" spans="1:12" x14ac:dyDescent="0.25">
      <c r="A283" s="224" t="str">
        <f t="shared" si="10"/>
        <v>17032026-TK154-2</v>
      </c>
      <c r="B283" s="225">
        <v>46098</v>
      </c>
      <c r="C283" s="224" t="s">
        <v>244</v>
      </c>
      <c r="D283" s="224">
        <v>3587</v>
      </c>
      <c r="E283" s="224" t="s">
        <v>206</v>
      </c>
      <c r="F283" s="224"/>
      <c r="G283" s="227"/>
      <c r="H283" s="224"/>
      <c r="I283" s="228" t="s">
        <v>72</v>
      </c>
      <c r="J283" s="224">
        <v>500</v>
      </c>
      <c r="K283" s="228" t="s">
        <v>213</v>
      </c>
      <c r="L283" s="208" t="s">
        <v>218</v>
      </c>
    </row>
    <row r="284" spans="1:12" x14ac:dyDescent="0.25">
      <c r="A284" s="224" t="str">
        <f t="shared" si="10"/>
        <v>15032026-TK159-3</v>
      </c>
      <c r="B284" s="225">
        <v>46096</v>
      </c>
      <c r="C284" s="224" t="s">
        <v>313</v>
      </c>
      <c r="D284" s="224">
        <v>4513</v>
      </c>
      <c r="E284" s="224" t="s">
        <v>202</v>
      </c>
      <c r="F284" s="224"/>
      <c r="G284" s="227"/>
      <c r="H284" s="224"/>
      <c r="I284" s="228" t="s">
        <v>264</v>
      </c>
      <c r="J284" s="224">
        <v>500</v>
      </c>
      <c r="K284" s="228" t="s">
        <v>213</v>
      </c>
      <c r="L284" s="208" t="s">
        <v>218</v>
      </c>
    </row>
    <row r="285" spans="1:12" x14ac:dyDescent="0.25">
      <c r="A285" s="224" t="str">
        <f t="shared" ref="A285:A348" si="11">TEXT(DAY(B285),"00")&amp;TEXT(MONTH(B285),"00")&amp;YEAR(B285)&amp;"-"&amp;C285&amp;"-"&amp;LEFT(E285,SEARCH(" ",E285&amp;" ")-1)</f>
        <v>15032026-DZ006-2</v>
      </c>
      <c r="B285" s="225">
        <v>46096</v>
      </c>
      <c r="C285" s="224" t="s">
        <v>248</v>
      </c>
      <c r="D285" s="224">
        <v>25504</v>
      </c>
      <c r="E285" s="224" t="s">
        <v>206</v>
      </c>
      <c r="F285" s="224"/>
      <c r="G285" s="227"/>
      <c r="H285" s="224"/>
      <c r="I285" s="228" t="s">
        <v>72</v>
      </c>
      <c r="J285" s="224">
        <v>500</v>
      </c>
      <c r="K285" s="228" t="s">
        <v>213</v>
      </c>
      <c r="L285" s="208" t="s">
        <v>218</v>
      </c>
    </row>
    <row r="286" spans="1:12" x14ac:dyDescent="0.25">
      <c r="A286" s="224" t="str">
        <f t="shared" si="11"/>
        <v>12032026-TK147-3</v>
      </c>
      <c r="B286" s="225">
        <v>46093</v>
      </c>
      <c r="C286" s="224" t="s">
        <v>314</v>
      </c>
      <c r="D286" s="224">
        <v>4570</v>
      </c>
      <c r="E286" s="224" t="s">
        <v>202</v>
      </c>
      <c r="F286" s="224"/>
      <c r="G286" s="227"/>
      <c r="H286" s="224"/>
      <c r="I286" s="228" t="s">
        <v>264</v>
      </c>
      <c r="J286" s="224">
        <v>500</v>
      </c>
      <c r="K286" s="228" t="s">
        <v>213</v>
      </c>
      <c r="L286" s="208" t="s">
        <v>218</v>
      </c>
    </row>
    <row r="287" spans="1:12" x14ac:dyDescent="0.25">
      <c r="A287" s="224" t="str">
        <f t="shared" si="11"/>
        <v>15032026-DZ006-3</v>
      </c>
      <c r="B287" s="225">
        <v>46096</v>
      </c>
      <c r="C287" s="224" t="s">
        <v>248</v>
      </c>
      <c r="D287" s="224">
        <v>25504</v>
      </c>
      <c r="E287" s="224" t="s">
        <v>202</v>
      </c>
      <c r="F287" s="224"/>
      <c r="G287" s="227"/>
      <c r="H287" s="224"/>
      <c r="I287" s="228" t="s">
        <v>264</v>
      </c>
      <c r="J287" s="224">
        <v>500</v>
      </c>
      <c r="K287" s="228" t="s">
        <v>213</v>
      </c>
      <c r="L287" s="208" t="s">
        <v>218</v>
      </c>
    </row>
    <row r="288" spans="1:12" x14ac:dyDescent="0.25">
      <c r="A288" s="224" t="str">
        <f t="shared" si="11"/>
        <v>14032026-DZ009-2</v>
      </c>
      <c r="B288" s="225">
        <v>46095</v>
      </c>
      <c r="C288" s="224" t="s">
        <v>305</v>
      </c>
      <c r="D288" s="224">
        <v>25111</v>
      </c>
      <c r="E288" s="224" t="s">
        <v>206</v>
      </c>
      <c r="F288" s="224"/>
      <c r="G288" s="227"/>
      <c r="H288" s="224"/>
      <c r="I288" s="228" t="s">
        <v>72</v>
      </c>
      <c r="J288" s="224">
        <v>1000</v>
      </c>
      <c r="K288" s="228" t="s">
        <v>203</v>
      </c>
      <c r="L288" s="208" t="s">
        <v>218</v>
      </c>
    </row>
    <row r="289" spans="1:12" x14ac:dyDescent="0.25">
      <c r="A289" s="224" t="str">
        <f t="shared" si="11"/>
        <v>15032026-TK159-2</v>
      </c>
      <c r="B289" s="225">
        <v>46096</v>
      </c>
      <c r="C289" s="224" t="s">
        <v>313</v>
      </c>
      <c r="D289" s="224">
        <v>4513</v>
      </c>
      <c r="E289" s="224" t="s">
        <v>206</v>
      </c>
      <c r="F289" s="224"/>
      <c r="G289" s="227"/>
      <c r="H289" s="224"/>
      <c r="I289" s="228" t="s">
        <v>72</v>
      </c>
      <c r="J289" s="224">
        <v>500</v>
      </c>
      <c r="K289" s="228" t="s">
        <v>213</v>
      </c>
      <c r="L289" s="208" t="s">
        <v>218</v>
      </c>
    </row>
    <row r="290" spans="1:12" x14ac:dyDescent="0.25">
      <c r="A290" s="224" t="str">
        <f t="shared" si="11"/>
        <v>12032026-TK147-2</v>
      </c>
      <c r="B290" s="225">
        <v>46093</v>
      </c>
      <c r="C290" s="224" t="s">
        <v>314</v>
      </c>
      <c r="D290" s="224">
        <v>4570</v>
      </c>
      <c r="E290" s="224" t="s">
        <v>206</v>
      </c>
      <c r="F290" s="224"/>
      <c r="G290" s="227"/>
      <c r="H290" s="224"/>
      <c r="I290" s="228" t="s">
        <v>72</v>
      </c>
      <c r="J290" s="224">
        <v>500</v>
      </c>
      <c r="K290" s="228" t="s">
        <v>213</v>
      </c>
      <c r="L290" s="208" t="s">
        <v>218</v>
      </c>
    </row>
    <row r="291" spans="1:12" x14ac:dyDescent="0.25">
      <c r="A291" s="224" t="str">
        <f t="shared" si="11"/>
        <v>11032026-TK155-1</v>
      </c>
      <c r="B291" s="225">
        <v>46092</v>
      </c>
      <c r="C291" s="224" t="s">
        <v>315</v>
      </c>
      <c r="D291" s="224">
        <v>5037</v>
      </c>
      <c r="E291" s="224" t="s">
        <v>201</v>
      </c>
      <c r="F291" s="224"/>
      <c r="G291" s="227"/>
      <c r="H291" s="224"/>
      <c r="I291" s="228" t="s">
        <v>71</v>
      </c>
      <c r="J291" s="224">
        <v>5000</v>
      </c>
      <c r="K291" s="228" t="s">
        <v>203</v>
      </c>
      <c r="L291" s="208" t="s">
        <v>218</v>
      </c>
    </row>
    <row r="292" spans="1:12" x14ac:dyDescent="0.25">
      <c r="A292" s="224" t="str">
        <f t="shared" si="11"/>
        <v>12032026-TK147-1</v>
      </c>
      <c r="B292" s="225">
        <v>46093</v>
      </c>
      <c r="C292" s="224" t="s">
        <v>314</v>
      </c>
      <c r="D292" s="224">
        <v>4570</v>
      </c>
      <c r="E292" s="224" t="s">
        <v>201</v>
      </c>
      <c r="F292" s="224"/>
      <c r="G292" s="227"/>
      <c r="H292" s="224"/>
      <c r="I292" s="228" t="s">
        <v>71</v>
      </c>
      <c r="J292" s="224">
        <v>500</v>
      </c>
      <c r="K292" s="228" t="s">
        <v>203</v>
      </c>
      <c r="L292" s="208" t="s">
        <v>218</v>
      </c>
    </row>
    <row r="293" spans="1:12" x14ac:dyDescent="0.25">
      <c r="A293" s="224" t="str">
        <f t="shared" si="11"/>
        <v>11032026-TK161-1</v>
      </c>
      <c r="B293" s="225">
        <v>46092</v>
      </c>
      <c r="C293" s="224" t="s">
        <v>311</v>
      </c>
      <c r="D293" s="224">
        <v>5047</v>
      </c>
      <c r="E293" s="224" t="s">
        <v>201</v>
      </c>
      <c r="F293" s="224"/>
      <c r="G293" s="227"/>
      <c r="H293" s="224"/>
      <c r="I293" s="228" t="s">
        <v>71</v>
      </c>
      <c r="J293" s="224">
        <v>5000</v>
      </c>
      <c r="K293" s="228" t="s">
        <v>203</v>
      </c>
      <c r="L293" s="208" t="s">
        <v>218</v>
      </c>
    </row>
    <row r="294" spans="1:12" x14ac:dyDescent="0.25">
      <c r="A294" s="224" t="str">
        <f t="shared" si="11"/>
        <v>11032026-TK161-3</v>
      </c>
      <c r="B294" s="225">
        <v>46092</v>
      </c>
      <c r="C294" s="224" t="s">
        <v>311</v>
      </c>
      <c r="D294" s="224">
        <v>5047</v>
      </c>
      <c r="E294" s="224" t="s">
        <v>202</v>
      </c>
      <c r="F294" s="224"/>
      <c r="G294" s="227"/>
      <c r="H294" s="224"/>
      <c r="I294" s="228" t="s">
        <v>264</v>
      </c>
      <c r="J294" s="224">
        <v>5000</v>
      </c>
      <c r="K294" s="228" t="s">
        <v>213</v>
      </c>
      <c r="L294" s="208" t="s">
        <v>218</v>
      </c>
    </row>
    <row r="295" spans="1:12" x14ac:dyDescent="0.25">
      <c r="A295" s="224" t="str">
        <f t="shared" si="11"/>
        <v>10032026-TK151-3</v>
      </c>
      <c r="B295" s="225">
        <v>46091</v>
      </c>
      <c r="C295" s="224" t="s">
        <v>309</v>
      </c>
      <c r="D295" s="224">
        <v>3434</v>
      </c>
      <c r="E295" s="224" t="s">
        <v>202</v>
      </c>
      <c r="F295" s="224"/>
      <c r="G295" s="227"/>
      <c r="H295" s="224"/>
      <c r="I295" s="228" t="s">
        <v>264</v>
      </c>
      <c r="J295" s="224">
        <v>500</v>
      </c>
      <c r="K295" s="228" t="s">
        <v>213</v>
      </c>
      <c r="L295" s="208" t="s">
        <v>218</v>
      </c>
    </row>
    <row r="296" spans="1:12" x14ac:dyDescent="0.25">
      <c r="A296" s="224" t="str">
        <f t="shared" si="11"/>
        <v>15032026-TK159-1</v>
      </c>
      <c r="B296" s="225">
        <v>46096</v>
      </c>
      <c r="C296" s="224" t="s">
        <v>313</v>
      </c>
      <c r="D296" s="224">
        <v>4513</v>
      </c>
      <c r="E296" s="224" t="s">
        <v>201</v>
      </c>
      <c r="F296" s="224"/>
      <c r="G296" s="227"/>
      <c r="H296" s="224"/>
      <c r="I296" s="228" t="s">
        <v>71</v>
      </c>
      <c r="J296" s="224">
        <v>500</v>
      </c>
      <c r="K296" s="228" t="s">
        <v>203</v>
      </c>
      <c r="L296" s="208" t="s">
        <v>218</v>
      </c>
    </row>
    <row r="297" spans="1:12" x14ac:dyDescent="0.25">
      <c r="A297" s="224" t="str">
        <f t="shared" si="11"/>
        <v>16032026-TK158-2</v>
      </c>
      <c r="B297" s="225">
        <v>46097</v>
      </c>
      <c r="C297" s="224" t="s">
        <v>312</v>
      </c>
      <c r="D297" s="224">
        <v>5019</v>
      </c>
      <c r="E297" s="224" t="s">
        <v>206</v>
      </c>
      <c r="F297" s="224"/>
      <c r="G297" s="227"/>
      <c r="H297" s="224"/>
      <c r="I297" s="228" t="s">
        <v>72</v>
      </c>
      <c r="J297" s="224">
        <v>5000</v>
      </c>
      <c r="K297" s="228" t="s">
        <v>213</v>
      </c>
      <c r="L297" s="208" t="s">
        <v>218</v>
      </c>
    </row>
    <row r="298" spans="1:12" x14ac:dyDescent="0.25">
      <c r="A298" s="224" t="str">
        <f t="shared" si="11"/>
        <v>12032026-DZ019-3</v>
      </c>
      <c r="B298" s="225">
        <v>46093</v>
      </c>
      <c r="C298" s="224" t="s">
        <v>316</v>
      </c>
      <c r="D298" s="224">
        <v>5013</v>
      </c>
      <c r="E298" s="224" t="s">
        <v>202</v>
      </c>
      <c r="F298" s="224"/>
      <c r="G298" s="227"/>
      <c r="H298" s="224"/>
      <c r="I298" s="228" t="s">
        <v>264</v>
      </c>
      <c r="J298" s="224">
        <v>1000</v>
      </c>
      <c r="K298" s="228" t="s">
        <v>213</v>
      </c>
      <c r="L298" s="208" t="s">
        <v>218</v>
      </c>
    </row>
    <row r="299" spans="1:12" x14ac:dyDescent="0.25">
      <c r="A299" s="224" t="str">
        <f t="shared" si="11"/>
        <v>12032026-DZ019-1</v>
      </c>
      <c r="B299" s="225">
        <v>46093</v>
      </c>
      <c r="C299" s="224" t="s">
        <v>316</v>
      </c>
      <c r="D299" s="224">
        <v>5013</v>
      </c>
      <c r="E299" s="224" t="s">
        <v>201</v>
      </c>
      <c r="F299" s="224"/>
      <c r="G299" s="227"/>
      <c r="H299" s="224"/>
      <c r="I299" s="228" t="s">
        <v>71</v>
      </c>
      <c r="J299" s="224">
        <v>1000</v>
      </c>
      <c r="K299" s="228" t="s">
        <v>203</v>
      </c>
      <c r="L299" s="208" t="s">
        <v>218</v>
      </c>
    </row>
    <row r="300" spans="1:12" x14ac:dyDescent="0.25">
      <c r="A300" s="224" t="str">
        <f t="shared" si="11"/>
        <v>10032026-TK117-3</v>
      </c>
      <c r="B300" s="225">
        <v>46091</v>
      </c>
      <c r="C300" s="224" t="s">
        <v>317</v>
      </c>
      <c r="D300" s="224">
        <v>27028</v>
      </c>
      <c r="E300" s="224" t="s">
        <v>202</v>
      </c>
      <c r="F300" s="224"/>
      <c r="G300" s="227"/>
      <c r="H300" s="224"/>
      <c r="I300" s="228" t="s">
        <v>264</v>
      </c>
      <c r="J300" s="224">
        <v>1000</v>
      </c>
      <c r="K300" s="228" t="s">
        <v>213</v>
      </c>
      <c r="L300" s="208" t="s">
        <v>218</v>
      </c>
    </row>
    <row r="301" spans="1:12" x14ac:dyDescent="0.25">
      <c r="A301" s="224" t="str">
        <f t="shared" si="11"/>
        <v>13032026-LD006-2</v>
      </c>
      <c r="B301" s="225">
        <v>46094</v>
      </c>
      <c r="C301" s="224" t="s">
        <v>318</v>
      </c>
      <c r="D301" s="224">
        <v>18023</v>
      </c>
      <c r="E301" s="224" t="s">
        <v>206</v>
      </c>
      <c r="F301" s="224"/>
      <c r="G301" s="227"/>
      <c r="H301" s="224"/>
      <c r="I301" s="228" t="s">
        <v>72</v>
      </c>
      <c r="J301" s="224">
        <v>2000</v>
      </c>
      <c r="K301" s="228" t="s">
        <v>203</v>
      </c>
      <c r="L301" s="208" t="s">
        <v>218</v>
      </c>
    </row>
    <row r="302" spans="1:12" x14ac:dyDescent="0.25">
      <c r="A302" s="224" t="str">
        <f t="shared" si="11"/>
        <v>13032026-LD006-3</v>
      </c>
      <c r="B302" s="225">
        <v>46094</v>
      </c>
      <c r="C302" s="224" t="s">
        <v>318</v>
      </c>
      <c r="D302" s="224">
        <v>18023</v>
      </c>
      <c r="E302" s="224" t="s">
        <v>202</v>
      </c>
      <c r="F302" s="224"/>
      <c r="G302" s="227"/>
      <c r="H302" s="224"/>
      <c r="I302" s="228" t="s">
        <v>264</v>
      </c>
      <c r="J302" s="224">
        <v>2000</v>
      </c>
      <c r="K302" s="228" t="s">
        <v>203</v>
      </c>
      <c r="L302" s="208" t="s">
        <v>218</v>
      </c>
    </row>
    <row r="303" spans="1:12" x14ac:dyDescent="0.25">
      <c r="A303" s="224" t="str">
        <f t="shared" si="11"/>
        <v>13032026-LD006-1</v>
      </c>
      <c r="B303" s="225">
        <v>46094</v>
      </c>
      <c r="C303" s="224" t="s">
        <v>318</v>
      </c>
      <c r="D303" s="224">
        <v>18023</v>
      </c>
      <c r="E303" s="224" t="s">
        <v>201</v>
      </c>
      <c r="F303" s="224"/>
      <c r="G303" s="227"/>
      <c r="H303" s="224"/>
      <c r="I303" s="228" t="s">
        <v>71</v>
      </c>
      <c r="J303" s="224">
        <v>2000</v>
      </c>
      <c r="K303" s="228" t="s">
        <v>203</v>
      </c>
      <c r="L303" s="208" t="s">
        <v>218</v>
      </c>
    </row>
    <row r="304" spans="1:12" x14ac:dyDescent="0.25">
      <c r="A304" s="224" t="str">
        <f t="shared" si="11"/>
        <v>10032026-TK109-3</v>
      </c>
      <c r="B304" s="225">
        <v>46091</v>
      </c>
      <c r="C304" s="224" t="s">
        <v>319</v>
      </c>
      <c r="D304" s="224">
        <v>29973</v>
      </c>
      <c r="E304" s="224" t="s">
        <v>202</v>
      </c>
      <c r="F304" s="224"/>
      <c r="G304" s="227"/>
      <c r="H304" s="224"/>
      <c r="I304" s="228" t="s">
        <v>264</v>
      </c>
      <c r="J304" s="224">
        <v>2000</v>
      </c>
      <c r="K304" s="228" t="s">
        <v>213</v>
      </c>
      <c r="L304" s="208" t="s">
        <v>218</v>
      </c>
    </row>
    <row r="305" spans="1:12" x14ac:dyDescent="0.25">
      <c r="A305" s="224" t="str">
        <f t="shared" si="11"/>
        <v>10032026-TK117-1</v>
      </c>
      <c r="B305" s="225">
        <v>46091</v>
      </c>
      <c r="C305" s="224" t="s">
        <v>317</v>
      </c>
      <c r="D305" s="224">
        <v>27028</v>
      </c>
      <c r="E305" s="224" t="s">
        <v>201</v>
      </c>
      <c r="F305" s="224"/>
      <c r="G305" s="227"/>
      <c r="H305" s="224"/>
      <c r="I305" s="228" t="s">
        <v>71</v>
      </c>
      <c r="J305" s="224">
        <v>1000</v>
      </c>
      <c r="K305" s="228" t="s">
        <v>203</v>
      </c>
      <c r="L305" s="208" t="s">
        <v>218</v>
      </c>
    </row>
    <row r="306" spans="1:12" x14ac:dyDescent="0.25">
      <c r="A306" s="224" t="str">
        <f t="shared" si="11"/>
        <v>10032026-TK117-2</v>
      </c>
      <c r="B306" s="225">
        <v>46091</v>
      </c>
      <c r="C306" s="224" t="s">
        <v>317</v>
      </c>
      <c r="D306" s="224">
        <v>27028</v>
      </c>
      <c r="E306" s="224" t="s">
        <v>206</v>
      </c>
      <c r="F306" s="224"/>
      <c r="G306" s="227"/>
      <c r="H306" s="224"/>
      <c r="I306" s="228" t="s">
        <v>72</v>
      </c>
      <c r="J306" s="224">
        <v>1000</v>
      </c>
      <c r="K306" s="228" t="s">
        <v>203</v>
      </c>
      <c r="L306" s="208" t="s">
        <v>218</v>
      </c>
    </row>
    <row r="307" spans="1:12" x14ac:dyDescent="0.25">
      <c r="A307" s="224" t="str">
        <f t="shared" si="11"/>
        <v>10032026-TK151-2</v>
      </c>
      <c r="B307" s="225">
        <v>46091</v>
      </c>
      <c r="C307" s="224" t="s">
        <v>309</v>
      </c>
      <c r="D307" s="224">
        <v>3434</v>
      </c>
      <c r="E307" s="224" t="s">
        <v>206</v>
      </c>
      <c r="F307" s="224"/>
      <c r="G307" s="227"/>
      <c r="H307" s="224"/>
      <c r="I307" s="228" t="s">
        <v>72</v>
      </c>
      <c r="J307" s="224">
        <v>500</v>
      </c>
      <c r="K307" s="228" t="s">
        <v>213</v>
      </c>
      <c r="L307" s="208" t="s">
        <v>218</v>
      </c>
    </row>
    <row r="308" spans="1:12" x14ac:dyDescent="0.25">
      <c r="A308" s="224" t="str">
        <f t="shared" si="11"/>
        <v>16032026-TK158-1</v>
      </c>
      <c r="B308" s="225">
        <v>46097</v>
      </c>
      <c r="C308" s="224" t="s">
        <v>312</v>
      </c>
      <c r="D308" s="224">
        <v>5019</v>
      </c>
      <c r="E308" s="224" t="s">
        <v>201</v>
      </c>
      <c r="F308" s="224"/>
      <c r="G308" s="227"/>
      <c r="H308" s="224"/>
      <c r="I308" s="228" t="s">
        <v>71</v>
      </c>
      <c r="J308" s="224">
        <v>5000</v>
      </c>
      <c r="K308" s="228" t="s">
        <v>203</v>
      </c>
      <c r="L308" s="208" t="s">
        <v>218</v>
      </c>
    </row>
    <row r="309" spans="1:12" x14ac:dyDescent="0.25">
      <c r="A309" s="224" t="str">
        <f t="shared" si="11"/>
        <v>10032026-TK151-1</v>
      </c>
      <c r="B309" s="225">
        <v>46091</v>
      </c>
      <c r="C309" s="224" t="s">
        <v>309</v>
      </c>
      <c r="D309" s="224">
        <v>3434</v>
      </c>
      <c r="E309" s="224" t="s">
        <v>201</v>
      </c>
      <c r="F309" s="224"/>
      <c r="G309" s="227"/>
      <c r="H309" s="224"/>
      <c r="I309" s="228" t="s">
        <v>71</v>
      </c>
      <c r="J309" s="224">
        <v>500</v>
      </c>
      <c r="K309" s="228" t="s">
        <v>203</v>
      </c>
      <c r="L309" s="208" t="s">
        <v>218</v>
      </c>
    </row>
    <row r="310" spans="1:12" x14ac:dyDescent="0.25">
      <c r="A310" s="224" t="str">
        <f t="shared" si="11"/>
        <v>10032026-TK109-2</v>
      </c>
      <c r="B310" s="225">
        <v>46091</v>
      </c>
      <c r="C310" s="224" t="s">
        <v>319</v>
      </c>
      <c r="D310" s="224">
        <v>29973</v>
      </c>
      <c r="E310" s="224" t="s">
        <v>206</v>
      </c>
      <c r="F310" s="224"/>
      <c r="G310" s="227"/>
      <c r="H310" s="224"/>
      <c r="I310" s="228" t="s">
        <v>72</v>
      </c>
      <c r="J310" s="224">
        <v>2000</v>
      </c>
      <c r="K310" s="228" t="s">
        <v>203</v>
      </c>
      <c r="L310" s="208" t="s">
        <v>218</v>
      </c>
    </row>
    <row r="311" spans="1:12" x14ac:dyDescent="0.25">
      <c r="A311" s="224" t="str">
        <f t="shared" si="11"/>
        <v>11032026-TK155-2</v>
      </c>
      <c r="B311" s="225">
        <v>46092</v>
      </c>
      <c r="C311" s="224" t="s">
        <v>315</v>
      </c>
      <c r="D311" s="224">
        <v>5037</v>
      </c>
      <c r="E311" s="224" t="s">
        <v>206</v>
      </c>
      <c r="F311" s="224"/>
      <c r="G311" s="227"/>
      <c r="H311" s="224"/>
      <c r="I311" s="228" t="s">
        <v>72</v>
      </c>
      <c r="J311" s="224">
        <v>5000</v>
      </c>
      <c r="K311" s="228" t="s">
        <v>213</v>
      </c>
      <c r="L311" s="208" t="s">
        <v>218</v>
      </c>
    </row>
    <row r="312" spans="1:12" x14ac:dyDescent="0.25">
      <c r="A312" s="224" t="str">
        <f t="shared" si="11"/>
        <v>06032026-DZ001-1</v>
      </c>
      <c r="B312" s="225">
        <v>46087</v>
      </c>
      <c r="C312" s="224" t="s">
        <v>300</v>
      </c>
      <c r="D312" s="224">
        <v>25061</v>
      </c>
      <c r="E312" s="224" t="s">
        <v>201</v>
      </c>
      <c r="F312" s="224"/>
      <c r="G312" s="227"/>
      <c r="H312" s="224"/>
      <c r="I312" s="228" t="s">
        <v>71</v>
      </c>
      <c r="J312" s="224">
        <v>1000</v>
      </c>
      <c r="K312" s="228" t="s">
        <v>203</v>
      </c>
      <c r="L312" s="208" t="s">
        <v>218</v>
      </c>
    </row>
    <row r="313" spans="1:12" x14ac:dyDescent="0.25">
      <c r="A313" s="224" t="str">
        <f t="shared" si="11"/>
        <v>10032026-TK109-1</v>
      </c>
      <c r="B313" s="225">
        <v>46091</v>
      </c>
      <c r="C313" s="224" t="s">
        <v>319</v>
      </c>
      <c r="D313" s="224">
        <v>29973</v>
      </c>
      <c r="E313" s="224" t="s">
        <v>201</v>
      </c>
      <c r="F313" s="224"/>
      <c r="G313" s="227"/>
      <c r="H313" s="224"/>
      <c r="I313" s="228" t="s">
        <v>71</v>
      </c>
      <c r="J313" s="224">
        <v>2000</v>
      </c>
      <c r="K313" s="228" t="s">
        <v>203</v>
      </c>
      <c r="L313" s="208" t="s">
        <v>218</v>
      </c>
    </row>
    <row r="314" spans="1:12" x14ac:dyDescent="0.25">
      <c r="A314" s="224" t="str">
        <f t="shared" si="11"/>
        <v>09032026-LD007-1</v>
      </c>
      <c r="B314" s="225">
        <v>46090</v>
      </c>
      <c r="C314" s="224" t="s">
        <v>320</v>
      </c>
      <c r="D314" s="224">
        <v>19013</v>
      </c>
      <c r="E314" s="224" t="s">
        <v>201</v>
      </c>
      <c r="F314" s="224"/>
      <c r="G314" s="227"/>
      <c r="H314" s="224"/>
      <c r="I314" s="228" t="s">
        <v>71</v>
      </c>
      <c r="J314" s="224">
        <v>1000</v>
      </c>
      <c r="K314" s="228" t="s">
        <v>203</v>
      </c>
      <c r="L314" s="208" t="s">
        <v>218</v>
      </c>
    </row>
    <row r="315" spans="1:12" x14ac:dyDescent="0.25">
      <c r="A315" s="224" t="str">
        <f t="shared" si="11"/>
        <v>06032026-DZ001-3</v>
      </c>
      <c r="B315" s="225">
        <v>46087</v>
      </c>
      <c r="C315" s="224" t="s">
        <v>300</v>
      </c>
      <c r="D315" s="224">
        <v>25061</v>
      </c>
      <c r="E315" s="224" t="s">
        <v>202</v>
      </c>
      <c r="F315" s="224"/>
      <c r="G315" s="227"/>
      <c r="H315" s="224"/>
      <c r="I315" s="228" t="s">
        <v>264</v>
      </c>
      <c r="J315" s="224">
        <v>1000</v>
      </c>
      <c r="K315" s="228" t="s">
        <v>213</v>
      </c>
      <c r="L315" s="208" t="s">
        <v>218</v>
      </c>
    </row>
    <row r="316" spans="1:12" x14ac:dyDescent="0.25">
      <c r="A316" s="224" t="str">
        <f t="shared" si="11"/>
        <v>06032026-DZ001-2</v>
      </c>
      <c r="B316" s="225">
        <v>46087</v>
      </c>
      <c r="C316" s="224" t="s">
        <v>300</v>
      </c>
      <c r="D316" s="224">
        <v>25061</v>
      </c>
      <c r="E316" s="224" t="s">
        <v>206</v>
      </c>
      <c r="F316" s="224"/>
      <c r="G316" s="227"/>
      <c r="H316" s="224"/>
      <c r="I316" s="228" t="s">
        <v>72</v>
      </c>
      <c r="J316" s="224">
        <v>1000</v>
      </c>
      <c r="K316" s="228" t="s">
        <v>213</v>
      </c>
      <c r="L316" s="208" t="s">
        <v>218</v>
      </c>
    </row>
    <row r="317" spans="1:12" x14ac:dyDescent="0.25">
      <c r="A317" s="224" t="str">
        <f t="shared" si="11"/>
        <v>07032026-LD008-1</v>
      </c>
      <c r="B317" s="225">
        <v>46088</v>
      </c>
      <c r="C317" s="224" t="s">
        <v>299</v>
      </c>
      <c r="D317" s="224">
        <v>18467</v>
      </c>
      <c r="E317" s="224" t="s">
        <v>201</v>
      </c>
      <c r="F317" s="224"/>
      <c r="G317" s="227"/>
      <c r="H317" s="224"/>
      <c r="I317" s="228" t="s">
        <v>71</v>
      </c>
      <c r="J317" s="224">
        <v>500</v>
      </c>
      <c r="K317" s="228" t="s">
        <v>203</v>
      </c>
      <c r="L317" s="208" t="s">
        <v>218</v>
      </c>
    </row>
    <row r="318" spans="1:12" x14ac:dyDescent="0.25">
      <c r="A318" s="224" t="str">
        <f t="shared" si="11"/>
        <v>09032026-TK125-1</v>
      </c>
      <c r="B318" s="225">
        <v>46090</v>
      </c>
      <c r="C318" s="224" t="s">
        <v>321</v>
      </c>
      <c r="D318" s="224">
        <v>28033</v>
      </c>
      <c r="E318" s="224" t="s">
        <v>201</v>
      </c>
      <c r="F318" s="224"/>
      <c r="G318" s="227"/>
      <c r="H318" s="224"/>
      <c r="I318" s="228" t="s">
        <v>71</v>
      </c>
      <c r="J318" s="224">
        <v>4000</v>
      </c>
      <c r="K318" s="228" t="s">
        <v>203</v>
      </c>
      <c r="L318" s="208" t="s">
        <v>218</v>
      </c>
    </row>
    <row r="319" spans="1:12" x14ac:dyDescent="0.25">
      <c r="A319" s="224" t="str">
        <f t="shared" si="11"/>
        <v>09032026-TK125-2</v>
      </c>
      <c r="B319" s="225">
        <v>46090</v>
      </c>
      <c r="C319" s="224" t="s">
        <v>321</v>
      </c>
      <c r="D319" s="224">
        <v>28033</v>
      </c>
      <c r="E319" s="224" t="s">
        <v>206</v>
      </c>
      <c r="F319" s="224"/>
      <c r="G319" s="227"/>
      <c r="H319" s="224"/>
      <c r="I319" s="228" t="s">
        <v>72</v>
      </c>
      <c r="J319" s="224">
        <v>4001</v>
      </c>
      <c r="K319" s="228" t="s">
        <v>203</v>
      </c>
      <c r="L319" s="208" t="s">
        <v>218</v>
      </c>
    </row>
    <row r="320" spans="1:12" x14ac:dyDescent="0.25">
      <c r="A320" s="224" t="str">
        <f t="shared" si="11"/>
        <v>09032026-TK125-3</v>
      </c>
      <c r="B320" s="225">
        <v>46090</v>
      </c>
      <c r="C320" s="224" t="s">
        <v>321</v>
      </c>
      <c r="D320" s="224">
        <v>28033</v>
      </c>
      <c r="E320" s="224" t="s">
        <v>202</v>
      </c>
      <c r="F320" s="224"/>
      <c r="G320" s="227"/>
      <c r="H320" s="224"/>
      <c r="I320" s="228" t="s">
        <v>264</v>
      </c>
      <c r="J320" s="224">
        <v>4000</v>
      </c>
      <c r="K320" s="228" t="s">
        <v>203</v>
      </c>
      <c r="L320" s="208" t="s">
        <v>218</v>
      </c>
    </row>
    <row r="321" spans="1:12" x14ac:dyDescent="0.25">
      <c r="A321" s="224" t="str">
        <f t="shared" si="11"/>
        <v>09032026-LD007-2</v>
      </c>
      <c r="B321" s="225">
        <v>46090</v>
      </c>
      <c r="C321" s="224" t="s">
        <v>320</v>
      </c>
      <c r="D321" s="224">
        <v>19013</v>
      </c>
      <c r="E321" s="224" t="s">
        <v>206</v>
      </c>
      <c r="F321" s="224"/>
      <c r="G321" s="227"/>
      <c r="H321" s="224"/>
      <c r="I321" s="228" t="s">
        <v>72</v>
      </c>
      <c r="J321" s="224">
        <v>1000</v>
      </c>
      <c r="K321" s="228" t="s">
        <v>203</v>
      </c>
      <c r="L321" s="208" t="s">
        <v>218</v>
      </c>
    </row>
    <row r="322" spans="1:12" x14ac:dyDescent="0.25">
      <c r="A322" s="224" t="str">
        <f t="shared" si="11"/>
        <v>09032026-LD007-3</v>
      </c>
      <c r="B322" s="225">
        <v>46090</v>
      </c>
      <c r="C322" s="224" t="s">
        <v>320</v>
      </c>
      <c r="D322" s="224">
        <v>19013</v>
      </c>
      <c r="E322" s="224" t="s">
        <v>202</v>
      </c>
      <c r="F322" s="224"/>
      <c r="G322" s="227"/>
      <c r="H322" s="224"/>
      <c r="I322" s="228" t="s">
        <v>264</v>
      </c>
      <c r="J322" s="224">
        <v>1000</v>
      </c>
      <c r="K322" s="228" t="s">
        <v>213</v>
      </c>
      <c r="L322" s="208" t="s">
        <v>218</v>
      </c>
    </row>
    <row r="323" spans="1:12" x14ac:dyDescent="0.25">
      <c r="A323" s="224" t="str">
        <f t="shared" si="11"/>
        <v>08032026-TK146-1</v>
      </c>
      <c r="B323" s="225">
        <v>46089</v>
      </c>
      <c r="C323" s="224" t="s">
        <v>261</v>
      </c>
      <c r="D323" s="224">
        <v>5033</v>
      </c>
      <c r="E323" s="224" t="s">
        <v>201</v>
      </c>
      <c r="F323" s="224"/>
      <c r="G323" s="227"/>
      <c r="H323" s="224"/>
      <c r="I323" s="228" t="s">
        <v>71</v>
      </c>
      <c r="J323" s="224">
        <v>5000</v>
      </c>
      <c r="K323" s="228" t="s">
        <v>203</v>
      </c>
      <c r="L323" s="208" t="s">
        <v>218</v>
      </c>
    </row>
    <row r="324" spans="1:12" x14ac:dyDescent="0.25">
      <c r="A324" s="224" t="str">
        <f t="shared" si="11"/>
        <v>08032026-TK146-2</v>
      </c>
      <c r="B324" s="225">
        <v>46089</v>
      </c>
      <c r="C324" s="224" t="s">
        <v>261</v>
      </c>
      <c r="D324" s="224">
        <v>5033</v>
      </c>
      <c r="E324" s="224" t="s">
        <v>206</v>
      </c>
      <c r="F324" s="224"/>
      <c r="G324" s="227"/>
      <c r="H324" s="224"/>
      <c r="I324" s="228" t="s">
        <v>72</v>
      </c>
      <c r="J324" s="224">
        <v>5000</v>
      </c>
      <c r="K324" s="228" t="s">
        <v>213</v>
      </c>
      <c r="L324" s="208" t="s">
        <v>218</v>
      </c>
    </row>
    <row r="325" spans="1:12" x14ac:dyDescent="0.25">
      <c r="A325" s="224" t="str">
        <f t="shared" si="11"/>
        <v>08032026-TK146-3</v>
      </c>
      <c r="B325" s="225">
        <v>46089</v>
      </c>
      <c r="C325" s="224" t="s">
        <v>261</v>
      </c>
      <c r="D325" s="224">
        <v>5033</v>
      </c>
      <c r="E325" s="224" t="s">
        <v>202</v>
      </c>
      <c r="F325" s="224"/>
      <c r="G325" s="227"/>
      <c r="H325" s="224"/>
      <c r="I325" s="228" t="s">
        <v>264</v>
      </c>
      <c r="J325" s="224">
        <v>5000</v>
      </c>
      <c r="K325" s="228" t="s">
        <v>213</v>
      </c>
      <c r="L325" s="208" t="s">
        <v>218</v>
      </c>
    </row>
    <row r="326" spans="1:12" x14ac:dyDescent="0.25">
      <c r="A326" s="224" t="str">
        <f t="shared" si="11"/>
        <v>06032026-EX011-1</v>
      </c>
      <c r="B326" s="225">
        <v>46087</v>
      </c>
      <c r="C326" s="224" t="s">
        <v>302</v>
      </c>
      <c r="D326" s="224">
        <v>27065</v>
      </c>
      <c r="E326" s="224" t="s">
        <v>201</v>
      </c>
      <c r="F326" s="224"/>
      <c r="G326" s="227"/>
      <c r="H326" s="224"/>
      <c r="I326" s="228" t="s">
        <v>71</v>
      </c>
      <c r="J326" s="224">
        <v>1000</v>
      </c>
      <c r="K326" s="228" t="s">
        <v>203</v>
      </c>
      <c r="L326" s="208" t="s">
        <v>218</v>
      </c>
    </row>
    <row r="327" spans="1:12" x14ac:dyDescent="0.25">
      <c r="A327" s="224" t="str">
        <f t="shared" si="11"/>
        <v>06032026-EX011-5</v>
      </c>
      <c r="B327" s="225">
        <v>46087</v>
      </c>
      <c r="C327" s="224" t="s">
        <v>302</v>
      </c>
      <c r="D327" s="224">
        <v>27065</v>
      </c>
      <c r="E327" s="224" t="s">
        <v>281</v>
      </c>
      <c r="F327" s="224"/>
      <c r="G327" s="227"/>
      <c r="H327" s="224"/>
      <c r="I327" s="228" t="s">
        <v>72</v>
      </c>
      <c r="J327" s="224">
        <v>1000</v>
      </c>
      <c r="K327" s="228" t="s">
        <v>203</v>
      </c>
      <c r="L327" s="208" t="s">
        <v>218</v>
      </c>
    </row>
    <row r="328" spans="1:12" x14ac:dyDescent="0.25">
      <c r="A328" s="224" t="str">
        <f t="shared" si="11"/>
        <v>06032026-EX011-3</v>
      </c>
      <c r="B328" s="225">
        <v>46087</v>
      </c>
      <c r="C328" s="224" t="s">
        <v>302</v>
      </c>
      <c r="D328" s="224">
        <v>27065</v>
      </c>
      <c r="E328" s="224" t="s">
        <v>202</v>
      </c>
      <c r="F328" s="224"/>
      <c r="G328" s="227"/>
      <c r="H328" s="224"/>
      <c r="I328" s="228" t="s">
        <v>264</v>
      </c>
      <c r="J328" s="224">
        <v>1000</v>
      </c>
      <c r="K328" s="228" t="s">
        <v>213</v>
      </c>
      <c r="L328" s="208" t="s">
        <v>218</v>
      </c>
    </row>
    <row r="329" spans="1:12" x14ac:dyDescent="0.25">
      <c r="A329" s="224" t="str">
        <f t="shared" si="11"/>
        <v>07032026-LD008-2</v>
      </c>
      <c r="B329" s="225">
        <v>46088</v>
      </c>
      <c r="C329" s="224" t="s">
        <v>299</v>
      </c>
      <c r="D329" s="224">
        <v>18467</v>
      </c>
      <c r="E329" s="224" t="s">
        <v>206</v>
      </c>
      <c r="F329" s="224"/>
      <c r="G329" s="227"/>
      <c r="H329" s="224"/>
      <c r="I329" s="228" t="s">
        <v>72</v>
      </c>
      <c r="J329" s="224">
        <v>500</v>
      </c>
      <c r="K329" s="228" t="s">
        <v>213</v>
      </c>
      <c r="L329" s="208" t="s">
        <v>218</v>
      </c>
    </row>
    <row r="330" spans="1:12" x14ac:dyDescent="0.25">
      <c r="A330" s="224" t="str">
        <f t="shared" si="11"/>
        <v>07032026-LD008-3</v>
      </c>
      <c r="B330" s="225">
        <v>46088</v>
      </c>
      <c r="C330" s="224" t="s">
        <v>299</v>
      </c>
      <c r="D330" s="224">
        <v>18467</v>
      </c>
      <c r="E330" s="224" t="s">
        <v>202</v>
      </c>
      <c r="F330" s="224"/>
      <c r="G330" s="227"/>
      <c r="H330" s="224"/>
      <c r="I330" s="228" t="s">
        <v>264</v>
      </c>
      <c r="J330" s="224">
        <v>500</v>
      </c>
      <c r="K330" s="228" t="s">
        <v>213</v>
      </c>
      <c r="L330" s="208" t="s">
        <v>218</v>
      </c>
    </row>
    <row r="331" spans="1:12" x14ac:dyDescent="0.25">
      <c r="A331" s="224" t="str">
        <f t="shared" si="11"/>
        <v>09032026-GR004-1</v>
      </c>
      <c r="B331" s="225">
        <v>46090</v>
      </c>
      <c r="C331" s="224" t="s">
        <v>322</v>
      </c>
      <c r="D331" s="224">
        <v>20512</v>
      </c>
      <c r="E331" s="224" t="s">
        <v>201</v>
      </c>
      <c r="F331" s="224"/>
      <c r="G331" s="227"/>
      <c r="H331" s="224"/>
      <c r="I331" s="228" t="s">
        <v>71</v>
      </c>
      <c r="J331" s="224">
        <v>500</v>
      </c>
      <c r="K331" s="228" t="s">
        <v>203</v>
      </c>
      <c r="L331" s="208" t="s">
        <v>218</v>
      </c>
    </row>
    <row r="332" spans="1:12" x14ac:dyDescent="0.25">
      <c r="A332" s="224" t="str">
        <f t="shared" si="11"/>
        <v>09032026-GR004-2</v>
      </c>
      <c r="B332" s="225">
        <v>46090</v>
      </c>
      <c r="C332" s="224" t="s">
        <v>322</v>
      </c>
      <c r="D332" s="224">
        <v>20512</v>
      </c>
      <c r="E332" s="224" t="s">
        <v>206</v>
      </c>
      <c r="F332" s="224"/>
      <c r="G332" s="227"/>
      <c r="H332" s="224"/>
      <c r="I332" s="228" t="s">
        <v>72</v>
      </c>
      <c r="J332" s="224">
        <v>500</v>
      </c>
      <c r="K332" s="228" t="s">
        <v>213</v>
      </c>
      <c r="L332" s="208" t="s">
        <v>218</v>
      </c>
    </row>
    <row r="333" spans="1:12" x14ac:dyDescent="0.25">
      <c r="A333" s="224" t="str">
        <f t="shared" si="11"/>
        <v>09032026-GR004-3</v>
      </c>
      <c r="B333" s="225">
        <v>46090</v>
      </c>
      <c r="C333" s="224" t="s">
        <v>322</v>
      </c>
      <c r="D333" s="224">
        <v>20512</v>
      </c>
      <c r="E333" s="224" t="s">
        <v>202</v>
      </c>
      <c r="F333" s="224"/>
      <c r="G333" s="227"/>
      <c r="H333" s="224"/>
      <c r="I333" s="228" t="s">
        <v>264</v>
      </c>
      <c r="J333" s="224">
        <v>500</v>
      </c>
      <c r="K333" s="228" t="s">
        <v>213</v>
      </c>
      <c r="L333" s="208" t="s">
        <v>218</v>
      </c>
    </row>
    <row r="334" spans="1:12" x14ac:dyDescent="0.25">
      <c r="A334" s="224" t="str">
        <f t="shared" si="11"/>
        <v>07032026-TK149-1</v>
      </c>
      <c r="B334" s="225">
        <v>46088</v>
      </c>
      <c r="C334" s="224" t="s">
        <v>323</v>
      </c>
      <c r="D334" s="224">
        <v>4444</v>
      </c>
      <c r="E334" s="224" t="s">
        <v>201</v>
      </c>
      <c r="F334" s="224"/>
      <c r="G334" s="227"/>
      <c r="H334" s="224"/>
      <c r="I334" s="228" t="s">
        <v>71</v>
      </c>
      <c r="J334" s="224">
        <v>1500</v>
      </c>
      <c r="K334" s="228" t="s">
        <v>203</v>
      </c>
      <c r="L334" s="208" t="s">
        <v>218</v>
      </c>
    </row>
    <row r="335" spans="1:12" x14ac:dyDescent="0.25">
      <c r="A335" s="224" t="str">
        <f t="shared" si="11"/>
        <v>07032026-TK149-2</v>
      </c>
      <c r="B335" s="225">
        <v>46088</v>
      </c>
      <c r="C335" s="224" t="s">
        <v>323</v>
      </c>
      <c r="D335" s="224">
        <v>4444</v>
      </c>
      <c r="E335" s="224" t="s">
        <v>206</v>
      </c>
      <c r="F335" s="224"/>
      <c r="G335" s="227"/>
      <c r="H335" s="224"/>
      <c r="I335" s="228" t="s">
        <v>72</v>
      </c>
      <c r="J335" s="224">
        <v>1500</v>
      </c>
      <c r="K335" s="228" t="s">
        <v>213</v>
      </c>
      <c r="L335" s="208" t="s">
        <v>218</v>
      </c>
    </row>
    <row r="336" spans="1:12" x14ac:dyDescent="0.25">
      <c r="A336" s="224" t="str">
        <f t="shared" si="11"/>
        <v>07032026-TK149-3</v>
      </c>
      <c r="B336" s="225">
        <v>46088</v>
      </c>
      <c r="C336" s="224" t="s">
        <v>323</v>
      </c>
      <c r="D336" s="224">
        <v>4444</v>
      </c>
      <c r="E336" s="224" t="s">
        <v>202</v>
      </c>
      <c r="F336" s="224"/>
      <c r="G336" s="227"/>
      <c r="H336" s="224"/>
      <c r="I336" s="228" t="s">
        <v>264</v>
      </c>
      <c r="J336" s="224">
        <v>1500</v>
      </c>
      <c r="K336" s="228" t="s">
        <v>213</v>
      </c>
      <c r="L336" s="208" t="s">
        <v>218</v>
      </c>
    </row>
    <row r="337" spans="1:12" x14ac:dyDescent="0.25">
      <c r="A337" s="224" t="str">
        <f t="shared" si="11"/>
        <v>07032026-GR016-1</v>
      </c>
      <c r="B337" s="225">
        <v>46088</v>
      </c>
      <c r="C337" s="224" t="s">
        <v>259</v>
      </c>
      <c r="D337" s="224">
        <v>3553</v>
      </c>
      <c r="E337" s="224" t="s">
        <v>201</v>
      </c>
      <c r="F337" s="224"/>
      <c r="G337" s="227"/>
      <c r="H337" s="224"/>
      <c r="I337" s="228" t="s">
        <v>71</v>
      </c>
      <c r="J337" s="224">
        <v>500</v>
      </c>
      <c r="K337" s="228" t="s">
        <v>203</v>
      </c>
      <c r="L337" s="208" t="s">
        <v>218</v>
      </c>
    </row>
    <row r="338" spans="1:12" x14ac:dyDescent="0.25">
      <c r="A338" s="224" t="str">
        <f t="shared" si="11"/>
        <v>14032026-DZ009-1</v>
      </c>
      <c r="B338" s="225">
        <v>46095</v>
      </c>
      <c r="C338" s="224" t="s">
        <v>305</v>
      </c>
      <c r="D338" s="224">
        <v>25111</v>
      </c>
      <c r="E338" s="224" t="s">
        <v>201</v>
      </c>
      <c r="F338" s="224"/>
      <c r="G338" s="227"/>
      <c r="H338" s="224"/>
      <c r="I338" s="228" t="s">
        <v>71</v>
      </c>
      <c r="J338" s="224">
        <v>1000</v>
      </c>
      <c r="K338" s="228" t="s">
        <v>203</v>
      </c>
      <c r="L338" s="208" t="s">
        <v>218</v>
      </c>
    </row>
    <row r="339" spans="1:12" x14ac:dyDescent="0.25">
      <c r="A339" s="224" t="str">
        <f t="shared" si="11"/>
        <v>14032026-TK122-1</v>
      </c>
      <c r="B339" s="225">
        <v>46095</v>
      </c>
      <c r="C339" s="224" t="s">
        <v>310</v>
      </c>
      <c r="D339" s="224">
        <v>27507</v>
      </c>
      <c r="E339" s="224" t="s">
        <v>201</v>
      </c>
      <c r="F339" s="224"/>
      <c r="G339" s="227"/>
      <c r="H339" s="224"/>
      <c r="I339" s="228" t="s">
        <v>71</v>
      </c>
      <c r="J339" s="224">
        <v>500</v>
      </c>
      <c r="K339" s="228" t="s">
        <v>203</v>
      </c>
      <c r="L339" s="208" t="s">
        <v>218</v>
      </c>
    </row>
    <row r="340" spans="1:12" x14ac:dyDescent="0.25">
      <c r="A340" s="224" t="str">
        <f t="shared" si="11"/>
        <v>22032026-TK124-3</v>
      </c>
      <c r="B340" s="225">
        <v>46103</v>
      </c>
      <c r="C340" s="224" t="s">
        <v>242</v>
      </c>
      <c r="D340" s="224">
        <v>27014</v>
      </c>
      <c r="E340" s="224" t="s">
        <v>202</v>
      </c>
      <c r="F340" s="224"/>
      <c r="G340" s="227"/>
      <c r="H340" s="224"/>
      <c r="I340" s="228" t="s">
        <v>264</v>
      </c>
      <c r="J340" s="224">
        <v>1000</v>
      </c>
      <c r="K340" s="228" t="s">
        <v>203</v>
      </c>
      <c r="L340" s="208" t="s">
        <v>218</v>
      </c>
    </row>
    <row r="341" spans="1:12" x14ac:dyDescent="0.25">
      <c r="A341" s="224" t="str">
        <f t="shared" si="11"/>
        <v>20032026-GR014-1</v>
      </c>
      <c r="B341" s="225">
        <v>46101</v>
      </c>
      <c r="C341" s="224" t="s">
        <v>257</v>
      </c>
      <c r="D341" s="224">
        <v>1037</v>
      </c>
      <c r="E341" s="224" t="s">
        <v>201</v>
      </c>
      <c r="F341" s="224"/>
      <c r="G341" s="227"/>
      <c r="H341" s="224"/>
      <c r="I341" s="228" t="s">
        <v>71</v>
      </c>
      <c r="J341" s="224">
        <v>1000</v>
      </c>
      <c r="K341" s="228" t="s">
        <v>203</v>
      </c>
      <c r="L341" s="208" t="s">
        <v>218</v>
      </c>
    </row>
    <row r="342" spans="1:12" x14ac:dyDescent="0.25">
      <c r="A342" s="224" t="str">
        <f t="shared" si="11"/>
        <v>19032026-TK106-1</v>
      </c>
      <c r="B342" s="225">
        <v>46100</v>
      </c>
      <c r="C342" s="224" t="s">
        <v>238</v>
      </c>
      <c r="D342" s="224">
        <v>29541</v>
      </c>
      <c r="E342" s="224" t="s">
        <v>201</v>
      </c>
      <c r="F342" s="224"/>
      <c r="G342" s="227"/>
      <c r="H342" s="224"/>
      <c r="I342" s="228" t="s">
        <v>71</v>
      </c>
      <c r="J342" s="224">
        <v>500</v>
      </c>
      <c r="K342" s="228" t="s">
        <v>203</v>
      </c>
      <c r="L342" s="208" t="s">
        <v>218</v>
      </c>
    </row>
    <row r="343" spans="1:12" x14ac:dyDescent="0.25">
      <c r="A343" s="224" t="str">
        <f t="shared" si="11"/>
        <v>19032026-TK106-2</v>
      </c>
      <c r="B343" s="225">
        <v>46100</v>
      </c>
      <c r="C343" s="224" t="s">
        <v>238</v>
      </c>
      <c r="D343" s="224">
        <v>29541</v>
      </c>
      <c r="E343" s="224" t="s">
        <v>206</v>
      </c>
      <c r="F343" s="224"/>
      <c r="G343" s="227"/>
      <c r="H343" s="224"/>
      <c r="I343" s="228" t="s">
        <v>72</v>
      </c>
      <c r="J343" s="224">
        <v>500</v>
      </c>
      <c r="K343" s="228" t="s">
        <v>213</v>
      </c>
      <c r="L343" s="208" t="s">
        <v>218</v>
      </c>
    </row>
    <row r="344" spans="1:12" x14ac:dyDescent="0.25">
      <c r="A344" s="224" t="str">
        <f t="shared" si="11"/>
        <v>15032026-DZ006-1</v>
      </c>
      <c r="B344" s="225">
        <v>46096</v>
      </c>
      <c r="C344" s="224" t="s">
        <v>248</v>
      </c>
      <c r="D344" s="224">
        <v>25504</v>
      </c>
      <c r="E344" s="224" t="s">
        <v>201</v>
      </c>
      <c r="F344" s="224"/>
      <c r="G344" s="227"/>
      <c r="H344" s="224"/>
      <c r="I344" s="228" t="s">
        <v>71</v>
      </c>
      <c r="J344" s="224">
        <v>500</v>
      </c>
      <c r="K344" s="228" t="s">
        <v>203</v>
      </c>
      <c r="L344" s="208" t="s">
        <v>218</v>
      </c>
    </row>
    <row r="345" spans="1:12" x14ac:dyDescent="0.25">
      <c r="A345" s="224" t="str">
        <f t="shared" si="11"/>
        <v>19032026-DZ007-3</v>
      </c>
      <c r="B345" s="225">
        <v>46100</v>
      </c>
      <c r="C345" s="224" t="s">
        <v>324</v>
      </c>
      <c r="D345" s="224">
        <v>23012</v>
      </c>
      <c r="E345" s="224" t="s">
        <v>202</v>
      </c>
      <c r="F345" s="224"/>
      <c r="G345" s="227"/>
      <c r="H345" s="224"/>
      <c r="I345" s="228" t="s">
        <v>264</v>
      </c>
      <c r="J345" s="224">
        <v>1000</v>
      </c>
      <c r="K345" s="228" t="s">
        <v>213</v>
      </c>
      <c r="L345" s="208" t="s">
        <v>218</v>
      </c>
    </row>
    <row r="346" spans="1:12" x14ac:dyDescent="0.25">
      <c r="A346" s="224" t="str">
        <f t="shared" si="11"/>
        <v>05042026-TK147-2</v>
      </c>
      <c r="B346" s="225">
        <v>46117</v>
      </c>
      <c r="C346" s="224" t="s">
        <v>314</v>
      </c>
      <c r="D346" s="224">
        <v>4890</v>
      </c>
      <c r="E346" s="224" t="s">
        <v>206</v>
      </c>
      <c r="F346" s="224"/>
      <c r="G346" s="227"/>
      <c r="H346" s="224"/>
      <c r="I346" s="228" t="s">
        <v>72</v>
      </c>
      <c r="J346" s="224">
        <v>1000</v>
      </c>
      <c r="K346" s="228" t="s">
        <v>203</v>
      </c>
      <c r="L346" s="208" t="s">
        <v>218</v>
      </c>
    </row>
    <row r="347" spans="1:12" x14ac:dyDescent="0.25">
      <c r="A347" s="224" t="str">
        <f t="shared" si="11"/>
        <v>14042026-DZ007-2</v>
      </c>
      <c r="B347" s="225">
        <v>46126</v>
      </c>
      <c r="C347" s="224" t="s">
        <v>324</v>
      </c>
      <c r="D347" s="224">
        <v>23552</v>
      </c>
      <c r="E347" s="224" t="s">
        <v>206</v>
      </c>
      <c r="F347" s="224"/>
      <c r="G347" s="227"/>
      <c r="H347" s="224"/>
      <c r="I347" s="228" t="s">
        <v>72</v>
      </c>
      <c r="J347" s="224">
        <v>500</v>
      </c>
      <c r="K347" s="228" t="s">
        <v>213</v>
      </c>
      <c r="L347" s="208" t="s">
        <v>218</v>
      </c>
    </row>
    <row r="348" spans="1:12" x14ac:dyDescent="0.25">
      <c r="A348" s="224" t="str">
        <f t="shared" si="11"/>
        <v>20032026-TK143-2</v>
      </c>
      <c r="B348" s="225">
        <v>46101</v>
      </c>
      <c r="C348" s="224" t="s">
        <v>325</v>
      </c>
      <c r="D348" s="224">
        <v>16034</v>
      </c>
      <c r="E348" s="224" t="s">
        <v>206</v>
      </c>
      <c r="F348" s="224"/>
      <c r="G348" s="227"/>
      <c r="H348" s="224"/>
      <c r="I348" s="228" t="s">
        <v>72</v>
      </c>
      <c r="J348" s="224">
        <v>8000</v>
      </c>
      <c r="K348" s="228" t="s">
        <v>203</v>
      </c>
      <c r="L348" s="208" t="s">
        <v>218</v>
      </c>
    </row>
    <row r="349" spans="1:12" x14ac:dyDescent="0.25">
      <c r="A349" s="224" t="str">
        <f t="shared" ref="A349:A391" si="12">TEXT(DAY(B349),"00")&amp;TEXT(MONTH(B349),"00")&amp;YEAR(B349)&amp;"-"&amp;C349&amp;"-"&amp;LEFT(E349,SEARCH(" ",E349&amp;" ")-1)</f>
        <v>20032026-GR014-3</v>
      </c>
      <c r="B349" s="225">
        <v>46101</v>
      </c>
      <c r="C349" s="224" t="s">
        <v>257</v>
      </c>
      <c r="D349" s="224">
        <v>1037</v>
      </c>
      <c r="E349" s="224" t="s">
        <v>202</v>
      </c>
      <c r="F349" s="224"/>
      <c r="G349" s="227"/>
      <c r="H349" s="224"/>
      <c r="I349" s="228" t="s">
        <v>264</v>
      </c>
      <c r="J349" s="224">
        <v>1000</v>
      </c>
      <c r="K349" s="228" t="s">
        <v>213</v>
      </c>
      <c r="L349" s="208" t="s">
        <v>218</v>
      </c>
    </row>
    <row r="350" spans="1:12" x14ac:dyDescent="0.25">
      <c r="A350" s="224" t="str">
        <f t="shared" si="12"/>
        <v>20032026-TK143-1</v>
      </c>
      <c r="B350" s="225">
        <v>46101</v>
      </c>
      <c r="C350" s="224" t="s">
        <v>325</v>
      </c>
      <c r="D350" s="224">
        <v>16034</v>
      </c>
      <c r="E350" s="224" t="s">
        <v>201</v>
      </c>
      <c r="F350" s="224"/>
      <c r="G350" s="227"/>
      <c r="H350" s="224"/>
      <c r="I350" s="228" t="s">
        <v>71</v>
      </c>
      <c r="J350" s="224">
        <v>8000</v>
      </c>
      <c r="K350" s="228" t="s">
        <v>203</v>
      </c>
      <c r="L350" s="208" t="s">
        <v>218</v>
      </c>
    </row>
    <row r="351" spans="1:12" x14ac:dyDescent="0.25">
      <c r="A351" s="224" t="str">
        <f t="shared" si="12"/>
        <v>19032026-DZ007-1</v>
      </c>
      <c r="B351" s="225">
        <v>46100</v>
      </c>
      <c r="C351" s="224" t="s">
        <v>324</v>
      </c>
      <c r="D351" s="224">
        <v>23012</v>
      </c>
      <c r="E351" s="224" t="s">
        <v>201</v>
      </c>
      <c r="F351" s="224"/>
      <c r="G351" s="227"/>
      <c r="H351" s="224"/>
      <c r="I351" s="228" t="s">
        <v>71</v>
      </c>
      <c r="J351" s="224">
        <v>1000</v>
      </c>
      <c r="K351" s="228" t="s">
        <v>203</v>
      </c>
      <c r="L351" s="208" t="s">
        <v>218</v>
      </c>
    </row>
    <row r="352" spans="1:12" x14ac:dyDescent="0.25">
      <c r="A352" s="224" t="str">
        <f t="shared" si="12"/>
        <v>20032026-TK143-3</v>
      </c>
      <c r="B352" s="225">
        <v>46101</v>
      </c>
      <c r="C352" s="224" t="s">
        <v>325</v>
      </c>
      <c r="D352" s="224">
        <v>16034</v>
      </c>
      <c r="E352" s="224" t="s">
        <v>202</v>
      </c>
      <c r="F352" s="224"/>
      <c r="G352" s="227"/>
      <c r="H352" s="224"/>
      <c r="I352" s="228" t="s">
        <v>264</v>
      </c>
      <c r="J352" s="224">
        <v>8000</v>
      </c>
      <c r="K352" s="228" t="s">
        <v>203</v>
      </c>
      <c r="L352" s="208" t="s">
        <v>218</v>
      </c>
    </row>
    <row r="353" spans="1:12" x14ac:dyDescent="0.25">
      <c r="A353" s="224" t="str">
        <f t="shared" si="12"/>
        <v>21032026-TK108-1</v>
      </c>
      <c r="B353" s="225">
        <v>46102</v>
      </c>
      <c r="C353" s="224" t="s">
        <v>326</v>
      </c>
      <c r="D353" s="224">
        <v>33053</v>
      </c>
      <c r="E353" s="224" t="s">
        <v>201</v>
      </c>
      <c r="F353" s="224"/>
      <c r="G353" s="227"/>
      <c r="H353" s="224"/>
      <c r="I353" s="228" t="s">
        <v>71</v>
      </c>
      <c r="J353" s="224">
        <v>1000</v>
      </c>
      <c r="K353" s="228" t="s">
        <v>203</v>
      </c>
      <c r="L353" s="208" t="s">
        <v>218</v>
      </c>
    </row>
    <row r="354" spans="1:12" x14ac:dyDescent="0.25">
      <c r="A354" s="224" t="str">
        <f t="shared" si="12"/>
        <v>21032026-TK108-2</v>
      </c>
      <c r="B354" s="225">
        <v>46102</v>
      </c>
      <c r="C354" s="224" t="s">
        <v>326</v>
      </c>
      <c r="D354" s="224">
        <v>33053</v>
      </c>
      <c r="E354" s="224" t="s">
        <v>206</v>
      </c>
      <c r="F354" s="224"/>
      <c r="G354" s="227"/>
      <c r="H354" s="224"/>
      <c r="I354" s="228" t="s">
        <v>72</v>
      </c>
      <c r="J354" s="224">
        <v>1000</v>
      </c>
      <c r="K354" s="228" t="s">
        <v>213</v>
      </c>
      <c r="L354" s="208" t="s">
        <v>218</v>
      </c>
    </row>
    <row r="355" spans="1:12" x14ac:dyDescent="0.25">
      <c r="A355" s="224" t="str">
        <f t="shared" si="12"/>
        <v>21032026-TK108-3</v>
      </c>
      <c r="B355" s="225">
        <v>46102</v>
      </c>
      <c r="C355" s="224" t="s">
        <v>326</v>
      </c>
      <c r="D355" s="224">
        <v>33053</v>
      </c>
      <c r="E355" s="224" t="s">
        <v>202</v>
      </c>
      <c r="F355" s="224"/>
      <c r="G355" s="227"/>
      <c r="H355" s="224"/>
      <c r="I355" s="228" t="s">
        <v>264</v>
      </c>
      <c r="J355" s="224">
        <v>1000</v>
      </c>
      <c r="K355" s="228" t="s">
        <v>213</v>
      </c>
      <c r="L355" s="208" t="s">
        <v>218</v>
      </c>
    </row>
    <row r="356" spans="1:12" x14ac:dyDescent="0.25">
      <c r="A356" s="224" t="str">
        <f t="shared" si="12"/>
        <v>17032026-TK154-1</v>
      </c>
      <c r="B356" s="225">
        <v>46098</v>
      </c>
      <c r="C356" s="224" t="s">
        <v>244</v>
      </c>
      <c r="D356" s="224">
        <v>3587</v>
      </c>
      <c r="E356" s="224" t="s">
        <v>201</v>
      </c>
      <c r="F356" s="224"/>
      <c r="G356" s="227"/>
      <c r="H356" s="224"/>
      <c r="I356" s="228" t="s">
        <v>71</v>
      </c>
      <c r="J356" s="224">
        <v>500</v>
      </c>
      <c r="K356" s="228" t="s">
        <v>203</v>
      </c>
      <c r="L356" s="208" t="s">
        <v>218</v>
      </c>
    </row>
    <row r="357" spans="1:12" x14ac:dyDescent="0.25">
      <c r="A357" s="224" t="str">
        <f t="shared" si="12"/>
        <v>19032026-TK106-3</v>
      </c>
      <c r="B357" s="225">
        <v>46100</v>
      </c>
      <c r="C357" s="224" t="s">
        <v>238</v>
      </c>
      <c r="D357" s="224">
        <v>29541</v>
      </c>
      <c r="E357" s="224" t="s">
        <v>202</v>
      </c>
      <c r="F357" s="224"/>
      <c r="G357" s="227"/>
      <c r="H357" s="224"/>
      <c r="I357" s="228" t="s">
        <v>264</v>
      </c>
      <c r="J357" s="224">
        <v>500</v>
      </c>
      <c r="K357" s="228" t="s">
        <v>213</v>
      </c>
      <c r="L357" s="208" t="s">
        <v>218</v>
      </c>
    </row>
    <row r="358" spans="1:12" x14ac:dyDescent="0.25">
      <c r="A358" s="224" t="str">
        <f t="shared" si="12"/>
        <v>11042026-LD005-3</v>
      </c>
      <c r="B358" s="225">
        <v>46123</v>
      </c>
      <c r="C358" s="224" t="s">
        <v>249</v>
      </c>
      <c r="D358" s="224">
        <v>19026</v>
      </c>
      <c r="E358" s="224" t="s">
        <v>202</v>
      </c>
      <c r="F358" s="224"/>
      <c r="G358" s="227"/>
      <c r="H358" s="224"/>
      <c r="I358" s="228" t="s">
        <v>264</v>
      </c>
      <c r="J358" s="224">
        <v>1000</v>
      </c>
      <c r="K358" s="228" t="s">
        <v>213</v>
      </c>
      <c r="L358" s="208" t="s">
        <v>218</v>
      </c>
    </row>
    <row r="359" spans="1:12" x14ac:dyDescent="0.25">
      <c r="A359" s="224" t="str">
        <f t="shared" si="12"/>
        <v>22032026-TK124-2</v>
      </c>
      <c r="B359" s="225">
        <v>46103</v>
      </c>
      <c r="C359" s="224" t="s">
        <v>242</v>
      </c>
      <c r="D359" s="224">
        <v>27014</v>
      </c>
      <c r="E359" s="224" t="s">
        <v>206</v>
      </c>
      <c r="F359" s="224"/>
      <c r="G359" s="227"/>
      <c r="H359" s="224"/>
      <c r="I359" s="228" t="s">
        <v>72</v>
      </c>
      <c r="J359" s="224">
        <v>1000</v>
      </c>
      <c r="K359" s="228" t="s">
        <v>203</v>
      </c>
      <c r="L359" s="208" t="s">
        <v>218</v>
      </c>
    </row>
    <row r="360" spans="1:12" x14ac:dyDescent="0.25">
      <c r="A360" s="224" t="str">
        <f t="shared" si="12"/>
        <v>23032026-DZ006-2</v>
      </c>
      <c r="B360" s="225">
        <v>46104</v>
      </c>
      <c r="C360" s="224" t="s">
        <v>248</v>
      </c>
      <c r="D360" s="224">
        <v>25668</v>
      </c>
      <c r="E360" s="224" t="s">
        <v>206</v>
      </c>
      <c r="F360" s="224"/>
      <c r="G360" s="227"/>
      <c r="H360" s="224"/>
      <c r="I360" s="228" t="s">
        <v>72</v>
      </c>
      <c r="J360" s="224">
        <v>500</v>
      </c>
      <c r="K360" s="228" t="s">
        <v>213</v>
      </c>
      <c r="L360" s="208" t="s">
        <v>218</v>
      </c>
    </row>
    <row r="361" spans="1:12" x14ac:dyDescent="0.25">
      <c r="A361" s="224" t="str">
        <f t="shared" si="12"/>
        <v>19032026-DZ007-2</v>
      </c>
      <c r="B361" s="225">
        <v>46100</v>
      </c>
      <c r="C361" s="224" t="s">
        <v>324</v>
      </c>
      <c r="D361" s="224">
        <v>23012</v>
      </c>
      <c r="E361" s="224" t="s">
        <v>206</v>
      </c>
      <c r="F361" s="224"/>
      <c r="G361" s="227"/>
      <c r="H361" s="224"/>
      <c r="I361" s="228" t="s">
        <v>72</v>
      </c>
      <c r="J361" s="224">
        <v>1000</v>
      </c>
      <c r="K361" s="228" t="s">
        <v>203</v>
      </c>
      <c r="L361" s="208" t="s">
        <v>218</v>
      </c>
    </row>
    <row r="362" spans="1:12" x14ac:dyDescent="0.25">
      <c r="A362" s="224" t="str">
        <f t="shared" si="12"/>
        <v>18032026-TK150-1</v>
      </c>
      <c r="B362" s="225">
        <v>46099</v>
      </c>
      <c r="C362" s="224" t="s">
        <v>277</v>
      </c>
      <c r="D362" s="224">
        <v>5485</v>
      </c>
      <c r="E362" s="224" t="s">
        <v>201</v>
      </c>
      <c r="F362" s="224"/>
      <c r="G362" s="227"/>
      <c r="H362" s="224"/>
      <c r="I362" s="228" t="s">
        <v>71</v>
      </c>
      <c r="J362" s="224">
        <v>500</v>
      </c>
      <c r="K362" s="228" t="s">
        <v>203</v>
      </c>
      <c r="L362" s="208" t="s">
        <v>218</v>
      </c>
    </row>
    <row r="363" spans="1:12" x14ac:dyDescent="0.25">
      <c r="A363" s="224" t="str">
        <f t="shared" si="12"/>
        <v>11042026-LD005-1</v>
      </c>
      <c r="B363" s="225">
        <v>46123</v>
      </c>
      <c r="C363" s="224" t="s">
        <v>249</v>
      </c>
      <c r="D363" s="224">
        <v>19026</v>
      </c>
      <c r="E363" s="224" t="s">
        <v>201</v>
      </c>
      <c r="F363" s="224"/>
      <c r="G363" s="227"/>
      <c r="H363" s="224"/>
      <c r="I363" s="228" t="s">
        <v>71</v>
      </c>
      <c r="J363" s="224">
        <v>1000</v>
      </c>
      <c r="K363" s="228" t="s">
        <v>203</v>
      </c>
      <c r="L363" s="208" t="s">
        <v>218</v>
      </c>
    </row>
    <row r="364" spans="1:12" x14ac:dyDescent="0.25">
      <c r="A364" s="224" t="str">
        <f t="shared" si="12"/>
        <v>23032026-DZ006-1</v>
      </c>
      <c r="B364" s="225">
        <v>46104</v>
      </c>
      <c r="C364" s="224" t="s">
        <v>248</v>
      </c>
      <c r="D364" s="224">
        <v>25668</v>
      </c>
      <c r="E364" s="224" t="s">
        <v>201</v>
      </c>
      <c r="F364" s="224"/>
      <c r="G364" s="227"/>
      <c r="H364" s="224"/>
      <c r="I364" s="228" t="s">
        <v>71</v>
      </c>
      <c r="J364" s="224">
        <v>500</v>
      </c>
      <c r="K364" s="228" t="s">
        <v>203</v>
      </c>
      <c r="L364" s="208" t="s">
        <v>218</v>
      </c>
    </row>
    <row r="365" spans="1:12" x14ac:dyDescent="0.25">
      <c r="A365" s="224" t="str">
        <f t="shared" si="12"/>
        <v>06042026-GR004-3</v>
      </c>
      <c r="B365" s="225">
        <v>46118</v>
      </c>
      <c r="C365" s="224" t="s">
        <v>322</v>
      </c>
      <c r="D365" s="224">
        <v>21052</v>
      </c>
      <c r="E365" s="224" t="s">
        <v>202</v>
      </c>
      <c r="F365" s="224"/>
      <c r="G365" s="227"/>
      <c r="H365" s="224"/>
      <c r="I365" s="228" t="s">
        <v>264</v>
      </c>
      <c r="J365" s="224">
        <v>1000</v>
      </c>
      <c r="K365" s="228" t="s">
        <v>213</v>
      </c>
      <c r="L365" s="208" t="s">
        <v>218</v>
      </c>
    </row>
    <row r="366" spans="1:12" x14ac:dyDescent="0.25">
      <c r="A366" s="224" t="str">
        <f t="shared" si="12"/>
        <v>20032026-GR014-2</v>
      </c>
      <c r="B366" s="225">
        <v>46101</v>
      </c>
      <c r="C366" s="224" t="s">
        <v>257</v>
      </c>
      <c r="D366" s="224">
        <v>1037</v>
      </c>
      <c r="E366" s="224" t="s">
        <v>206</v>
      </c>
      <c r="F366" s="224"/>
      <c r="G366" s="227"/>
      <c r="H366" s="224"/>
      <c r="I366" s="228" t="s">
        <v>72</v>
      </c>
      <c r="J366" s="224">
        <v>1000</v>
      </c>
      <c r="K366" s="228" t="s">
        <v>203</v>
      </c>
      <c r="L366" s="208" t="s">
        <v>218</v>
      </c>
    </row>
    <row r="367" spans="1:12" x14ac:dyDescent="0.25">
      <c r="A367" s="224" t="str">
        <f t="shared" si="12"/>
        <v>23032026-DZ006-3</v>
      </c>
      <c r="B367" s="225">
        <v>46104</v>
      </c>
      <c r="C367" s="224" t="s">
        <v>248</v>
      </c>
      <c r="D367" s="224">
        <v>25668</v>
      </c>
      <c r="E367" s="224" t="s">
        <v>202</v>
      </c>
      <c r="F367" s="224"/>
      <c r="G367" s="227"/>
      <c r="H367" s="224"/>
      <c r="I367" s="228" t="s">
        <v>264</v>
      </c>
      <c r="J367" s="224">
        <v>500</v>
      </c>
      <c r="K367" s="228" t="s">
        <v>213</v>
      </c>
      <c r="L367" s="208" t="s">
        <v>218</v>
      </c>
    </row>
    <row r="368" spans="1:12" x14ac:dyDescent="0.25">
      <c r="A368" s="224" t="str">
        <f t="shared" si="12"/>
        <v>18032026-TK150-2</v>
      </c>
      <c r="B368" s="225">
        <v>46099</v>
      </c>
      <c r="C368" s="224" t="s">
        <v>277</v>
      </c>
      <c r="D368" s="224">
        <v>5485</v>
      </c>
      <c r="E368" s="224" t="s">
        <v>206</v>
      </c>
      <c r="F368" s="224"/>
      <c r="G368" s="227"/>
      <c r="H368" s="224"/>
      <c r="I368" s="228" t="s">
        <v>72</v>
      </c>
      <c r="J368" s="224">
        <v>500</v>
      </c>
      <c r="K368" s="228" t="s">
        <v>213</v>
      </c>
      <c r="L368" s="208" t="s">
        <v>218</v>
      </c>
    </row>
    <row r="369" spans="1:12" x14ac:dyDescent="0.25">
      <c r="A369" s="224" t="str">
        <f t="shared" si="12"/>
        <v>22032026-TK124-1</v>
      </c>
      <c r="B369" s="225">
        <v>46103</v>
      </c>
      <c r="C369" s="224" t="s">
        <v>242</v>
      </c>
      <c r="D369" s="224">
        <v>27014</v>
      </c>
      <c r="E369" s="224" t="s">
        <v>201</v>
      </c>
      <c r="F369" s="224"/>
      <c r="G369" s="227"/>
      <c r="H369" s="224"/>
      <c r="I369" s="228" t="s">
        <v>71</v>
      </c>
      <c r="J369" s="224">
        <v>1000</v>
      </c>
      <c r="K369" s="228" t="s">
        <v>203</v>
      </c>
      <c r="L369" s="208" t="s">
        <v>218</v>
      </c>
    </row>
    <row r="370" spans="1:12" x14ac:dyDescent="0.25">
      <c r="A370" s="224" t="str">
        <f t="shared" si="12"/>
        <v>14042026-DZ007-1</v>
      </c>
      <c r="B370" s="225">
        <v>46126</v>
      </c>
      <c r="C370" s="224" t="s">
        <v>324</v>
      </c>
      <c r="D370" s="224">
        <v>23552</v>
      </c>
      <c r="E370" s="224" t="s">
        <v>201</v>
      </c>
      <c r="F370" s="224"/>
      <c r="G370" s="227"/>
      <c r="H370" s="224"/>
      <c r="I370" s="228" t="s">
        <v>71</v>
      </c>
      <c r="J370" s="224">
        <v>500</v>
      </c>
      <c r="K370" s="228" t="s">
        <v>203</v>
      </c>
      <c r="L370" s="208" t="s">
        <v>218</v>
      </c>
    </row>
    <row r="371" spans="1:12" x14ac:dyDescent="0.25">
      <c r="A371" s="224" t="str">
        <f t="shared" si="12"/>
        <v>06042026-GR004-1</v>
      </c>
      <c r="B371" s="225">
        <v>46118</v>
      </c>
      <c r="C371" s="224" t="s">
        <v>322</v>
      </c>
      <c r="D371" s="224">
        <v>21052</v>
      </c>
      <c r="E371" s="224" t="s">
        <v>201</v>
      </c>
      <c r="F371" s="224"/>
      <c r="G371" s="227"/>
      <c r="H371" s="224"/>
      <c r="I371" s="228" t="s">
        <v>71</v>
      </c>
      <c r="J371" s="224">
        <v>1000</v>
      </c>
      <c r="K371" s="228" t="s">
        <v>203</v>
      </c>
      <c r="L371" s="208" t="s">
        <v>218</v>
      </c>
    </row>
    <row r="372" spans="1:12" x14ac:dyDescent="0.25">
      <c r="A372" s="224" t="str">
        <f t="shared" si="12"/>
        <v>06042026-GR004-2</v>
      </c>
      <c r="B372" s="225">
        <v>46118</v>
      </c>
      <c r="C372" s="224" t="s">
        <v>322</v>
      </c>
      <c r="D372" s="224">
        <v>21052</v>
      </c>
      <c r="E372" s="224" t="s">
        <v>206</v>
      </c>
      <c r="F372" s="224"/>
      <c r="G372" s="227"/>
      <c r="H372" s="224"/>
      <c r="I372" s="228" t="s">
        <v>72</v>
      </c>
      <c r="J372" s="224">
        <v>1000</v>
      </c>
      <c r="K372" s="228" t="s">
        <v>203</v>
      </c>
      <c r="L372" s="208" t="s">
        <v>218</v>
      </c>
    </row>
    <row r="373" spans="1:12" x14ac:dyDescent="0.25">
      <c r="A373" s="224" t="str">
        <f t="shared" si="12"/>
        <v>11042026-LD005-2</v>
      </c>
      <c r="B373" s="225">
        <v>46123</v>
      </c>
      <c r="C373" s="224" t="s">
        <v>249</v>
      </c>
      <c r="D373" s="224">
        <v>19026</v>
      </c>
      <c r="E373" s="224" t="s">
        <v>206</v>
      </c>
      <c r="F373" s="224"/>
      <c r="G373" s="227"/>
      <c r="H373" s="224"/>
      <c r="I373" s="228" t="s">
        <v>72</v>
      </c>
      <c r="J373" s="224">
        <v>1000</v>
      </c>
      <c r="K373" s="228" t="s">
        <v>203</v>
      </c>
      <c r="L373" s="208" t="s">
        <v>218</v>
      </c>
    </row>
    <row r="374" spans="1:12" x14ac:dyDescent="0.25">
      <c r="A374" s="224" t="str">
        <f t="shared" si="12"/>
        <v>05042026-TK147-1</v>
      </c>
      <c r="B374" s="225">
        <v>46117</v>
      </c>
      <c r="C374" s="224" t="s">
        <v>314</v>
      </c>
      <c r="D374" s="224">
        <v>4890</v>
      </c>
      <c r="E374" s="224" t="s">
        <v>201</v>
      </c>
      <c r="F374" s="224"/>
      <c r="G374" s="227"/>
      <c r="H374" s="224"/>
      <c r="I374" s="228" t="s">
        <v>71</v>
      </c>
      <c r="J374" s="224">
        <v>1000</v>
      </c>
      <c r="K374" s="228" t="s">
        <v>203</v>
      </c>
      <c r="L374" s="208" t="s">
        <v>218</v>
      </c>
    </row>
    <row r="375" spans="1:12" x14ac:dyDescent="0.25">
      <c r="A375" s="224" t="str">
        <f t="shared" si="12"/>
        <v>05042026-TK147-3</v>
      </c>
      <c r="B375" s="225">
        <v>46117</v>
      </c>
      <c r="C375" s="224" t="s">
        <v>314</v>
      </c>
      <c r="D375" s="224">
        <v>4890</v>
      </c>
      <c r="E375" s="224" t="s">
        <v>202</v>
      </c>
      <c r="F375" s="224"/>
      <c r="G375" s="227"/>
      <c r="H375" s="224"/>
      <c r="I375" s="228" t="s">
        <v>264</v>
      </c>
      <c r="J375" s="224">
        <v>1000</v>
      </c>
      <c r="K375" s="228" t="s">
        <v>213</v>
      </c>
      <c r="L375" s="208" t="s">
        <v>218</v>
      </c>
    </row>
    <row r="376" spans="1:12" x14ac:dyDescent="0.25">
      <c r="A376" s="224" t="str">
        <f t="shared" si="12"/>
        <v>14042026-EX002-1</v>
      </c>
      <c r="B376" s="225">
        <v>46126</v>
      </c>
      <c r="C376" s="224" t="s">
        <v>327</v>
      </c>
      <c r="D376" s="224">
        <v>28498</v>
      </c>
      <c r="E376" s="224" t="s">
        <v>201</v>
      </c>
      <c r="F376" s="224"/>
      <c r="G376" s="227"/>
      <c r="H376" s="224"/>
      <c r="I376" s="228" t="s">
        <v>71</v>
      </c>
      <c r="J376" s="224">
        <v>500</v>
      </c>
      <c r="K376" s="228" t="s">
        <v>203</v>
      </c>
      <c r="L376" s="208" t="s">
        <v>218</v>
      </c>
    </row>
    <row r="377" spans="1:12" x14ac:dyDescent="0.25">
      <c r="A377" s="224" t="str">
        <f t="shared" si="12"/>
        <v>14042026-EX002-3</v>
      </c>
      <c r="B377" s="225">
        <v>46126</v>
      </c>
      <c r="C377" s="224" t="s">
        <v>327</v>
      </c>
      <c r="D377" s="224">
        <v>28498</v>
      </c>
      <c r="E377" s="224" t="s">
        <v>202</v>
      </c>
      <c r="F377" s="224"/>
      <c r="G377" s="227"/>
      <c r="H377" s="224"/>
      <c r="I377" s="228" t="s">
        <v>264</v>
      </c>
      <c r="J377" s="224">
        <v>500</v>
      </c>
      <c r="K377" s="228" t="s">
        <v>213</v>
      </c>
      <c r="L377" s="208" t="s">
        <v>218</v>
      </c>
    </row>
    <row r="378" spans="1:12" x14ac:dyDescent="0.25">
      <c r="A378" s="224" t="str">
        <f t="shared" si="12"/>
        <v>07042026-SN001-1</v>
      </c>
      <c r="B378" s="225">
        <v>46119</v>
      </c>
      <c r="C378" s="224" t="s">
        <v>266</v>
      </c>
      <c r="D378" s="224">
        <v>32600</v>
      </c>
      <c r="E378" s="224" t="s">
        <v>201</v>
      </c>
      <c r="F378" s="224"/>
      <c r="G378" s="227"/>
      <c r="H378" s="224"/>
      <c r="I378" s="228" t="s">
        <v>71</v>
      </c>
      <c r="J378" s="224">
        <v>500</v>
      </c>
      <c r="K378" s="228" t="s">
        <v>203</v>
      </c>
      <c r="L378" s="208" t="s">
        <v>218</v>
      </c>
    </row>
    <row r="379" spans="1:12" x14ac:dyDescent="0.25">
      <c r="A379" s="224" t="str">
        <f t="shared" si="12"/>
        <v>07042026-SN001-3</v>
      </c>
      <c r="B379" s="225">
        <v>46119</v>
      </c>
      <c r="C379" s="224" t="s">
        <v>266</v>
      </c>
      <c r="D379" s="224">
        <v>32600</v>
      </c>
      <c r="E379" s="224" t="s">
        <v>202</v>
      </c>
      <c r="F379" s="224"/>
      <c r="G379" s="227"/>
      <c r="H379" s="224"/>
      <c r="I379" s="228" t="s">
        <v>264</v>
      </c>
      <c r="J379" s="224">
        <v>500</v>
      </c>
      <c r="K379" s="228" t="s">
        <v>213</v>
      </c>
      <c r="L379" s="208" t="s">
        <v>218</v>
      </c>
    </row>
    <row r="380" spans="1:12" x14ac:dyDescent="0.25">
      <c r="A380" s="224" t="str">
        <f t="shared" si="12"/>
        <v>07042026-CR004-1</v>
      </c>
      <c r="B380" s="225">
        <v>46119</v>
      </c>
      <c r="C380" s="224" t="s">
        <v>328</v>
      </c>
      <c r="D380" s="224">
        <v>23305</v>
      </c>
      <c r="E380" s="224" t="s">
        <v>201</v>
      </c>
      <c r="F380" s="224"/>
      <c r="G380" s="227"/>
      <c r="H380" s="224"/>
      <c r="I380" s="228" t="s">
        <v>71</v>
      </c>
      <c r="J380" s="224">
        <v>500</v>
      </c>
      <c r="K380" s="228" t="s">
        <v>203</v>
      </c>
      <c r="L380" s="208" t="s">
        <v>218</v>
      </c>
    </row>
    <row r="381" spans="1:12" x14ac:dyDescent="0.25">
      <c r="A381" s="224" t="str">
        <f t="shared" si="12"/>
        <v>07042026-CR004-3</v>
      </c>
      <c r="B381" s="225">
        <v>46119</v>
      </c>
      <c r="C381" s="224" t="s">
        <v>328</v>
      </c>
      <c r="D381" s="224">
        <v>23305</v>
      </c>
      <c r="E381" s="224" t="s">
        <v>202</v>
      </c>
      <c r="F381" s="224"/>
      <c r="G381" s="227"/>
      <c r="H381" s="224"/>
      <c r="I381" s="228" t="s">
        <v>264</v>
      </c>
      <c r="J381" s="224">
        <v>500</v>
      </c>
      <c r="K381" s="228" t="s">
        <v>213</v>
      </c>
      <c r="L381" s="208" t="s">
        <v>218</v>
      </c>
    </row>
    <row r="382" spans="1:12" x14ac:dyDescent="0.25">
      <c r="A382" s="224" t="str">
        <f t="shared" si="12"/>
        <v>10042026-CR005-1</v>
      </c>
      <c r="B382" s="225">
        <v>46122</v>
      </c>
      <c r="C382" s="224" t="s">
        <v>329</v>
      </c>
      <c r="D382" s="224">
        <v>9817</v>
      </c>
      <c r="E382" s="224" t="s">
        <v>201</v>
      </c>
      <c r="F382" s="224"/>
      <c r="G382" s="227"/>
      <c r="H382" s="224"/>
      <c r="I382" s="228" t="s">
        <v>71</v>
      </c>
      <c r="J382" s="224">
        <v>1000</v>
      </c>
      <c r="K382" s="228" t="s">
        <v>203</v>
      </c>
      <c r="L382" s="208" t="s">
        <v>218</v>
      </c>
    </row>
    <row r="383" spans="1:12" x14ac:dyDescent="0.25">
      <c r="A383" s="224" t="str">
        <f t="shared" si="12"/>
        <v>10042026-SN003-1</v>
      </c>
      <c r="B383" s="225">
        <v>46122</v>
      </c>
      <c r="C383" s="224" t="s">
        <v>330</v>
      </c>
      <c r="D383" s="224">
        <v>2079</v>
      </c>
      <c r="E383" s="224" t="s">
        <v>201</v>
      </c>
      <c r="F383" s="224"/>
      <c r="G383" s="227"/>
      <c r="H383" s="224"/>
      <c r="I383" s="228" t="s">
        <v>71</v>
      </c>
      <c r="J383" s="224">
        <v>1000</v>
      </c>
      <c r="K383" s="228" t="s">
        <v>203</v>
      </c>
      <c r="L383" s="208" t="s">
        <v>218</v>
      </c>
    </row>
    <row r="384" spans="1:12" x14ac:dyDescent="0.25">
      <c r="A384" s="224" t="str">
        <f t="shared" si="12"/>
        <v>10042026-SN003-3</v>
      </c>
      <c r="B384" s="225">
        <v>46122</v>
      </c>
      <c r="C384" s="224" t="s">
        <v>330</v>
      </c>
      <c r="D384" s="224">
        <v>2079</v>
      </c>
      <c r="E384" s="224" t="s">
        <v>202</v>
      </c>
      <c r="F384" s="224"/>
      <c r="G384" s="227"/>
      <c r="H384" s="224"/>
      <c r="I384" s="228" t="s">
        <v>264</v>
      </c>
      <c r="J384" s="224">
        <v>1000</v>
      </c>
      <c r="K384" s="228" t="s">
        <v>213</v>
      </c>
      <c r="L384" s="208" t="s">
        <v>218</v>
      </c>
    </row>
    <row r="385" spans="1:12" x14ac:dyDescent="0.25">
      <c r="A385" s="224" t="str">
        <f t="shared" si="12"/>
        <v>10042026-CR005-3</v>
      </c>
      <c r="B385" s="225">
        <v>46122</v>
      </c>
      <c r="C385" s="224" t="s">
        <v>329</v>
      </c>
      <c r="D385" s="224">
        <v>9817</v>
      </c>
      <c r="E385" s="224" t="s">
        <v>202</v>
      </c>
      <c r="F385" s="224"/>
      <c r="G385" s="227"/>
      <c r="H385" s="224"/>
      <c r="I385" s="228" t="s">
        <v>264</v>
      </c>
      <c r="J385" s="224">
        <v>2000</v>
      </c>
      <c r="K385" s="228" t="s">
        <v>203</v>
      </c>
      <c r="L385" s="208" t="s">
        <v>218</v>
      </c>
    </row>
    <row r="386" spans="1:12" x14ac:dyDescent="0.25">
      <c r="A386" s="224" t="str">
        <f t="shared" si="12"/>
        <v>07042026-GR001-1</v>
      </c>
      <c r="B386" s="225">
        <v>46119</v>
      </c>
      <c r="C386" s="224" t="s">
        <v>331</v>
      </c>
      <c r="D386" s="224">
        <v>13072</v>
      </c>
      <c r="E386" s="224" t="s">
        <v>201</v>
      </c>
      <c r="F386" s="224"/>
      <c r="G386" s="227"/>
      <c r="H386" s="224">
        <v>541</v>
      </c>
      <c r="I386" s="228" t="s">
        <v>71</v>
      </c>
      <c r="J386" s="224">
        <v>1000</v>
      </c>
      <c r="K386" s="228" t="s">
        <v>203</v>
      </c>
      <c r="L386" s="208" t="s">
        <v>218</v>
      </c>
    </row>
    <row r="387" spans="1:12" x14ac:dyDescent="0.25">
      <c r="A387" s="224" t="str">
        <f t="shared" si="12"/>
        <v>07042026-GR001-2</v>
      </c>
      <c r="B387" s="225">
        <v>46119</v>
      </c>
      <c r="C387" s="224" t="s">
        <v>331</v>
      </c>
      <c r="D387" s="224">
        <v>13072</v>
      </c>
      <c r="E387" s="224" t="s">
        <v>206</v>
      </c>
      <c r="F387" s="224"/>
      <c r="G387" s="227"/>
      <c r="H387" s="224">
        <v>1022</v>
      </c>
      <c r="I387" s="228" t="s">
        <v>72</v>
      </c>
      <c r="J387" s="224">
        <v>1000</v>
      </c>
      <c r="K387" s="228" t="s">
        <v>203</v>
      </c>
      <c r="L387" s="208" t="s">
        <v>218</v>
      </c>
    </row>
    <row r="388" spans="1:12" x14ac:dyDescent="0.25">
      <c r="A388" s="224" t="str">
        <f t="shared" si="12"/>
        <v>07042026-GR001-3</v>
      </c>
      <c r="B388" s="225">
        <v>46119</v>
      </c>
      <c r="C388" s="224" t="s">
        <v>331</v>
      </c>
      <c r="D388" s="224">
        <v>13072</v>
      </c>
      <c r="E388" s="224" t="s">
        <v>202</v>
      </c>
      <c r="F388" s="224"/>
      <c r="G388" s="227"/>
      <c r="H388" s="224">
        <v>1022</v>
      </c>
      <c r="I388" s="228" t="s">
        <v>264</v>
      </c>
      <c r="J388" s="224">
        <v>1000</v>
      </c>
      <c r="K388" s="228" t="s">
        <v>213</v>
      </c>
      <c r="L388" s="208" t="s">
        <v>218</v>
      </c>
    </row>
    <row r="389" spans="1:12" x14ac:dyDescent="0.25">
      <c r="A389" s="224" t="str">
        <f t="shared" si="12"/>
        <v>11042026-DR002-1</v>
      </c>
      <c r="B389" s="225">
        <v>46123</v>
      </c>
      <c r="C389" s="224" t="s">
        <v>254</v>
      </c>
      <c r="D389" s="224">
        <v>5332</v>
      </c>
      <c r="E389" s="224" t="s">
        <v>201</v>
      </c>
      <c r="F389" s="224"/>
      <c r="G389" s="227"/>
      <c r="H389" s="224"/>
      <c r="I389" s="228" t="s">
        <v>71</v>
      </c>
      <c r="J389" s="224">
        <v>500</v>
      </c>
      <c r="K389" s="228" t="s">
        <v>203</v>
      </c>
      <c r="L389" s="208" t="s">
        <v>218</v>
      </c>
    </row>
    <row r="390" spans="1:12" x14ac:dyDescent="0.25">
      <c r="A390" s="224" t="str">
        <f t="shared" si="12"/>
        <v>11042026-GR009-1</v>
      </c>
      <c r="B390" s="225">
        <v>46123</v>
      </c>
      <c r="C390" s="224" t="s">
        <v>296</v>
      </c>
      <c r="D390" s="224">
        <v>21814</v>
      </c>
      <c r="E390" s="224" t="s">
        <v>201</v>
      </c>
      <c r="F390" s="224"/>
      <c r="G390" s="227"/>
      <c r="H390" s="224"/>
      <c r="I390" s="228" t="s">
        <v>71</v>
      </c>
      <c r="J390" s="224">
        <v>250</v>
      </c>
      <c r="K390" s="228" t="s">
        <v>203</v>
      </c>
      <c r="L390" s="208" t="s">
        <v>218</v>
      </c>
    </row>
    <row r="391" spans="1:12" x14ac:dyDescent="0.25">
      <c r="A391" s="224" t="str">
        <f t="shared" si="12"/>
        <v>12042026-TK107-1</v>
      </c>
      <c r="B391" s="225">
        <v>46124</v>
      </c>
      <c r="C391" s="224" t="s">
        <v>207</v>
      </c>
      <c r="D391" s="224">
        <v>31965</v>
      </c>
      <c r="E391" s="224" t="s">
        <v>201</v>
      </c>
      <c r="F391" s="224"/>
      <c r="G391" s="227"/>
      <c r="H391" s="224">
        <v>473</v>
      </c>
      <c r="I391" s="228" t="s">
        <v>71</v>
      </c>
      <c r="J391" s="224">
        <v>8000</v>
      </c>
      <c r="K391" s="228" t="s">
        <v>203</v>
      </c>
      <c r="L391" s="208" t="s">
        <v>218</v>
      </c>
    </row>
    <row r="392" spans="1:12" x14ac:dyDescent="0.25">
      <c r="A392" s="224" t="str">
        <f t="shared" ref="A392:A424" si="13">TEXT(DAY(B392),"00")&amp;TEXT(MONTH(B392),"00")&amp;YEAR(B392)&amp;"-"&amp;C392&amp;"-"&amp;LEFT(E392,SEARCH(" ",E392&amp;" ")-1)</f>
        <v>12042026-TK107-2</v>
      </c>
      <c r="B392" s="225">
        <v>46124</v>
      </c>
      <c r="C392" s="224" t="s">
        <v>207</v>
      </c>
      <c r="D392" s="224">
        <v>31965</v>
      </c>
      <c r="E392" s="224" t="s">
        <v>206</v>
      </c>
      <c r="F392" s="224"/>
      <c r="G392" s="227"/>
      <c r="H392" s="224">
        <v>939</v>
      </c>
      <c r="I392" s="228" t="s">
        <v>72</v>
      </c>
      <c r="J392" s="224">
        <v>8000</v>
      </c>
      <c r="K392" s="228" t="s">
        <v>203</v>
      </c>
      <c r="L392" s="208" t="s">
        <v>218</v>
      </c>
    </row>
    <row r="393" spans="1:12" x14ac:dyDescent="0.25">
      <c r="A393" s="224" t="str">
        <f t="shared" si="13"/>
        <v>12042026-TK107-3</v>
      </c>
      <c r="B393" s="225">
        <v>46124</v>
      </c>
      <c r="C393" s="224" t="s">
        <v>207</v>
      </c>
      <c r="D393" s="224">
        <v>31965</v>
      </c>
      <c r="E393" s="224" t="s">
        <v>202</v>
      </c>
      <c r="F393" s="224"/>
      <c r="G393" s="227"/>
      <c r="H393" s="224"/>
      <c r="I393" s="228" t="s">
        <v>264</v>
      </c>
      <c r="J393" s="224">
        <v>8000</v>
      </c>
      <c r="K393" s="228" t="s">
        <v>203</v>
      </c>
      <c r="L393" s="208" t="s">
        <v>218</v>
      </c>
    </row>
    <row r="394" spans="1:12" x14ac:dyDescent="0.25">
      <c r="A394" s="224" t="str">
        <f t="shared" si="13"/>
        <v>13042026-TK108-1</v>
      </c>
      <c r="B394" s="225">
        <v>46125</v>
      </c>
      <c r="C394" s="224" t="s">
        <v>326</v>
      </c>
      <c r="D394" s="224">
        <v>33563</v>
      </c>
      <c r="E394" s="224" t="s">
        <v>201</v>
      </c>
      <c r="F394" s="224"/>
      <c r="G394" s="227"/>
      <c r="H394" s="224"/>
      <c r="I394" s="228" t="s">
        <v>71</v>
      </c>
      <c r="J394" s="224">
        <v>500</v>
      </c>
      <c r="K394" s="228" t="s">
        <v>203</v>
      </c>
      <c r="L394" s="208" t="s">
        <v>218</v>
      </c>
    </row>
    <row r="395" spans="1:12" x14ac:dyDescent="0.25">
      <c r="A395" s="224" t="str">
        <f t="shared" si="13"/>
        <v>15042026-DZ001-1</v>
      </c>
      <c r="B395" s="225">
        <v>46127</v>
      </c>
      <c r="C395" s="224" t="s">
        <v>300</v>
      </c>
      <c r="D395" s="224">
        <v>25997</v>
      </c>
      <c r="E395" s="224" t="s">
        <v>201</v>
      </c>
      <c r="F395" s="224"/>
      <c r="G395" s="227"/>
      <c r="H395" s="224"/>
      <c r="I395" s="228" t="s">
        <v>71</v>
      </c>
      <c r="J395" s="224">
        <v>2000</v>
      </c>
      <c r="K395" s="228" t="s">
        <v>203</v>
      </c>
      <c r="L395" s="208" t="s">
        <v>218</v>
      </c>
    </row>
    <row r="396" spans="1:12" x14ac:dyDescent="0.25">
      <c r="A396" s="224" t="str">
        <f t="shared" si="13"/>
        <v>15042026-DZ001-2</v>
      </c>
      <c r="B396" s="225">
        <v>46127</v>
      </c>
      <c r="C396" s="224" t="s">
        <v>300</v>
      </c>
      <c r="D396" s="224">
        <v>25997</v>
      </c>
      <c r="E396" s="224" t="s">
        <v>206</v>
      </c>
      <c r="F396" s="224"/>
      <c r="G396" s="227"/>
      <c r="H396" s="224"/>
      <c r="I396" s="228" t="s">
        <v>72</v>
      </c>
      <c r="J396" s="224">
        <v>2000</v>
      </c>
      <c r="K396" s="228" t="s">
        <v>203</v>
      </c>
      <c r="L396" s="208" t="s">
        <v>218</v>
      </c>
    </row>
    <row r="397" spans="1:12" x14ac:dyDescent="0.25">
      <c r="A397" s="224" t="str">
        <f t="shared" si="13"/>
        <v>15042026-DZ001-3</v>
      </c>
      <c r="B397" s="225">
        <v>46127</v>
      </c>
      <c r="C397" s="224" t="s">
        <v>300</v>
      </c>
      <c r="D397" s="224">
        <v>25997</v>
      </c>
      <c r="E397" s="224" t="s">
        <v>202</v>
      </c>
      <c r="F397" s="224"/>
      <c r="G397" s="227"/>
      <c r="H397" s="224"/>
      <c r="I397" s="228" t="s">
        <v>264</v>
      </c>
      <c r="J397" s="224">
        <v>2000</v>
      </c>
      <c r="K397" s="228" t="s">
        <v>203</v>
      </c>
      <c r="L397" s="208" t="s">
        <v>218</v>
      </c>
    </row>
    <row r="398" spans="1:12" x14ac:dyDescent="0.25">
      <c r="A398" s="224" t="str">
        <f t="shared" si="13"/>
        <v>21042026-EX001-1</v>
      </c>
      <c r="B398" s="225">
        <v>46133</v>
      </c>
      <c r="C398" s="224" t="s">
        <v>332</v>
      </c>
      <c r="D398" s="224">
        <v>31001</v>
      </c>
      <c r="E398" s="224" t="s">
        <v>201</v>
      </c>
      <c r="F398" s="224"/>
      <c r="G398" s="227"/>
      <c r="H398" s="224"/>
      <c r="I398" s="228" t="s">
        <v>71</v>
      </c>
      <c r="J398" s="224">
        <v>1000</v>
      </c>
      <c r="K398" s="228" t="s">
        <v>203</v>
      </c>
      <c r="L398" s="208" t="s">
        <v>218</v>
      </c>
    </row>
    <row r="399" spans="1:12" x14ac:dyDescent="0.25">
      <c r="A399" s="224" t="str">
        <f t="shared" si="13"/>
        <v>21042026-EX001-3</v>
      </c>
      <c r="B399" s="225">
        <v>46133</v>
      </c>
      <c r="C399" s="224" t="s">
        <v>332</v>
      </c>
      <c r="D399" s="224">
        <v>31001</v>
      </c>
      <c r="E399" s="224" t="s">
        <v>202</v>
      </c>
      <c r="F399" s="224"/>
      <c r="G399" s="227"/>
      <c r="H399" s="224"/>
      <c r="I399" s="228" t="s">
        <v>264</v>
      </c>
      <c r="J399" s="224">
        <v>1000</v>
      </c>
      <c r="K399" s="228" t="s">
        <v>213</v>
      </c>
      <c r="L399" s="208" t="s">
        <v>218</v>
      </c>
    </row>
    <row r="400" spans="1:12" x14ac:dyDescent="0.25">
      <c r="A400" s="224" t="str">
        <f t="shared" si="13"/>
        <v>19042026-EX003-1</v>
      </c>
      <c r="B400" s="225">
        <v>46131</v>
      </c>
      <c r="C400" s="224" t="s">
        <v>333</v>
      </c>
      <c r="D400" s="224">
        <v>29992</v>
      </c>
      <c r="E400" s="224" t="s">
        <v>201</v>
      </c>
      <c r="F400" s="224"/>
      <c r="G400" s="227"/>
      <c r="H400" s="224"/>
      <c r="I400" s="228" t="s">
        <v>71</v>
      </c>
      <c r="J400" s="224">
        <v>2000</v>
      </c>
      <c r="K400" s="228" t="s">
        <v>203</v>
      </c>
      <c r="L400" s="208" t="s">
        <v>218</v>
      </c>
    </row>
    <row r="401" spans="1:12" x14ac:dyDescent="0.25">
      <c r="A401" s="224" t="str">
        <f t="shared" si="13"/>
        <v>19042026-EX003-3</v>
      </c>
      <c r="B401" s="225">
        <v>46131</v>
      </c>
      <c r="C401" s="224" t="s">
        <v>333</v>
      </c>
      <c r="D401" s="224">
        <v>29992</v>
      </c>
      <c r="E401" s="224" t="s">
        <v>202</v>
      </c>
      <c r="F401" s="224"/>
      <c r="G401" s="227"/>
      <c r="H401" s="224"/>
      <c r="I401" s="228" t="s">
        <v>264</v>
      </c>
      <c r="J401" s="224">
        <v>2000</v>
      </c>
      <c r="K401" s="228" t="s">
        <v>213</v>
      </c>
      <c r="L401" s="208" t="s">
        <v>218</v>
      </c>
    </row>
    <row r="402" spans="1:12" x14ac:dyDescent="0.25">
      <c r="A402" s="224" t="str">
        <f t="shared" si="13"/>
        <v>16042026-DZ005-1</v>
      </c>
      <c r="B402" s="225">
        <v>46128</v>
      </c>
      <c r="C402" s="224" t="s">
        <v>303</v>
      </c>
      <c r="D402" s="224">
        <v>22948</v>
      </c>
      <c r="E402" s="224" t="s">
        <v>201</v>
      </c>
      <c r="F402" s="224"/>
      <c r="G402" s="227"/>
      <c r="H402" s="224"/>
      <c r="I402" s="228" t="s">
        <v>71</v>
      </c>
      <c r="J402" s="224">
        <v>1000</v>
      </c>
      <c r="K402" s="228" t="s">
        <v>203</v>
      </c>
      <c r="L402" s="208" t="s">
        <v>218</v>
      </c>
    </row>
    <row r="403" spans="1:12" x14ac:dyDescent="0.25">
      <c r="A403" s="224" t="str">
        <f t="shared" si="13"/>
        <v>16042026-DZ005-2</v>
      </c>
      <c r="B403" s="225">
        <v>46128</v>
      </c>
      <c r="C403" s="224" t="s">
        <v>303</v>
      </c>
      <c r="D403" s="224">
        <v>22948</v>
      </c>
      <c r="E403" s="224" t="s">
        <v>206</v>
      </c>
      <c r="F403" s="224"/>
      <c r="G403" s="227"/>
      <c r="H403" s="224"/>
      <c r="I403" s="228" t="s">
        <v>72</v>
      </c>
      <c r="J403" s="224">
        <v>1000</v>
      </c>
      <c r="K403" s="228" t="s">
        <v>203</v>
      </c>
      <c r="L403" s="208" t="s">
        <v>218</v>
      </c>
    </row>
    <row r="404" spans="1:12" x14ac:dyDescent="0.25">
      <c r="A404" s="224" t="str">
        <f t="shared" si="13"/>
        <v>18042026-TK157-1</v>
      </c>
      <c r="B404" s="225">
        <v>46130</v>
      </c>
      <c r="C404" s="224" t="s">
        <v>237</v>
      </c>
      <c r="D404" s="224">
        <v>6016</v>
      </c>
      <c r="E404" s="224" t="s">
        <v>201</v>
      </c>
      <c r="F404" s="224"/>
      <c r="G404" s="227"/>
      <c r="H404" s="224"/>
      <c r="I404" s="228" t="s">
        <v>71</v>
      </c>
      <c r="J404" s="224">
        <v>6000</v>
      </c>
      <c r="K404" s="228" t="s">
        <v>203</v>
      </c>
      <c r="L404" s="208" t="s">
        <v>218</v>
      </c>
    </row>
    <row r="405" spans="1:12" x14ac:dyDescent="0.25">
      <c r="A405" s="224" t="str">
        <f t="shared" si="13"/>
        <v>18042026-TK157-2</v>
      </c>
      <c r="B405" s="225">
        <v>46130</v>
      </c>
      <c r="C405" s="224" t="s">
        <v>237</v>
      </c>
      <c r="D405" s="224">
        <v>6016</v>
      </c>
      <c r="E405" s="224" t="s">
        <v>206</v>
      </c>
      <c r="F405" s="224"/>
      <c r="G405" s="227"/>
      <c r="H405" s="224"/>
      <c r="I405" s="228" t="s">
        <v>72</v>
      </c>
      <c r="J405" s="224">
        <v>6000</v>
      </c>
      <c r="K405" s="228" t="s">
        <v>203</v>
      </c>
      <c r="L405" s="208" t="s">
        <v>218</v>
      </c>
    </row>
    <row r="406" spans="1:12" x14ac:dyDescent="0.25">
      <c r="A406" s="224" t="str">
        <f t="shared" si="13"/>
        <v>18042026-TK157-3</v>
      </c>
      <c r="B406" s="225">
        <v>46130</v>
      </c>
      <c r="C406" s="224" t="s">
        <v>237</v>
      </c>
      <c r="D406" s="224">
        <v>6016</v>
      </c>
      <c r="E406" s="224" t="s">
        <v>202</v>
      </c>
      <c r="F406" s="224"/>
      <c r="G406" s="227"/>
      <c r="H406" s="224"/>
      <c r="I406" s="228" t="s">
        <v>264</v>
      </c>
      <c r="J406" s="224">
        <v>6000</v>
      </c>
      <c r="K406" s="228" t="s">
        <v>203</v>
      </c>
      <c r="L406" s="208" t="s">
        <v>218</v>
      </c>
    </row>
    <row r="407" spans="1:12" x14ac:dyDescent="0.25">
      <c r="A407" s="224" t="str">
        <f t="shared" si="13"/>
        <v>19042026-DZ002-1</v>
      </c>
      <c r="B407" s="225">
        <v>46131</v>
      </c>
      <c r="C407" s="224" t="s">
        <v>334</v>
      </c>
      <c r="D407" s="224">
        <v>25538</v>
      </c>
      <c r="E407" s="224" t="s">
        <v>201</v>
      </c>
      <c r="F407" s="224"/>
      <c r="G407" s="227"/>
      <c r="H407" s="224"/>
      <c r="I407" s="228" t="s">
        <v>71</v>
      </c>
      <c r="J407" s="224">
        <v>500</v>
      </c>
      <c r="K407" s="228" t="s">
        <v>203</v>
      </c>
      <c r="L407" s="208" t="s">
        <v>218</v>
      </c>
    </row>
    <row r="408" spans="1:12" x14ac:dyDescent="0.25">
      <c r="A408" s="224" t="str">
        <f t="shared" si="13"/>
        <v>19042026-GR009-1</v>
      </c>
      <c r="B408" s="225">
        <v>46131</v>
      </c>
      <c r="C408" s="224" t="s">
        <v>296</v>
      </c>
      <c r="D408" s="224">
        <v>22015</v>
      </c>
      <c r="E408" s="224" t="s">
        <v>201</v>
      </c>
      <c r="F408" s="224"/>
      <c r="G408" s="227"/>
      <c r="H408" s="224">
        <v>396</v>
      </c>
      <c r="I408" s="228" t="s">
        <v>71</v>
      </c>
      <c r="J408" s="224">
        <v>2000</v>
      </c>
      <c r="K408" s="228" t="s">
        <v>203</v>
      </c>
      <c r="L408" s="208" t="s">
        <v>218</v>
      </c>
    </row>
    <row r="409" spans="1:12" x14ac:dyDescent="0.25">
      <c r="A409" s="224" t="str">
        <f t="shared" si="13"/>
        <v>19042026-GR009-2</v>
      </c>
      <c r="B409" s="225">
        <v>46131</v>
      </c>
      <c r="C409" s="224" t="s">
        <v>296</v>
      </c>
      <c r="D409" s="224">
        <v>22015</v>
      </c>
      <c r="E409" s="224" t="s">
        <v>206</v>
      </c>
      <c r="F409" s="224"/>
      <c r="G409" s="227"/>
      <c r="H409" s="224">
        <v>965</v>
      </c>
      <c r="I409" s="228" t="s">
        <v>72</v>
      </c>
      <c r="J409" s="224">
        <v>2000</v>
      </c>
      <c r="K409" s="228" t="s">
        <v>203</v>
      </c>
      <c r="L409" s="208" t="s">
        <v>218</v>
      </c>
    </row>
    <row r="410" spans="1:12" x14ac:dyDescent="0.25">
      <c r="A410" s="224" t="str">
        <f t="shared" si="13"/>
        <v>19042026-GR009-3</v>
      </c>
      <c r="B410" s="225">
        <v>46131</v>
      </c>
      <c r="C410" s="224" t="s">
        <v>296</v>
      </c>
      <c r="D410" s="224">
        <v>22015</v>
      </c>
      <c r="E410" s="224" t="s">
        <v>202</v>
      </c>
      <c r="F410" s="224"/>
      <c r="G410" s="227"/>
      <c r="H410" s="224">
        <v>1947</v>
      </c>
      <c r="I410" s="228" t="s">
        <v>264</v>
      </c>
      <c r="J410" s="224">
        <v>2000</v>
      </c>
      <c r="K410" s="228" t="s">
        <v>213</v>
      </c>
      <c r="L410" s="208" t="s">
        <v>218</v>
      </c>
    </row>
    <row r="411" spans="1:12" x14ac:dyDescent="0.25">
      <c r="A411" s="224" t="str">
        <f t="shared" si="13"/>
        <v>16042026-TK101-1</v>
      </c>
      <c r="B411" s="225">
        <v>46128</v>
      </c>
      <c r="C411" s="224" t="s">
        <v>210</v>
      </c>
      <c r="D411" s="224">
        <v>32013</v>
      </c>
      <c r="E411" s="224" t="s">
        <v>201</v>
      </c>
      <c r="F411" s="224"/>
      <c r="G411" s="227"/>
      <c r="H411" s="224"/>
      <c r="I411" s="228" t="s">
        <v>71</v>
      </c>
      <c r="J411" s="224">
        <v>2000</v>
      </c>
      <c r="K411" s="228" t="s">
        <v>203</v>
      </c>
      <c r="L411" s="208" t="s">
        <v>218</v>
      </c>
    </row>
    <row r="412" spans="1:12" x14ac:dyDescent="0.25">
      <c r="A412" s="224" t="str">
        <f t="shared" si="13"/>
        <v>16042026-TK101-2</v>
      </c>
      <c r="B412" s="225">
        <v>46128</v>
      </c>
      <c r="C412" s="224" t="s">
        <v>210</v>
      </c>
      <c r="D412" s="224">
        <v>32013</v>
      </c>
      <c r="E412" s="224" t="s">
        <v>206</v>
      </c>
      <c r="F412" s="224"/>
      <c r="G412" s="227"/>
      <c r="H412" s="224"/>
      <c r="I412" s="228" t="s">
        <v>72</v>
      </c>
      <c r="J412" s="224">
        <v>2000</v>
      </c>
      <c r="K412" s="228" t="s">
        <v>203</v>
      </c>
      <c r="L412" s="208" t="s">
        <v>218</v>
      </c>
    </row>
    <row r="413" spans="1:12" x14ac:dyDescent="0.25">
      <c r="A413" s="224" t="str">
        <f t="shared" si="13"/>
        <v>16042026-TK101-3</v>
      </c>
      <c r="B413" s="225">
        <v>46128</v>
      </c>
      <c r="C413" s="224" t="s">
        <v>210</v>
      </c>
      <c r="D413" s="224">
        <v>32013</v>
      </c>
      <c r="E413" s="224" t="s">
        <v>202</v>
      </c>
      <c r="F413" s="224"/>
      <c r="G413" s="227"/>
      <c r="H413" s="224"/>
      <c r="I413" s="228" t="s">
        <v>264</v>
      </c>
      <c r="J413" s="224">
        <v>2000</v>
      </c>
      <c r="K413" s="228" t="s">
        <v>213</v>
      </c>
      <c r="L413" s="208" t="s">
        <v>218</v>
      </c>
    </row>
    <row r="414" spans="1:12" x14ac:dyDescent="0.25">
      <c r="A414" s="224" t="str">
        <f t="shared" si="13"/>
        <v>14042026-TK126-1</v>
      </c>
      <c r="B414" s="225">
        <v>46126</v>
      </c>
      <c r="C414" s="224" t="s">
        <v>214</v>
      </c>
      <c r="D414" s="224">
        <v>28059</v>
      </c>
      <c r="E414" s="224" t="s">
        <v>201</v>
      </c>
      <c r="F414" s="224"/>
      <c r="G414" s="227"/>
      <c r="H414" s="224"/>
      <c r="I414" s="228" t="s">
        <v>71</v>
      </c>
      <c r="J414" s="224">
        <v>4000</v>
      </c>
      <c r="K414" s="228" t="s">
        <v>203</v>
      </c>
      <c r="L414" s="208" t="s">
        <v>218</v>
      </c>
    </row>
    <row r="415" spans="1:12" x14ac:dyDescent="0.25">
      <c r="A415" s="224" t="str">
        <f t="shared" si="13"/>
        <v>14042026-TK126-2</v>
      </c>
      <c r="B415" s="225">
        <v>46126</v>
      </c>
      <c r="C415" s="224" t="s">
        <v>214</v>
      </c>
      <c r="D415" s="224">
        <v>28059</v>
      </c>
      <c r="E415" s="224" t="s">
        <v>206</v>
      </c>
      <c r="F415" s="224"/>
      <c r="G415" s="227"/>
      <c r="H415" s="224"/>
      <c r="I415" s="228" t="s">
        <v>72</v>
      </c>
      <c r="J415" s="224">
        <v>4000</v>
      </c>
      <c r="K415" s="228" t="s">
        <v>203</v>
      </c>
      <c r="L415" s="208" t="s">
        <v>218</v>
      </c>
    </row>
    <row r="416" spans="1:12" x14ac:dyDescent="0.25">
      <c r="A416" s="224" t="str">
        <f t="shared" si="13"/>
        <v>14042026-TK126-3</v>
      </c>
      <c r="B416" s="225">
        <v>46126</v>
      </c>
      <c r="C416" s="224" t="s">
        <v>214</v>
      </c>
      <c r="D416" s="224">
        <v>28059</v>
      </c>
      <c r="E416" s="224" t="s">
        <v>202</v>
      </c>
      <c r="F416" s="224"/>
      <c r="G416" s="227"/>
      <c r="H416" s="224"/>
      <c r="I416" s="228" t="s">
        <v>264</v>
      </c>
      <c r="J416" s="224">
        <v>4000</v>
      </c>
      <c r="K416" s="228" t="s">
        <v>203</v>
      </c>
      <c r="L416" s="208" t="s">
        <v>218</v>
      </c>
    </row>
    <row r="417" spans="1:12" x14ac:dyDescent="0.25">
      <c r="A417" s="224" t="str">
        <f t="shared" si="13"/>
        <v>15042026-TK118-1</v>
      </c>
      <c r="B417" s="225">
        <v>46127</v>
      </c>
      <c r="C417" s="224" t="s">
        <v>241</v>
      </c>
      <c r="D417" s="224">
        <v>28996</v>
      </c>
      <c r="E417" s="224" t="s">
        <v>201</v>
      </c>
      <c r="F417" s="224"/>
      <c r="G417" s="227"/>
      <c r="H417" s="224"/>
      <c r="I417" s="228" t="s">
        <v>71</v>
      </c>
      <c r="J417" s="224">
        <v>1000</v>
      </c>
      <c r="K417" s="228" t="s">
        <v>203</v>
      </c>
      <c r="L417" s="208" t="s">
        <v>218</v>
      </c>
    </row>
    <row r="418" spans="1:12" x14ac:dyDescent="0.25">
      <c r="A418" s="224" t="str">
        <f t="shared" si="13"/>
        <v>15042026-TK118-2</v>
      </c>
      <c r="B418" s="225">
        <v>46127</v>
      </c>
      <c r="C418" s="224" t="s">
        <v>241</v>
      </c>
      <c r="D418" s="224">
        <v>28996</v>
      </c>
      <c r="E418" s="224" t="s">
        <v>206</v>
      </c>
      <c r="F418" s="224"/>
      <c r="G418" s="227"/>
      <c r="H418" s="224">
        <v>1023</v>
      </c>
      <c r="I418" s="228" t="s">
        <v>72</v>
      </c>
      <c r="J418" s="224">
        <v>1000</v>
      </c>
      <c r="K418" s="228" t="s">
        <v>203</v>
      </c>
      <c r="L418" s="208" t="s">
        <v>218</v>
      </c>
    </row>
    <row r="419" spans="1:12" x14ac:dyDescent="0.25">
      <c r="A419" s="224" t="str">
        <f t="shared" si="13"/>
        <v>15042026-TK118-3</v>
      </c>
      <c r="B419" s="225">
        <v>46127</v>
      </c>
      <c r="C419" s="224" t="s">
        <v>241</v>
      </c>
      <c r="D419" s="224">
        <v>28996</v>
      </c>
      <c r="E419" s="224" t="s">
        <v>202</v>
      </c>
      <c r="F419" s="224"/>
      <c r="G419" s="227"/>
      <c r="H419" s="224">
        <v>1023</v>
      </c>
      <c r="I419" s="228" t="s">
        <v>264</v>
      </c>
      <c r="J419" s="224">
        <v>1000</v>
      </c>
      <c r="K419" s="228" t="s">
        <v>213</v>
      </c>
      <c r="L419" s="208" t="s">
        <v>218</v>
      </c>
    </row>
    <row r="420" spans="1:12" x14ac:dyDescent="0.25">
      <c r="A420" s="224" t="str">
        <f t="shared" si="13"/>
        <v>20042026-TK112-1</v>
      </c>
      <c r="B420" s="225">
        <v>46132</v>
      </c>
      <c r="C420" s="224" t="s">
        <v>288</v>
      </c>
      <c r="D420" s="224">
        <v>33763</v>
      </c>
      <c r="E420" s="224" t="s">
        <v>201</v>
      </c>
      <c r="F420" s="224"/>
      <c r="G420" s="227"/>
      <c r="H420" s="224">
        <v>250</v>
      </c>
      <c r="I420" s="228" t="s">
        <v>71</v>
      </c>
      <c r="J420" s="224">
        <v>250</v>
      </c>
      <c r="K420" s="228" t="s">
        <v>213</v>
      </c>
      <c r="L420" s="208" t="s">
        <v>218</v>
      </c>
    </row>
    <row r="421" spans="1:12" x14ac:dyDescent="0.25">
      <c r="A421" s="224" t="str">
        <f t="shared" si="13"/>
        <v>20042026-TK104-1</v>
      </c>
      <c r="B421" s="225">
        <v>46132</v>
      </c>
      <c r="C421" s="224" t="s">
        <v>278</v>
      </c>
      <c r="D421" s="224">
        <v>30998</v>
      </c>
      <c r="E421" s="224" t="s">
        <v>201</v>
      </c>
      <c r="F421" s="224"/>
      <c r="G421" s="227"/>
      <c r="H421" s="224"/>
      <c r="I421" s="228" t="s">
        <v>71</v>
      </c>
      <c r="J421" s="224">
        <v>1000</v>
      </c>
      <c r="K421" s="228" t="s">
        <v>203</v>
      </c>
      <c r="L421" s="208" t="s">
        <v>218</v>
      </c>
    </row>
    <row r="422" spans="1:12" x14ac:dyDescent="0.25">
      <c r="A422" s="224" t="str">
        <f t="shared" si="13"/>
        <v>16042026-EX013-1</v>
      </c>
      <c r="B422" s="225">
        <v>46128</v>
      </c>
      <c r="C422" s="224" t="s">
        <v>253</v>
      </c>
      <c r="D422" s="224">
        <v>13535</v>
      </c>
      <c r="E422" s="224" t="s">
        <v>201</v>
      </c>
      <c r="F422" s="224"/>
      <c r="G422" s="227"/>
      <c r="H422" s="224"/>
      <c r="I422" s="228" t="s">
        <v>71</v>
      </c>
      <c r="J422" s="224">
        <v>500</v>
      </c>
      <c r="K422" s="228" t="s">
        <v>203</v>
      </c>
      <c r="L422" s="208" t="s">
        <v>218</v>
      </c>
    </row>
    <row r="423" spans="1:12" x14ac:dyDescent="0.25">
      <c r="A423" s="224" t="str">
        <f t="shared" si="13"/>
        <v>21042026-TK125-1</v>
      </c>
      <c r="B423" s="225">
        <v>46133</v>
      </c>
      <c r="C423" s="224" t="s">
        <v>321</v>
      </c>
      <c r="D423" s="224">
        <v>28938</v>
      </c>
      <c r="E423" s="224" t="s">
        <v>201</v>
      </c>
      <c r="F423" s="224"/>
      <c r="G423" s="227"/>
      <c r="H423" s="224"/>
      <c r="I423" s="228" t="s">
        <v>71</v>
      </c>
      <c r="J423" s="224">
        <v>1000</v>
      </c>
      <c r="K423" s="228" t="s">
        <v>203</v>
      </c>
      <c r="L423" s="208" t="s">
        <v>218</v>
      </c>
    </row>
    <row r="424" spans="1:12" x14ac:dyDescent="0.25">
      <c r="A424" s="224" t="str">
        <f t="shared" si="13"/>
        <v>21042026-TK125-2</v>
      </c>
      <c r="B424" s="225">
        <v>46133</v>
      </c>
      <c r="C424" s="224" t="s">
        <v>321</v>
      </c>
      <c r="D424" s="224">
        <v>28938</v>
      </c>
      <c r="E424" s="224" t="s">
        <v>206</v>
      </c>
      <c r="F424" s="224"/>
      <c r="G424" s="227"/>
      <c r="H424" s="224"/>
      <c r="I424" s="228" t="s">
        <v>72</v>
      </c>
      <c r="J424" s="224">
        <v>1000</v>
      </c>
      <c r="K424" s="228" t="s">
        <v>203</v>
      </c>
      <c r="L424" s="208" t="s">
        <v>218</v>
      </c>
    </row>
    <row r="425" spans="1:12" x14ac:dyDescent="0.25">
      <c r="A425" s="224" t="str">
        <f t="shared" ref="A425:A454" si="14">TEXT(DAY(B425),"00")&amp;TEXT(MONTH(B425),"00")&amp;YEAR(B425)&amp;"-"&amp;C425&amp;"-"&amp;LEFT(E425,SEARCH(" ",E425&amp;" ")-1)</f>
        <v>21042026-TK125-3</v>
      </c>
      <c r="B425" s="225">
        <v>46133</v>
      </c>
      <c r="C425" s="224" t="s">
        <v>321</v>
      </c>
      <c r="D425" s="224">
        <v>28938</v>
      </c>
      <c r="E425" s="224" t="s">
        <v>202</v>
      </c>
      <c r="F425" s="224"/>
      <c r="G425" s="227"/>
      <c r="H425" s="224"/>
      <c r="I425" s="228" t="s">
        <v>264</v>
      </c>
      <c r="J425" s="224">
        <v>1000</v>
      </c>
      <c r="K425" s="228" t="s">
        <v>213</v>
      </c>
      <c r="L425" s="208" t="s">
        <v>218</v>
      </c>
    </row>
    <row r="426" spans="1:12" x14ac:dyDescent="0.25">
      <c r="A426" s="224" t="str">
        <f t="shared" si="14"/>
        <v>20042026-DZ004-1</v>
      </c>
      <c r="B426" s="225">
        <v>46132</v>
      </c>
      <c r="C426" s="224" t="s">
        <v>258</v>
      </c>
      <c r="D426" s="224">
        <v>24542</v>
      </c>
      <c r="E426" s="224" t="s">
        <v>201</v>
      </c>
      <c r="F426" s="224"/>
      <c r="G426" s="227"/>
      <c r="H426" s="224"/>
      <c r="I426" s="228" t="s">
        <v>71</v>
      </c>
      <c r="J426" s="224">
        <v>500</v>
      </c>
      <c r="K426" s="228" t="s">
        <v>203</v>
      </c>
      <c r="L426" s="208" t="s">
        <v>218</v>
      </c>
    </row>
    <row r="427" spans="1:12" x14ac:dyDescent="0.25">
      <c r="A427" s="224" t="str">
        <f t="shared" si="14"/>
        <v>20042026-GR013-1</v>
      </c>
      <c r="B427" s="225">
        <v>46132</v>
      </c>
      <c r="C427" s="224" t="s">
        <v>297</v>
      </c>
      <c r="D427" s="224"/>
      <c r="E427" s="224" t="s">
        <v>201</v>
      </c>
      <c r="F427" s="224"/>
      <c r="G427" s="227"/>
      <c r="H427" s="224"/>
      <c r="I427" s="228" t="s">
        <v>71</v>
      </c>
      <c r="J427" s="224">
        <v>500</v>
      </c>
      <c r="K427" s="228" t="s">
        <v>203</v>
      </c>
      <c r="L427" s="208" t="s">
        <v>218</v>
      </c>
    </row>
    <row r="428" spans="1:12" x14ac:dyDescent="0.25">
      <c r="A428" s="224" t="str">
        <f t="shared" si="14"/>
        <v>23042026-EX005-1</v>
      </c>
      <c r="B428" s="225">
        <v>46135</v>
      </c>
      <c r="C428" s="224" t="s">
        <v>335</v>
      </c>
      <c r="D428" s="224">
        <v>32555</v>
      </c>
      <c r="E428" s="224" t="s">
        <v>201</v>
      </c>
      <c r="F428" s="224"/>
      <c r="G428" s="227"/>
      <c r="H428" s="224"/>
      <c r="I428" s="228" t="s">
        <v>71</v>
      </c>
      <c r="J428" s="224">
        <v>500</v>
      </c>
      <c r="K428" s="228" t="s">
        <v>203</v>
      </c>
      <c r="L428" s="208" t="s">
        <v>218</v>
      </c>
    </row>
    <row r="429" spans="1:12" x14ac:dyDescent="0.25">
      <c r="A429" s="224" t="str">
        <f t="shared" si="14"/>
        <v>23042026-EX005-3</v>
      </c>
      <c r="B429" s="225">
        <v>46135</v>
      </c>
      <c r="C429" s="224" t="s">
        <v>335</v>
      </c>
      <c r="D429" s="224">
        <v>32555</v>
      </c>
      <c r="E429" s="224" t="s">
        <v>202</v>
      </c>
      <c r="F429" s="224"/>
      <c r="G429" s="227"/>
      <c r="H429" s="224"/>
      <c r="I429" s="228" t="s">
        <v>264</v>
      </c>
      <c r="J429" s="224">
        <v>500</v>
      </c>
      <c r="K429" s="228" t="s">
        <v>213</v>
      </c>
      <c r="L429" s="208" t="s">
        <v>218</v>
      </c>
    </row>
    <row r="430" spans="1:12" x14ac:dyDescent="0.25">
      <c r="A430" s="224" t="str">
        <f t="shared" si="14"/>
        <v>28042026-TK110-1</v>
      </c>
      <c r="B430" s="225">
        <v>46140</v>
      </c>
      <c r="C430" s="224" t="s">
        <v>276</v>
      </c>
      <c r="D430" s="224">
        <v>34481</v>
      </c>
      <c r="E430" s="224" t="s">
        <v>201</v>
      </c>
      <c r="F430" s="224"/>
      <c r="G430" s="227"/>
      <c r="H430" s="224"/>
      <c r="I430" s="228" t="s">
        <v>71</v>
      </c>
      <c r="J430" s="224">
        <v>500</v>
      </c>
      <c r="K430" s="228" t="s">
        <v>203</v>
      </c>
      <c r="L430" s="208" t="s">
        <v>218</v>
      </c>
    </row>
    <row r="431" spans="1:12" x14ac:dyDescent="0.25">
      <c r="A431" s="224" t="str">
        <f t="shared" si="14"/>
        <v>19042026-TK103-1</v>
      </c>
      <c r="B431" s="225">
        <v>46131</v>
      </c>
      <c r="C431" s="224" t="s">
        <v>245</v>
      </c>
      <c r="D431" s="224">
        <v>33043</v>
      </c>
      <c r="E431" s="224" t="s">
        <v>201</v>
      </c>
      <c r="F431" s="224"/>
      <c r="G431" s="227"/>
      <c r="H431" s="224"/>
      <c r="I431" s="228" t="s">
        <v>71</v>
      </c>
      <c r="J431" s="224">
        <v>1000</v>
      </c>
      <c r="K431" s="228" t="s">
        <v>203</v>
      </c>
      <c r="L431" s="208" t="s">
        <v>218</v>
      </c>
    </row>
    <row r="432" spans="1:12" x14ac:dyDescent="0.25">
      <c r="A432" s="224" t="str">
        <f t="shared" si="14"/>
        <v>28042026-TK113-1</v>
      </c>
      <c r="B432" s="225">
        <v>46140</v>
      </c>
      <c r="C432" s="224" t="s">
        <v>260</v>
      </c>
      <c r="D432" s="224">
        <v>36071</v>
      </c>
      <c r="E432" s="224" t="s">
        <v>201</v>
      </c>
      <c r="F432" s="224"/>
      <c r="G432" s="227"/>
      <c r="H432" s="224"/>
      <c r="I432" s="228" t="s">
        <v>71</v>
      </c>
      <c r="J432" s="224">
        <v>4000</v>
      </c>
      <c r="K432" s="228" t="s">
        <v>203</v>
      </c>
      <c r="L432" s="208" t="s">
        <v>218</v>
      </c>
    </row>
    <row r="433" spans="1:12" x14ac:dyDescent="0.25">
      <c r="A433" s="224" t="str">
        <f t="shared" si="14"/>
        <v>28042026-TK113-2</v>
      </c>
      <c r="B433" s="225">
        <v>46140</v>
      </c>
      <c r="C433" s="224" t="s">
        <v>260</v>
      </c>
      <c r="D433" s="224">
        <v>36071</v>
      </c>
      <c r="E433" s="224" t="s">
        <v>206</v>
      </c>
      <c r="F433" s="224"/>
      <c r="G433" s="227"/>
      <c r="H433" s="224"/>
      <c r="I433" s="228" t="s">
        <v>72</v>
      </c>
      <c r="J433" s="224">
        <v>4000</v>
      </c>
      <c r="K433" s="228" t="s">
        <v>203</v>
      </c>
      <c r="L433" s="208" t="s">
        <v>218</v>
      </c>
    </row>
    <row r="434" spans="1:12" x14ac:dyDescent="0.25">
      <c r="A434" s="224" t="str">
        <f t="shared" si="14"/>
        <v>28042026-TK113-3</v>
      </c>
      <c r="B434" s="225">
        <v>46140</v>
      </c>
      <c r="C434" s="224" t="s">
        <v>260</v>
      </c>
      <c r="D434" s="224">
        <v>36071</v>
      </c>
      <c r="E434" s="224" t="s">
        <v>202</v>
      </c>
      <c r="F434" s="224"/>
      <c r="G434" s="227"/>
      <c r="H434" s="224"/>
      <c r="I434" s="228" t="s">
        <v>264</v>
      </c>
      <c r="J434" s="224">
        <v>4000</v>
      </c>
      <c r="K434" s="228" t="s">
        <v>203</v>
      </c>
      <c r="L434" s="208" t="s">
        <v>218</v>
      </c>
    </row>
    <row r="435" spans="1:12" x14ac:dyDescent="0.25">
      <c r="A435" s="224" t="str">
        <f t="shared" si="14"/>
        <v>22042026-LD001-1</v>
      </c>
      <c r="B435" s="225">
        <v>46134</v>
      </c>
      <c r="C435" s="224" t="s">
        <v>274</v>
      </c>
      <c r="D435" s="224">
        <v>32103</v>
      </c>
      <c r="E435" s="224" t="s">
        <v>201</v>
      </c>
      <c r="F435" s="224"/>
      <c r="G435" s="227"/>
      <c r="H435" s="224">
        <v>477</v>
      </c>
      <c r="I435" s="228" t="s">
        <v>71</v>
      </c>
      <c r="J435" s="224">
        <v>4000</v>
      </c>
      <c r="K435" s="228" t="s">
        <v>203</v>
      </c>
      <c r="L435" s="208" t="s">
        <v>218</v>
      </c>
    </row>
    <row r="436" spans="1:12" x14ac:dyDescent="0.25">
      <c r="A436" s="224" t="str">
        <f t="shared" si="14"/>
        <v>22042026-LD001-2</v>
      </c>
      <c r="B436" s="225">
        <v>46134</v>
      </c>
      <c r="C436" s="224" t="s">
        <v>274</v>
      </c>
      <c r="D436" s="224">
        <v>32103</v>
      </c>
      <c r="E436" s="224" t="s">
        <v>206</v>
      </c>
      <c r="F436" s="224"/>
      <c r="G436" s="227"/>
      <c r="H436" s="224">
        <v>1121</v>
      </c>
      <c r="I436" s="228" t="s">
        <v>72</v>
      </c>
      <c r="J436" s="224">
        <v>4000</v>
      </c>
      <c r="K436" s="228" t="s">
        <v>203</v>
      </c>
      <c r="L436" s="208" t="s">
        <v>218</v>
      </c>
    </row>
    <row r="437" spans="1:12" x14ac:dyDescent="0.25">
      <c r="A437" s="224" t="str">
        <f t="shared" si="14"/>
        <v>22042026-LD001-3</v>
      </c>
      <c r="B437" s="225">
        <v>46134</v>
      </c>
      <c r="C437" s="224" t="s">
        <v>274</v>
      </c>
      <c r="D437" s="224">
        <v>32103</v>
      </c>
      <c r="E437" s="224" t="s">
        <v>202</v>
      </c>
      <c r="F437" s="224"/>
      <c r="G437" s="227"/>
      <c r="H437" s="224"/>
      <c r="I437" s="228" t="s">
        <v>264</v>
      </c>
      <c r="J437" s="224">
        <v>4000</v>
      </c>
      <c r="K437" s="228" t="s">
        <v>203</v>
      </c>
      <c r="L437" s="208" t="s">
        <v>218</v>
      </c>
    </row>
    <row r="438" spans="1:12" x14ac:dyDescent="0.25">
      <c r="A438" s="224" t="str">
        <f t="shared" si="14"/>
        <v>29042026-GR001-1</v>
      </c>
      <c r="B438" s="225">
        <v>46141</v>
      </c>
      <c r="C438" s="224" t="s">
        <v>331</v>
      </c>
      <c r="D438" s="224">
        <v>13524</v>
      </c>
      <c r="E438" s="224" t="s">
        <v>201</v>
      </c>
      <c r="F438" s="224"/>
      <c r="G438" s="227"/>
      <c r="H438" s="224"/>
      <c r="I438" s="228" t="s">
        <v>71</v>
      </c>
      <c r="J438" s="224">
        <v>500</v>
      </c>
      <c r="K438" s="228" t="s">
        <v>203</v>
      </c>
      <c r="L438" s="208" t="s">
        <v>218</v>
      </c>
    </row>
    <row r="439" spans="1:12" x14ac:dyDescent="0.25">
      <c r="A439" s="224" t="str">
        <f t="shared" si="14"/>
        <v>27042026-TK123-1</v>
      </c>
      <c r="B439" s="225">
        <v>46139</v>
      </c>
      <c r="C439" s="224" t="s">
        <v>289</v>
      </c>
      <c r="D439" s="224">
        <v>28460</v>
      </c>
      <c r="E439" s="224" t="s">
        <v>201</v>
      </c>
      <c r="F439" s="224"/>
      <c r="G439" s="227"/>
      <c r="H439" s="224">
        <v>480</v>
      </c>
      <c r="I439" s="228" t="s">
        <v>71</v>
      </c>
      <c r="J439" s="224">
        <v>500</v>
      </c>
      <c r="K439" s="228" t="s">
        <v>203</v>
      </c>
      <c r="L439" s="208" t="s">
        <v>218</v>
      </c>
    </row>
    <row r="440" spans="1:12" x14ac:dyDescent="0.25">
      <c r="A440" s="224" t="str">
        <f t="shared" si="14"/>
        <v>27042026-TK123-2</v>
      </c>
      <c r="B440" s="225">
        <v>46139</v>
      </c>
      <c r="C440" s="224" t="s">
        <v>289</v>
      </c>
      <c r="D440" s="224">
        <v>28460</v>
      </c>
      <c r="E440" s="224" t="s">
        <v>206</v>
      </c>
      <c r="F440" s="224"/>
      <c r="G440" s="227"/>
      <c r="H440" s="224">
        <v>480</v>
      </c>
      <c r="I440" s="228" t="s">
        <v>72</v>
      </c>
      <c r="J440" s="224">
        <v>500</v>
      </c>
      <c r="K440" s="228" t="s">
        <v>203</v>
      </c>
      <c r="L440" s="208" t="s">
        <v>218</v>
      </c>
    </row>
    <row r="441" spans="1:12" x14ac:dyDescent="0.25">
      <c r="A441" s="224" t="str">
        <f t="shared" si="14"/>
        <v>27042026-TK123-3</v>
      </c>
      <c r="B441" s="225">
        <v>46139</v>
      </c>
      <c r="C441" s="224" t="s">
        <v>289</v>
      </c>
      <c r="D441" s="224">
        <v>28460</v>
      </c>
      <c r="E441" s="224" t="s">
        <v>202</v>
      </c>
      <c r="F441" s="224"/>
      <c r="G441" s="227"/>
      <c r="H441" s="224">
        <v>480</v>
      </c>
      <c r="I441" s="228" t="s">
        <v>264</v>
      </c>
      <c r="J441" s="224">
        <v>500</v>
      </c>
      <c r="K441" s="228" t="s">
        <v>203</v>
      </c>
      <c r="L441" s="208" t="s">
        <v>218</v>
      </c>
    </row>
    <row r="442" spans="1:12" x14ac:dyDescent="0.25">
      <c r="A442" s="224" t="str">
        <f t="shared" si="14"/>
        <v>23042026-TK116-1</v>
      </c>
      <c r="B442" s="225">
        <v>46135</v>
      </c>
      <c r="C442" s="224" t="s">
        <v>273</v>
      </c>
      <c r="D442" s="224">
        <v>26972</v>
      </c>
      <c r="E442" s="224" t="s">
        <v>201</v>
      </c>
      <c r="F442" s="224"/>
      <c r="G442" s="227"/>
      <c r="H442" s="224">
        <v>447</v>
      </c>
      <c r="I442" s="228" t="s">
        <v>71</v>
      </c>
      <c r="J442" s="224">
        <v>1000</v>
      </c>
      <c r="K442" s="228" t="s">
        <v>203</v>
      </c>
      <c r="L442" s="208" t="s">
        <v>218</v>
      </c>
    </row>
    <row r="443" spans="1:12" x14ac:dyDescent="0.25">
      <c r="A443" s="224" t="str">
        <f t="shared" si="14"/>
        <v>23042026-TK116-2</v>
      </c>
      <c r="B443" s="225">
        <v>46135</v>
      </c>
      <c r="C443" s="224" t="s">
        <v>273</v>
      </c>
      <c r="D443" s="224">
        <v>26972</v>
      </c>
      <c r="E443" s="224" t="s">
        <v>206</v>
      </c>
      <c r="F443" s="224"/>
      <c r="G443" s="227"/>
      <c r="H443" s="224">
        <v>1004</v>
      </c>
      <c r="I443" s="228" t="s">
        <v>72</v>
      </c>
      <c r="J443" s="224">
        <v>1000</v>
      </c>
      <c r="K443" s="228" t="s">
        <v>203</v>
      </c>
      <c r="L443" s="208" t="s">
        <v>218</v>
      </c>
    </row>
    <row r="444" spans="1:12" x14ac:dyDescent="0.25">
      <c r="A444" s="224" t="str">
        <f t="shared" si="14"/>
        <v>23042026-TK116-3</v>
      </c>
      <c r="B444" s="225">
        <v>46135</v>
      </c>
      <c r="C444" s="224" t="s">
        <v>273</v>
      </c>
      <c r="D444" s="224">
        <v>26972</v>
      </c>
      <c r="E444" s="224" t="s">
        <v>202</v>
      </c>
      <c r="F444" s="224"/>
      <c r="G444" s="227"/>
      <c r="H444" s="224">
        <v>2970</v>
      </c>
      <c r="I444" s="228" t="s">
        <v>264</v>
      </c>
      <c r="J444" s="224">
        <v>1000</v>
      </c>
      <c r="K444" s="228" t="s">
        <v>213</v>
      </c>
      <c r="L444" s="208" t="s">
        <v>218</v>
      </c>
    </row>
    <row r="445" spans="1:12" x14ac:dyDescent="0.25">
      <c r="A445" s="224" t="str">
        <f t="shared" si="14"/>
        <v>22042026-TK127-1</v>
      </c>
      <c r="B445" s="225">
        <v>46134</v>
      </c>
      <c r="C445" s="224" t="s">
        <v>287</v>
      </c>
      <c r="D445" s="224">
        <v>28760</v>
      </c>
      <c r="E445" s="224" t="s">
        <v>201</v>
      </c>
      <c r="F445" s="224"/>
      <c r="G445" s="227"/>
      <c r="H445" s="224">
        <v>297</v>
      </c>
      <c r="I445" s="228" t="s">
        <v>71</v>
      </c>
      <c r="J445" s="224">
        <v>250</v>
      </c>
      <c r="K445" s="228" t="s">
        <v>213</v>
      </c>
      <c r="L445" s="208" t="s">
        <v>218</v>
      </c>
    </row>
    <row r="446" spans="1:12" x14ac:dyDescent="0.25">
      <c r="A446" s="224" t="str">
        <f t="shared" si="14"/>
        <v>22042026-DR008-1</v>
      </c>
      <c r="B446" s="225">
        <v>46134</v>
      </c>
      <c r="C446" s="224" t="s">
        <v>234</v>
      </c>
      <c r="D446" s="224">
        <v>3734</v>
      </c>
      <c r="E446" s="224" t="s">
        <v>201</v>
      </c>
      <c r="F446" s="224"/>
      <c r="G446" s="227"/>
      <c r="H446" s="224"/>
      <c r="I446" s="228" t="s">
        <v>71</v>
      </c>
      <c r="J446" s="224">
        <v>250</v>
      </c>
      <c r="K446" s="228" t="s">
        <v>203</v>
      </c>
      <c r="L446" s="208" t="s">
        <v>218</v>
      </c>
    </row>
    <row r="447" spans="1:12" x14ac:dyDescent="0.25">
      <c r="A447" s="224" t="str">
        <f t="shared" si="14"/>
        <v>22042026-DR008-1A</v>
      </c>
      <c r="B447" s="225">
        <v>46134</v>
      </c>
      <c r="C447" s="224" t="s">
        <v>234</v>
      </c>
      <c r="D447" s="224">
        <v>3734</v>
      </c>
      <c r="E447" s="224" t="s">
        <v>255</v>
      </c>
      <c r="F447" s="224"/>
      <c r="G447" s="227"/>
      <c r="H447" s="224"/>
      <c r="I447" s="228" t="s">
        <v>71</v>
      </c>
      <c r="J447" s="224">
        <v>250</v>
      </c>
      <c r="K447" s="228" t="s">
        <v>203</v>
      </c>
      <c r="L447" s="208" t="s">
        <v>218</v>
      </c>
    </row>
    <row r="448" spans="1:12" x14ac:dyDescent="0.25">
      <c r="A448" s="224" t="str">
        <f t="shared" si="14"/>
        <v>26042026-TK105-1</v>
      </c>
      <c r="B448" s="225">
        <v>46138</v>
      </c>
      <c r="C448" s="224" t="s">
        <v>291</v>
      </c>
      <c r="D448" s="224">
        <v>31757</v>
      </c>
      <c r="E448" s="224" t="s">
        <v>201</v>
      </c>
      <c r="F448" s="224"/>
      <c r="G448" s="227"/>
      <c r="H448" s="224">
        <v>297</v>
      </c>
      <c r="I448" s="228" t="s">
        <v>71</v>
      </c>
      <c r="J448" s="224">
        <v>250</v>
      </c>
      <c r="K448" s="228" t="s">
        <v>213</v>
      </c>
      <c r="L448" s="208" t="s">
        <v>218</v>
      </c>
    </row>
    <row r="449" spans="1:12" x14ac:dyDescent="0.25">
      <c r="A449" s="224" t="str">
        <f t="shared" si="14"/>
        <v>21042026-TK108-1</v>
      </c>
      <c r="B449" s="225">
        <v>46133</v>
      </c>
      <c r="C449" s="224" t="s">
        <v>326</v>
      </c>
      <c r="D449" s="224">
        <v>33759</v>
      </c>
      <c r="E449" s="224" t="s">
        <v>201</v>
      </c>
      <c r="F449" s="224"/>
      <c r="G449" s="227"/>
      <c r="H449" s="224">
        <v>204</v>
      </c>
      <c r="I449" s="228" t="s">
        <v>71</v>
      </c>
      <c r="J449" s="224">
        <v>250</v>
      </c>
      <c r="K449" s="228" t="s">
        <v>213</v>
      </c>
      <c r="L449" s="208" t="s">
        <v>218</v>
      </c>
    </row>
    <row r="450" spans="1:12" x14ac:dyDescent="0.25">
      <c r="A450" s="224" t="str">
        <f t="shared" si="14"/>
        <v>21042026-TK114-1</v>
      </c>
      <c r="B450" s="225">
        <v>46133</v>
      </c>
      <c r="C450" s="224" t="s">
        <v>205</v>
      </c>
      <c r="D450" s="224">
        <v>32774</v>
      </c>
      <c r="E450" s="224" t="s">
        <v>201</v>
      </c>
      <c r="F450" s="224"/>
      <c r="G450" s="227"/>
      <c r="H450" s="224">
        <v>346</v>
      </c>
      <c r="I450" s="228" t="s">
        <v>71</v>
      </c>
      <c r="J450" s="224">
        <v>250</v>
      </c>
      <c r="K450" s="228" t="s">
        <v>213</v>
      </c>
      <c r="L450" s="208" t="s">
        <v>218</v>
      </c>
    </row>
    <row r="451" spans="1:12" x14ac:dyDescent="0.25">
      <c r="A451" s="224" t="str">
        <f t="shared" si="14"/>
        <v>30042026-EX015-3</v>
      </c>
      <c r="B451" s="225">
        <v>46142</v>
      </c>
      <c r="C451" s="224" t="s">
        <v>280</v>
      </c>
      <c r="D451" s="224">
        <v>5482</v>
      </c>
      <c r="E451" s="224" t="s">
        <v>202</v>
      </c>
      <c r="F451" s="224"/>
      <c r="G451" s="227"/>
      <c r="H451" s="224">
        <v>1452</v>
      </c>
      <c r="I451" s="228" t="s">
        <v>264</v>
      </c>
      <c r="J451" s="224" t="s">
        <v>336</v>
      </c>
      <c r="K451" s="228" t="s">
        <v>203</v>
      </c>
      <c r="L451" s="208" t="s">
        <v>218</v>
      </c>
    </row>
    <row r="452" spans="1:12" x14ac:dyDescent="0.25">
      <c r="A452" s="224" t="str">
        <f t="shared" si="14"/>
        <v>28042026-EX023-1</v>
      </c>
      <c r="B452" s="225">
        <v>46140</v>
      </c>
      <c r="C452" s="224" t="s">
        <v>337</v>
      </c>
      <c r="D452" s="224">
        <v>6054</v>
      </c>
      <c r="E452" s="224" t="s">
        <v>201</v>
      </c>
      <c r="F452" s="224"/>
      <c r="G452" s="227"/>
      <c r="H452" s="224"/>
      <c r="I452" s="228" t="s">
        <v>71</v>
      </c>
      <c r="J452" s="224">
        <v>6000</v>
      </c>
      <c r="K452" s="228" t="s">
        <v>203</v>
      </c>
      <c r="L452" s="208" t="s">
        <v>218</v>
      </c>
    </row>
    <row r="453" spans="1:12" x14ac:dyDescent="0.25">
      <c r="A453" s="224" t="str">
        <f t="shared" si="14"/>
        <v>28042026-EX023-3</v>
      </c>
      <c r="B453" s="225">
        <v>46140</v>
      </c>
      <c r="C453" s="224" t="s">
        <v>337</v>
      </c>
      <c r="D453" s="224">
        <v>6054</v>
      </c>
      <c r="E453" s="224" t="s">
        <v>202</v>
      </c>
      <c r="F453" s="224"/>
      <c r="G453" s="227"/>
      <c r="H453" s="224"/>
      <c r="I453" s="228" t="s">
        <v>264</v>
      </c>
      <c r="J453" s="224">
        <v>6000</v>
      </c>
      <c r="K453" s="228" t="s">
        <v>203</v>
      </c>
      <c r="L453" s="208" t="s">
        <v>218</v>
      </c>
    </row>
    <row r="454" spans="1:12" x14ac:dyDescent="0.25">
      <c r="A454" s="224" t="str">
        <f t="shared" si="14"/>
        <v>28042026-EX023-9</v>
      </c>
      <c r="B454" s="225">
        <v>46140</v>
      </c>
      <c r="C454" s="224" t="s">
        <v>337</v>
      </c>
      <c r="D454" s="224">
        <v>6054</v>
      </c>
      <c r="E454" s="224" t="s">
        <v>284</v>
      </c>
      <c r="F454" s="224"/>
      <c r="G454" s="227"/>
      <c r="H454" s="224"/>
      <c r="I454" s="228" t="s">
        <v>285</v>
      </c>
      <c r="J454" s="224">
        <v>6000</v>
      </c>
      <c r="K454" s="228" t="s">
        <v>203</v>
      </c>
      <c r="L454" s="208" t="s">
        <v>218</v>
      </c>
    </row>
    <row r="455" spans="1:12" x14ac:dyDescent="0.25">
      <c r="A455" s="224" t="str">
        <f t="shared" ref="A455:A508" si="15">TEXT(DAY(B455),"00")&amp;TEXT(MONTH(B455),"00")&amp;YEAR(B455)&amp;"-"&amp;C455&amp;"-"&amp;LEFT(E455,SEARCH(" ",E455&amp;" ")-1)</f>
        <v>28042026-EX023-4F</v>
      </c>
      <c r="B455" s="225">
        <v>46140</v>
      </c>
      <c r="C455" s="224" t="s">
        <v>337</v>
      </c>
      <c r="D455" s="224">
        <v>6054</v>
      </c>
      <c r="E455" s="224" t="s">
        <v>271</v>
      </c>
      <c r="F455" s="224"/>
      <c r="G455" s="227"/>
      <c r="H455" s="224"/>
      <c r="I455" s="228" t="s">
        <v>72</v>
      </c>
      <c r="J455" s="224">
        <v>6000</v>
      </c>
      <c r="K455" s="228" t="s">
        <v>213</v>
      </c>
      <c r="L455" s="208" t="s">
        <v>218</v>
      </c>
    </row>
    <row r="456" spans="1:12" x14ac:dyDescent="0.25">
      <c r="A456" s="224" t="str">
        <f t="shared" si="15"/>
        <v>28042026-EX023-6A</v>
      </c>
      <c r="B456" s="225">
        <v>46140</v>
      </c>
      <c r="C456" s="224" t="s">
        <v>337</v>
      </c>
      <c r="D456" s="224">
        <v>6054</v>
      </c>
      <c r="E456" s="224" t="s">
        <v>282</v>
      </c>
      <c r="F456" s="224"/>
      <c r="G456" s="227"/>
      <c r="H456" s="224"/>
      <c r="I456" s="228" t="s">
        <v>72</v>
      </c>
      <c r="J456" s="224">
        <v>6000</v>
      </c>
      <c r="K456" s="228" t="s">
        <v>213</v>
      </c>
      <c r="L456" s="208" t="s">
        <v>218</v>
      </c>
    </row>
    <row r="457" spans="1:12" x14ac:dyDescent="0.25">
      <c r="A457" s="224" t="str">
        <f t="shared" si="15"/>
        <v>27042026-TK158-1</v>
      </c>
      <c r="B457" s="225">
        <v>46139</v>
      </c>
      <c r="C457" s="224" t="s">
        <v>312</v>
      </c>
      <c r="D457" s="224">
        <v>6089</v>
      </c>
      <c r="E457" s="224" t="s">
        <v>201</v>
      </c>
      <c r="F457" s="224"/>
      <c r="G457" s="227"/>
      <c r="H457" s="224"/>
      <c r="I457" s="228" t="s">
        <v>71</v>
      </c>
      <c r="J457" s="224">
        <v>6000</v>
      </c>
      <c r="K457" s="228" t="s">
        <v>203</v>
      </c>
      <c r="L457" s="208" t="s">
        <v>218</v>
      </c>
    </row>
    <row r="458" spans="1:12" x14ac:dyDescent="0.25">
      <c r="A458" s="224" t="str">
        <f t="shared" si="15"/>
        <v>27042026-TK158-2</v>
      </c>
      <c r="B458" s="225">
        <v>46139</v>
      </c>
      <c r="C458" s="224" t="s">
        <v>312</v>
      </c>
      <c r="D458" s="224">
        <v>6089</v>
      </c>
      <c r="E458" s="224" t="s">
        <v>206</v>
      </c>
      <c r="F458" s="224"/>
      <c r="G458" s="227"/>
      <c r="H458" s="224"/>
      <c r="I458" s="228" t="s">
        <v>72</v>
      </c>
      <c r="J458" s="224">
        <v>6000</v>
      </c>
      <c r="K458" s="228" t="s">
        <v>203</v>
      </c>
      <c r="L458" s="208" t="s">
        <v>218</v>
      </c>
    </row>
    <row r="459" spans="1:12" x14ac:dyDescent="0.25">
      <c r="A459" s="224" t="str">
        <f t="shared" si="15"/>
        <v>27042026-TK158-3</v>
      </c>
      <c r="B459" s="225">
        <v>46139</v>
      </c>
      <c r="C459" s="224" t="s">
        <v>312</v>
      </c>
      <c r="D459" s="224">
        <v>6089</v>
      </c>
      <c r="E459" s="224" t="s">
        <v>202</v>
      </c>
      <c r="F459" s="224"/>
      <c r="G459" s="227"/>
      <c r="H459" s="224"/>
      <c r="I459" s="228" t="s">
        <v>264</v>
      </c>
      <c r="J459" s="224">
        <v>6000</v>
      </c>
      <c r="K459" s="228" t="s">
        <v>203</v>
      </c>
      <c r="L459" s="208" t="s">
        <v>218</v>
      </c>
    </row>
    <row r="460" spans="1:12" x14ac:dyDescent="0.25">
      <c r="A460" s="224" t="str">
        <f t="shared" si="15"/>
        <v>27042026-TK158-3A</v>
      </c>
      <c r="B460" s="225">
        <v>46139</v>
      </c>
      <c r="C460" s="224" t="s">
        <v>312</v>
      </c>
      <c r="D460" s="224">
        <v>6089</v>
      </c>
      <c r="E460" s="224" t="s">
        <v>338</v>
      </c>
      <c r="F460" s="224"/>
      <c r="G460" s="227"/>
      <c r="H460" s="224"/>
      <c r="I460" s="228" t="s">
        <v>264</v>
      </c>
      <c r="J460" s="224">
        <v>6000</v>
      </c>
      <c r="K460" s="228" t="s">
        <v>203</v>
      </c>
      <c r="L460" s="208" t="s">
        <v>218</v>
      </c>
    </row>
    <row r="461" spans="1:12" x14ac:dyDescent="0.25">
      <c r="A461" s="224" t="str">
        <f t="shared" si="15"/>
        <v>27042026-TK158-Converter</v>
      </c>
      <c r="B461" s="225">
        <v>46139</v>
      </c>
      <c r="C461" s="224" t="s">
        <v>312</v>
      </c>
      <c r="D461" s="224">
        <v>6089</v>
      </c>
      <c r="E461" s="224" t="s">
        <v>339</v>
      </c>
      <c r="F461" s="224"/>
      <c r="G461" s="227"/>
      <c r="H461" s="224"/>
      <c r="I461" s="228" t="s">
        <v>72</v>
      </c>
      <c r="J461" s="224">
        <v>6000</v>
      </c>
      <c r="K461" s="228" t="s">
        <v>203</v>
      </c>
      <c r="L461" s="208" t="s">
        <v>218</v>
      </c>
    </row>
    <row r="462" spans="1:12" x14ac:dyDescent="0.25">
      <c r="A462" s="224" t="str">
        <f t="shared" si="15"/>
        <v>27042026-TK158-4B</v>
      </c>
      <c r="B462" s="225">
        <v>46139</v>
      </c>
      <c r="C462" s="224" t="s">
        <v>312</v>
      </c>
      <c r="D462" s="224">
        <v>6089</v>
      </c>
      <c r="E462" s="224" t="s">
        <v>340</v>
      </c>
      <c r="F462" s="224"/>
      <c r="G462" s="227"/>
      <c r="H462" s="224"/>
      <c r="I462" s="228" t="s">
        <v>341</v>
      </c>
      <c r="J462" s="224">
        <v>6000</v>
      </c>
      <c r="K462" s="228" t="s">
        <v>203</v>
      </c>
      <c r="L462" s="208" t="s">
        <v>218</v>
      </c>
    </row>
    <row r="463" spans="1:12" x14ac:dyDescent="0.25">
      <c r="A463" s="224" t="str">
        <f t="shared" si="15"/>
        <v>25042026-LD007-1</v>
      </c>
      <c r="B463" s="225">
        <v>46137</v>
      </c>
      <c r="C463" s="224" t="s">
        <v>320</v>
      </c>
      <c r="D463" s="224">
        <v>19922</v>
      </c>
      <c r="E463" s="224" t="s">
        <v>201</v>
      </c>
      <c r="F463" s="224"/>
      <c r="G463" s="227"/>
      <c r="H463" s="224"/>
      <c r="I463" s="228" t="s">
        <v>71</v>
      </c>
      <c r="J463" s="224">
        <v>4000</v>
      </c>
      <c r="K463" s="228" t="s">
        <v>203</v>
      </c>
      <c r="L463" s="208" t="s">
        <v>218</v>
      </c>
    </row>
    <row r="464" spans="1:12" x14ac:dyDescent="0.25">
      <c r="A464" s="224" t="str">
        <f t="shared" si="15"/>
        <v>25042026-LD007-2</v>
      </c>
      <c r="B464" s="225">
        <v>46137</v>
      </c>
      <c r="C464" s="224" t="s">
        <v>320</v>
      </c>
      <c r="D464" s="224">
        <v>19922</v>
      </c>
      <c r="E464" s="224" t="s">
        <v>206</v>
      </c>
      <c r="F464" s="224"/>
      <c r="G464" s="227"/>
      <c r="H464" s="224"/>
      <c r="I464" s="228" t="s">
        <v>72</v>
      </c>
      <c r="J464" s="224">
        <v>4000</v>
      </c>
      <c r="K464" s="228" t="s">
        <v>203</v>
      </c>
      <c r="L464" s="208" t="s">
        <v>218</v>
      </c>
    </row>
    <row r="465" spans="1:12" x14ac:dyDescent="0.25">
      <c r="A465" s="224" t="str">
        <f t="shared" si="15"/>
        <v>25042026-LD007-3</v>
      </c>
      <c r="B465" s="225">
        <v>46137</v>
      </c>
      <c r="C465" s="224" t="s">
        <v>320</v>
      </c>
      <c r="D465" s="224">
        <v>19922</v>
      </c>
      <c r="E465" s="224" t="s">
        <v>202</v>
      </c>
      <c r="F465" s="224"/>
      <c r="G465" s="227"/>
      <c r="H465" s="224"/>
      <c r="I465" s="228" t="s">
        <v>264</v>
      </c>
      <c r="J465" s="224">
        <v>4000</v>
      </c>
      <c r="K465" s="228" t="s">
        <v>203</v>
      </c>
      <c r="L465" s="208" t="s">
        <v>218</v>
      </c>
    </row>
    <row r="466" spans="1:12" x14ac:dyDescent="0.25">
      <c r="A466" s="224" t="str">
        <f t="shared" si="15"/>
        <v>25042026-LD007-4A</v>
      </c>
      <c r="B466" s="225">
        <v>46137</v>
      </c>
      <c r="C466" s="224" t="s">
        <v>320</v>
      </c>
      <c r="D466" s="224">
        <v>19922</v>
      </c>
      <c r="E466" s="224" t="s">
        <v>342</v>
      </c>
      <c r="F466" s="224"/>
      <c r="G466" s="227"/>
      <c r="H466" s="224"/>
      <c r="I466" s="228" t="s">
        <v>341</v>
      </c>
      <c r="J466" s="224">
        <v>4000</v>
      </c>
      <c r="K466" s="228" t="s">
        <v>203</v>
      </c>
      <c r="L466" s="208" t="s">
        <v>218</v>
      </c>
    </row>
    <row r="467" spans="1:12" x14ac:dyDescent="0.25">
      <c r="A467" s="224" t="str">
        <f t="shared" si="15"/>
        <v>25042026-LD007-4B</v>
      </c>
      <c r="B467" s="225">
        <v>46137</v>
      </c>
      <c r="C467" s="224" t="s">
        <v>320</v>
      </c>
      <c r="D467" s="224">
        <v>19922</v>
      </c>
      <c r="E467" s="224" t="s">
        <v>340</v>
      </c>
      <c r="F467" s="224"/>
      <c r="G467" s="227"/>
      <c r="H467" s="224"/>
      <c r="I467" s="228" t="s">
        <v>341</v>
      </c>
      <c r="J467" s="224">
        <v>4000</v>
      </c>
      <c r="K467" s="228" t="s">
        <v>203</v>
      </c>
      <c r="L467" s="208" t="s">
        <v>218</v>
      </c>
    </row>
    <row r="468" spans="1:12" x14ac:dyDescent="0.25">
      <c r="A468" s="224" t="str">
        <f t="shared" si="15"/>
        <v>26042026-TK155-1</v>
      </c>
      <c r="B468" s="225">
        <v>46138</v>
      </c>
      <c r="C468" s="224" t="s">
        <v>315</v>
      </c>
      <c r="D468" s="224">
        <v>5956</v>
      </c>
      <c r="E468" s="224" t="s">
        <v>201</v>
      </c>
      <c r="F468" s="224"/>
      <c r="G468" s="227"/>
      <c r="H468" s="224"/>
      <c r="I468" s="228" t="s">
        <v>71</v>
      </c>
      <c r="J468" s="224">
        <v>6000</v>
      </c>
      <c r="K468" s="228" t="s">
        <v>203</v>
      </c>
      <c r="L468" s="208" t="s">
        <v>218</v>
      </c>
    </row>
    <row r="469" spans="1:12" x14ac:dyDescent="0.25">
      <c r="A469" s="224" t="str">
        <f t="shared" si="15"/>
        <v>26042026-TK155-2</v>
      </c>
      <c r="B469" s="225">
        <v>46138</v>
      </c>
      <c r="C469" s="224" t="s">
        <v>315</v>
      </c>
      <c r="D469" s="224">
        <v>5956</v>
      </c>
      <c r="E469" s="224" t="s">
        <v>206</v>
      </c>
      <c r="F469" s="224"/>
      <c r="G469" s="227"/>
      <c r="H469" s="224"/>
      <c r="I469" s="228" t="s">
        <v>72</v>
      </c>
      <c r="J469" s="224">
        <v>6000</v>
      </c>
      <c r="K469" s="228" t="s">
        <v>203</v>
      </c>
      <c r="L469" s="208" t="s">
        <v>218</v>
      </c>
    </row>
    <row r="470" spans="1:12" x14ac:dyDescent="0.25">
      <c r="A470" s="224" t="str">
        <f t="shared" si="15"/>
        <v>26042026-TK155-3</v>
      </c>
      <c r="B470" s="225">
        <v>46138</v>
      </c>
      <c r="C470" s="224" t="s">
        <v>315</v>
      </c>
      <c r="D470" s="224">
        <v>5956</v>
      </c>
      <c r="E470" s="224" t="s">
        <v>202</v>
      </c>
      <c r="F470" s="224"/>
      <c r="G470" s="227"/>
      <c r="H470" s="224"/>
      <c r="I470" s="228" t="s">
        <v>264</v>
      </c>
      <c r="J470" s="224">
        <v>6000</v>
      </c>
      <c r="K470" s="228" t="s">
        <v>203</v>
      </c>
      <c r="L470" s="208" t="s">
        <v>218</v>
      </c>
    </row>
    <row r="471" spans="1:12" x14ac:dyDescent="0.25">
      <c r="A471" s="224" t="str">
        <f t="shared" si="15"/>
        <v>26042026-TK155-5</v>
      </c>
      <c r="B471" s="225">
        <v>46138</v>
      </c>
      <c r="C471" s="224" t="s">
        <v>315</v>
      </c>
      <c r="D471" s="224">
        <v>5956</v>
      </c>
      <c r="E471" s="224" t="s">
        <v>281</v>
      </c>
      <c r="F471" s="224"/>
      <c r="G471" s="227"/>
      <c r="H471" s="224"/>
      <c r="I471" s="228" t="s">
        <v>72</v>
      </c>
      <c r="J471" s="224">
        <v>6000</v>
      </c>
      <c r="K471" s="228" t="s">
        <v>203</v>
      </c>
      <c r="L471" s="208" t="s">
        <v>218</v>
      </c>
    </row>
    <row r="472" spans="1:12" x14ac:dyDescent="0.25">
      <c r="A472" s="224" t="str">
        <f t="shared" si="15"/>
        <v>26042026-TK155-4B</v>
      </c>
      <c r="B472" s="225">
        <v>46138</v>
      </c>
      <c r="C472" s="224" t="s">
        <v>315</v>
      </c>
      <c r="D472" s="224">
        <v>5956</v>
      </c>
      <c r="E472" s="224" t="s">
        <v>340</v>
      </c>
      <c r="F472" s="224"/>
      <c r="G472" s="227"/>
      <c r="H472" s="224"/>
      <c r="I472" s="228" t="s">
        <v>341</v>
      </c>
      <c r="J472" s="224">
        <v>6000</v>
      </c>
      <c r="K472" s="228" t="s">
        <v>203</v>
      </c>
      <c r="L472" s="208" t="s">
        <v>218</v>
      </c>
    </row>
    <row r="473" spans="1:12" x14ac:dyDescent="0.25">
      <c r="A473" s="224" t="str">
        <f t="shared" si="15"/>
        <v>28042026-DZ019-2</v>
      </c>
      <c r="B473" s="225">
        <v>46140</v>
      </c>
      <c r="C473" s="224" t="s">
        <v>316</v>
      </c>
      <c r="D473" s="224">
        <v>5984</v>
      </c>
      <c r="E473" s="224" t="s">
        <v>206</v>
      </c>
      <c r="F473" s="224"/>
      <c r="G473" s="227"/>
      <c r="H473" s="224"/>
      <c r="I473" s="228" t="s">
        <v>72</v>
      </c>
      <c r="J473" s="224">
        <v>6000</v>
      </c>
      <c r="K473" s="228" t="s">
        <v>203</v>
      </c>
      <c r="L473" s="208" t="s">
        <v>218</v>
      </c>
    </row>
    <row r="474" spans="1:12" x14ac:dyDescent="0.25">
      <c r="A474" s="224" t="str">
        <f t="shared" si="15"/>
        <v>27042026-TK117-1</v>
      </c>
      <c r="B474" s="225">
        <v>46139</v>
      </c>
      <c r="C474" s="224" t="s">
        <v>317</v>
      </c>
      <c r="D474" s="224">
        <v>28025</v>
      </c>
      <c r="E474" s="224" t="s">
        <v>201</v>
      </c>
      <c r="F474" s="224"/>
      <c r="G474" s="227"/>
      <c r="H474" s="224"/>
      <c r="I474" s="228" t="s">
        <v>71</v>
      </c>
      <c r="J474" s="224">
        <v>4000</v>
      </c>
      <c r="K474" s="228" t="s">
        <v>203</v>
      </c>
      <c r="L474" s="208" t="s">
        <v>218</v>
      </c>
    </row>
    <row r="475" spans="1:12" x14ac:dyDescent="0.25">
      <c r="A475" s="224" t="str">
        <f t="shared" si="15"/>
        <v>27042026-TK117-2</v>
      </c>
      <c r="B475" s="225">
        <v>46139</v>
      </c>
      <c r="C475" s="224" t="s">
        <v>317</v>
      </c>
      <c r="D475" s="224">
        <v>28025</v>
      </c>
      <c r="E475" s="224" t="s">
        <v>206</v>
      </c>
      <c r="F475" s="224"/>
      <c r="G475" s="227"/>
      <c r="H475" s="224"/>
      <c r="I475" s="228" t="s">
        <v>72</v>
      </c>
      <c r="J475" s="224">
        <v>4000</v>
      </c>
      <c r="K475" s="228" t="s">
        <v>203</v>
      </c>
      <c r="L475" s="208" t="s">
        <v>218</v>
      </c>
    </row>
    <row r="476" spans="1:12" x14ac:dyDescent="0.25">
      <c r="A476" s="224" t="str">
        <f t="shared" si="15"/>
        <v>27042026-TK117-3</v>
      </c>
      <c r="B476" s="225">
        <v>46139</v>
      </c>
      <c r="C476" s="224" t="s">
        <v>317</v>
      </c>
      <c r="D476" s="224">
        <v>28025</v>
      </c>
      <c r="E476" s="224" t="s">
        <v>202</v>
      </c>
      <c r="F476" s="224"/>
      <c r="G476" s="227"/>
      <c r="H476" s="224"/>
      <c r="I476" s="228" t="s">
        <v>264</v>
      </c>
      <c r="J476" s="224">
        <v>4000</v>
      </c>
      <c r="K476" s="228" t="s">
        <v>203</v>
      </c>
      <c r="L476" s="208" t="s">
        <v>218</v>
      </c>
    </row>
    <row r="477" spans="1:12" x14ac:dyDescent="0.25">
      <c r="A477" s="224" t="str">
        <f t="shared" si="15"/>
        <v>01052026-SN004-1</v>
      </c>
      <c r="B477" s="225">
        <v>46143</v>
      </c>
      <c r="C477" s="224" t="s">
        <v>343</v>
      </c>
      <c r="D477" s="224"/>
      <c r="E477" s="224" t="s">
        <v>201</v>
      </c>
      <c r="F477" s="224"/>
      <c r="G477" s="227"/>
      <c r="H477" s="224">
        <v>521</v>
      </c>
      <c r="I477" s="228" t="s">
        <v>71</v>
      </c>
      <c r="J477" s="224"/>
      <c r="K477" s="228" t="s">
        <v>203</v>
      </c>
      <c r="L477" s="208" t="s">
        <v>218</v>
      </c>
    </row>
    <row r="478" spans="1:12" x14ac:dyDescent="0.25">
      <c r="A478" s="224" t="str">
        <f t="shared" si="15"/>
        <v>01052026-SN004-3</v>
      </c>
      <c r="B478" s="225">
        <v>46143</v>
      </c>
      <c r="C478" s="224" t="s">
        <v>343</v>
      </c>
      <c r="D478" s="224"/>
      <c r="E478" s="224" t="s">
        <v>202</v>
      </c>
      <c r="F478" s="224"/>
      <c r="G478" s="227"/>
      <c r="H478" s="224">
        <v>521</v>
      </c>
      <c r="I478" s="228" t="s">
        <v>264</v>
      </c>
      <c r="J478" s="224"/>
      <c r="K478" s="228" t="s">
        <v>213</v>
      </c>
      <c r="L478" s="208" t="s">
        <v>218</v>
      </c>
    </row>
    <row r="479" spans="1:12" x14ac:dyDescent="0.25">
      <c r="A479" s="224" t="str">
        <f t="shared" si="15"/>
        <v>01052026-CR006-1</v>
      </c>
      <c r="B479" s="225">
        <v>46143</v>
      </c>
      <c r="C479" s="224" t="s">
        <v>269</v>
      </c>
      <c r="D479" s="224">
        <v>4557</v>
      </c>
      <c r="E479" s="224" t="s">
        <v>201</v>
      </c>
      <c r="F479" s="224"/>
      <c r="G479" s="227"/>
      <c r="H479" s="224"/>
      <c r="I479" s="228" t="s">
        <v>71</v>
      </c>
      <c r="J479" s="224">
        <v>500</v>
      </c>
      <c r="K479" s="228" t="s">
        <v>203</v>
      </c>
      <c r="L479" s="208" t="s">
        <v>218</v>
      </c>
    </row>
    <row r="480" spans="1:12" x14ac:dyDescent="0.25">
      <c r="A480" s="224" t="str">
        <f t="shared" si="15"/>
        <v>01052026-CR006-3</v>
      </c>
      <c r="B480" s="225">
        <v>46143</v>
      </c>
      <c r="C480" s="224" t="s">
        <v>269</v>
      </c>
      <c r="D480" s="224">
        <v>4557</v>
      </c>
      <c r="E480" s="224" t="s">
        <v>202</v>
      </c>
      <c r="F480" s="224"/>
      <c r="G480" s="227"/>
      <c r="H480" s="224"/>
      <c r="I480" s="228" t="s">
        <v>264</v>
      </c>
      <c r="J480" s="224">
        <v>500</v>
      </c>
      <c r="K480" s="228" t="s">
        <v>213</v>
      </c>
      <c r="L480" s="208" t="s">
        <v>218</v>
      </c>
    </row>
    <row r="481" spans="1:12" x14ac:dyDescent="0.25">
      <c r="A481" s="224" t="str">
        <f t="shared" si="15"/>
        <v>01052026-CR007-1</v>
      </c>
      <c r="B481" s="225">
        <v>46143</v>
      </c>
      <c r="C481" s="224" t="s">
        <v>344</v>
      </c>
      <c r="D481" s="224"/>
      <c r="E481" s="224" t="s">
        <v>201</v>
      </c>
      <c r="F481" s="224"/>
      <c r="G481" s="227"/>
      <c r="H481" s="224">
        <v>441</v>
      </c>
      <c r="I481" s="228" t="s">
        <v>71</v>
      </c>
      <c r="J481" s="224"/>
      <c r="K481" s="228" t="s">
        <v>203</v>
      </c>
      <c r="L481" s="208" t="s">
        <v>218</v>
      </c>
    </row>
    <row r="482" spans="1:12" x14ac:dyDescent="0.25">
      <c r="A482" s="224" t="str">
        <f t="shared" si="15"/>
        <v>01052026-CR007-3</v>
      </c>
      <c r="B482" s="225">
        <v>46143</v>
      </c>
      <c r="C482" s="224" t="s">
        <v>344</v>
      </c>
      <c r="D482" s="224"/>
      <c r="E482" s="224" t="s">
        <v>202</v>
      </c>
      <c r="F482" s="224"/>
      <c r="G482" s="227"/>
      <c r="H482" s="224">
        <v>441</v>
      </c>
      <c r="I482" s="228" t="s">
        <v>264</v>
      </c>
      <c r="J482" s="224"/>
      <c r="K482" s="228" t="s">
        <v>213</v>
      </c>
      <c r="L482" s="208" t="s">
        <v>218</v>
      </c>
    </row>
    <row r="483" spans="1:12" x14ac:dyDescent="0.25">
      <c r="A483" s="224" t="str">
        <f t="shared" si="15"/>
        <v>06052026-TK154-2</v>
      </c>
      <c r="B483" s="225">
        <v>46148</v>
      </c>
      <c r="C483" s="224" t="s">
        <v>244</v>
      </c>
      <c r="D483" s="224">
        <v>4747</v>
      </c>
      <c r="E483" s="224" t="s">
        <v>206</v>
      </c>
      <c r="F483" s="224"/>
      <c r="G483" s="227"/>
      <c r="H483" s="224"/>
      <c r="I483" s="228" t="s">
        <v>72</v>
      </c>
      <c r="J483" s="224">
        <v>9000</v>
      </c>
      <c r="K483" s="228" t="s">
        <v>203</v>
      </c>
      <c r="L483" s="208" t="s">
        <v>218</v>
      </c>
    </row>
    <row r="484" spans="1:12" x14ac:dyDescent="0.25">
      <c r="A484" s="224" t="str">
        <f t="shared" si="15"/>
        <v>12052026-TK148-1</v>
      </c>
      <c r="B484" s="225">
        <v>46154</v>
      </c>
      <c r="C484" s="224" t="s">
        <v>235</v>
      </c>
      <c r="D484" s="224">
        <v>6052</v>
      </c>
      <c r="E484" s="224" t="s">
        <v>201</v>
      </c>
      <c r="F484" s="224"/>
      <c r="G484" s="227"/>
      <c r="H484" s="224"/>
      <c r="I484" s="228" t="s">
        <v>71</v>
      </c>
      <c r="J484" s="224">
        <v>12000</v>
      </c>
      <c r="K484" s="228" t="s">
        <v>203</v>
      </c>
      <c r="L484" s="208" t="s">
        <v>218</v>
      </c>
    </row>
    <row r="485" spans="1:12" x14ac:dyDescent="0.25">
      <c r="A485" s="224" t="str">
        <f t="shared" si="15"/>
        <v>12052026-TK148-3</v>
      </c>
      <c r="B485" s="225">
        <v>46154</v>
      </c>
      <c r="C485" s="224" t="s">
        <v>235</v>
      </c>
      <c r="D485" s="224">
        <v>6052</v>
      </c>
      <c r="E485" s="224" t="s">
        <v>202</v>
      </c>
      <c r="F485" s="224"/>
      <c r="G485" s="227"/>
      <c r="H485" s="224"/>
      <c r="I485" s="228" t="s">
        <v>264</v>
      </c>
      <c r="J485" s="224">
        <v>12000</v>
      </c>
      <c r="K485" s="228" t="s">
        <v>213</v>
      </c>
      <c r="L485" s="208" t="s">
        <v>218</v>
      </c>
    </row>
    <row r="486" spans="1:12" x14ac:dyDescent="0.25">
      <c r="A486" s="224" t="str">
        <f t="shared" si="15"/>
        <v>12052026-TK148-2</v>
      </c>
      <c r="B486" s="225">
        <v>46154</v>
      </c>
      <c r="C486" s="224" t="s">
        <v>235</v>
      </c>
      <c r="D486" s="224">
        <v>6052</v>
      </c>
      <c r="E486" s="224" t="s">
        <v>206</v>
      </c>
      <c r="F486" s="224"/>
      <c r="G486" s="227"/>
      <c r="H486" s="224"/>
      <c r="I486" s="228" t="s">
        <v>72</v>
      </c>
      <c r="J486" s="224">
        <v>9000</v>
      </c>
      <c r="K486" s="228" t="s">
        <v>203</v>
      </c>
      <c r="L486" s="208" t="s">
        <v>218</v>
      </c>
    </row>
    <row r="487" spans="1:12" x14ac:dyDescent="0.25">
      <c r="A487" s="224" t="str">
        <f t="shared" si="15"/>
        <v>10052026-TK151-1</v>
      </c>
      <c r="B487" s="225">
        <v>46152</v>
      </c>
      <c r="C487" s="224" t="s">
        <v>309</v>
      </c>
      <c r="D487" s="224">
        <v>4621</v>
      </c>
      <c r="E487" s="224" t="s">
        <v>201</v>
      </c>
      <c r="F487" s="224"/>
      <c r="G487" s="227"/>
      <c r="H487" s="224"/>
      <c r="I487" s="228" t="s">
        <v>71</v>
      </c>
      <c r="J487" s="224">
        <v>9000</v>
      </c>
      <c r="K487" s="228" t="s">
        <v>203</v>
      </c>
      <c r="L487" s="208" t="s">
        <v>218</v>
      </c>
    </row>
    <row r="488" spans="1:12" x14ac:dyDescent="0.25">
      <c r="A488" s="224" t="str">
        <f t="shared" si="15"/>
        <v>10052026-TK151-3</v>
      </c>
      <c r="B488" s="225">
        <v>46152</v>
      </c>
      <c r="C488" s="224" t="s">
        <v>309</v>
      </c>
      <c r="D488" s="224">
        <v>4621</v>
      </c>
      <c r="E488" s="224" t="s">
        <v>202</v>
      </c>
      <c r="F488" s="224"/>
      <c r="G488" s="227"/>
      <c r="H488" s="224"/>
      <c r="I488" s="228" t="s">
        <v>264</v>
      </c>
      <c r="J488" s="224">
        <v>9000</v>
      </c>
      <c r="K488" s="228" t="s">
        <v>213</v>
      </c>
      <c r="L488" s="208" t="s">
        <v>218</v>
      </c>
    </row>
    <row r="489" spans="1:12" x14ac:dyDescent="0.25">
      <c r="A489" s="224" t="str">
        <f t="shared" si="15"/>
        <v>10052026-TK151-2</v>
      </c>
      <c r="B489" s="225">
        <v>46152</v>
      </c>
      <c r="C489" s="224" t="s">
        <v>309</v>
      </c>
      <c r="D489" s="224">
        <v>4621</v>
      </c>
      <c r="E489" s="224" t="s">
        <v>206</v>
      </c>
      <c r="F489" s="224"/>
      <c r="G489" s="227"/>
      <c r="H489" s="224"/>
      <c r="I489" s="228" t="s">
        <v>72</v>
      </c>
      <c r="J489" s="224">
        <v>9000</v>
      </c>
      <c r="K489" s="228" t="s">
        <v>203</v>
      </c>
      <c r="L489" s="208" t="s">
        <v>218</v>
      </c>
    </row>
    <row r="490" spans="1:12" x14ac:dyDescent="0.25">
      <c r="A490" s="224" t="str">
        <f t="shared" si="15"/>
        <v>15052026-EX11-1</v>
      </c>
      <c r="B490" s="225">
        <v>46157</v>
      </c>
      <c r="C490" s="224" t="s">
        <v>345</v>
      </c>
      <c r="D490" s="224">
        <v>28420</v>
      </c>
      <c r="E490" s="224" t="s">
        <v>201</v>
      </c>
      <c r="F490" s="224"/>
      <c r="G490" s="227"/>
      <c r="H490" s="224"/>
      <c r="I490" s="228" t="s">
        <v>71</v>
      </c>
      <c r="J490" s="224">
        <v>9000</v>
      </c>
      <c r="K490" s="228" t="s">
        <v>203</v>
      </c>
      <c r="L490" s="208" t="s">
        <v>218</v>
      </c>
    </row>
    <row r="491" spans="1:12" x14ac:dyDescent="0.25">
      <c r="A491" s="224" t="str">
        <f t="shared" si="15"/>
        <v>15052026-EX11-3</v>
      </c>
      <c r="B491" s="225">
        <v>46157</v>
      </c>
      <c r="C491" s="224" t="s">
        <v>345</v>
      </c>
      <c r="D491" s="224">
        <v>28420</v>
      </c>
      <c r="E491" s="224" t="s">
        <v>202</v>
      </c>
      <c r="F491" s="224"/>
      <c r="G491" s="227"/>
      <c r="H491" s="224"/>
      <c r="I491" s="228" t="s">
        <v>264</v>
      </c>
      <c r="J491" s="224">
        <v>9000</v>
      </c>
      <c r="K491" s="228" t="s">
        <v>213</v>
      </c>
      <c r="L491" s="208" t="s">
        <v>218</v>
      </c>
    </row>
    <row r="492" spans="1:12" x14ac:dyDescent="0.25">
      <c r="A492" s="224" t="str">
        <f t="shared" si="15"/>
        <v>15052026-EX11-4F</v>
      </c>
      <c r="B492" s="225">
        <v>46157</v>
      </c>
      <c r="C492" s="224" t="s">
        <v>345</v>
      </c>
      <c r="D492" s="224">
        <v>28420</v>
      </c>
      <c r="E492" s="224" t="s">
        <v>271</v>
      </c>
      <c r="F492" s="224"/>
      <c r="G492" s="227"/>
      <c r="H492" s="224"/>
      <c r="I492" s="228" t="s">
        <v>72</v>
      </c>
      <c r="J492" s="224">
        <v>9000</v>
      </c>
      <c r="K492" s="228" t="s">
        <v>213</v>
      </c>
      <c r="L492" s="208" t="s">
        <v>218</v>
      </c>
    </row>
    <row r="493" spans="1:12" x14ac:dyDescent="0.25">
      <c r="A493" s="224" t="str">
        <f t="shared" si="15"/>
        <v>15052026-TK161-1</v>
      </c>
      <c r="B493" s="225">
        <v>46157</v>
      </c>
      <c r="C493" s="224" t="s">
        <v>311</v>
      </c>
      <c r="D493" s="224">
        <v>5956</v>
      </c>
      <c r="E493" s="224" t="s">
        <v>201</v>
      </c>
      <c r="F493" s="224"/>
      <c r="G493" s="227"/>
      <c r="H493" s="224"/>
      <c r="I493" s="228" t="s">
        <v>71</v>
      </c>
      <c r="J493" s="224">
        <v>9000</v>
      </c>
      <c r="K493" s="228" t="s">
        <v>203</v>
      </c>
      <c r="L493" s="208" t="s">
        <v>218</v>
      </c>
    </row>
    <row r="494" spans="1:12" x14ac:dyDescent="0.25">
      <c r="A494" s="224" t="str">
        <f t="shared" si="15"/>
        <v>15052026-TK161-2</v>
      </c>
      <c r="B494" s="225">
        <v>46157</v>
      </c>
      <c r="C494" s="224" t="s">
        <v>311</v>
      </c>
      <c r="D494" s="224">
        <v>5956</v>
      </c>
      <c r="E494" s="224" t="s">
        <v>206</v>
      </c>
      <c r="F494" s="224"/>
      <c r="G494" s="227"/>
      <c r="H494" s="224"/>
      <c r="I494" s="228" t="s">
        <v>72</v>
      </c>
      <c r="J494" s="224">
        <v>9000</v>
      </c>
      <c r="K494" s="228" t="s">
        <v>203</v>
      </c>
      <c r="L494" s="208" t="s">
        <v>218</v>
      </c>
    </row>
    <row r="495" spans="1:12" x14ac:dyDescent="0.25">
      <c r="A495" s="224" t="str">
        <f t="shared" si="15"/>
        <v>15052026-TK161-3</v>
      </c>
      <c r="B495" s="225">
        <v>46157</v>
      </c>
      <c r="C495" s="224" t="s">
        <v>311</v>
      </c>
      <c r="D495" s="224">
        <v>5956</v>
      </c>
      <c r="E495" s="224" t="s">
        <v>202</v>
      </c>
      <c r="F495" s="224"/>
      <c r="G495" s="227"/>
      <c r="H495" s="224"/>
      <c r="I495" s="228" t="s">
        <v>264</v>
      </c>
      <c r="J495" s="224">
        <v>9000</v>
      </c>
      <c r="K495" s="228" t="s">
        <v>213</v>
      </c>
      <c r="L495" s="208" t="s">
        <v>218</v>
      </c>
    </row>
    <row r="496" spans="1:12" x14ac:dyDescent="0.25">
      <c r="A496" s="224" t="str">
        <f t="shared" si="15"/>
        <v>18052026-TK154-1</v>
      </c>
      <c r="B496" s="225">
        <v>46160</v>
      </c>
      <c r="C496" s="224" t="s">
        <v>244</v>
      </c>
      <c r="D496" s="224">
        <v>4995</v>
      </c>
      <c r="E496" s="224" t="s">
        <v>201</v>
      </c>
      <c r="F496" s="224"/>
      <c r="G496" s="227"/>
      <c r="H496" s="224"/>
      <c r="I496" s="228" t="s">
        <v>71</v>
      </c>
      <c r="J496" s="224">
        <v>9000</v>
      </c>
      <c r="K496" s="228" t="s">
        <v>203</v>
      </c>
      <c r="L496" s="208" t="s">
        <v>218</v>
      </c>
    </row>
    <row r="497" spans="1:12" x14ac:dyDescent="0.25">
      <c r="A497" s="224" t="str">
        <f t="shared" si="15"/>
        <v>18052026-TK154-2</v>
      </c>
      <c r="B497" s="225">
        <v>46160</v>
      </c>
      <c r="C497" s="224" t="s">
        <v>244</v>
      </c>
      <c r="D497" s="224">
        <v>4995</v>
      </c>
      <c r="E497" s="224" t="s">
        <v>206</v>
      </c>
      <c r="F497" s="224"/>
      <c r="G497" s="227"/>
      <c r="H497" s="224"/>
      <c r="I497" s="228" t="s">
        <v>72</v>
      </c>
      <c r="J497" s="224">
        <v>9000</v>
      </c>
      <c r="K497" s="228" t="s">
        <v>203</v>
      </c>
      <c r="L497" s="208" t="s">
        <v>218</v>
      </c>
    </row>
    <row r="498" spans="1:12" x14ac:dyDescent="0.25">
      <c r="A498" s="224" t="str">
        <f t="shared" si="15"/>
        <v>18052026-TK154-3</v>
      </c>
      <c r="B498" s="225">
        <v>46160</v>
      </c>
      <c r="C498" s="224" t="s">
        <v>244</v>
      </c>
      <c r="D498" s="224">
        <v>4995</v>
      </c>
      <c r="E498" s="224" t="s">
        <v>202</v>
      </c>
      <c r="F498" s="224"/>
      <c r="G498" s="227"/>
      <c r="H498" s="224"/>
      <c r="I498" s="228" t="s">
        <v>264</v>
      </c>
      <c r="J498" s="224">
        <v>9000</v>
      </c>
      <c r="K498" s="228" t="s">
        <v>213</v>
      </c>
      <c r="L498" s="208" t="s">
        <v>218</v>
      </c>
    </row>
    <row r="499" spans="1:12" x14ac:dyDescent="0.25">
      <c r="A499" s="224" t="str">
        <f t="shared" si="15"/>
        <v>11052026-TK152-1</v>
      </c>
      <c r="B499" s="225">
        <v>46153</v>
      </c>
      <c r="C499" s="224" t="s">
        <v>243</v>
      </c>
      <c r="D499" s="224">
        <v>5983</v>
      </c>
      <c r="E499" s="224" t="s">
        <v>201</v>
      </c>
      <c r="F499" s="224"/>
      <c r="G499" s="227"/>
      <c r="H499" s="224"/>
      <c r="I499" s="228" t="s">
        <v>71</v>
      </c>
      <c r="J499" s="224">
        <v>9000</v>
      </c>
      <c r="K499" s="228" t="s">
        <v>203</v>
      </c>
      <c r="L499" s="208" t="s">
        <v>218</v>
      </c>
    </row>
    <row r="500" spans="1:12" x14ac:dyDescent="0.25">
      <c r="A500" s="224" t="str">
        <f t="shared" si="15"/>
        <v>11052026-TK152-2</v>
      </c>
      <c r="B500" s="225">
        <v>46153</v>
      </c>
      <c r="C500" s="224" t="s">
        <v>243</v>
      </c>
      <c r="D500" s="224">
        <v>5983</v>
      </c>
      <c r="E500" s="224" t="s">
        <v>206</v>
      </c>
      <c r="F500" s="224"/>
      <c r="G500" s="227"/>
      <c r="H500" s="224"/>
      <c r="I500" s="228" t="s">
        <v>72</v>
      </c>
      <c r="J500" s="224">
        <v>9000</v>
      </c>
      <c r="K500" s="228" t="s">
        <v>203</v>
      </c>
      <c r="L500" s="208" t="s">
        <v>218</v>
      </c>
    </row>
    <row r="501" spans="1:12" x14ac:dyDescent="0.25">
      <c r="A501" s="224" t="str">
        <f t="shared" si="15"/>
        <v>11052026-TK152-3</v>
      </c>
      <c r="B501" s="225">
        <v>46153</v>
      </c>
      <c r="C501" s="224" t="s">
        <v>243</v>
      </c>
      <c r="D501" s="224">
        <v>5983</v>
      </c>
      <c r="E501" s="224" t="s">
        <v>202</v>
      </c>
      <c r="F501" s="224"/>
      <c r="G501" s="227"/>
      <c r="H501" s="224"/>
      <c r="I501" s="228" t="s">
        <v>264</v>
      </c>
      <c r="J501" s="224">
        <v>9000</v>
      </c>
      <c r="K501" s="228" t="s">
        <v>213</v>
      </c>
      <c r="L501" s="208" t="s">
        <v>218</v>
      </c>
    </row>
    <row r="502" spans="1:12" x14ac:dyDescent="0.25">
      <c r="A502" s="224" t="str">
        <f t="shared" si="15"/>
        <v>11062026-TK09-1</v>
      </c>
      <c r="B502" s="225">
        <v>46184</v>
      </c>
      <c r="C502" s="224" t="s">
        <v>346</v>
      </c>
      <c r="D502" s="224">
        <v>31950</v>
      </c>
      <c r="E502" s="224" t="s">
        <v>201</v>
      </c>
      <c r="F502" s="224"/>
      <c r="G502" s="227"/>
      <c r="H502" s="224">
        <v>481</v>
      </c>
      <c r="I502" s="228" t="s">
        <v>71</v>
      </c>
      <c r="J502" s="224">
        <v>8000</v>
      </c>
      <c r="K502" s="228" t="s">
        <v>203</v>
      </c>
      <c r="L502" s="208" t="s">
        <v>218</v>
      </c>
    </row>
    <row r="503" spans="1:12" x14ac:dyDescent="0.25">
      <c r="A503" s="224" t="str">
        <f t="shared" si="15"/>
        <v>11062026-TK09-2</v>
      </c>
      <c r="B503" s="225">
        <v>46184</v>
      </c>
      <c r="C503" s="224" t="s">
        <v>346</v>
      </c>
      <c r="D503" s="224">
        <v>31950</v>
      </c>
      <c r="E503" s="224" t="s">
        <v>206</v>
      </c>
      <c r="F503" s="224"/>
      <c r="G503" s="227"/>
      <c r="H503" s="224">
        <v>923</v>
      </c>
      <c r="I503" s="228" t="s">
        <v>72</v>
      </c>
      <c r="J503" s="224">
        <v>8000</v>
      </c>
      <c r="K503" s="228" t="s">
        <v>203</v>
      </c>
      <c r="L503" s="208" t="s">
        <v>218</v>
      </c>
    </row>
    <row r="504" spans="1:12" x14ac:dyDescent="0.25">
      <c r="A504" s="224" t="str">
        <f t="shared" si="15"/>
        <v>11062026-TK09-3</v>
      </c>
      <c r="B504" s="225">
        <v>46184</v>
      </c>
      <c r="C504" s="224" t="s">
        <v>346</v>
      </c>
      <c r="D504" s="224">
        <v>31950</v>
      </c>
      <c r="E504" s="224" t="s">
        <v>202</v>
      </c>
      <c r="F504" s="224"/>
      <c r="G504" s="227"/>
      <c r="H504" s="224">
        <v>3891</v>
      </c>
      <c r="I504" s="228" t="s">
        <v>264</v>
      </c>
      <c r="J504" s="224">
        <v>8000</v>
      </c>
      <c r="K504" s="228" t="s">
        <v>203</v>
      </c>
      <c r="L504" s="208" t="s">
        <v>218</v>
      </c>
    </row>
    <row r="505" spans="1:12" x14ac:dyDescent="0.25">
      <c r="A505" s="224" t="str">
        <f t="shared" si="15"/>
        <v>14062026-TK113-1</v>
      </c>
      <c r="B505" s="225">
        <v>46187</v>
      </c>
      <c r="C505" s="224" t="s">
        <v>260</v>
      </c>
      <c r="D505" s="224">
        <v>37000</v>
      </c>
      <c r="E505" s="224" t="s">
        <v>201</v>
      </c>
      <c r="F505" s="224"/>
      <c r="G505" s="227"/>
      <c r="H505" s="224">
        <v>518</v>
      </c>
      <c r="I505" s="228" t="s">
        <v>71</v>
      </c>
      <c r="J505" s="224">
        <v>1000</v>
      </c>
      <c r="K505" s="228" t="s">
        <v>203</v>
      </c>
      <c r="L505" s="208" t="s">
        <v>218</v>
      </c>
    </row>
    <row r="506" spans="1:12" x14ac:dyDescent="0.25">
      <c r="A506" s="224" t="str">
        <f t="shared" si="15"/>
        <v>14062026-TK113-2</v>
      </c>
      <c r="B506" s="225">
        <v>46187</v>
      </c>
      <c r="C506" s="224" t="s">
        <v>260</v>
      </c>
      <c r="D506" s="224">
        <v>37000</v>
      </c>
      <c r="E506" s="224" t="s">
        <v>206</v>
      </c>
      <c r="F506" s="224"/>
      <c r="G506" s="227"/>
      <c r="H506" s="224">
        <v>929</v>
      </c>
      <c r="I506" s="228" t="s">
        <v>72</v>
      </c>
      <c r="J506" s="224">
        <v>1000</v>
      </c>
      <c r="K506" s="228" t="s">
        <v>203</v>
      </c>
      <c r="L506" s="208" t="s">
        <v>218</v>
      </c>
    </row>
    <row r="507" spans="1:12" x14ac:dyDescent="0.25">
      <c r="A507" s="224" t="str">
        <f t="shared" si="15"/>
        <v>14062026-TK113-3</v>
      </c>
      <c r="B507" s="225">
        <v>46187</v>
      </c>
      <c r="C507" s="224" t="s">
        <v>260</v>
      </c>
      <c r="D507" s="224">
        <v>37000</v>
      </c>
      <c r="E507" s="224" t="s">
        <v>202</v>
      </c>
      <c r="F507" s="224"/>
      <c r="G507" s="227"/>
      <c r="H507" s="224">
        <v>929</v>
      </c>
      <c r="I507" s="228" t="s">
        <v>264</v>
      </c>
      <c r="J507" s="224">
        <v>1000</v>
      </c>
      <c r="K507" s="228" t="s">
        <v>213</v>
      </c>
      <c r="L507" s="208" t="s">
        <v>218</v>
      </c>
    </row>
    <row r="508" spans="1:12" x14ac:dyDescent="0.25">
      <c r="A508" s="224" t="str">
        <f t="shared" si="15"/>
        <v>09062026-TK125-1</v>
      </c>
      <c r="B508" s="225">
        <v>46182</v>
      </c>
      <c r="C508" s="224" t="s">
        <v>321</v>
      </c>
      <c r="D508" s="224">
        <v>29975</v>
      </c>
      <c r="E508" s="224" t="s">
        <v>201</v>
      </c>
      <c r="F508" s="224"/>
      <c r="G508" s="227"/>
      <c r="H508" s="224">
        <v>511</v>
      </c>
      <c r="I508" s="228" t="s">
        <v>71</v>
      </c>
      <c r="J508" s="224">
        <v>2000</v>
      </c>
      <c r="K508" s="228" t="s">
        <v>203</v>
      </c>
      <c r="L508" s="208" t="s">
        <v>218</v>
      </c>
    </row>
    <row r="509" spans="1:12" x14ac:dyDescent="0.25">
      <c r="A509" s="224" t="str">
        <f t="shared" ref="A509:A572" si="16">TEXT(DAY(B509),"00")&amp;TEXT(MONTH(B509),"00")&amp;YEAR(B509)&amp;"-"&amp;C509&amp;"-"&amp;LEFT(E509,SEARCH(" ",E509&amp;" ")-1)</f>
        <v>09062026-TK125-2</v>
      </c>
      <c r="B509" s="225">
        <v>46182</v>
      </c>
      <c r="C509" s="224" t="s">
        <v>321</v>
      </c>
      <c r="D509" s="224">
        <v>29975</v>
      </c>
      <c r="E509" s="224" t="s">
        <v>206</v>
      </c>
      <c r="F509" s="224"/>
      <c r="G509" s="227"/>
      <c r="H509" s="224">
        <v>1039</v>
      </c>
      <c r="I509" s="228" t="s">
        <v>72</v>
      </c>
      <c r="J509" s="224">
        <v>2000</v>
      </c>
      <c r="K509" s="228" t="s">
        <v>203</v>
      </c>
      <c r="L509" s="208" t="s">
        <v>218</v>
      </c>
    </row>
    <row r="510" spans="1:12" x14ac:dyDescent="0.25">
      <c r="A510" s="224" t="str">
        <f t="shared" si="16"/>
        <v>09062026-TK125-3</v>
      </c>
      <c r="B510" s="225">
        <v>46182</v>
      </c>
      <c r="C510" s="224" t="s">
        <v>321</v>
      </c>
      <c r="D510" s="224">
        <v>29975</v>
      </c>
      <c r="E510" s="224" t="s">
        <v>202</v>
      </c>
      <c r="F510" s="224"/>
      <c r="G510" s="227"/>
      <c r="H510" s="224">
        <v>1942</v>
      </c>
      <c r="I510" s="228" t="s">
        <v>264</v>
      </c>
      <c r="J510" s="224">
        <v>2000</v>
      </c>
      <c r="K510" s="228" t="s">
        <v>213</v>
      </c>
      <c r="L510" s="208" t="s">
        <v>218</v>
      </c>
    </row>
    <row r="511" spans="1:12" x14ac:dyDescent="0.25">
      <c r="A511" s="224" t="str">
        <f t="shared" si="16"/>
        <v>09052026-DZ008-1</v>
      </c>
      <c r="B511" s="225">
        <v>46151</v>
      </c>
      <c r="C511" s="224" t="s">
        <v>308</v>
      </c>
      <c r="D511" s="224">
        <v>25988</v>
      </c>
      <c r="E511" s="224" t="s">
        <v>201</v>
      </c>
      <c r="F511" s="224"/>
      <c r="G511" s="227"/>
      <c r="H511" s="224"/>
      <c r="I511" s="228" t="s">
        <v>71</v>
      </c>
      <c r="J511" s="224"/>
      <c r="K511" s="228" t="s">
        <v>203</v>
      </c>
      <c r="L511" s="208" t="s">
        <v>218</v>
      </c>
    </row>
    <row r="512" spans="1:12" x14ac:dyDescent="0.25">
      <c r="A512" s="224" t="str">
        <f t="shared" si="16"/>
        <v>03052026-EX025-1</v>
      </c>
      <c r="B512" s="225">
        <v>46145</v>
      </c>
      <c r="C512" s="224" t="s">
        <v>347</v>
      </c>
      <c r="D512" s="224">
        <v>6000</v>
      </c>
      <c r="E512" s="224" t="s">
        <v>201</v>
      </c>
      <c r="F512" s="224"/>
      <c r="G512" s="227"/>
      <c r="H512" s="224"/>
      <c r="I512" s="228" t="s">
        <v>71</v>
      </c>
      <c r="J512" s="224">
        <v>6000</v>
      </c>
      <c r="K512" s="228" t="s">
        <v>203</v>
      </c>
      <c r="L512" s="208" t="s">
        <v>218</v>
      </c>
    </row>
    <row r="513" spans="1:12" x14ac:dyDescent="0.25">
      <c r="A513" s="224" t="str">
        <f t="shared" si="16"/>
        <v>09052026-SN001-1</v>
      </c>
      <c r="B513" s="225">
        <v>46151</v>
      </c>
      <c r="C513" s="224" t="s">
        <v>266</v>
      </c>
      <c r="D513" s="224">
        <v>22363</v>
      </c>
      <c r="E513" s="224" t="s">
        <v>201</v>
      </c>
      <c r="F513" s="224"/>
      <c r="G513" s="227"/>
      <c r="H513" s="224"/>
      <c r="I513" s="228" t="s">
        <v>71</v>
      </c>
      <c r="J513" s="224"/>
      <c r="K513" s="228" t="s">
        <v>203</v>
      </c>
      <c r="L513" s="208" t="s">
        <v>218</v>
      </c>
    </row>
    <row r="514" spans="1:12" x14ac:dyDescent="0.25">
      <c r="A514" s="224" t="str">
        <f t="shared" si="16"/>
        <v>09052026-DZ008-2</v>
      </c>
      <c r="B514" s="225">
        <v>46151</v>
      </c>
      <c r="C514" s="224" t="s">
        <v>308</v>
      </c>
      <c r="D514" s="224">
        <v>25988</v>
      </c>
      <c r="E514" s="224" t="s">
        <v>206</v>
      </c>
      <c r="F514" s="224"/>
      <c r="G514" s="227"/>
      <c r="H514" s="224"/>
      <c r="I514" s="228" t="s">
        <v>72</v>
      </c>
      <c r="J514" s="224"/>
      <c r="K514" s="228" t="s">
        <v>213</v>
      </c>
      <c r="L514" s="208" t="s">
        <v>218</v>
      </c>
    </row>
    <row r="515" spans="1:12" x14ac:dyDescent="0.25">
      <c r="A515" s="224" t="str">
        <f t="shared" si="16"/>
        <v>03052026-EX025-4AL</v>
      </c>
      <c r="B515" s="225">
        <v>46145</v>
      </c>
      <c r="C515" s="224" t="s">
        <v>347</v>
      </c>
      <c r="D515" s="224">
        <v>6000</v>
      </c>
      <c r="E515" s="224" t="s">
        <v>250</v>
      </c>
      <c r="F515" s="224"/>
      <c r="G515" s="227"/>
      <c r="H515" s="224"/>
      <c r="I515" s="228" t="s">
        <v>72</v>
      </c>
      <c r="J515" s="224">
        <v>6000</v>
      </c>
      <c r="K515" s="228" t="s">
        <v>203</v>
      </c>
      <c r="L515" s="208" t="s">
        <v>218</v>
      </c>
    </row>
    <row r="516" spans="1:12" x14ac:dyDescent="0.25">
      <c r="A516" s="224" t="str">
        <f t="shared" si="16"/>
        <v>03052026-DZ007-4AL</v>
      </c>
      <c r="B516" s="225">
        <v>46145</v>
      </c>
      <c r="C516" s="224" t="s">
        <v>324</v>
      </c>
      <c r="D516" s="224">
        <v>8000</v>
      </c>
      <c r="E516" s="224" t="s">
        <v>250</v>
      </c>
      <c r="F516" s="224"/>
      <c r="G516" s="227"/>
      <c r="H516" s="224"/>
      <c r="I516" s="228" t="s">
        <v>72</v>
      </c>
      <c r="J516" s="224">
        <v>8000</v>
      </c>
      <c r="K516" s="228" t="s">
        <v>203</v>
      </c>
      <c r="L516" s="208" t="s">
        <v>218</v>
      </c>
    </row>
    <row r="517" spans="1:12" x14ac:dyDescent="0.25">
      <c r="A517" s="224" t="str">
        <f t="shared" si="16"/>
        <v>09052026-CR003-1</v>
      </c>
      <c r="B517" s="225">
        <v>46151</v>
      </c>
      <c r="C517" s="224" t="s">
        <v>268</v>
      </c>
      <c r="D517" s="224">
        <v>16066</v>
      </c>
      <c r="E517" s="224" t="s">
        <v>201</v>
      </c>
      <c r="F517" s="224"/>
      <c r="G517" s="227"/>
      <c r="H517" s="224"/>
      <c r="I517" s="228" t="s">
        <v>71</v>
      </c>
      <c r="J517" s="224"/>
      <c r="K517" s="228" t="s">
        <v>203</v>
      </c>
      <c r="L517" s="208" t="s">
        <v>218</v>
      </c>
    </row>
    <row r="518" spans="1:12" x14ac:dyDescent="0.25">
      <c r="A518" s="224" t="str">
        <f t="shared" si="16"/>
        <v>09052026-CR003-3</v>
      </c>
      <c r="B518" s="225">
        <v>46151</v>
      </c>
      <c r="C518" s="224" t="s">
        <v>268</v>
      </c>
      <c r="D518" s="224">
        <v>16066</v>
      </c>
      <c r="E518" s="224" t="s">
        <v>202</v>
      </c>
      <c r="F518" s="224"/>
      <c r="G518" s="227"/>
      <c r="H518" s="224"/>
      <c r="I518" s="228" t="s">
        <v>264</v>
      </c>
      <c r="J518" s="224"/>
      <c r="K518" s="228" t="s">
        <v>213</v>
      </c>
      <c r="L518" s="208" t="s">
        <v>218</v>
      </c>
    </row>
    <row r="519" spans="1:12" x14ac:dyDescent="0.25">
      <c r="A519" s="224" t="str">
        <f t="shared" si="16"/>
        <v>09052026-CR001-3</v>
      </c>
      <c r="B519" s="225">
        <v>46151</v>
      </c>
      <c r="C519" s="224" t="s">
        <v>279</v>
      </c>
      <c r="D519" s="224">
        <v>22363</v>
      </c>
      <c r="E519" s="224" t="s">
        <v>202</v>
      </c>
      <c r="F519" s="224"/>
      <c r="G519" s="227"/>
      <c r="H519" s="224"/>
      <c r="I519" s="228" t="s">
        <v>264</v>
      </c>
      <c r="J519" s="224"/>
      <c r="K519" s="228" t="s">
        <v>213</v>
      </c>
      <c r="L519" s="208" t="s">
        <v>218</v>
      </c>
    </row>
    <row r="520" spans="1:12" x14ac:dyDescent="0.25">
      <c r="A520" s="224" t="str">
        <f t="shared" si="16"/>
        <v>09052026-DZ008-3</v>
      </c>
      <c r="B520" s="225">
        <v>46151</v>
      </c>
      <c r="C520" s="224" t="s">
        <v>308</v>
      </c>
      <c r="D520" s="224">
        <v>25988</v>
      </c>
      <c r="E520" s="224" t="s">
        <v>202</v>
      </c>
      <c r="F520" s="224"/>
      <c r="G520" s="227"/>
      <c r="H520" s="224"/>
      <c r="I520" s="228" t="s">
        <v>264</v>
      </c>
      <c r="J520" s="224"/>
      <c r="K520" s="228" t="s">
        <v>203</v>
      </c>
      <c r="L520" s="208" t="s">
        <v>218</v>
      </c>
    </row>
    <row r="521" spans="1:12" x14ac:dyDescent="0.25">
      <c r="A521" s="224" t="str">
        <f t="shared" si="16"/>
        <v>03052026-EX025-3</v>
      </c>
      <c r="B521" s="225">
        <v>46145</v>
      </c>
      <c r="C521" s="224" t="s">
        <v>347</v>
      </c>
      <c r="D521" s="224"/>
      <c r="E521" s="224" t="s">
        <v>202</v>
      </c>
      <c r="F521" s="224"/>
      <c r="G521" s="227"/>
      <c r="H521" s="224"/>
      <c r="I521" s="228" t="s">
        <v>264</v>
      </c>
      <c r="J521" s="224">
        <v>6000</v>
      </c>
      <c r="K521" s="228" t="s">
        <v>203</v>
      </c>
      <c r="L521" s="208" t="s">
        <v>218</v>
      </c>
    </row>
    <row r="522" spans="1:12" x14ac:dyDescent="0.25">
      <c r="A522" s="224" t="str">
        <f t="shared" si="16"/>
        <v>08052026-TK153-1</v>
      </c>
      <c r="B522" s="225">
        <v>46150</v>
      </c>
      <c r="C522" s="224" t="s">
        <v>236</v>
      </c>
      <c r="D522" s="224">
        <v>5996</v>
      </c>
      <c r="E522" s="224" t="s">
        <v>201</v>
      </c>
      <c r="F522" s="224"/>
      <c r="G522" s="227"/>
      <c r="H522" s="224"/>
      <c r="I522" s="228" t="s">
        <v>71</v>
      </c>
      <c r="J522" s="224">
        <v>9000</v>
      </c>
      <c r="K522" s="228" t="s">
        <v>203</v>
      </c>
      <c r="L522" s="208" t="s">
        <v>218</v>
      </c>
    </row>
    <row r="523" spans="1:12" x14ac:dyDescent="0.25">
      <c r="A523" s="224" t="str">
        <f t="shared" si="16"/>
        <v>03052026-DZ007-3</v>
      </c>
      <c r="B523" s="225">
        <v>46145</v>
      </c>
      <c r="C523" s="224" t="s">
        <v>324</v>
      </c>
      <c r="D523" s="224"/>
      <c r="E523" s="224" t="s">
        <v>202</v>
      </c>
      <c r="F523" s="224"/>
      <c r="G523" s="227"/>
      <c r="H523" s="224"/>
      <c r="I523" s="228" t="s">
        <v>264</v>
      </c>
      <c r="J523" s="224">
        <v>8000</v>
      </c>
      <c r="K523" s="228" t="s">
        <v>213</v>
      </c>
      <c r="L523" s="208" t="s">
        <v>218</v>
      </c>
    </row>
    <row r="524" spans="1:12" x14ac:dyDescent="0.25">
      <c r="A524" s="224" t="str">
        <f t="shared" si="16"/>
        <v>08052026-TK153-3</v>
      </c>
      <c r="B524" s="225">
        <v>46150</v>
      </c>
      <c r="C524" s="224" t="s">
        <v>236</v>
      </c>
      <c r="D524" s="224">
        <v>5996</v>
      </c>
      <c r="E524" s="224" t="s">
        <v>202</v>
      </c>
      <c r="F524" s="224"/>
      <c r="G524" s="227"/>
      <c r="H524" s="224"/>
      <c r="I524" s="228" t="s">
        <v>264</v>
      </c>
      <c r="J524" s="224">
        <v>9000</v>
      </c>
      <c r="K524" s="228" t="s">
        <v>213</v>
      </c>
      <c r="L524" s="208" t="s">
        <v>218</v>
      </c>
    </row>
    <row r="525" spans="1:12" x14ac:dyDescent="0.25">
      <c r="A525" s="224" t="str">
        <f t="shared" si="16"/>
        <v>04052026-EX012-1</v>
      </c>
      <c r="B525" s="225">
        <v>46146</v>
      </c>
      <c r="C525" s="224" t="s">
        <v>256</v>
      </c>
      <c r="D525" s="224">
        <v>6000</v>
      </c>
      <c r="E525" s="224" t="s">
        <v>201</v>
      </c>
      <c r="F525" s="224"/>
      <c r="G525" s="227"/>
      <c r="H525" s="224"/>
      <c r="I525" s="228" t="s">
        <v>71</v>
      </c>
      <c r="J525" s="224">
        <v>6000</v>
      </c>
      <c r="K525" s="228" t="s">
        <v>203</v>
      </c>
      <c r="L525" s="208" t="s">
        <v>218</v>
      </c>
    </row>
    <row r="526" spans="1:12" x14ac:dyDescent="0.25">
      <c r="A526" s="224" t="str">
        <f t="shared" si="16"/>
        <v>04052026-EX012-5</v>
      </c>
      <c r="B526" s="225">
        <v>46146</v>
      </c>
      <c r="C526" s="224" t="s">
        <v>256</v>
      </c>
      <c r="D526" s="224">
        <v>6000</v>
      </c>
      <c r="E526" s="224" t="s">
        <v>281</v>
      </c>
      <c r="F526" s="224"/>
      <c r="G526" s="227"/>
      <c r="H526" s="224"/>
      <c r="I526" s="228" t="s">
        <v>72</v>
      </c>
      <c r="J526" s="224">
        <v>6000</v>
      </c>
      <c r="K526" s="228" t="s">
        <v>203</v>
      </c>
      <c r="L526" s="208" t="s">
        <v>218</v>
      </c>
    </row>
    <row r="527" spans="1:12" x14ac:dyDescent="0.25">
      <c r="A527" s="224" t="str">
        <f t="shared" si="16"/>
        <v>03052026-DZ007-1</v>
      </c>
      <c r="B527" s="225">
        <v>46145</v>
      </c>
      <c r="C527" s="224" t="s">
        <v>324</v>
      </c>
      <c r="D527" s="224">
        <v>8000</v>
      </c>
      <c r="E527" s="224" t="s">
        <v>201</v>
      </c>
      <c r="F527" s="224"/>
      <c r="G527" s="227"/>
      <c r="H527" s="224"/>
      <c r="I527" s="228" t="s">
        <v>71</v>
      </c>
      <c r="J527" s="224">
        <v>8000</v>
      </c>
      <c r="K527" s="228" t="s">
        <v>203</v>
      </c>
      <c r="L527" s="208" t="s">
        <v>218</v>
      </c>
    </row>
    <row r="528" spans="1:12" x14ac:dyDescent="0.25">
      <c r="A528" s="224" t="str">
        <f t="shared" si="16"/>
        <v>08052026-TK153-2</v>
      </c>
      <c r="B528" s="225">
        <v>46150</v>
      </c>
      <c r="C528" s="224" t="s">
        <v>236</v>
      </c>
      <c r="D528" s="224">
        <v>5996</v>
      </c>
      <c r="E528" s="224" t="s">
        <v>206</v>
      </c>
      <c r="F528" s="224"/>
      <c r="G528" s="227"/>
      <c r="H528" s="224"/>
      <c r="I528" s="228" t="s">
        <v>72</v>
      </c>
      <c r="J528" s="224">
        <v>9000</v>
      </c>
      <c r="K528" s="228" t="s">
        <v>203</v>
      </c>
      <c r="L528" s="208" t="s">
        <v>218</v>
      </c>
    </row>
    <row r="529" spans="1:12" x14ac:dyDescent="0.25">
      <c r="A529" s="224" t="str">
        <f t="shared" si="16"/>
        <v>04052026-EX012-4AL</v>
      </c>
      <c r="B529" s="225">
        <v>46146</v>
      </c>
      <c r="C529" s="224" t="s">
        <v>256</v>
      </c>
      <c r="D529" s="224">
        <v>6000</v>
      </c>
      <c r="E529" s="224" t="s">
        <v>250</v>
      </c>
      <c r="F529" s="224"/>
      <c r="G529" s="227"/>
      <c r="H529" s="224"/>
      <c r="I529" s="228" t="s">
        <v>264</v>
      </c>
      <c r="J529" s="224">
        <v>6000</v>
      </c>
      <c r="K529" s="228" t="s">
        <v>203</v>
      </c>
      <c r="L529" s="208" t="s">
        <v>218</v>
      </c>
    </row>
    <row r="530" spans="1:12" x14ac:dyDescent="0.25">
      <c r="A530" s="224" t="str">
        <f t="shared" si="16"/>
        <v>04052026-EX012-4AR</v>
      </c>
      <c r="B530" s="225">
        <v>46146</v>
      </c>
      <c r="C530" s="224" t="s">
        <v>256</v>
      </c>
      <c r="D530" s="224">
        <v>6000</v>
      </c>
      <c r="E530" s="224" t="s">
        <v>251</v>
      </c>
      <c r="F530" s="224"/>
      <c r="G530" s="227"/>
      <c r="H530" s="224"/>
      <c r="I530" s="228" t="s">
        <v>264</v>
      </c>
      <c r="J530" s="224">
        <v>6000</v>
      </c>
      <c r="K530" s="228" t="s">
        <v>203</v>
      </c>
      <c r="L530" s="208" t="s">
        <v>218</v>
      </c>
    </row>
    <row r="531" spans="1:12" x14ac:dyDescent="0.25">
      <c r="A531" s="224" t="str">
        <f t="shared" si="16"/>
        <v>03052026-DZ007-2</v>
      </c>
      <c r="B531" s="225">
        <v>46145</v>
      </c>
      <c r="C531" s="224" t="s">
        <v>324</v>
      </c>
      <c r="D531" s="224">
        <v>8000</v>
      </c>
      <c r="E531" s="224" t="s">
        <v>206</v>
      </c>
      <c r="F531" s="224"/>
      <c r="G531" s="227"/>
      <c r="H531" s="224"/>
      <c r="I531" s="228" t="s">
        <v>72</v>
      </c>
      <c r="J531" s="224">
        <v>8000</v>
      </c>
      <c r="K531" s="228" t="s">
        <v>203</v>
      </c>
      <c r="L531" s="208" t="s">
        <v>218</v>
      </c>
    </row>
    <row r="532" spans="1:12" x14ac:dyDescent="0.25">
      <c r="A532" s="224" t="str">
        <f t="shared" si="16"/>
        <v>03052026-EX025-4AR</v>
      </c>
      <c r="B532" s="225">
        <v>46145</v>
      </c>
      <c r="C532" s="224" t="s">
        <v>347</v>
      </c>
      <c r="D532" s="224">
        <v>6000</v>
      </c>
      <c r="E532" s="224" t="s">
        <v>251</v>
      </c>
      <c r="F532" s="224"/>
      <c r="G532" s="227"/>
      <c r="H532" s="224"/>
      <c r="I532" s="228" t="s">
        <v>264</v>
      </c>
      <c r="J532" s="224">
        <v>6000</v>
      </c>
      <c r="K532" s="228" t="s">
        <v>213</v>
      </c>
      <c r="L532" s="208" t="s">
        <v>218</v>
      </c>
    </row>
    <row r="533" spans="1:12" x14ac:dyDescent="0.25">
      <c r="A533" s="224" t="str">
        <f t="shared" si="16"/>
        <v>05052026-TK115-4AR</v>
      </c>
      <c r="B533" s="225">
        <v>46147</v>
      </c>
      <c r="C533" s="224" t="s">
        <v>208</v>
      </c>
      <c r="D533" s="224">
        <v>2000</v>
      </c>
      <c r="E533" s="224" t="s">
        <v>251</v>
      </c>
      <c r="F533" s="224"/>
      <c r="G533" s="227"/>
      <c r="H533" s="224"/>
      <c r="I533" s="228" t="s">
        <v>264</v>
      </c>
      <c r="J533" s="224">
        <v>2000</v>
      </c>
      <c r="K533" s="228" t="s">
        <v>213</v>
      </c>
      <c r="L533" s="208" t="s">
        <v>218</v>
      </c>
    </row>
    <row r="534" spans="1:12" x14ac:dyDescent="0.25">
      <c r="A534" s="224" t="str">
        <f t="shared" si="16"/>
        <v>05052026-TK115-2</v>
      </c>
      <c r="B534" s="225">
        <v>46147</v>
      </c>
      <c r="C534" s="224" t="s">
        <v>208</v>
      </c>
      <c r="D534" s="224">
        <v>2000</v>
      </c>
      <c r="E534" s="224" t="s">
        <v>206</v>
      </c>
      <c r="F534" s="224"/>
      <c r="G534" s="227"/>
      <c r="H534" s="224"/>
      <c r="I534" s="228" t="s">
        <v>72</v>
      </c>
      <c r="J534" s="224">
        <v>2000</v>
      </c>
      <c r="K534" s="228" t="s">
        <v>213</v>
      </c>
      <c r="L534" s="208" t="s">
        <v>218</v>
      </c>
    </row>
    <row r="535" spans="1:12" x14ac:dyDescent="0.25">
      <c r="A535" s="224" t="str">
        <f t="shared" si="16"/>
        <v>05052026-TK115-4A</v>
      </c>
      <c r="B535" s="225">
        <v>46147</v>
      </c>
      <c r="C535" s="224" t="s">
        <v>208</v>
      </c>
      <c r="D535" s="224">
        <v>37915</v>
      </c>
      <c r="E535" s="224" t="s">
        <v>342</v>
      </c>
      <c r="F535" s="224"/>
      <c r="G535" s="227"/>
      <c r="H535" s="224"/>
      <c r="I535" s="228" t="s">
        <v>264</v>
      </c>
      <c r="J535" s="224">
        <v>2000</v>
      </c>
      <c r="K535" s="228" t="s">
        <v>213</v>
      </c>
      <c r="L535" s="208" t="s">
        <v>218</v>
      </c>
    </row>
    <row r="536" spans="1:12" x14ac:dyDescent="0.25">
      <c r="A536" s="224" t="str">
        <f t="shared" si="16"/>
        <v>05052026-TK115-1</v>
      </c>
      <c r="B536" s="225">
        <v>46147</v>
      </c>
      <c r="C536" s="224" t="s">
        <v>208</v>
      </c>
      <c r="D536" s="224">
        <v>37915</v>
      </c>
      <c r="E536" s="224" t="s">
        <v>201</v>
      </c>
      <c r="F536" s="224"/>
      <c r="G536" s="227"/>
      <c r="H536" s="224"/>
      <c r="I536" s="228" t="s">
        <v>71</v>
      </c>
      <c r="J536" s="224">
        <v>2000</v>
      </c>
      <c r="K536" s="228" t="s">
        <v>203</v>
      </c>
      <c r="L536" s="208" t="s">
        <v>218</v>
      </c>
    </row>
    <row r="537" spans="1:12" x14ac:dyDescent="0.25">
      <c r="A537" s="224" t="str">
        <f t="shared" si="16"/>
        <v>04052026-EX15-8</v>
      </c>
      <c r="B537" s="225">
        <v>46146</v>
      </c>
      <c r="C537" s="224" t="s">
        <v>348</v>
      </c>
      <c r="D537" s="224"/>
      <c r="E537" s="224" t="s">
        <v>349</v>
      </c>
      <c r="F537" s="224"/>
      <c r="G537" s="227"/>
      <c r="H537" s="224"/>
      <c r="I537" s="228">
        <v>46</v>
      </c>
      <c r="J537" s="224"/>
      <c r="K537" s="228" t="s">
        <v>203</v>
      </c>
      <c r="L537" s="208" t="s">
        <v>218</v>
      </c>
    </row>
    <row r="538" spans="1:12" x14ac:dyDescent="0.25">
      <c r="A538" s="224" t="str">
        <f t="shared" si="16"/>
        <v>04052026-EX15-4AL</v>
      </c>
      <c r="B538" s="225">
        <v>46146</v>
      </c>
      <c r="C538" s="224" t="s">
        <v>348</v>
      </c>
      <c r="D538" s="224"/>
      <c r="E538" s="224" t="s">
        <v>250</v>
      </c>
      <c r="F538" s="224"/>
      <c r="G538" s="227"/>
      <c r="H538" s="224"/>
      <c r="I538" s="228" t="s">
        <v>264</v>
      </c>
      <c r="J538" s="224"/>
      <c r="K538" s="228" t="s">
        <v>213</v>
      </c>
      <c r="L538" s="208" t="s">
        <v>218</v>
      </c>
    </row>
    <row r="539" spans="1:12" x14ac:dyDescent="0.25">
      <c r="A539" s="224" t="str">
        <f t="shared" si="16"/>
        <v>05052026-TK121-2</v>
      </c>
      <c r="B539" s="225">
        <v>46147</v>
      </c>
      <c r="C539" s="224" t="s">
        <v>211</v>
      </c>
      <c r="D539" s="224">
        <v>27010</v>
      </c>
      <c r="E539" s="224" t="s">
        <v>206</v>
      </c>
      <c r="F539" s="224"/>
      <c r="G539" s="227"/>
      <c r="H539" s="224"/>
      <c r="I539" s="228" t="s">
        <v>72</v>
      </c>
      <c r="J539" s="224">
        <v>9000</v>
      </c>
      <c r="K539" s="228" t="s">
        <v>203</v>
      </c>
      <c r="L539" s="208" t="s">
        <v>218</v>
      </c>
    </row>
    <row r="540" spans="1:12" x14ac:dyDescent="0.25">
      <c r="A540" s="224" t="str">
        <f t="shared" si="16"/>
        <v>07052026-TK156-1</v>
      </c>
      <c r="B540" s="225">
        <v>46149</v>
      </c>
      <c r="C540" s="224" t="s">
        <v>212</v>
      </c>
      <c r="D540" s="224">
        <v>6008</v>
      </c>
      <c r="E540" s="224" t="s">
        <v>201</v>
      </c>
      <c r="F540" s="224"/>
      <c r="G540" s="227"/>
      <c r="H540" s="224"/>
      <c r="I540" s="228" t="s">
        <v>71</v>
      </c>
      <c r="J540" s="224">
        <v>9000</v>
      </c>
      <c r="K540" s="228" t="s">
        <v>203</v>
      </c>
      <c r="L540" s="208" t="s">
        <v>218</v>
      </c>
    </row>
    <row r="541" spans="1:12" x14ac:dyDescent="0.25">
      <c r="A541" s="224" t="str">
        <f t="shared" si="16"/>
        <v>04052026-EX15-4AR</v>
      </c>
      <c r="B541" s="225">
        <v>46146</v>
      </c>
      <c r="C541" s="224" t="s">
        <v>348</v>
      </c>
      <c r="D541" s="224"/>
      <c r="E541" s="224" t="s">
        <v>251</v>
      </c>
      <c r="F541" s="224"/>
      <c r="G541" s="227"/>
      <c r="H541" s="224"/>
      <c r="I541" s="228" t="s">
        <v>264</v>
      </c>
      <c r="J541" s="224"/>
      <c r="K541" s="228" t="s">
        <v>213</v>
      </c>
      <c r="L541" s="208" t="s">
        <v>218</v>
      </c>
    </row>
    <row r="542" spans="1:12" x14ac:dyDescent="0.25">
      <c r="A542" s="224" t="str">
        <f t="shared" si="16"/>
        <v>05052026-TK121-1</v>
      </c>
      <c r="B542" s="225">
        <v>46147</v>
      </c>
      <c r="C542" s="224" t="s">
        <v>211</v>
      </c>
      <c r="D542" s="224">
        <v>27010</v>
      </c>
      <c r="E542" s="224" t="s">
        <v>201</v>
      </c>
      <c r="F542" s="224"/>
      <c r="G542" s="227"/>
      <c r="H542" s="224"/>
      <c r="I542" s="228" t="s">
        <v>71</v>
      </c>
      <c r="J542" s="224">
        <v>9000</v>
      </c>
      <c r="K542" s="228" t="s">
        <v>203</v>
      </c>
      <c r="L542" s="208" t="s">
        <v>218</v>
      </c>
    </row>
    <row r="543" spans="1:12" x14ac:dyDescent="0.25">
      <c r="A543" s="224" t="str">
        <f t="shared" si="16"/>
        <v>05052026-TK121-3</v>
      </c>
      <c r="B543" s="225">
        <v>46147</v>
      </c>
      <c r="C543" s="224" t="s">
        <v>211</v>
      </c>
      <c r="D543" s="224">
        <v>27010</v>
      </c>
      <c r="E543" s="224" t="s">
        <v>202</v>
      </c>
      <c r="F543" s="224"/>
      <c r="G543" s="227"/>
      <c r="H543" s="224"/>
      <c r="I543" s="228" t="s">
        <v>264</v>
      </c>
      <c r="J543" s="224">
        <v>9000</v>
      </c>
      <c r="K543" s="228" t="s">
        <v>213</v>
      </c>
      <c r="L543" s="208" t="s">
        <v>218</v>
      </c>
    </row>
    <row r="544" spans="1:12" x14ac:dyDescent="0.25">
      <c r="A544" s="224" t="str">
        <f t="shared" si="16"/>
        <v>04052026-EX15-1</v>
      </c>
      <c r="B544" s="225">
        <v>46146</v>
      </c>
      <c r="C544" s="224" t="s">
        <v>348</v>
      </c>
      <c r="D544" s="224"/>
      <c r="E544" s="224" t="s">
        <v>201</v>
      </c>
      <c r="F544" s="224"/>
      <c r="G544" s="227"/>
      <c r="H544" s="224"/>
      <c r="I544" s="228" t="s">
        <v>71</v>
      </c>
      <c r="J544" s="224"/>
      <c r="K544" s="228" t="s">
        <v>203</v>
      </c>
      <c r="L544" s="208" t="s">
        <v>218</v>
      </c>
    </row>
    <row r="545" spans="1:12" x14ac:dyDescent="0.25">
      <c r="A545" s="224" t="str">
        <f t="shared" si="16"/>
        <v>07052026-TK156-3</v>
      </c>
      <c r="B545" s="225">
        <v>46149</v>
      </c>
      <c r="C545" s="224" t="s">
        <v>212</v>
      </c>
      <c r="D545" s="224">
        <v>6008</v>
      </c>
      <c r="E545" s="224" t="s">
        <v>202</v>
      </c>
      <c r="F545" s="224"/>
      <c r="G545" s="227"/>
      <c r="H545" s="224"/>
      <c r="I545" s="228" t="s">
        <v>264</v>
      </c>
      <c r="J545" s="224">
        <v>9000</v>
      </c>
      <c r="K545" s="228" t="s">
        <v>213</v>
      </c>
      <c r="L545" s="208" t="s">
        <v>218</v>
      </c>
    </row>
    <row r="546" spans="1:12" x14ac:dyDescent="0.25">
      <c r="A546" s="224" t="str">
        <f t="shared" si="16"/>
        <v>04052026-EX15-3</v>
      </c>
      <c r="B546" s="225">
        <v>46146</v>
      </c>
      <c r="C546" s="224" t="s">
        <v>348</v>
      </c>
      <c r="D546" s="224"/>
      <c r="E546" s="224" t="s">
        <v>202</v>
      </c>
      <c r="F546" s="224"/>
      <c r="G546" s="227"/>
      <c r="H546" s="224"/>
      <c r="I546" s="228" t="s">
        <v>264</v>
      </c>
      <c r="J546" s="224"/>
      <c r="K546" s="228" t="s">
        <v>203</v>
      </c>
      <c r="L546" s="208" t="s">
        <v>218</v>
      </c>
    </row>
    <row r="547" spans="1:12" x14ac:dyDescent="0.25">
      <c r="A547" s="224" t="str">
        <f t="shared" si="16"/>
        <v>04052026-EX012-3</v>
      </c>
      <c r="B547" s="225">
        <v>46146</v>
      </c>
      <c r="C547" s="224" t="s">
        <v>256</v>
      </c>
      <c r="D547" s="224"/>
      <c r="E547" s="224" t="s">
        <v>202</v>
      </c>
      <c r="F547" s="224"/>
      <c r="G547" s="227"/>
      <c r="H547" s="224"/>
      <c r="I547" s="228" t="s">
        <v>264</v>
      </c>
      <c r="J547" s="224">
        <v>6000</v>
      </c>
      <c r="K547" s="228" t="s">
        <v>203</v>
      </c>
      <c r="L547" s="208" t="s">
        <v>218</v>
      </c>
    </row>
    <row r="548" spans="1:12" x14ac:dyDescent="0.25">
      <c r="A548" s="224" t="str">
        <f t="shared" si="16"/>
        <v>07052026-TK156-2</v>
      </c>
      <c r="B548" s="225">
        <v>46149</v>
      </c>
      <c r="C548" s="224" t="s">
        <v>212</v>
      </c>
      <c r="D548" s="224">
        <v>6008</v>
      </c>
      <c r="E548" s="224" t="s">
        <v>206</v>
      </c>
      <c r="F548" s="224"/>
      <c r="G548" s="227"/>
      <c r="H548" s="224"/>
      <c r="I548" s="228" t="s">
        <v>72</v>
      </c>
      <c r="J548" s="224">
        <v>9000</v>
      </c>
      <c r="K548" s="228" t="s">
        <v>203</v>
      </c>
      <c r="L548" s="208" t="s">
        <v>218</v>
      </c>
    </row>
    <row r="549" spans="1:12" x14ac:dyDescent="0.25">
      <c r="A549" s="224" t="str">
        <f t="shared" si="16"/>
        <v>06052026-TK154-1</v>
      </c>
      <c r="B549" s="225">
        <v>46148</v>
      </c>
      <c r="C549" s="224" t="s">
        <v>244</v>
      </c>
      <c r="D549" s="224">
        <v>4747</v>
      </c>
      <c r="E549" s="224" t="s">
        <v>201</v>
      </c>
      <c r="F549" s="224"/>
      <c r="G549" s="227"/>
      <c r="H549" s="224"/>
      <c r="I549" s="228" t="s">
        <v>71</v>
      </c>
      <c r="J549" s="224">
        <v>9000</v>
      </c>
      <c r="K549" s="228" t="s">
        <v>203</v>
      </c>
      <c r="L549" s="208" t="s">
        <v>218</v>
      </c>
    </row>
    <row r="550" spans="1:12" x14ac:dyDescent="0.25">
      <c r="A550" s="224" t="str">
        <f t="shared" si="16"/>
        <v>06052026-TK154-3</v>
      </c>
      <c r="B550" s="225">
        <v>46148</v>
      </c>
      <c r="C550" s="224" t="s">
        <v>244</v>
      </c>
      <c r="D550" s="224">
        <v>4747</v>
      </c>
      <c r="E550" s="224" t="s">
        <v>202</v>
      </c>
      <c r="F550" s="224"/>
      <c r="G550" s="227"/>
      <c r="H550" s="224"/>
      <c r="I550" s="228" t="s">
        <v>264</v>
      </c>
      <c r="J550" s="224">
        <v>9000</v>
      </c>
      <c r="K550" s="228" t="s">
        <v>203</v>
      </c>
      <c r="L550" s="208" t="s">
        <v>218</v>
      </c>
    </row>
    <row r="551" spans="1:12" x14ac:dyDescent="0.25">
      <c r="A551" s="224" t="str">
        <f t="shared" si="16"/>
        <v>00011900--</v>
      </c>
      <c r="B551" s="225"/>
      <c r="C551" s="224"/>
      <c r="D551" s="224"/>
      <c r="E551" s="224"/>
      <c r="F551" s="224"/>
      <c r="G551" s="227"/>
      <c r="H551" s="224"/>
      <c r="I551" s="228"/>
      <c r="J551" s="224"/>
      <c r="K551" s="228"/>
      <c r="L551" s="208"/>
    </row>
    <row r="552" spans="1:12" x14ac:dyDescent="0.25">
      <c r="A552" s="224" t="str">
        <f t="shared" si="16"/>
        <v>00011900--</v>
      </c>
      <c r="B552" s="225"/>
      <c r="C552" s="224"/>
      <c r="D552" s="224"/>
      <c r="E552" s="224"/>
      <c r="F552" s="224"/>
      <c r="G552" s="227"/>
      <c r="H552" s="224"/>
      <c r="I552" s="228"/>
      <c r="J552" s="224"/>
      <c r="K552" s="228"/>
      <c r="L552" s="208"/>
    </row>
    <row r="553" spans="1:12" x14ac:dyDescent="0.25">
      <c r="A553" s="224" t="str">
        <f t="shared" si="16"/>
        <v>00011900--</v>
      </c>
      <c r="B553" s="225"/>
      <c r="C553" s="224"/>
      <c r="D553" s="224"/>
      <c r="E553" s="224"/>
      <c r="F553" s="224"/>
      <c r="G553" s="227"/>
      <c r="H553" s="224"/>
      <c r="I553" s="228"/>
      <c r="J553" s="224"/>
      <c r="K553" s="228"/>
      <c r="L553" s="208"/>
    </row>
    <row r="554" spans="1:12" x14ac:dyDescent="0.25">
      <c r="A554" s="224" t="str">
        <f t="shared" si="16"/>
        <v>00011900--</v>
      </c>
      <c r="B554" s="225"/>
      <c r="C554" s="224"/>
      <c r="D554" s="224"/>
      <c r="E554" s="224"/>
      <c r="F554" s="224"/>
      <c r="G554" s="227"/>
      <c r="H554" s="224"/>
      <c r="I554" s="228"/>
      <c r="J554" s="224"/>
      <c r="K554" s="228"/>
      <c r="L554" s="208"/>
    </row>
    <row r="555" spans="1:12" x14ac:dyDescent="0.25">
      <c r="A555" s="224" t="str">
        <f t="shared" si="16"/>
        <v>00011900--</v>
      </c>
      <c r="B555" s="225"/>
      <c r="C555" s="224"/>
      <c r="D555" s="224"/>
      <c r="E555" s="224"/>
      <c r="F555" s="224"/>
      <c r="G555" s="227"/>
      <c r="H555" s="224"/>
      <c r="I555" s="228"/>
      <c r="J555" s="224"/>
      <c r="K555" s="228"/>
      <c r="L555" s="208"/>
    </row>
    <row r="556" spans="1:12" x14ac:dyDescent="0.25">
      <c r="A556" s="224" t="str">
        <f t="shared" si="16"/>
        <v>00011900--</v>
      </c>
      <c r="B556" s="225"/>
      <c r="C556" s="224"/>
      <c r="D556" s="224"/>
      <c r="E556" s="224"/>
      <c r="F556" s="224"/>
      <c r="G556" s="227"/>
      <c r="H556" s="224"/>
      <c r="I556" s="228"/>
      <c r="J556" s="224"/>
      <c r="K556" s="228"/>
      <c r="L556" s="208"/>
    </row>
    <row r="557" spans="1:12" x14ac:dyDescent="0.25">
      <c r="A557" s="224" t="str">
        <f t="shared" si="16"/>
        <v>00011900--</v>
      </c>
      <c r="B557" s="225"/>
      <c r="C557" s="224"/>
      <c r="D557" s="224"/>
      <c r="E557" s="224"/>
      <c r="F557" s="224"/>
      <c r="G557" s="227"/>
      <c r="H557" s="224"/>
      <c r="I557" s="228"/>
      <c r="J557" s="224"/>
      <c r="K557" s="228"/>
      <c r="L557" s="208"/>
    </row>
    <row r="558" spans="1:12" x14ac:dyDescent="0.25">
      <c r="A558" s="224" t="str">
        <f t="shared" si="16"/>
        <v>00011900--</v>
      </c>
      <c r="B558" s="225"/>
      <c r="C558" s="224"/>
      <c r="D558" s="224"/>
      <c r="E558" s="224"/>
      <c r="F558" s="224"/>
      <c r="G558" s="227"/>
      <c r="H558" s="224"/>
      <c r="I558" s="228"/>
      <c r="J558" s="224"/>
      <c r="K558" s="228"/>
      <c r="L558" s="208"/>
    </row>
    <row r="559" spans="1:12" x14ac:dyDescent="0.25">
      <c r="A559" s="224" t="str">
        <f t="shared" si="16"/>
        <v>00011900--</v>
      </c>
      <c r="B559" s="225"/>
      <c r="C559" s="224"/>
      <c r="D559" s="224"/>
      <c r="E559" s="224"/>
      <c r="F559" s="224"/>
      <c r="G559" s="227"/>
      <c r="H559" s="224"/>
      <c r="I559" s="228"/>
      <c r="J559" s="224"/>
      <c r="K559" s="228"/>
      <c r="L559" s="208"/>
    </row>
    <row r="560" spans="1:12" x14ac:dyDescent="0.25">
      <c r="A560" s="224" t="str">
        <f t="shared" si="16"/>
        <v>00011900--</v>
      </c>
      <c r="B560" s="225"/>
      <c r="C560" s="224"/>
      <c r="D560" s="224"/>
      <c r="E560" s="224"/>
      <c r="F560" s="224"/>
      <c r="G560" s="227"/>
      <c r="H560" s="224"/>
      <c r="I560" s="228"/>
      <c r="J560" s="224"/>
      <c r="K560" s="228"/>
      <c r="L560" s="208"/>
    </row>
    <row r="561" spans="1:12" x14ac:dyDescent="0.25">
      <c r="A561" s="224" t="str">
        <f t="shared" si="16"/>
        <v>00011900--</v>
      </c>
      <c r="B561" s="225"/>
      <c r="C561" s="224"/>
      <c r="D561" s="224"/>
      <c r="E561" s="224"/>
      <c r="F561" s="224"/>
      <c r="G561" s="227"/>
      <c r="H561" s="224"/>
      <c r="I561" s="228"/>
      <c r="J561" s="224"/>
      <c r="K561" s="228"/>
      <c r="L561" s="208"/>
    </row>
    <row r="562" spans="1:12" x14ac:dyDescent="0.25">
      <c r="A562" s="224" t="str">
        <f t="shared" si="16"/>
        <v>00011900--</v>
      </c>
      <c r="B562" s="225"/>
      <c r="C562" s="224"/>
      <c r="D562" s="224"/>
      <c r="E562" s="224"/>
      <c r="F562" s="224"/>
      <c r="G562" s="227"/>
      <c r="H562" s="224"/>
      <c r="I562" s="228"/>
      <c r="J562" s="224"/>
      <c r="K562" s="228"/>
      <c r="L562" s="208"/>
    </row>
    <row r="563" spans="1:12" x14ac:dyDescent="0.25">
      <c r="A563" s="224" t="str">
        <f t="shared" si="16"/>
        <v>00011900--</v>
      </c>
      <c r="B563" s="225"/>
      <c r="C563" s="224"/>
      <c r="D563" s="224"/>
      <c r="E563" s="224"/>
      <c r="F563" s="224"/>
      <c r="G563" s="227"/>
      <c r="H563" s="224"/>
      <c r="I563" s="228"/>
      <c r="J563" s="224"/>
      <c r="K563" s="228"/>
      <c r="L563" s="208"/>
    </row>
    <row r="564" spans="1:12" x14ac:dyDescent="0.25">
      <c r="A564" s="224" t="str">
        <f t="shared" si="16"/>
        <v>00011900--</v>
      </c>
      <c r="B564" s="225"/>
      <c r="C564" s="224"/>
      <c r="D564" s="224"/>
      <c r="E564" s="224"/>
      <c r="F564" s="224"/>
      <c r="G564" s="227"/>
      <c r="H564" s="224"/>
      <c r="I564" s="228"/>
      <c r="J564" s="224"/>
      <c r="K564" s="228"/>
      <c r="L564" s="208"/>
    </row>
    <row r="565" spans="1:12" x14ac:dyDescent="0.25">
      <c r="A565" s="224" t="str">
        <f t="shared" si="16"/>
        <v>00011900--</v>
      </c>
      <c r="B565" s="225"/>
      <c r="C565" s="224"/>
      <c r="D565" s="224"/>
      <c r="E565" s="224"/>
      <c r="F565" s="224"/>
      <c r="G565" s="227"/>
      <c r="H565" s="224"/>
      <c r="I565" s="228"/>
      <c r="J565" s="224"/>
      <c r="K565" s="228"/>
      <c r="L565" s="208"/>
    </row>
    <row r="566" spans="1:12" x14ac:dyDescent="0.25">
      <c r="A566" s="224" t="str">
        <f t="shared" si="16"/>
        <v>00011900--</v>
      </c>
      <c r="B566" s="225"/>
      <c r="C566" s="224"/>
      <c r="D566" s="224"/>
      <c r="E566" s="224"/>
      <c r="F566" s="224"/>
      <c r="G566" s="227"/>
      <c r="H566" s="224"/>
      <c r="I566" s="228"/>
      <c r="J566" s="224"/>
      <c r="K566" s="228"/>
      <c r="L566" s="208"/>
    </row>
    <row r="567" spans="1:12" x14ac:dyDescent="0.25">
      <c r="A567" s="224" t="str">
        <f t="shared" si="16"/>
        <v>00011900--</v>
      </c>
      <c r="B567" s="225"/>
      <c r="C567" s="224"/>
      <c r="D567" s="224"/>
      <c r="E567" s="224"/>
      <c r="F567" s="224"/>
      <c r="G567" s="227"/>
      <c r="H567" s="224"/>
      <c r="I567" s="228"/>
      <c r="J567" s="224"/>
      <c r="K567" s="228"/>
      <c r="L567" s="208"/>
    </row>
    <row r="568" spans="1:12" x14ac:dyDescent="0.25">
      <c r="A568" s="224" t="str">
        <f t="shared" si="16"/>
        <v>00011900--</v>
      </c>
      <c r="B568" s="225"/>
      <c r="C568" s="224"/>
      <c r="D568" s="224"/>
      <c r="E568" s="224"/>
      <c r="F568" s="224"/>
      <c r="G568" s="227"/>
      <c r="H568" s="224"/>
      <c r="I568" s="228"/>
      <c r="J568" s="224"/>
      <c r="K568" s="228"/>
      <c r="L568" s="208"/>
    </row>
    <row r="569" spans="1:12" x14ac:dyDescent="0.25">
      <c r="A569" s="224" t="str">
        <f t="shared" si="16"/>
        <v>00011900--</v>
      </c>
      <c r="B569" s="225"/>
      <c r="C569" s="224"/>
      <c r="D569" s="224"/>
      <c r="E569" s="224"/>
      <c r="F569" s="224"/>
      <c r="G569" s="227"/>
      <c r="H569" s="224"/>
      <c r="I569" s="228"/>
      <c r="J569" s="224"/>
      <c r="K569" s="228"/>
      <c r="L569" s="208"/>
    </row>
    <row r="570" spans="1:12" x14ac:dyDescent="0.25">
      <c r="A570" s="224" t="str">
        <f t="shared" si="16"/>
        <v>00011900--</v>
      </c>
      <c r="B570" s="225"/>
      <c r="C570" s="224"/>
      <c r="D570" s="224"/>
      <c r="E570" s="224"/>
      <c r="F570" s="224"/>
      <c r="G570" s="227"/>
      <c r="H570" s="224"/>
      <c r="I570" s="228"/>
      <c r="J570" s="224"/>
      <c r="K570" s="228"/>
      <c r="L570" s="208"/>
    </row>
    <row r="571" spans="1:12" x14ac:dyDescent="0.25">
      <c r="A571" s="224" t="str">
        <f t="shared" si="16"/>
        <v>00011900--</v>
      </c>
      <c r="B571" s="225"/>
      <c r="C571" s="224"/>
      <c r="D571" s="224"/>
      <c r="E571" s="224"/>
      <c r="F571" s="224"/>
      <c r="G571" s="227"/>
      <c r="H571" s="224"/>
      <c r="I571" s="228"/>
      <c r="J571" s="224"/>
      <c r="K571" s="228"/>
      <c r="L571" s="208"/>
    </row>
    <row r="572" spans="1:12" x14ac:dyDescent="0.25">
      <c r="A572" s="224" t="str">
        <f t="shared" si="16"/>
        <v>00011900--</v>
      </c>
      <c r="B572" s="225"/>
      <c r="C572" s="224"/>
      <c r="D572" s="224"/>
      <c r="E572" s="224"/>
      <c r="F572" s="224"/>
      <c r="G572" s="227"/>
      <c r="H572" s="224"/>
      <c r="I572" s="228"/>
      <c r="J572" s="224"/>
      <c r="K572" s="228"/>
      <c r="L572" s="208"/>
    </row>
    <row r="573" spans="1:12" x14ac:dyDescent="0.25">
      <c r="A573" s="224" t="str">
        <f t="shared" ref="A573:A636" si="17">TEXT(DAY(B573),"00")&amp;TEXT(MONTH(B573),"00")&amp;YEAR(B573)&amp;"-"&amp;C573&amp;"-"&amp;LEFT(E573,SEARCH(" ",E573&amp;" ")-1)</f>
        <v>00011900--</v>
      </c>
      <c r="B573" s="225"/>
      <c r="C573" s="224"/>
      <c r="D573" s="224"/>
      <c r="E573" s="224"/>
      <c r="F573" s="224"/>
      <c r="G573" s="227"/>
      <c r="H573" s="224"/>
      <c r="I573" s="228"/>
      <c r="J573" s="224"/>
      <c r="K573" s="228"/>
      <c r="L573" s="208"/>
    </row>
    <row r="574" spans="1:12" x14ac:dyDescent="0.25">
      <c r="A574" s="224" t="str">
        <f t="shared" si="17"/>
        <v>00011900--</v>
      </c>
      <c r="B574" s="225"/>
      <c r="C574" s="224"/>
      <c r="D574" s="224"/>
      <c r="E574" s="224"/>
      <c r="F574" s="224"/>
      <c r="G574" s="227"/>
      <c r="H574" s="224"/>
      <c r="I574" s="228"/>
      <c r="J574" s="224"/>
      <c r="K574" s="228"/>
      <c r="L574" s="208"/>
    </row>
    <row r="575" spans="1:12" x14ac:dyDescent="0.25">
      <c r="A575" s="224" t="str">
        <f t="shared" si="17"/>
        <v>00011900--</v>
      </c>
      <c r="B575" s="225"/>
      <c r="C575" s="224"/>
      <c r="D575" s="224"/>
      <c r="E575" s="224"/>
      <c r="F575" s="224"/>
      <c r="G575" s="227"/>
      <c r="H575" s="224"/>
      <c r="I575" s="228"/>
      <c r="J575" s="224"/>
      <c r="K575" s="228"/>
      <c r="L575" s="208"/>
    </row>
    <row r="576" spans="1:12" x14ac:dyDescent="0.25">
      <c r="A576" s="224" t="str">
        <f t="shared" si="17"/>
        <v>00011900--</v>
      </c>
      <c r="B576" s="225"/>
      <c r="C576" s="224"/>
      <c r="D576" s="224"/>
      <c r="E576" s="224"/>
      <c r="F576" s="224"/>
      <c r="G576" s="227"/>
      <c r="H576" s="224"/>
      <c r="I576" s="228"/>
      <c r="J576" s="224"/>
      <c r="K576" s="228"/>
      <c r="L576" s="208"/>
    </row>
    <row r="577" spans="1:12" x14ac:dyDescent="0.25">
      <c r="A577" s="224" t="str">
        <f t="shared" si="17"/>
        <v>00011900--</v>
      </c>
      <c r="B577" s="225"/>
      <c r="C577" s="224"/>
      <c r="D577" s="224"/>
      <c r="E577" s="224"/>
      <c r="F577" s="224"/>
      <c r="G577" s="227"/>
      <c r="H577" s="224"/>
      <c r="I577" s="228"/>
      <c r="J577" s="224"/>
      <c r="K577" s="228"/>
      <c r="L577" s="208"/>
    </row>
    <row r="578" spans="1:12" x14ac:dyDescent="0.25">
      <c r="A578" s="224" t="str">
        <f t="shared" si="17"/>
        <v>00011900--</v>
      </c>
      <c r="B578" s="225"/>
      <c r="C578" s="224"/>
      <c r="D578" s="224"/>
      <c r="E578" s="224"/>
      <c r="F578" s="224"/>
      <c r="G578" s="227"/>
      <c r="H578" s="224"/>
      <c r="I578" s="228"/>
      <c r="J578" s="224"/>
      <c r="K578" s="228"/>
      <c r="L578" s="208"/>
    </row>
    <row r="579" spans="1:12" x14ac:dyDescent="0.25">
      <c r="A579" s="224" t="str">
        <f t="shared" si="17"/>
        <v>00011900--</v>
      </c>
      <c r="B579" s="225"/>
      <c r="C579" s="224"/>
      <c r="D579" s="224"/>
      <c r="E579" s="224"/>
      <c r="F579" s="224"/>
      <c r="G579" s="227"/>
      <c r="H579" s="224"/>
      <c r="I579" s="228"/>
      <c r="J579" s="224"/>
      <c r="K579" s="228"/>
      <c r="L579" s="208"/>
    </row>
    <row r="580" spans="1:12" x14ac:dyDescent="0.25">
      <c r="A580" s="224" t="str">
        <f t="shared" si="17"/>
        <v>00011900--</v>
      </c>
      <c r="B580" s="225"/>
      <c r="C580" s="224"/>
      <c r="D580" s="224"/>
      <c r="E580" s="224"/>
      <c r="F580" s="224"/>
      <c r="G580" s="227"/>
      <c r="H580" s="224"/>
      <c r="I580" s="228"/>
      <c r="J580" s="224"/>
      <c r="K580" s="228"/>
      <c r="L580" s="208"/>
    </row>
    <row r="581" spans="1:12" x14ac:dyDescent="0.25">
      <c r="A581" s="224" t="str">
        <f t="shared" si="17"/>
        <v>00011900--</v>
      </c>
      <c r="B581" s="225"/>
      <c r="C581" s="224"/>
      <c r="D581" s="224"/>
      <c r="E581" s="224"/>
      <c r="F581" s="224"/>
      <c r="G581" s="227"/>
      <c r="H581" s="224"/>
      <c r="I581" s="228"/>
      <c r="J581" s="224"/>
      <c r="K581" s="228"/>
      <c r="L581" s="208"/>
    </row>
    <row r="582" spans="1:12" x14ac:dyDescent="0.25">
      <c r="A582" s="224" t="str">
        <f t="shared" si="17"/>
        <v>00011900--</v>
      </c>
      <c r="B582" s="225"/>
      <c r="C582" s="224"/>
      <c r="D582" s="224"/>
      <c r="E582" s="224"/>
      <c r="F582" s="224"/>
      <c r="G582" s="227"/>
      <c r="H582" s="224"/>
      <c r="I582" s="228"/>
      <c r="J582" s="224"/>
      <c r="K582" s="228"/>
      <c r="L582" s="208"/>
    </row>
    <row r="583" spans="1:12" x14ac:dyDescent="0.25">
      <c r="A583" s="224" t="str">
        <f t="shared" si="17"/>
        <v>00011900--</v>
      </c>
      <c r="B583" s="225"/>
      <c r="C583" s="224"/>
      <c r="D583" s="224"/>
      <c r="E583" s="224"/>
      <c r="F583" s="224"/>
      <c r="G583" s="227"/>
      <c r="H583" s="224"/>
      <c r="I583" s="228"/>
      <c r="J583" s="224"/>
      <c r="K583" s="228"/>
      <c r="L583" s="208"/>
    </row>
    <row r="584" spans="1:12" x14ac:dyDescent="0.25">
      <c r="A584" s="224" t="str">
        <f t="shared" si="17"/>
        <v>00011900--</v>
      </c>
      <c r="B584" s="225"/>
      <c r="C584" s="224"/>
      <c r="D584" s="224"/>
      <c r="E584" s="224"/>
      <c r="F584" s="224"/>
      <c r="G584" s="227"/>
      <c r="H584" s="224"/>
      <c r="I584" s="228"/>
      <c r="J584" s="224"/>
      <c r="K584" s="228"/>
      <c r="L584" s="208"/>
    </row>
    <row r="585" spans="1:12" x14ac:dyDescent="0.25">
      <c r="A585" s="224" t="str">
        <f t="shared" si="17"/>
        <v>00011900--</v>
      </c>
      <c r="B585" s="225"/>
      <c r="C585" s="224"/>
      <c r="D585" s="224"/>
      <c r="E585" s="224"/>
      <c r="F585" s="224"/>
      <c r="G585" s="227"/>
      <c r="H585" s="224"/>
      <c r="I585" s="228"/>
      <c r="J585" s="224"/>
      <c r="K585" s="228"/>
      <c r="L585" s="208"/>
    </row>
    <row r="586" spans="1:12" x14ac:dyDescent="0.25">
      <c r="A586" s="224" t="str">
        <f t="shared" si="17"/>
        <v>00011900--</v>
      </c>
      <c r="B586" s="225"/>
      <c r="C586" s="224"/>
      <c r="D586" s="224"/>
      <c r="E586" s="224"/>
      <c r="F586" s="224"/>
      <c r="G586" s="227"/>
      <c r="H586" s="224"/>
      <c r="I586" s="228"/>
      <c r="J586" s="224"/>
      <c r="K586" s="228"/>
      <c r="L586" s="208"/>
    </row>
    <row r="587" spans="1:12" x14ac:dyDescent="0.25">
      <c r="A587" s="224" t="str">
        <f t="shared" si="17"/>
        <v>00011900--</v>
      </c>
      <c r="B587" s="225"/>
      <c r="C587" s="224"/>
      <c r="D587" s="224"/>
      <c r="E587" s="224"/>
      <c r="F587" s="224"/>
      <c r="G587" s="227"/>
      <c r="H587" s="224"/>
      <c r="I587" s="228"/>
      <c r="J587" s="224"/>
      <c r="K587" s="228"/>
      <c r="L587" s="208"/>
    </row>
    <row r="588" spans="1:12" x14ac:dyDescent="0.25">
      <c r="A588" s="224" t="str">
        <f t="shared" si="17"/>
        <v>00011900--</v>
      </c>
      <c r="B588" s="225"/>
      <c r="C588" s="224"/>
      <c r="D588" s="224"/>
      <c r="E588" s="224"/>
      <c r="F588" s="224"/>
      <c r="G588" s="227"/>
      <c r="H588" s="224"/>
      <c r="I588" s="228"/>
      <c r="J588" s="224"/>
      <c r="K588" s="228"/>
      <c r="L588" s="208"/>
    </row>
    <row r="589" spans="1:12" x14ac:dyDescent="0.25">
      <c r="A589" s="224" t="str">
        <f t="shared" si="17"/>
        <v>00011900--</v>
      </c>
      <c r="B589" s="225"/>
      <c r="C589" s="224"/>
      <c r="D589" s="224"/>
      <c r="E589" s="224"/>
      <c r="F589" s="224"/>
      <c r="G589" s="227"/>
      <c r="H589" s="224"/>
      <c r="I589" s="228"/>
      <c r="J589" s="224"/>
      <c r="K589" s="228"/>
      <c r="L589" s="208"/>
    </row>
    <row r="590" spans="1:12" x14ac:dyDescent="0.25">
      <c r="A590" s="224" t="str">
        <f t="shared" si="17"/>
        <v>00011900--</v>
      </c>
      <c r="B590" s="225"/>
      <c r="C590" s="224"/>
      <c r="D590" s="224"/>
      <c r="E590" s="224"/>
      <c r="F590" s="224"/>
      <c r="G590" s="227"/>
      <c r="H590" s="224"/>
      <c r="I590" s="228"/>
      <c r="J590" s="224"/>
      <c r="K590" s="228"/>
      <c r="L590" s="208"/>
    </row>
    <row r="591" spans="1:12" x14ac:dyDescent="0.25">
      <c r="A591" s="224" t="str">
        <f t="shared" si="17"/>
        <v>00011900--</v>
      </c>
      <c r="B591" s="225"/>
      <c r="C591" s="224"/>
      <c r="D591" s="224"/>
      <c r="E591" s="224"/>
      <c r="F591" s="224"/>
      <c r="G591" s="227"/>
      <c r="H591" s="224"/>
      <c r="I591" s="228"/>
      <c r="J591" s="224"/>
      <c r="K591" s="228"/>
      <c r="L591" s="208"/>
    </row>
    <row r="592" spans="1:12" x14ac:dyDescent="0.25">
      <c r="A592" s="224" t="str">
        <f t="shared" si="17"/>
        <v>00011900--</v>
      </c>
      <c r="B592" s="225"/>
      <c r="C592" s="224"/>
      <c r="D592" s="224"/>
      <c r="E592" s="224"/>
      <c r="F592" s="224"/>
      <c r="G592" s="227"/>
      <c r="H592" s="224"/>
      <c r="I592" s="228"/>
      <c r="J592" s="224"/>
      <c r="K592" s="228"/>
      <c r="L592" s="208"/>
    </row>
    <row r="593" spans="1:12" x14ac:dyDescent="0.25">
      <c r="A593" s="224" t="str">
        <f t="shared" si="17"/>
        <v>00011900--</v>
      </c>
      <c r="B593" s="225"/>
      <c r="C593" s="224"/>
      <c r="D593" s="224"/>
      <c r="E593" s="224"/>
      <c r="F593" s="224"/>
      <c r="G593" s="227"/>
      <c r="H593" s="224"/>
      <c r="I593" s="228"/>
      <c r="J593" s="224"/>
      <c r="K593" s="228"/>
      <c r="L593" s="208"/>
    </row>
    <row r="594" spans="1:12" x14ac:dyDescent="0.25">
      <c r="A594" s="224" t="str">
        <f t="shared" si="17"/>
        <v>00011900--</v>
      </c>
      <c r="B594" s="225"/>
      <c r="C594" s="224"/>
      <c r="D594" s="224"/>
      <c r="E594" s="224"/>
      <c r="F594" s="224"/>
      <c r="G594" s="227"/>
      <c r="H594" s="224"/>
      <c r="I594" s="228"/>
      <c r="J594" s="224"/>
      <c r="K594" s="228"/>
      <c r="L594" s="208"/>
    </row>
    <row r="595" spans="1:12" x14ac:dyDescent="0.25">
      <c r="A595" s="224" t="str">
        <f t="shared" si="17"/>
        <v>00011900--</v>
      </c>
      <c r="B595" s="225"/>
      <c r="C595" s="224"/>
      <c r="D595" s="224"/>
      <c r="E595" s="224"/>
      <c r="F595" s="224"/>
      <c r="G595" s="227"/>
      <c r="H595" s="224"/>
      <c r="I595" s="228"/>
      <c r="J595" s="224"/>
      <c r="K595" s="228"/>
      <c r="L595" s="208"/>
    </row>
    <row r="596" spans="1:12" x14ac:dyDescent="0.25">
      <c r="A596" s="224" t="str">
        <f t="shared" si="17"/>
        <v>00011900--</v>
      </c>
      <c r="B596" s="225"/>
      <c r="C596" s="224"/>
      <c r="D596" s="224"/>
      <c r="E596" s="224"/>
      <c r="F596" s="224"/>
      <c r="G596" s="227"/>
      <c r="H596" s="224"/>
      <c r="I596" s="228"/>
      <c r="J596" s="224"/>
      <c r="K596" s="228"/>
      <c r="L596" s="208"/>
    </row>
    <row r="597" spans="1:12" x14ac:dyDescent="0.25">
      <c r="A597" s="224" t="str">
        <f t="shared" si="17"/>
        <v>00011900--</v>
      </c>
      <c r="B597" s="225"/>
      <c r="C597" s="224"/>
      <c r="D597" s="224"/>
      <c r="E597" s="224"/>
      <c r="F597" s="224"/>
      <c r="G597" s="227"/>
      <c r="H597" s="224"/>
      <c r="I597" s="228"/>
      <c r="J597" s="224"/>
      <c r="K597" s="228"/>
      <c r="L597" s="208"/>
    </row>
    <row r="598" spans="1:12" x14ac:dyDescent="0.25">
      <c r="A598" s="224" t="str">
        <f t="shared" si="17"/>
        <v>00011900--</v>
      </c>
      <c r="B598" s="225"/>
      <c r="C598" s="224"/>
      <c r="D598" s="224"/>
      <c r="E598" s="224"/>
      <c r="F598" s="224"/>
      <c r="G598" s="227"/>
      <c r="H598" s="224"/>
      <c r="I598" s="228"/>
      <c r="J598" s="224"/>
      <c r="K598" s="228"/>
      <c r="L598" s="208"/>
    </row>
    <row r="599" spans="1:12" x14ac:dyDescent="0.25">
      <c r="A599" s="224" t="str">
        <f t="shared" si="17"/>
        <v>00011900--</v>
      </c>
      <c r="B599" s="225"/>
      <c r="C599" s="224"/>
      <c r="D599" s="224"/>
      <c r="E599" s="224"/>
      <c r="F599" s="224"/>
      <c r="G599" s="227"/>
      <c r="H599" s="224"/>
      <c r="I599" s="228"/>
      <c r="J599" s="224"/>
      <c r="K599" s="228"/>
      <c r="L599" s="208"/>
    </row>
    <row r="600" spans="1:12" x14ac:dyDescent="0.25">
      <c r="A600" s="224" t="str">
        <f t="shared" si="17"/>
        <v>00011900--</v>
      </c>
      <c r="B600" s="225"/>
      <c r="C600" s="224"/>
      <c r="D600" s="224"/>
      <c r="E600" s="224"/>
      <c r="F600" s="224"/>
      <c r="G600" s="227"/>
      <c r="H600" s="224"/>
      <c r="I600" s="228"/>
      <c r="J600" s="224"/>
      <c r="K600" s="228"/>
      <c r="L600" s="208"/>
    </row>
    <row r="601" spans="1:12" x14ac:dyDescent="0.25">
      <c r="A601" s="224" t="str">
        <f t="shared" si="17"/>
        <v>00011900--</v>
      </c>
      <c r="B601" s="225"/>
      <c r="C601" s="224"/>
      <c r="D601" s="224"/>
      <c r="E601" s="224"/>
      <c r="F601" s="224"/>
      <c r="G601" s="227"/>
      <c r="H601" s="224"/>
      <c r="I601" s="228"/>
      <c r="J601" s="224"/>
      <c r="K601" s="228"/>
      <c r="L601" s="208"/>
    </row>
    <row r="602" spans="1:12" x14ac:dyDescent="0.25">
      <c r="A602" s="224" t="str">
        <f t="shared" si="17"/>
        <v>00011900--</v>
      </c>
      <c r="B602" s="225"/>
      <c r="C602" s="224"/>
      <c r="D602" s="224"/>
      <c r="E602" s="224"/>
      <c r="F602" s="224"/>
      <c r="G602" s="227"/>
      <c r="H602" s="224"/>
      <c r="I602" s="228"/>
      <c r="J602" s="224"/>
      <c r="K602" s="228"/>
      <c r="L602" s="208"/>
    </row>
    <row r="603" spans="1:12" x14ac:dyDescent="0.25">
      <c r="A603" s="224" t="str">
        <f t="shared" si="17"/>
        <v>00011900--</v>
      </c>
      <c r="B603" s="225"/>
      <c r="C603" s="224"/>
      <c r="D603" s="224"/>
      <c r="E603" s="224"/>
      <c r="F603" s="224"/>
      <c r="G603" s="227"/>
      <c r="H603" s="224"/>
      <c r="I603" s="228"/>
      <c r="J603" s="224"/>
      <c r="K603" s="228"/>
      <c r="L603" s="208"/>
    </row>
    <row r="604" spans="1:12" x14ac:dyDescent="0.25">
      <c r="A604" s="224" t="str">
        <f t="shared" si="17"/>
        <v>00011900--</v>
      </c>
      <c r="B604" s="225"/>
      <c r="C604" s="224"/>
      <c r="D604" s="224"/>
      <c r="E604" s="224"/>
      <c r="F604" s="224"/>
      <c r="G604" s="227"/>
      <c r="H604" s="224"/>
      <c r="I604" s="228"/>
      <c r="J604" s="224"/>
      <c r="K604" s="228"/>
      <c r="L604" s="208"/>
    </row>
    <row r="605" spans="1:12" x14ac:dyDescent="0.25">
      <c r="A605" s="224" t="str">
        <f t="shared" si="17"/>
        <v>00011900--</v>
      </c>
      <c r="B605" s="225"/>
      <c r="C605" s="224"/>
      <c r="D605" s="224"/>
      <c r="E605" s="224"/>
      <c r="F605" s="224"/>
      <c r="G605" s="227"/>
      <c r="H605" s="224"/>
      <c r="I605" s="228"/>
      <c r="J605" s="224"/>
      <c r="K605" s="228"/>
      <c r="L605" s="208"/>
    </row>
    <row r="606" spans="1:12" x14ac:dyDescent="0.25">
      <c r="A606" s="224" t="str">
        <f t="shared" si="17"/>
        <v>00011900--</v>
      </c>
      <c r="B606" s="225"/>
      <c r="C606" s="224"/>
      <c r="D606" s="224"/>
      <c r="E606" s="224"/>
      <c r="F606" s="224"/>
      <c r="G606" s="227"/>
      <c r="H606" s="224"/>
      <c r="I606" s="228"/>
      <c r="J606" s="224"/>
      <c r="K606" s="228"/>
      <c r="L606" s="208"/>
    </row>
    <row r="607" spans="1:12" x14ac:dyDescent="0.25">
      <c r="A607" s="224" t="str">
        <f t="shared" si="17"/>
        <v>00011900--</v>
      </c>
      <c r="B607" s="225"/>
      <c r="C607" s="224"/>
      <c r="D607" s="224"/>
      <c r="E607" s="224"/>
      <c r="F607" s="224"/>
      <c r="G607" s="227"/>
      <c r="H607" s="224"/>
      <c r="I607" s="228"/>
      <c r="J607" s="224"/>
      <c r="K607" s="228"/>
      <c r="L607" s="208"/>
    </row>
    <row r="608" spans="1:12" x14ac:dyDescent="0.25">
      <c r="A608" s="224" t="str">
        <f t="shared" si="17"/>
        <v>00011900--</v>
      </c>
      <c r="B608" s="225"/>
      <c r="C608" s="224"/>
      <c r="D608" s="224"/>
      <c r="E608" s="224"/>
      <c r="F608" s="224"/>
      <c r="G608" s="227"/>
      <c r="H608" s="224"/>
      <c r="I608" s="228"/>
      <c r="J608" s="224"/>
      <c r="K608" s="228"/>
      <c r="L608" s="208"/>
    </row>
    <row r="609" spans="1:12" x14ac:dyDescent="0.25">
      <c r="A609" s="224" t="str">
        <f t="shared" si="17"/>
        <v>00011900--</v>
      </c>
      <c r="B609" s="225"/>
      <c r="C609" s="224"/>
      <c r="D609" s="224"/>
      <c r="E609" s="224"/>
      <c r="F609" s="224"/>
      <c r="G609" s="227"/>
      <c r="H609" s="224"/>
      <c r="I609" s="228"/>
      <c r="J609" s="224"/>
      <c r="K609" s="228"/>
      <c r="L609" s="208"/>
    </row>
    <row r="610" spans="1:12" x14ac:dyDescent="0.25">
      <c r="A610" s="224" t="str">
        <f t="shared" si="17"/>
        <v>00011900--</v>
      </c>
      <c r="B610" s="225"/>
      <c r="C610" s="224"/>
      <c r="D610" s="224"/>
      <c r="E610" s="224"/>
      <c r="F610" s="224"/>
      <c r="G610" s="227"/>
      <c r="H610" s="224"/>
      <c r="I610" s="228"/>
      <c r="J610" s="224"/>
      <c r="K610" s="228"/>
      <c r="L610" s="208"/>
    </row>
    <row r="611" spans="1:12" x14ac:dyDescent="0.25">
      <c r="A611" s="224" t="str">
        <f t="shared" si="17"/>
        <v>00011900--</v>
      </c>
      <c r="B611" s="225"/>
      <c r="C611" s="224"/>
      <c r="D611" s="224"/>
      <c r="E611" s="224"/>
      <c r="F611" s="224"/>
      <c r="G611" s="227"/>
      <c r="H611" s="224"/>
      <c r="I611" s="228"/>
      <c r="J611" s="224"/>
      <c r="K611" s="228"/>
      <c r="L611" s="208"/>
    </row>
    <row r="612" spans="1:12" x14ac:dyDescent="0.25">
      <c r="A612" s="224" t="str">
        <f t="shared" si="17"/>
        <v>00011900--</v>
      </c>
      <c r="B612" s="225"/>
      <c r="C612" s="224"/>
      <c r="D612" s="224"/>
      <c r="E612" s="224"/>
      <c r="F612" s="224"/>
      <c r="G612" s="227"/>
      <c r="H612" s="224"/>
      <c r="I612" s="228"/>
      <c r="J612" s="224"/>
      <c r="K612" s="228"/>
      <c r="L612" s="208"/>
    </row>
    <row r="613" spans="1:12" x14ac:dyDescent="0.25">
      <c r="A613" s="224" t="str">
        <f t="shared" si="17"/>
        <v>00011900--</v>
      </c>
      <c r="B613" s="225"/>
      <c r="C613" s="224"/>
      <c r="D613" s="224"/>
      <c r="E613" s="224"/>
      <c r="F613" s="224"/>
      <c r="G613" s="227"/>
      <c r="H613" s="224"/>
      <c r="I613" s="228"/>
      <c r="J613" s="224"/>
      <c r="K613" s="228"/>
      <c r="L613" s="208"/>
    </row>
    <row r="614" spans="1:12" x14ac:dyDescent="0.25">
      <c r="A614" s="224" t="str">
        <f t="shared" si="17"/>
        <v>00011900--</v>
      </c>
      <c r="B614" s="225"/>
      <c r="C614" s="224"/>
      <c r="D614" s="224"/>
      <c r="E614" s="224"/>
      <c r="F614" s="224"/>
      <c r="G614" s="227"/>
      <c r="H614" s="224"/>
      <c r="I614" s="228"/>
      <c r="J614" s="224"/>
      <c r="K614" s="228"/>
      <c r="L614" s="208"/>
    </row>
    <row r="615" spans="1:12" x14ac:dyDescent="0.25">
      <c r="A615" s="224" t="str">
        <f t="shared" si="17"/>
        <v>00011900--</v>
      </c>
      <c r="B615" s="225"/>
      <c r="C615" s="224"/>
      <c r="D615" s="224"/>
      <c r="E615" s="224"/>
      <c r="F615" s="224"/>
      <c r="G615" s="227"/>
      <c r="H615" s="224"/>
      <c r="I615" s="228"/>
      <c r="J615" s="224"/>
      <c r="K615" s="228"/>
      <c r="L615" s="208"/>
    </row>
    <row r="616" spans="1:12" x14ac:dyDescent="0.25">
      <c r="A616" s="224" t="str">
        <f t="shared" si="17"/>
        <v>00011900--</v>
      </c>
      <c r="B616" s="225"/>
      <c r="C616" s="224"/>
      <c r="D616" s="224"/>
      <c r="E616" s="224"/>
      <c r="F616" s="224"/>
      <c r="G616" s="227"/>
      <c r="H616" s="224"/>
      <c r="I616" s="228"/>
      <c r="J616" s="224"/>
      <c r="K616" s="228"/>
      <c r="L616" s="208"/>
    </row>
    <row r="617" spans="1:12" x14ac:dyDescent="0.25">
      <c r="A617" s="224" t="str">
        <f t="shared" si="17"/>
        <v>00011900--</v>
      </c>
      <c r="B617" s="225"/>
      <c r="C617" s="224"/>
      <c r="D617" s="224"/>
      <c r="E617" s="224"/>
      <c r="F617" s="224"/>
      <c r="G617" s="227"/>
      <c r="H617" s="224"/>
      <c r="I617" s="228"/>
      <c r="J617" s="224"/>
      <c r="K617" s="228"/>
      <c r="L617" s="208"/>
    </row>
    <row r="618" spans="1:12" x14ac:dyDescent="0.25">
      <c r="A618" s="224" t="str">
        <f t="shared" si="17"/>
        <v>00011900--</v>
      </c>
      <c r="B618" s="225"/>
      <c r="C618" s="224"/>
      <c r="D618" s="224"/>
      <c r="E618" s="224"/>
      <c r="F618" s="224"/>
      <c r="G618" s="227"/>
      <c r="H618" s="224"/>
      <c r="I618" s="228"/>
      <c r="J618" s="224"/>
      <c r="K618" s="228"/>
      <c r="L618" s="208"/>
    </row>
    <row r="619" spans="1:12" x14ac:dyDescent="0.25">
      <c r="A619" s="224" t="str">
        <f t="shared" si="17"/>
        <v>00011900--</v>
      </c>
      <c r="B619" s="225"/>
      <c r="C619" s="224"/>
      <c r="D619" s="224"/>
      <c r="E619" s="224"/>
      <c r="F619" s="224"/>
      <c r="G619" s="227"/>
      <c r="H619" s="224"/>
      <c r="I619" s="228"/>
      <c r="J619" s="224"/>
      <c r="K619" s="228"/>
      <c r="L619" s="208"/>
    </row>
    <row r="620" spans="1:12" x14ac:dyDescent="0.25">
      <c r="A620" s="224" t="str">
        <f t="shared" si="17"/>
        <v>00011900--</v>
      </c>
      <c r="B620" s="225"/>
      <c r="C620" s="224"/>
      <c r="D620" s="224"/>
      <c r="E620" s="224"/>
      <c r="F620" s="224"/>
      <c r="G620" s="227"/>
      <c r="H620" s="224"/>
      <c r="I620" s="228"/>
      <c r="J620" s="224"/>
      <c r="K620" s="228"/>
      <c r="L620" s="208"/>
    </row>
    <row r="621" spans="1:12" x14ac:dyDescent="0.25">
      <c r="A621" s="224" t="str">
        <f t="shared" si="17"/>
        <v>00011900--</v>
      </c>
      <c r="B621" s="225"/>
      <c r="C621" s="224"/>
      <c r="D621" s="224"/>
      <c r="E621" s="224"/>
      <c r="F621" s="224"/>
      <c r="G621" s="227"/>
      <c r="H621" s="224"/>
      <c r="I621" s="228"/>
      <c r="J621" s="224"/>
      <c r="K621" s="228"/>
      <c r="L621" s="208"/>
    </row>
    <row r="622" spans="1:12" x14ac:dyDescent="0.25">
      <c r="A622" s="224" t="str">
        <f t="shared" si="17"/>
        <v>00011900--</v>
      </c>
      <c r="B622" s="225"/>
      <c r="C622" s="224"/>
      <c r="D622" s="224"/>
      <c r="E622" s="224"/>
      <c r="F622" s="224"/>
      <c r="G622" s="227"/>
      <c r="H622" s="224"/>
      <c r="I622" s="228"/>
      <c r="J622" s="224"/>
      <c r="K622" s="228"/>
      <c r="L622" s="208"/>
    </row>
    <row r="623" spans="1:12" x14ac:dyDescent="0.25">
      <c r="A623" s="224" t="str">
        <f t="shared" si="17"/>
        <v>00011900--</v>
      </c>
      <c r="B623" s="225"/>
      <c r="C623" s="224"/>
      <c r="D623" s="224"/>
      <c r="E623" s="224"/>
      <c r="F623" s="224"/>
      <c r="G623" s="227"/>
      <c r="H623" s="224"/>
      <c r="I623" s="228"/>
      <c r="J623" s="224"/>
      <c r="K623" s="228"/>
      <c r="L623" s="208"/>
    </row>
    <row r="624" spans="1:12" x14ac:dyDescent="0.25">
      <c r="A624" s="224" t="str">
        <f t="shared" si="17"/>
        <v>00011900--</v>
      </c>
      <c r="B624" s="225"/>
      <c r="C624" s="224"/>
      <c r="D624" s="224"/>
      <c r="E624" s="224"/>
      <c r="F624" s="224"/>
      <c r="G624" s="227"/>
      <c r="H624" s="224"/>
      <c r="I624" s="228"/>
      <c r="J624" s="224"/>
      <c r="K624" s="228"/>
      <c r="L624" s="208"/>
    </row>
    <row r="625" spans="1:12" x14ac:dyDescent="0.25">
      <c r="A625" s="224" t="str">
        <f t="shared" si="17"/>
        <v>00011900--</v>
      </c>
      <c r="B625" s="225"/>
      <c r="C625" s="224"/>
      <c r="D625" s="224"/>
      <c r="E625" s="224"/>
      <c r="F625" s="224"/>
      <c r="G625" s="227"/>
      <c r="H625" s="224"/>
      <c r="I625" s="228"/>
      <c r="J625" s="224"/>
      <c r="K625" s="228"/>
      <c r="L625" s="208"/>
    </row>
    <row r="626" spans="1:12" x14ac:dyDescent="0.25">
      <c r="A626" s="224" t="str">
        <f t="shared" si="17"/>
        <v>00011900--</v>
      </c>
      <c r="B626" s="225"/>
      <c r="C626" s="224"/>
      <c r="D626" s="224"/>
      <c r="E626" s="224"/>
      <c r="F626" s="224"/>
      <c r="G626" s="227"/>
      <c r="H626" s="224"/>
      <c r="I626" s="228"/>
      <c r="J626" s="224"/>
      <c r="K626" s="228"/>
      <c r="L626" s="208"/>
    </row>
    <row r="627" spans="1:12" x14ac:dyDescent="0.25">
      <c r="A627" s="224" t="str">
        <f t="shared" si="17"/>
        <v>00011900--</v>
      </c>
      <c r="B627" s="225"/>
      <c r="C627" s="224"/>
      <c r="D627" s="224"/>
      <c r="E627" s="224"/>
      <c r="F627" s="224"/>
      <c r="G627" s="227"/>
      <c r="H627" s="224"/>
      <c r="I627" s="228"/>
      <c r="J627" s="224"/>
      <c r="K627" s="228"/>
      <c r="L627" s="208"/>
    </row>
    <row r="628" spans="1:12" x14ac:dyDescent="0.25">
      <c r="A628" s="224" t="str">
        <f t="shared" si="17"/>
        <v>00011900--</v>
      </c>
      <c r="B628" s="225"/>
      <c r="C628" s="224"/>
      <c r="D628" s="224"/>
      <c r="E628" s="224"/>
      <c r="F628" s="224"/>
      <c r="G628" s="227"/>
      <c r="H628" s="224"/>
      <c r="I628" s="228"/>
      <c r="J628" s="224"/>
      <c r="K628" s="228"/>
      <c r="L628" s="208"/>
    </row>
    <row r="629" spans="1:12" x14ac:dyDescent="0.25">
      <c r="A629" s="224" t="str">
        <f t="shared" si="17"/>
        <v>00011900--</v>
      </c>
      <c r="B629" s="225"/>
      <c r="C629" s="224"/>
      <c r="D629" s="224"/>
      <c r="E629" s="224"/>
      <c r="F629" s="224"/>
      <c r="G629" s="227"/>
      <c r="H629" s="224"/>
      <c r="I629" s="228"/>
      <c r="J629" s="224"/>
      <c r="K629" s="228"/>
      <c r="L629" s="208"/>
    </row>
    <row r="630" spans="1:12" x14ac:dyDescent="0.25">
      <c r="A630" s="224" t="str">
        <f t="shared" si="17"/>
        <v>00011900--</v>
      </c>
      <c r="B630" s="225"/>
      <c r="C630" s="224"/>
      <c r="D630" s="224"/>
      <c r="E630" s="224"/>
      <c r="F630" s="224"/>
      <c r="G630" s="227"/>
      <c r="H630" s="224"/>
      <c r="I630" s="228"/>
      <c r="J630" s="224"/>
      <c r="K630" s="228"/>
      <c r="L630" s="208"/>
    </row>
    <row r="631" spans="1:12" x14ac:dyDescent="0.25">
      <c r="A631" s="224" t="str">
        <f t="shared" si="17"/>
        <v>00011900--</v>
      </c>
      <c r="B631" s="225"/>
      <c r="C631" s="224"/>
      <c r="D631" s="224"/>
      <c r="E631" s="224"/>
      <c r="F631" s="224"/>
      <c r="G631" s="227"/>
      <c r="H631" s="224"/>
      <c r="I631" s="228"/>
      <c r="J631" s="224"/>
      <c r="K631" s="228"/>
      <c r="L631" s="208"/>
    </row>
    <row r="632" spans="1:12" x14ac:dyDescent="0.25">
      <c r="A632" s="224" t="str">
        <f t="shared" si="17"/>
        <v>00011900--</v>
      </c>
      <c r="B632" s="225"/>
      <c r="C632" s="224"/>
      <c r="D632" s="224"/>
      <c r="E632" s="224"/>
      <c r="F632" s="224"/>
      <c r="G632" s="227"/>
      <c r="H632" s="224"/>
      <c r="I632" s="228"/>
      <c r="J632" s="224"/>
      <c r="K632" s="228"/>
      <c r="L632" s="208"/>
    </row>
    <row r="633" spans="1:12" x14ac:dyDescent="0.25">
      <c r="A633" s="224" t="str">
        <f t="shared" si="17"/>
        <v>00011900--</v>
      </c>
      <c r="B633" s="225"/>
      <c r="C633" s="224"/>
      <c r="D633" s="224"/>
      <c r="E633" s="224"/>
      <c r="F633" s="224"/>
      <c r="G633" s="227"/>
      <c r="H633" s="224"/>
      <c r="I633" s="228"/>
      <c r="J633" s="224"/>
      <c r="K633" s="228"/>
      <c r="L633" s="208"/>
    </row>
    <row r="634" spans="1:12" x14ac:dyDescent="0.25">
      <c r="A634" s="224" t="str">
        <f t="shared" si="17"/>
        <v>00011900--</v>
      </c>
      <c r="B634" s="225"/>
      <c r="C634" s="224"/>
      <c r="D634" s="224"/>
      <c r="E634" s="224"/>
      <c r="F634" s="224"/>
      <c r="G634" s="227"/>
      <c r="H634" s="224"/>
      <c r="I634" s="228"/>
      <c r="J634" s="224"/>
      <c r="K634" s="228"/>
      <c r="L634" s="208"/>
    </row>
    <row r="635" spans="1:12" x14ac:dyDescent="0.25">
      <c r="A635" s="224" t="str">
        <f t="shared" si="17"/>
        <v>00011900--</v>
      </c>
      <c r="B635" s="225"/>
      <c r="C635" s="224"/>
      <c r="D635" s="224"/>
      <c r="E635" s="224"/>
      <c r="F635" s="224"/>
      <c r="G635" s="227"/>
      <c r="H635" s="224"/>
      <c r="I635" s="228"/>
      <c r="J635" s="224"/>
      <c r="K635" s="228"/>
      <c r="L635" s="208"/>
    </row>
    <row r="636" spans="1:12" x14ac:dyDescent="0.25">
      <c r="A636" s="224" t="str">
        <f t="shared" si="17"/>
        <v>00011900--</v>
      </c>
      <c r="B636" s="225"/>
      <c r="C636" s="224"/>
      <c r="D636" s="224"/>
      <c r="E636" s="224"/>
      <c r="F636" s="224"/>
      <c r="G636" s="227"/>
      <c r="H636" s="224"/>
      <c r="I636" s="228"/>
      <c r="J636" s="224"/>
      <c r="K636" s="228"/>
      <c r="L636" s="208"/>
    </row>
    <row r="637" spans="1:12" x14ac:dyDescent="0.25">
      <c r="A637" s="224" t="str">
        <f t="shared" ref="A637:A700" si="18">TEXT(DAY(B637),"00")&amp;TEXT(MONTH(B637),"00")&amp;YEAR(B637)&amp;"-"&amp;C637&amp;"-"&amp;LEFT(E637,SEARCH(" ",E637&amp;" ")-1)</f>
        <v>00011900--</v>
      </c>
      <c r="B637" s="225"/>
      <c r="C637" s="224"/>
      <c r="D637" s="224"/>
      <c r="E637" s="224"/>
      <c r="F637" s="224"/>
      <c r="G637" s="227"/>
      <c r="H637" s="224"/>
      <c r="I637" s="228"/>
      <c r="J637" s="224"/>
      <c r="K637" s="228"/>
      <c r="L637" s="208"/>
    </row>
    <row r="638" spans="1:12" x14ac:dyDescent="0.25">
      <c r="A638" s="224" t="str">
        <f t="shared" si="18"/>
        <v>00011900--</v>
      </c>
      <c r="B638" s="225"/>
      <c r="C638" s="224"/>
      <c r="D638" s="224"/>
      <c r="E638" s="224"/>
      <c r="F638" s="224"/>
      <c r="G638" s="227"/>
      <c r="H638" s="224"/>
      <c r="I638" s="228"/>
      <c r="J638" s="224"/>
      <c r="K638" s="228"/>
      <c r="L638" s="208"/>
    </row>
    <row r="639" spans="1:12" x14ac:dyDescent="0.25">
      <c r="A639" s="224" t="str">
        <f t="shared" si="18"/>
        <v>00011900--</v>
      </c>
      <c r="B639" s="225"/>
      <c r="C639" s="224"/>
      <c r="D639" s="224"/>
      <c r="E639" s="224"/>
      <c r="F639" s="224"/>
      <c r="G639" s="227"/>
      <c r="H639" s="224"/>
      <c r="I639" s="228"/>
      <c r="J639" s="224"/>
      <c r="K639" s="228"/>
      <c r="L639" s="208"/>
    </row>
    <row r="640" spans="1:12" x14ac:dyDescent="0.25">
      <c r="A640" s="224" t="str">
        <f t="shared" si="18"/>
        <v>00011900--</v>
      </c>
      <c r="B640" s="225"/>
      <c r="C640" s="224"/>
      <c r="D640" s="224"/>
      <c r="E640" s="224"/>
      <c r="F640" s="224"/>
      <c r="G640" s="227"/>
      <c r="H640" s="224"/>
      <c r="I640" s="228"/>
      <c r="J640" s="224"/>
      <c r="K640" s="228"/>
      <c r="L640" s="208"/>
    </row>
    <row r="641" spans="1:12" x14ac:dyDescent="0.25">
      <c r="A641" s="224" t="str">
        <f t="shared" si="18"/>
        <v>00011900--</v>
      </c>
      <c r="B641" s="225"/>
      <c r="C641" s="224"/>
      <c r="D641" s="224"/>
      <c r="E641" s="224"/>
      <c r="F641" s="224"/>
      <c r="G641" s="227"/>
      <c r="H641" s="224"/>
      <c r="I641" s="228"/>
      <c r="J641" s="224"/>
      <c r="K641" s="228"/>
      <c r="L641" s="208"/>
    </row>
    <row r="642" spans="1:12" x14ac:dyDescent="0.25">
      <c r="A642" s="224" t="str">
        <f t="shared" si="18"/>
        <v>00011900--</v>
      </c>
      <c r="B642" s="225"/>
      <c r="C642" s="224"/>
      <c r="D642" s="224"/>
      <c r="E642" s="224"/>
      <c r="F642" s="224"/>
      <c r="G642" s="227"/>
      <c r="H642" s="224"/>
      <c r="I642" s="228"/>
      <c r="J642" s="224"/>
      <c r="K642" s="228"/>
      <c r="L642" s="208"/>
    </row>
    <row r="643" spans="1:12" x14ac:dyDescent="0.25">
      <c r="A643" s="224" t="str">
        <f t="shared" si="18"/>
        <v>00011900--</v>
      </c>
      <c r="B643" s="225"/>
      <c r="C643" s="224"/>
      <c r="D643" s="224"/>
      <c r="E643" s="224"/>
      <c r="F643" s="224"/>
      <c r="G643" s="227"/>
      <c r="H643" s="224"/>
      <c r="I643" s="228"/>
      <c r="J643" s="224"/>
      <c r="K643" s="228"/>
      <c r="L643" s="208"/>
    </row>
    <row r="644" spans="1:12" x14ac:dyDescent="0.25">
      <c r="A644" s="224" t="str">
        <f t="shared" si="18"/>
        <v>00011900--</v>
      </c>
      <c r="B644" s="225"/>
      <c r="C644" s="224"/>
      <c r="D644" s="224"/>
      <c r="E644" s="224"/>
      <c r="F644" s="224"/>
      <c r="G644" s="227"/>
      <c r="H644" s="224"/>
      <c r="I644" s="228"/>
      <c r="J644" s="224"/>
      <c r="K644" s="228"/>
      <c r="L644" s="208"/>
    </row>
    <row r="645" spans="1:12" x14ac:dyDescent="0.25">
      <c r="A645" s="224" t="str">
        <f t="shared" si="18"/>
        <v>00011900--</v>
      </c>
      <c r="B645" s="225"/>
      <c r="C645" s="224"/>
      <c r="D645" s="224"/>
      <c r="E645" s="224"/>
      <c r="F645" s="224"/>
      <c r="G645" s="227"/>
      <c r="H645" s="224"/>
      <c r="I645" s="228"/>
      <c r="J645" s="224"/>
      <c r="K645" s="228"/>
      <c r="L645" s="208"/>
    </row>
    <row r="646" spans="1:12" x14ac:dyDescent="0.25">
      <c r="A646" s="224" t="str">
        <f t="shared" si="18"/>
        <v>00011900--</v>
      </c>
      <c r="B646" s="225"/>
      <c r="C646" s="224"/>
      <c r="D646" s="224"/>
      <c r="E646" s="224"/>
      <c r="F646" s="224"/>
      <c r="G646" s="227"/>
      <c r="H646" s="224"/>
      <c r="I646" s="228"/>
      <c r="J646" s="224"/>
      <c r="K646" s="228"/>
      <c r="L646" s="208"/>
    </row>
    <row r="647" spans="1:12" x14ac:dyDescent="0.25">
      <c r="A647" s="224" t="str">
        <f t="shared" si="18"/>
        <v>00011900--</v>
      </c>
      <c r="B647" s="225"/>
      <c r="C647" s="224"/>
      <c r="D647" s="224"/>
      <c r="E647" s="224"/>
      <c r="F647" s="224"/>
      <c r="G647" s="227"/>
      <c r="H647" s="224"/>
      <c r="I647" s="228"/>
      <c r="J647" s="224"/>
      <c r="K647" s="228"/>
      <c r="L647" s="208"/>
    </row>
    <row r="648" spans="1:12" x14ac:dyDescent="0.25">
      <c r="A648" s="224" t="str">
        <f t="shared" si="18"/>
        <v>00011900--</v>
      </c>
      <c r="B648" s="225"/>
      <c r="C648" s="224"/>
      <c r="D648" s="224"/>
      <c r="E648" s="224"/>
      <c r="F648" s="224"/>
      <c r="G648" s="227"/>
      <c r="H648" s="224"/>
      <c r="I648" s="228"/>
      <c r="J648" s="224"/>
      <c r="K648" s="228"/>
      <c r="L648" s="208"/>
    </row>
    <row r="649" spans="1:12" x14ac:dyDescent="0.25">
      <c r="A649" s="224" t="str">
        <f t="shared" si="18"/>
        <v>00011900--</v>
      </c>
      <c r="B649" s="225"/>
      <c r="C649" s="224"/>
      <c r="D649" s="224"/>
      <c r="E649" s="224"/>
      <c r="F649" s="224"/>
      <c r="G649" s="227"/>
      <c r="H649" s="224"/>
      <c r="I649" s="228"/>
      <c r="J649" s="224"/>
      <c r="K649" s="228"/>
      <c r="L649" s="208"/>
    </row>
    <row r="650" spans="1:12" x14ac:dyDescent="0.25">
      <c r="A650" s="224" t="str">
        <f t="shared" si="18"/>
        <v>00011900--</v>
      </c>
      <c r="B650" s="225"/>
      <c r="C650" s="224"/>
      <c r="D650" s="224"/>
      <c r="E650" s="224"/>
      <c r="F650" s="224"/>
      <c r="G650" s="227"/>
      <c r="H650" s="224"/>
      <c r="I650" s="228"/>
      <c r="J650" s="224"/>
      <c r="K650" s="228"/>
      <c r="L650" s="208"/>
    </row>
    <row r="651" spans="1:12" x14ac:dyDescent="0.25">
      <c r="A651" s="224" t="str">
        <f t="shared" si="18"/>
        <v>00011900--</v>
      </c>
      <c r="B651" s="225"/>
      <c r="C651" s="224"/>
      <c r="D651" s="224"/>
      <c r="E651" s="224"/>
      <c r="F651" s="224"/>
      <c r="G651" s="227"/>
      <c r="H651" s="224"/>
      <c r="I651" s="228"/>
      <c r="J651" s="224"/>
      <c r="K651" s="228"/>
      <c r="L651" s="208"/>
    </row>
    <row r="652" spans="1:12" x14ac:dyDescent="0.25">
      <c r="A652" s="224" t="str">
        <f t="shared" si="18"/>
        <v>00011900--</v>
      </c>
      <c r="B652" s="225"/>
      <c r="C652" s="224"/>
      <c r="D652" s="224"/>
      <c r="E652" s="224"/>
      <c r="F652" s="224"/>
      <c r="G652" s="227"/>
      <c r="H652" s="224"/>
      <c r="I652" s="228"/>
      <c r="J652" s="224"/>
      <c r="K652" s="228"/>
      <c r="L652" s="208"/>
    </row>
    <row r="653" spans="1:12" x14ac:dyDescent="0.25">
      <c r="A653" s="224" t="str">
        <f t="shared" si="18"/>
        <v>00011900--</v>
      </c>
      <c r="B653" s="225"/>
      <c r="C653" s="224"/>
      <c r="D653" s="224"/>
      <c r="E653" s="224"/>
      <c r="F653" s="224"/>
      <c r="G653" s="227"/>
      <c r="H653" s="224"/>
      <c r="I653" s="228"/>
      <c r="J653" s="224"/>
      <c r="K653" s="228"/>
      <c r="L653" s="208"/>
    </row>
    <row r="654" spans="1:12" x14ac:dyDescent="0.25">
      <c r="A654" s="224" t="str">
        <f t="shared" si="18"/>
        <v>00011900--</v>
      </c>
      <c r="B654" s="225"/>
      <c r="C654" s="224"/>
      <c r="D654" s="224"/>
      <c r="E654" s="224"/>
      <c r="F654" s="224"/>
      <c r="G654" s="227"/>
      <c r="H654" s="224"/>
      <c r="I654" s="228"/>
      <c r="J654" s="224"/>
      <c r="K654" s="228"/>
      <c r="L654" s="208"/>
    </row>
    <row r="655" spans="1:12" x14ac:dyDescent="0.25">
      <c r="A655" s="224" t="str">
        <f t="shared" si="18"/>
        <v>00011900--</v>
      </c>
      <c r="B655" s="225"/>
      <c r="C655" s="224"/>
      <c r="D655" s="224"/>
      <c r="E655" s="224"/>
      <c r="F655" s="224"/>
      <c r="G655" s="227"/>
      <c r="H655" s="224"/>
      <c r="I655" s="228"/>
      <c r="J655" s="224"/>
      <c r="K655" s="228"/>
      <c r="L655" s="208"/>
    </row>
    <row r="656" spans="1:12" x14ac:dyDescent="0.25">
      <c r="A656" s="224" t="str">
        <f t="shared" si="18"/>
        <v>00011900--</v>
      </c>
      <c r="B656" s="225"/>
      <c r="C656" s="224"/>
      <c r="D656" s="224"/>
      <c r="E656" s="224"/>
      <c r="F656" s="224"/>
      <c r="G656" s="227"/>
      <c r="H656" s="224"/>
      <c r="I656" s="228"/>
      <c r="J656" s="224"/>
      <c r="K656" s="228"/>
      <c r="L656" s="208"/>
    </row>
    <row r="657" spans="1:12" x14ac:dyDescent="0.25">
      <c r="A657" s="224" t="str">
        <f t="shared" si="18"/>
        <v>00011900--</v>
      </c>
      <c r="B657" s="225"/>
      <c r="C657" s="224"/>
      <c r="D657" s="224"/>
      <c r="E657" s="224"/>
      <c r="F657" s="224"/>
      <c r="G657" s="227"/>
      <c r="H657" s="224"/>
      <c r="I657" s="228"/>
      <c r="J657" s="224"/>
      <c r="K657" s="228"/>
      <c r="L657" s="208"/>
    </row>
    <row r="658" spans="1:12" x14ac:dyDescent="0.25">
      <c r="A658" s="224" t="str">
        <f t="shared" si="18"/>
        <v>00011900--</v>
      </c>
      <c r="B658" s="225"/>
      <c r="C658" s="224"/>
      <c r="D658" s="224"/>
      <c r="E658" s="224"/>
      <c r="F658" s="224"/>
      <c r="G658" s="227"/>
      <c r="H658" s="224"/>
      <c r="I658" s="228"/>
      <c r="J658" s="224"/>
      <c r="K658" s="228"/>
      <c r="L658" s="208"/>
    </row>
    <row r="659" spans="1:12" x14ac:dyDescent="0.25">
      <c r="A659" s="224" t="str">
        <f t="shared" si="18"/>
        <v>00011900--</v>
      </c>
      <c r="B659" s="225"/>
      <c r="C659" s="224"/>
      <c r="D659" s="224"/>
      <c r="E659" s="224"/>
      <c r="F659" s="224"/>
      <c r="G659" s="227"/>
      <c r="H659" s="224"/>
      <c r="I659" s="228"/>
      <c r="J659" s="224"/>
      <c r="K659" s="228"/>
      <c r="L659" s="208"/>
    </row>
    <row r="660" spans="1:12" x14ac:dyDescent="0.25">
      <c r="A660" s="224" t="str">
        <f t="shared" si="18"/>
        <v>00011900--</v>
      </c>
      <c r="B660" s="225"/>
      <c r="C660" s="224"/>
      <c r="D660" s="224"/>
      <c r="E660" s="224"/>
      <c r="F660" s="224"/>
      <c r="G660" s="227"/>
      <c r="H660" s="224"/>
      <c r="I660" s="228"/>
      <c r="J660" s="224"/>
      <c r="K660" s="228"/>
      <c r="L660" s="208"/>
    </row>
    <row r="661" spans="1:12" x14ac:dyDescent="0.25">
      <c r="A661" s="224" t="str">
        <f t="shared" si="18"/>
        <v>00011900--</v>
      </c>
      <c r="B661" s="225"/>
      <c r="C661" s="224"/>
      <c r="D661" s="224"/>
      <c r="E661" s="224"/>
      <c r="F661" s="224"/>
      <c r="G661" s="227"/>
      <c r="H661" s="224"/>
      <c r="I661" s="228"/>
      <c r="J661" s="224"/>
      <c r="K661" s="228"/>
      <c r="L661" s="208"/>
    </row>
    <row r="662" spans="1:12" x14ac:dyDescent="0.25">
      <c r="A662" s="224" t="str">
        <f t="shared" si="18"/>
        <v>00011900--</v>
      </c>
      <c r="B662" s="225"/>
      <c r="C662" s="224"/>
      <c r="D662" s="224"/>
      <c r="E662" s="224"/>
      <c r="F662" s="224"/>
      <c r="G662" s="227"/>
      <c r="H662" s="224"/>
      <c r="I662" s="228"/>
      <c r="J662" s="224"/>
      <c r="K662" s="228"/>
      <c r="L662" s="208"/>
    </row>
    <row r="663" spans="1:12" x14ac:dyDescent="0.25">
      <c r="A663" s="224" t="str">
        <f t="shared" si="18"/>
        <v>00011900--</v>
      </c>
      <c r="B663" s="225"/>
      <c r="C663" s="224"/>
      <c r="D663" s="224"/>
      <c r="E663" s="224"/>
      <c r="F663" s="224"/>
      <c r="G663" s="227"/>
      <c r="H663" s="224"/>
      <c r="I663" s="228"/>
      <c r="J663" s="224"/>
      <c r="K663" s="228"/>
      <c r="L663" s="208"/>
    </row>
    <row r="664" spans="1:12" x14ac:dyDescent="0.25">
      <c r="A664" s="224" t="str">
        <f t="shared" si="18"/>
        <v>00011900--</v>
      </c>
      <c r="B664" s="225"/>
      <c r="C664" s="224"/>
      <c r="D664" s="224"/>
      <c r="E664" s="224"/>
      <c r="F664" s="224"/>
      <c r="G664" s="227"/>
      <c r="H664" s="224"/>
      <c r="I664" s="228"/>
      <c r="J664" s="224"/>
      <c r="K664" s="228"/>
      <c r="L664" s="208"/>
    </row>
    <row r="665" spans="1:12" x14ac:dyDescent="0.25">
      <c r="A665" s="224" t="str">
        <f t="shared" si="18"/>
        <v>00011900--</v>
      </c>
      <c r="B665" s="225"/>
      <c r="C665" s="224"/>
      <c r="D665" s="224"/>
      <c r="E665" s="224"/>
      <c r="F665" s="224"/>
      <c r="G665" s="227"/>
      <c r="H665" s="224"/>
      <c r="I665" s="228"/>
      <c r="J665" s="224"/>
      <c r="K665" s="228"/>
      <c r="L665" s="208"/>
    </row>
    <row r="666" spans="1:12" x14ac:dyDescent="0.25">
      <c r="A666" s="224" t="str">
        <f t="shared" si="18"/>
        <v>00011900--</v>
      </c>
      <c r="B666" s="225"/>
      <c r="C666" s="224"/>
      <c r="D666" s="224"/>
      <c r="E666" s="224"/>
      <c r="F666" s="224"/>
      <c r="G666" s="227"/>
      <c r="H666" s="224"/>
      <c r="I666" s="228"/>
      <c r="J666" s="224"/>
      <c r="K666" s="228"/>
      <c r="L666" s="208"/>
    </row>
    <row r="667" spans="1:12" x14ac:dyDescent="0.25">
      <c r="A667" s="224" t="str">
        <f t="shared" si="18"/>
        <v>00011900--</v>
      </c>
      <c r="B667" s="225"/>
      <c r="C667" s="224"/>
      <c r="D667" s="224"/>
      <c r="E667" s="224"/>
      <c r="F667" s="224"/>
      <c r="G667" s="227"/>
      <c r="H667" s="224"/>
      <c r="I667" s="228"/>
      <c r="J667" s="224"/>
      <c r="K667" s="228"/>
      <c r="L667" s="208"/>
    </row>
    <row r="668" spans="1:12" x14ac:dyDescent="0.25">
      <c r="A668" s="224" t="str">
        <f t="shared" si="18"/>
        <v>00011900--</v>
      </c>
      <c r="B668" s="225"/>
      <c r="C668" s="224"/>
      <c r="D668" s="224"/>
      <c r="E668" s="224"/>
      <c r="F668" s="224"/>
      <c r="G668" s="227"/>
      <c r="H668" s="224"/>
      <c r="I668" s="228"/>
      <c r="J668" s="224"/>
      <c r="K668" s="228"/>
      <c r="L668" s="208"/>
    </row>
    <row r="669" spans="1:12" x14ac:dyDescent="0.25">
      <c r="A669" s="224" t="str">
        <f t="shared" si="18"/>
        <v>00011900--</v>
      </c>
      <c r="B669" s="225"/>
      <c r="C669" s="224"/>
      <c r="D669" s="224"/>
      <c r="E669" s="224"/>
      <c r="F669" s="224"/>
      <c r="G669" s="227"/>
      <c r="H669" s="224"/>
      <c r="I669" s="228"/>
      <c r="J669" s="224"/>
      <c r="K669" s="228"/>
      <c r="L669" s="208"/>
    </row>
    <row r="670" spans="1:12" x14ac:dyDescent="0.25">
      <c r="A670" s="224" t="str">
        <f t="shared" si="18"/>
        <v>00011900--</v>
      </c>
      <c r="B670" s="225"/>
      <c r="C670" s="224"/>
      <c r="D670" s="224"/>
      <c r="E670" s="224"/>
      <c r="F670" s="224"/>
      <c r="G670" s="227"/>
      <c r="H670" s="224"/>
      <c r="I670" s="228"/>
      <c r="J670" s="224"/>
      <c r="K670" s="228"/>
      <c r="L670" s="208"/>
    </row>
    <row r="671" spans="1:12" x14ac:dyDescent="0.25">
      <c r="A671" s="224" t="str">
        <f t="shared" si="18"/>
        <v>00011900--</v>
      </c>
      <c r="B671" s="225"/>
      <c r="C671" s="224"/>
      <c r="D671" s="224"/>
      <c r="E671" s="224"/>
      <c r="F671" s="224"/>
      <c r="G671" s="227"/>
      <c r="H671" s="224"/>
      <c r="I671" s="228"/>
      <c r="J671" s="224"/>
      <c r="K671" s="228"/>
      <c r="L671" s="208"/>
    </row>
    <row r="672" spans="1:12" x14ac:dyDescent="0.25">
      <c r="A672" s="224" t="str">
        <f t="shared" si="18"/>
        <v>00011900--</v>
      </c>
      <c r="B672" s="225"/>
      <c r="C672" s="224"/>
      <c r="D672" s="224"/>
      <c r="E672" s="224"/>
      <c r="F672" s="224"/>
      <c r="G672" s="227"/>
      <c r="H672" s="224"/>
      <c r="I672" s="228"/>
      <c r="J672" s="224"/>
      <c r="K672" s="228"/>
      <c r="L672" s="208"/>
    </row>
    <row r="673" spans="1:12" x14ac:dyDescent="0.25">
      <c r="A673" s="224" t="str">
        <f t="shared" si="18"/>
        <v>00011900--</v>
      </c>
      <c r="B673" s="225"/>
      <c r="C673" s="224"/>
      <c r="D673" s="224"/>
      <c r="E673" s="224"/>
      <c r="F673" s="224"/>
      <c r="G673" s="227"/>
      <c r="H673" s="224"/>
      <c r="I673" s="228"/>
      <c r="J673" s="224"/>
      <c r="K673" s="228"/>
      <c r="L673" s="208"/>
    </row>
    <row r="674" spans="1:12" x14ac:dyDescent="0.25">
      <c r="A674" s="224" t="str">
        <f t="shared" si="18"/>
        <v>00011900--</v>
      </c>
      <c r="B674" s="225"/>
      <c r="C674" s="224"/>
      <c r="D674" s="224"/>
      <c r="E674" s="224"/>
      <c r="F674" s="224"/>
      <c r="G674" s="227"/>
      <c r="H674" s="224"/>
      <c r="I674" s="228"/>
      <c r="J674" s="224"/>
      <c r="K674" s="228"/>
      <c r="L674" s="208"/>
    </row>
    <row r="675" spans="1:12" x14ac:dyDescent="0.25">
      <c r="A675" s="224" t="str">
        <f t="shared" si="18"/>
        <v>00011900--</v>
      </c>
      <c r="B675" s="225"/>
      <c r="C675" s="224"/>
      <c r="D675" s="224"/>
      <c r="E675" s="224"/>
      <c r="F675" s="224"/>
      <c r="G675" s="227"/>
      <c r="H675" s="224"/>
      <c r="I675" s="228"/>
      <c r="J675" s="224"/>
      <c r="K675" s="228"/>
      <c r="L675" s="208"/>
    </row>
    <row r="676" spans="1:12" x14ac:dyDescent="0.25">
      <c r="A676" s="224" t="str">
        <f t="shared" si="18"/>
        <v>00011900--</v>
      </c>
      <c r="B676" s="225"/>
      <c r="C676" s="224"/>
      <c r="D676" s="224"/>
      <c r="E676" s="224"/>
      <c r="F676" s="224"/>
      <c r="G676" s="227"/>
      <c r="H676" s="224"/>
      <c r="I676" s="228"/>
      <c r="J676" s="224"/>
      <c r="K676" s="228"/>
      <c r="L676" s="208"/>
    </row>
    <row r="677" spans="1:12" x14ac:dyDescent="0.25">
      <c r="A677" s="224" t="str">
        <f t="shared" si="18"/>
        <v>00011900--</v>
      </c>
      <c r="B677" s="225"/>
      <c r="C677" s="224"/>
      <c r="D677" s="224"/>
      <c r="E677" s="224"/>
      <c r="F677" s="224"/>
      <c r="G677" s="227"/>
      <c r="H677" s="224"/>
      <c r="I677" s="228"/>
      <c r="J677" s="224"/>
      <c r="K677" s="228"/>
      <c r="L677" s="208"/>
    </row>
    <row r="678" spans="1:12" x14ac:dyDescent="0.25">
      <c r="A678" s="224" t="str">
        <f t="shared" si="18"/>
        <v>00011900--</v>
      </c>
      <c r="B678" s="225"/>
      <c r="C678" s="224"/>
      <c r="D678" s="224"/>
      <c r="E678" s="224"/>
      <c r="F678" s="224"/>
      <c r="G678" s="227"/>
      <c r="H678" s="224"/>
      <c r="I678" s="228"/>
      <c r="J678" s="224"/>
      <c r="K678" s="228"/>
      <c r="L678" s="208"/>
    </row>
    <row r="679" spans="1:12" x14ac:dyDescent="0.25">
      <c r="A679" s="224" t="str">
        <f t="shared" si="18"/>
        <v>00011900--</v>
      </c>
      <c r="B679" s="225"/>
      <c r="C679" s="224"/>
      <c r="D679" s="224"/>
      <c r="E679" s="224"/>
      <c r="F679" s="224"/>
      <c r="G679" s="227"/>
      <c r="H679" s="224"/>
      <c r="I679" s="228"/>
      <c r="J679" s="224"/>
      <c r="K679" s="228"/>
      <c r="L679" s="208"/>
    </row>
    <row r="680" spans="1:12" x14ac:dyDescent="0.25">
      <c r="A680" s="224" t="str">
        <f t="shared" si="18"/>
        <v>00011900--</v>
      </c>
      <c r="B680" s="225"/>
      <c r="C680" s="224"/>
      <c r="D680" s="224"/>
      <c r="E680" s="224"/>
      <c r="F680" s="224"/>
      <c r="G680" s="227"/>
      <c r="H680" s="224"/>
      <c r="I680" s="228"/>
      <c r="J680" s="224"/>
      <c r="K680" s="228"/>
      <c r="L680" s="208"/>
    </row>
    <row r="681" spans="1:12" x14ac:dyDescent="0.25">
      <c r="A681" s="224" t="str">
        <f t="shared" si="18"/>
        <v>00011900--</v>
      </c>
      <c r="B681" s="225"/>
      <c r="C681" s="224"/>
      <c r="D681" s="224"/>
      <c r="E681" s="224"/>
      <c r="F681" s="224"/>
      <c r="G681" s="227"/>
      <c r="H681" s="224"/>
      <c r="I681" s="228"/>
      <c r="J681" s="224"/>
      <c r="K681" s="228"/>
      <c r="L681" s="208"/>
    </row>
    <row r="682" spans="1:12" x14ac:dyDescent="0.25">
      <c r="A682" s="224" t="str">
        <f t="shared" si="18"/>
        <v>00011900--</v>
      </c>
      <c r="B682" s="225"/>
      <c r="C682" s="224"/>
      <c r="D682" s="224"/>
      <c r="E682" s="224"/>
      <c r="F682" s="224"/>
      <c r="G682" s="227"/>
      <c r="H682" s="224"/>
      <c r="I682" s="228"/>
      <c r="J682" s="224"/>
      <c r="K682" s="228"/>
      <c r="L682" s="208"/>
    </row>
    <row r="683" spans="1:12" x14ac:dyDescent="0.25">
      <c r="A683" s="224" t="str">
        <f t="shared" si="18"/>
        <v>00011900--</v>
      </c>
      <c r="B683" s="225"/>
      <c r="C683" s="224"/>
      <c r="D683" s="224"/>
      <c r="E683" s="224"/>
      <c r="F683" s="224"/>
      <c r="G683" s="227"/>
      <c r="H683" s="224"/>
      <c r="I683" s="228"/>
      <c r="J683" s="224"/>
      <c r="K683" s="228"/>
      <c r="L683" s="208"/>
    </row>
    <row r="684" spans="1:12" x14ac:dyDescent="0.25">
      <c r="A684" s="224" t="str">
        <f t="shared" si="18"/>
        <v>00011900--</v>
      </c>
      <c r="B684" s="225"/>
      <c r="C684" s="224"/>
      <c r="D684" s="224"/>
      <c r="E684" s="224"/>
      <c r="F684" s="224"/>
      <c r="G684" s="227"/>
      <c r="H684" s="224"/>
      <c r="I684" s="228"/>
      <c r="J684" s="224"/>
      <c r="K684" s="228"/>
      <c r="L684" s="208"/>
    </row>
    <row r="685" spans="1:12" x14ac:dyDescent="0.25">
      <c r="A685" s="224" t="str">
        <f t="shared" si="18"/>
        <v>00011900--</v>
      </c>
      <c r="B685" s="225"/>
      <c r="C685" s="224"/>
      <c r="D685" s="224"/>
      <c r="E685" s="224"/>
      <c r="F685" s="224"/>
      <c r="G685" s="227"/>
      <c r="H685" s="224"/>
      <c r="I685" s="228"/>
      <c r="J685" s="224"/>
      <c r="K685" s="228"/>
      <c r="L685" s="208"/>
    </row>
    <row r="686" spans="1:12" x14ac:dyDescent="0.25">
      <c r="A686" s="224" t="str">
        <f t="shared" si="18"/>
        <v>00011900--</v>
      </c>
      <c r="B686" s="225"/>
      <c r="C686" s="224"/>
      <c r="D686" s="224"/>
      <c r="E686" s="224"/>
      <c r="F686" s="224"/>
      <c r="G686" s="227"/>
      <c r="H686" s="224"/>
      <c r="I686" s="228"/>
      <c r="J686" s="224"/>
      <c r="K686" s="228"/>
      <c r="L686" s="208"/>
    </row>
    <row r="687" spans="1:12" x14ac:dyDescent="0.25">
      <c r="A687" s="224" t="str">
        <f t="shared" si="18"/>
        <v>00011900--</v>
      </c>
      <c r="B687" s="225"/>
      <c r="C687" s="224"/>
      <c r="D687" s="224"/>
      <c r="E687" s="224"/>
      <c r="F687" s="224"/>
      <c r="G687" s="227"/>
      <c r="H687" s="224"/>
      <c r="I687" s="228"/>
      <c r="J687" s="224"/>
      <c r="K687" s="228"/>
      <c r="L687" s="208"/>
    </row>
    <row r="688" spans="1:12" x14ac:dyDescent="0.25">
      <c r="A688" s="224" t="str">
        <f t="shared" si="18"/>
        <v>00011900--</v>
      </c>
      <c r="B688" s="225"/>
      <c r="C688" s="224"/>
      <c r="D688" s="224"/>
      <c r="E688" s="224"/>
      <c r="F688" s="224"/>
      <c r="G688" s="227"/>
      <c r="H688" s="224"/>
      <c r="I688" s="228"/>
      <c r="J688" s="224"/>
      <c r="K688" s="228"/>
      <c r="L688" s="208"/>
    </row>
    <row r="689" spans="1:12" x14ac:dyDescent="0.25">
      <c r="A689" s="224" t="str">
        <f t="shared" si="18"/>
        <v>00011900--</v>
      </c>
      <c r="B689" s="225"/>
      <c r="C689" s="224"/>
      <c r="D689" s="224"/>
      <c r="E689" s="224"/>
      <c r="F689" s="224"/>
      <c r="G689" s="227"/>
      <c r="H689" s="224"/>
      <c r="I689" s="228"/>
      <c r="J689" s="224"/>
      <c r="K689" s="228"/>
      <c r="L689" s="208"/>
    </row>
    <row r="690" spans="1:12" x14ac:dyDescent="0.25">
      <c r="A690" s="224" t="str">
        <f t="shared" si="18"/>
        <v>00011900--</v>
      </c>
      <c r="B690" s="225"/>
      <c r="C690" s="224"/>
      <c r="D690" s="224"/>
      <c r="E690" s="224"/>
      <c r="F690" s="224"/>
      <c r="G690" s="227"/>
      <c r="H690" s="224"/>
      <c r="I690" s="228"/>
      <c r="J690" s="224"/>
      <c r="K690" s="228"/>
      <c r="L690" s="208"/>
    </row>
    <row r="691" spans="1:12" x14ac:dyDescent="0.25">
      <c r="A691" s="224" t="str">
        <f t="shared" si="18"/>
        <v>00011900--</v>
      </c>
      <c r="B691" s="225"/>
      <c r="C691" s="224"/>
      <c r="D691" s="224"/>
      <c r="E691" s="224"/>
      <c r="F691" s="224"/>
      <c r="G691" s="227"/>
      <c r="H691" s="224"/>
      <c r="I691" s="228"/>
      <c r="J691" s="224"/>
      <c r="K691" s="228"/>
      <c r="L691" s="208"/>
    </row>
    <row r="692" spans="1:12" x14ac:dyDescent="0.25">
      <c r="A692" s="224" t="str">
        <f t="shared" si="18"/>
        <v>00011900--</v>
      </c>
      <c r="B692" s="225"/>
      <c r="C692" s="224"/>
      <c r="D692" s="224"/>
      <c r="E692" s="224"/>
      <c r="F692" s="224"/>
      <c r="G692" s="227"/>
      <c r="H692" s="224"/>
      <c r="I692" s="228"/>
      <c r="J692" s="224"/>
      <c r="K692" s="228"/>
      <c r="L692" s="208"/>
    </row>
    <row r="693" spans="1:12" x14ac:dyDescent="0.25">
      <c r="A693" s="224" t="str">
        <f t="shared" si="18"/>
        <v>00011900--</v>
      </c>
      <c r="B693" s="225"/>
      <c r="C693" s="224"/>
      <c r="D693" s="224"/>
      <c r="E693" s="224"/>
      <c r="F693" s="224"/>
      <c r="G693" s="227"/>
      <c r="H693" s="224"/>
      <c r="I693" s="228"/>
      <c r="J693" s="224"/>
      <c r="K693" s="228"/>
      <c r="L693" s="208"/>
    </row>
    <row r="694" spans="1:12" x14ac:dyDescent="0.25">
      <c r="A694" s="224" t="str">
        <f t="shared" si="18"/>
        <v>00011900--</v>
      </c>
      <c r="B694" s="225"/>
      <c r="C694" s="224"/>
      <c r="D694" s="224"/>
      <c r="E694" s="224"/>
      <c r="F694" s="224"/>
      <c r="G694" s="227"/>
      <c r="H694" s="224"/>
      <c r="I694" s="228"/>
      <c r="J694" s="224"/>
      <c r="K694" s="228"/>
      <c r="L694" s="208"/>
    </row>
    <row r="695" spans="1:12" x14ac:dyDescent="0.25">
      <c r="A695" s="224" t="str">
        <f t="shared" si="18"/>
        <v>00011900--</v>
      </c>
      <c r="B695" s="225"/>
      <c r="C695" s="224"/>
      <c r="D695" s="224"/>
      <c r="E695" s="224"/>
      <c r="F695" s="224"/>
      <c r="G695" s="227"/>
      <c r="H695" s="224"/>
      <c r="I695" s="228"/>
      <c r="J695" s="224"/>
      <c r="K695" s="228"/>
      <c r="L695" s="208"/>
    </row>
    <row r="696" spans="1:12" x14ac:dyDescent="0.25">
      <c r="A696" s="224" t="str">
        <f t="shared" si="18"/>
        <v>00011900--</v>
      </c>
      <c r="B696" s="225"/>
      <c r="C696" s="224"/>
      <c r="D696" s="224"/>
      <c r="E696" s="224"/>
      <c r="F696" s="224"/>
      <c r="G696" s="227"/>
      <c r="H696" s="224"/>
      <c r="I696" s="228"/>
      <c r="J696" s="224"/>
      <c r="K696" s="228"/>
      <c r="L696" s="208"/>
    </row>
    <row r="697" spans="1:12" x14ac:dyDescent="0.25">
      <c r="A697" s="224" t="str">
        <f t="shared" si="18"/>
        <v>00011900--</v>
      </c>
      <c r="B697" s="225"/>
      <c r="C697" s="224"/>
      <c r="D697" s="224"/>
      <c r="E697" s="224"/>
      <c r="F697" s="224"/>
      <c r="G697" s="227"/>
      <c r="H697" s="224"/>
      <c r="I697" s="228"/>
      <c r="J697" s="224"/>
      <c r="K697" s="228"/>
      <c r="L697" s="208"/>
    </row>
    <row r="698" spans="1:12" x14ac:dyDescent="0.25">
      <c r="A698" s="224" t="str">
        <f t="shared" si="18"/>
        <v>00011900--</v>
      </c>
      <c r="B698" s="225"/>
      <c r="C698" s="224"/>
      <c r="D698" s="224"/>
      <c r="E698" s="224"/>
      <c r="F698" s="224"/>
      <c r="G698" s="227"/>
      <c r="H698" s="224"/>
      <c r="I698" s="228"/>
      <c r="J698" s="224"/>
      <c r="K698" s="228"/>
      <c r="L698" s="208"/>
    </row>
    <row r="699" spans="1:12" x14ac:dyDescent="0.25">
      <c r="A699" s="224" t="str">
        <f t="shared" si="18"/>
        <v>00011900--</v>
      </c>
      <c r="B699" s="225"/>
      <c r="C699" s="224"/>
      <c r="D699" s="224"/>
      <c r="E699" s="224"/>
      <c r="F699" s="224"/>
      <c r="G699" s="227"/>
      <c r="H699" s="224"/>
      <c r="I699" s="228"/>
      <c r="J699" s="224"/>
      <c r="K699" s="228"/>
      <c r="L699" s="208"/>
    </row>
    <row r="700" spans="1:12" x14ac:dyDescent="0.25">
      <c r="A700" s="224" t="str">
        <f t="shared" si="18"/>
        <v>00011900--</v>
      </c>
      <c r="B700" s="225"/>
      <c r="C700" s="224"/>
      <c r="D700" s="224"/>
      <c r="E700" s="224"/>
      <c r="F700" s="224"/>
      <c r="G700" s="227"/>
      <c r="H700" s="224"/>
      <c r="I700" s="228"/>
      <c r="J700" s="224"/>
      <c r="K700" s="228"/>
      <c r="L700" s="208"/>
    </row>
    <row r="701" spans="1:12" x14ac:dyDescent="0.25">
      <c r="A701" s="224" t="str">
        <f t="shared" ref="A701:A764" si="19">TEXT(DAY(B701),"00")&amp;TEXT(MONTH(B701),"00")&amp;YEAR(B701)&amp;"-"&amp;C701&amp;"-"&amp;LEFT(E701,SEARCH(" ",E701&amp;" ")-1)</f>
        <v>00011900--</v>
      </c>
      <c r="B701" s="225"/>
      <c r="C701" s="224"/>
      <c r="D701" s="224"/>
      <c r="E701" s="224"/>
      <c r="F701" s="224"/>
      <c r="G701" s="227"/>
      <c r="H701" s="224"/>
      <c r="I701" s="228"/>
      <c r="J701" s="224"/>
      <c r="K701" s="228"/>
      <c r="L701" s="208"/>
    </row>
    <row r="702" spans="1:12" x14ac:dyDescent="0.25">
      <c r="A702" s="224" t="str">
        <f t="shared" si="19"/>
        <v>00011900--</v>
      </c>
      <c r="B702" s="225"/>
      <c r="C702" s="224"/>
      <c r="D702" s="224"/>
      <c r="E702" s="224"/>
      <c r="F702" s="224"/>
      <c r="G702" s="227"/>
      <c r="H702" s="224"/>
      <c r="I702" s="228"/>
      <c r="J702" s="224"/>
      <c r="K702" s="228"/>
      <c r="L702" s="208"/>
    </row>
    <row r="703" spans="1:12" x14ac:dyDescent="0.25">
      <c r="A703" s="224" t="str">
        <f t="shared" si="19"/>
        <v>00011900--</v>
      </c>
      <c r="B703" s="225"/>
      <c r="C703" s="224"/>
      <c r="D703" s="224"/>
      <c r="E703" s="224"/>
      <c r="F703" s="224"/>
      <c r="G703" s="227"/>
      <c r="H703" s="224"/>
      <c r="I703" s="228"/>
      <c r="J703" s="224"/>
      <c r="K703" s="228"/>
      <c r="L703" s="208"/>
    </row>
    <row r="704" spans="1:12" x14ac:dyDescent="0.25">
      <c r="A704" s="224" t="str">
        <f t="shared" si="19"/>
        <v>00011900--</v>
      </c>
      <c r="B704" s="225"/>
      <c r="C704" s="224"/>
      <c r="D704" s="224"/>
      <c r="E704" s="224"/>
      <c r="F704" s="224"/>
      <c r="G704" s="227"/>
      <c r="H704" s="224"/>
      <c r="I704" s="228"/>
      <c r="J704" s="224"/>
      <c r="K704" s="228"/>
      <c r="L704" s="208"/>
    </row>
    <row r="705" spans="1:12" x14ac:dyDescent="0.25">
      <c r="A705" s="224" t="str">
        <f t="shared" si="19"/>
        <v>00011900--</v>
      </c>
      <c r="B705" s="225"/>
      <c r="C705" s="224"/>
      <c r="D705" s="224"/>
      <c r="E705" s="224"/>
      <c r="F705" s="224"/>
      <c r="G705" s="227"/>
      <c r="H705" s="224"/>
      <c r="I705" s="228"/>
      <c r="J705" s="224"/>
      <c r="K705" s="228"/>
      <c r="L705" s="208"/>
    </row>
    <row r="706" spans="1:12" x14ac:dyDescent="0.25">
      <c r="A706" s="224" t="str">
        <f t="shared" si="19"/>
        <v>00011900--</v>
      </c>
      <c r="B706" s="225"/>
      <c r="C706" s="224"/>
      <c r="D706" s="224"/>
      <c r="E706" s="224"/>
      <c r="F706" s="224"/>
      <c r="G706" s="227"/>
      <c r="H706" s="224"/>
      <c r="I706" s="228"/>
      <c r="J706" s="224"/>
      <c r="K706" s="228"/>
      <c r="L706" s="208"/>
    </row>
    <row r="707" spans="1:12" x14ac:dyDescent="0.25">
      <c r="A707" s="224" t="str">
        <f t="shared" si="19"/>
        <v>00011900--</v>
      </c>
      <c r="B707" s="225"/>
      <c r="C707" s="224"/>
      <c r="D707" s="224"/>
      <c r="E707" s="224"/>
      <c r="F707" s="224"/>
      <c r="G707" s="227"/>
      <c r="H707" s="224"/>
      <c r="I707" s="228"/>
      <c r="J707" s="224"/>
      <c r="K707" s="228"/>
      <c r="L707" s="208"/>
    </row>
    <row r="708" spans="1:12" x14ac:dyDescent="0.25">
      <c r="A708" s="224" t="str">
        <f t="shared" si="19"/>
        <v>00011900--</v>
      </c>
      <c r="B708" s="225"/>
      <c r="C708" s="224"/>
      <c r="D708" s="224"/>
      <c r="E708" s="224"/>
      <c r="F708" s="224"/>
      <c r="G708" s="227"/>
      <c r="H708" s="224"/>
      <c r="I708" s="228"/>
      <c r="J708" s="224"/>
      <c r="K708" s="228"/>
      <c r="L708" s="208"/>
    </row>
    <row r="709" spans="1:12" x14ac:dyDescent="0.25">
      <c r="A709" s="224" t="str">
        <f t="shared" si="19"/>
        <v>00011900--</v>
      </c>
      <c r="B709" s="225"/>
      <c r="C709" s="224"/>
      <c r="D709" s="224"/>
      <c r="E709" s="224"/>
      <c r="F709" s="224"/>
      <c r="G709" s="227"/>
      <c r="H709" s="224"/>
      <c r="I709" s="228"/>
      <c r="J709" s="224"/>
      <c r="K709" s="228"/>
      <c r="L709" s="208"/>
    </row>
    <row r="710" spans="1:12" x14ac:dyDescent="0.25">
      <c r="A710" s="224" t="str">
        <f t="shared" si="19"/>
        <v>00011900--</v>
      </c>
      <c r="B710" s="225"/>
      <c r="C710" s="224"/>
      <c r="D710" s="224"/>
      <c r="E710" s="224"/>
      <c r="F710" s="224"/>
      <c r="G710" s="227"/>
      <c r="H710" s="224"/>
      <c r="I710" s="228"/>
      <c r="J710" s="224"/>
      <c r="K710" s="228"/>
      <c r="L710" s="208"/>
    </row>
    <row r="711" spans="1:12" x14ac:dyDescent="0.25">
      <c r="A711" s="224" t="str">
        <f t="shared" si="19"/>
        <v>00011900--</v>
      </c>
      <c r="B711" s="225"/>
      <c r="C711" s="224"/>
      <c r="D711" s="224"/>
      <c r="E711" s="224"/>
      <c r="F711" s="224"/>
      <c r="G711" s="227"/>
      <c r="H711" s="224"/>
      <c r="I711" s="228"/>
      <c r="J711" s="224"/>
      <c r="K711" s="228"/>
      <c r="L711" s="208"/>
    </row>
    <row r="712" spans="1:12" x14ac:dyDescent="0.25">
      <c r="A712" s="224" t="str">
        <f t="shared" si="19"/>
        <v>00011900--</v>
      </c>
      <c r="B712" s="225"/>
      <c r="C712" s="224"/>
      <c r="D712" s="224"/>
      <c r="E712" s="224"/>
      <c r="F712" s="224"/>
      <c r="G712" s="227"/>
      <c r="H712" s="224"/>
      <c r="I712" s="228"/>
      <c r="J712" s="224"/>
      <c r="K712" s="228"/>
      <c r="L712" s="208"/>
    </row>
    <row r="713" spans="1:12" x14ac:dyDescent="0.25">
      <c r="A713" s="224" t="str">
        <f t="shared" si="19"/>
        <v>00011900--</v>
      </c>
      <c r="B713" s="225"/>
      <c r="C713" s="224"/>
      <c r="D713" s="224"/>
      <c r="E713" s="224"/>
      <c r="F713" s="224"/>
      <c r="G713" s="227"/>
      <c r="H713" s="224"/>
      <c r="I713" s="228"/>
      <c r="J713" s="224"/>
      <c r="K713" s="228"/>
      <c r="L713" s="208"/>
    </row>
    <row r="714" spans="1:12" x14ac:dyDescent="0.25">
      <c r="A714" s="224" t="str">
        <f t="shared" si="19"/>
        <v>00011900--</v>
      </c>
      <c r="B714" s="225"/>
      <c r="C714" s="224"/>
      <c r="D714" s="224"/>
      <c r="E714" s="224"/>
      <c r="F714" s="224"/>
      <c r="G714" s="227"/>
      <c r="H714" s="224"/>
      <c r="I714" s="228"/>
      <c r="J714" s="224"/>
      <c r="K714" s="228"/>
      <c r="L714" s="208"/>
    </row>
    <row r="715" spans="1:12" x14ac:dyDescent="0.25">
      <c r="A715" s="224" t="str">
        <f t="shared" si="19"/>
        <v>00011900--</v>
      </c>
      <c r="B715" s="225"/>
      <c r="C715" s="224"/>
      <c r="D715" s="224"/>
      <c r="E715" s="224"/>
      <c r="F715" s="224"/>
      <c r="G715" s="227"/>
      <c r="H715" s="224"/>
      <c r="I715" s="228"/>
      <c r="J715" s="224"/>
      <c r="K715" s="228"/>
      <c r="L715" s="208"/>
    </row>
    <row r="716" spans="1:12" x14ac:dyDescent="0.25">
      <c r="A716" s="224" t="str">
        <f t="shared" si="19"/>
        <v>00011900--</v>
      </c>
      <c r="B716" s="225"/>
      <c r="C716" s="224"/>
      <c r="D716" s="224"/>
      <c r="E716" s="224"/>
      <c r="F716" s="224"/>
      <c r="G716" s="227"/>
      <c r="H716" s="224"/>
      <c r="I716" s="228"/>
      <c r="J716" s="224"/>
      <c r="K716" s="228"/>
      <c r="L716" s="208"/>
    </row>
    <row r="717" spans="1:12" x14ac:dyDescent="0.25">
      <c r="A717" s="224" t="str">
        <f t="shared" si="19"/>
        <v>00011900--</v>
      </c>
      <c r="B717" s="225"/>
      <c r="C717" s="224"/>
      <c r="D717" s="224"/>
      <c r="E717" s="224"/>
      <c r="F717" s="224"/>
      <c r="G717" s="227"/>
      <c r="H717" s="224"/>
      <c r="I717" s="228"/>
      <c r="J717" s="224"/>
      <c r="K717" s="228"/>
      <c r="L717" s="208"/>
    </row>
    <row r="718" spans="1:12" x14ac:dyDescent="0.25">
      <c r="A718" s="224" t="str">
        <f t="shared" si="19"/>
        <v>00011900--</v>
      </c>
      <c r="B718" s="225"/>
      <c r="C718" s="224"/>
      <c r="D718" s="224"/>
      <c r="E718" s="224"/>
      <c r="F718" s="224"/>
      <c r="G718" s="227"/>
      <c r="H718" s="224"/>
      <c r="I718" s="228"/>
      <c r="J718" s="224"/>
      <c r="K718" s="228"/>
      <c r="L718" s="208"/>
    </row>
    <row r="719" spans="1:12" x14ac:dyDescent="0.25">
      <c r="A719" s="224" t="str">
        <f t="shared" si="19"/>
        <v>00011900--</v>
      </c>
      <c r="B719" s="225"/>
      <c r="C719" s="224"/>
      <c r="D719" s="224"/>
      <c r="E719" s="224"/>
      <c r="F719" s="224"/>
      <c r="G719" s="227"/>
      <c r="H719" s="224"/>
      <c r="I719" s="228"/>
      <c r="J719" s="224"/>
      <c r="K719" s="228"/>
      <c r="L719" s="208"/>
    </row>
    <row r="720" spans="1:12" x14ac:dyDescent="0.25">
      <c r="A720" s="224" t="str">
        <f t="shared" si="19"/>
        <v>00011900--</v>
      </c>
      <c r="B720" s="225"/>
      <c r="C720" s="224"/>
      <c r="D720" s="224"/>
      <c r="E720" s="224"/>
      <c r="F720" s="224"/>
      <c r="G720" s="227"/>
      <c r="H720" s="224"/>
      <c r="I720" s="228"/>
      <c r="J720" s="224"/>
      <c r="K720" s="228"/>
      <c r="L720" s="208"/>
    </row>
    <row r="721" spans="1:12" x14ac:dyDescent="0.25">
      <c r="A721" s="224" t="str">
        <f t="shared" si="19"/>
        <v>00011900--</v>
      </c>
      <c r="B721" s="225"/>
      <c r="C721" s="224"/>
      <c r="D721" s="224"/>
      <c r="E721" s="224"/>
      <c r="F721" s="224"/>
      <c r="G721" s="227"/>
      <c r="H721" s="224"/>
      <c r="I721" s="228"/>
      <c r="J721" s="224"/>
      <c r="K721" s="228"/>
      <c r="L721" s="208"/>
    </row>
    <row r="722" spans="1:12" x14ac:dyDescent="0.25">
      <c r="A722" s="224" t="str">
        <f t="shared" si="19"/>
        <v>00011900--</v>
      </c>
      <c r="B722" s="225"/>
      <c r="C722" s="224"/>
      <c r="D722" s="224"/>
      <c r="E722" s="224"/>
      <c r="F722" s="224"/>
      <c r="G722" s="227"/>
      <c r="H722" s="224"/>
      <c r="I722" s="228"/>
      <c r="J722" s="224"/>
      <c r="K722" s="228"/>
      <c r="L722" s="208"/>
    </row>
    <row r="723" spans="1:12" x14ac:dyDescent="0.25">
      <c r="A723" s="224" t="str">
        <f t="shared" si="19"/>
        <v>00011900--</v>
      </c>
      <c r="B723" s="225"/>
      <c r="C723" s="224"/>
      <c r="D723" s="224"/>
      <c r="E723" s="224"/>
      <c r="F723" s="224"/>
      <c r="G723" s="227"/>
      <c r="H723" s="224"/>
      <c r="I723" s="228"/>
      <c r="J723" s="224"/>
      <c r="K723" s="228"/>
      <c r="L723" s="208"/>
    </row>
    <row r="724" spans="1:12" x14ac:dyDescent="0.25">
      <c r="A724" s="224" t="str">
        <f t="shared" si="19"/>
        <v>00011900--</v>
      </c>
      <c r="B724" s="225"/>
      <c r="C724" s="224"/>
      <c r="D724" s="224"/>
      <c r="E724" s="224"/>
      <c r="F724" s="224"/>
      <c r="G724" s="227"/>
      <c r="H724" s="224"/>
      <c r="I724" s="228"/>
      <c r="J724" s="224"/>
      <c r="K724" s="228"/>
      <c r="L724" s="208"/>
    </row>
    <row r="725" spans="1:12" x14ac:dyDescent="0.25">
      <c r="A725" s="224" t="str">
        <f t="shared" si="19"/>
        <v>00011900--</v>
      </c>
      <c r="B725" s="225"/>
      <c r="C725" s="224"/>
      <c r="D725" s="224"/>
      <c r="E725" s="224"/>
      <c r="F725" s="224"/>
      <c r="G725" s="227"/>
      <c r="H725" s="224"/>
      <c r="I725" s="228"/>
      <c r="J725" s="224"/>
      <c r="K725" s="228"/>
      <c r="L725" s="208"/>
    </row>
    <row r="726" spans="1:12" x14ac:dyDescent="0.25">
      <c r="A726" s="224" t="str">
        <f t="shared" si="19"/>
        <v>00011900--</v>
      </c>
      <c r="B726" s="225"/>
      <c r="C726" s="224"/>
      <c r="D726" s="224"/>
      <c r="E726" s="224"/>
      <c r="F726" s="224"/>
      <c r="G726" s="227"/>
      <c r="H726" s="224"/>
      <c r="I726" s="228"/>
      <c r="J726" s="224"/>
      <c r="K726" s="228"/>
      <c r="L726" s="208"/>
    </row>
    <row r="727" spans="1:12" x14ac:dyDescent="0.25">
      <c r="A727" s="224" t="str">
        <f t="shared" si="19"/>
        <v>00011900--</v>
      </c>
      <c r="B727" s="225"/>
      <c r="C727" s="224"/>
      <c r="D727" s="224"/>
      <c r="E727" s="224"/>
      <c r="F727" s="224"/>
      <c r="G727" s="227"/>
      <c r="H727" s="224"/>
      <c r="I727" s="228"/>
      <c r="J727" s="224"/>
      <c r="K727" s="228"/>
      <c r="L727" s="208"/>
    </row>
    <row r="728" spans="1:12" x14ac:dyDescent="0.25">
      <c r="A728" s="224" t="str">
        <f t="shared" si="19"/>
        <v>00011900--</v>
      </c>
      <c r="B728" s="225"/>
      <c r="C728" s="224"/>
      <c r="D728" s="224"/>
      <c r="E728" s="224"/>
      <c r="F728" s="224"/>
      <c r="G728" s="227"/>
      <c r="H728" s="224"/>
      <c r="I728" s="228"/>
      <c r="J728" s="224"/>
      <c r="K728" s="228"/>
      <c r="L728" s="208"/>
    </row>
    <row r="729" spans="1:12" x14ac:dyDescent="0.25">
      <c r="A729" s="224" t="str">
        <f t="shared" si="19"/>
        <v>00011900--</v>
      </c>
      <c r="B729" s="225"/>
      <c r="C729" s="224"/>
      <c r="D729" s="224"/>
      <c r="E729" s="224"/>
      <c r="F729" s="224"/>
      <c r="G729" s="227"/>
      <c r="H729" s="224"/>
      <c r="I729" s="228"/>
      <c r="J729" s="224"/>
      <c r="K729" s="228"/>
      <c r="L729" s="208"/>
    </row>
    <row r="730" spans="1:12" x14ac:dyDescent="0.25">
      <c r="A730" s="224" t="str">
        <f t="shared" si="19"/>
        <v>00011900--</v>
      </c>
      <c r="B730" s="225"/>
      <c r="C730" s="224"/>
      <c r="D730" s="224"/>
      <c r="E730" s="224"/>
      <c r="F730" s="224"/>
      <c r="G730" s="227"/>
      <c r="H730" s="224"/>
      <c r="I730" s="228"/>
      <c r="J730" s="224"/>
      <c r="K730" s="228"/>
      <c r="L730" s="208"/>
    </row>
    <row r="731" spans="1:12" x14ac:dyDescent="0.25">
      <c r="A731" s="224" t="str">
        <f t="shared" si="19"/>
        <v>00011900--</v>
      </c>
      <c r="B731" s="225"/>
      <c r="C731" s="224"/>
      <c r="D731" s="224"/>
      <c r="E731" s="224"/>
      <c r="F731" s="224"/>
      <c r="G731" s="227"/>
      <c r="H731" s="224"/>
      <c r="I731" s="228"/>
      <c r="J731" s="224"/>
      <c r="K731" s="228"/>
      <c r="L731" s="208"/>
    </row>
    <row r="732" spans="1:12" x14ac:dyDescent="0.25">
      <c r="A732" s="224" t="str">
        <f t="shared" si="19"/>
        <v>00011900--</v>
      </c>
      <c r="B732" s="225"/>
      <c r="C732" s="224"/>
      <c r="D732" s="224"/>
      <c r="E732" s="224"/>
      <c r="F732" s="224"/>
      <c r="G732" s="227"/>
      <c r="H732" s="224"/>
      <c r="I732" s="228"/>
      <c r="J732" s="224"/>
      <c r="K732" s="228"/>
      <c r="L732" s="208"/>
    </row>
    <row r="733" spans="1:12" x14ac:dyDescent="0.25">
      <c r="A733" s="224" t="str">
        <f t="shared" si="19"/>
        <v>00011900--</v>
      </c>
      <c r="B733" s="225"/>
      <c r="C733" s="224"/>
      <c r="D733" s="224"/>
      <c r="E733" s="224"/>
      <c r="F733" s="224"/>
      <c r="G733" s="227"/>
      <c r="H733" s="224"/>
      <c r="I733" s="228"/>
      <c r="J733" s="224"/>
      <c r="K733" s="228"/>
      <c r="L733" s="208"/>
    </row>
    <row r="734" spans="1:12" x14ac:dyDescent="0.25">
      <c r="A734" s="224" t="str">
        <f t="shared" si="19"/>
        <v>00011900--</v>
      </c>
      <c r="B734" s="225"/>
      <c r="C734" s="224"/>
      <c r="D734" s="224"/>
      <c r="E734" s="224"/>
      <c r="F734" s="224"/>
      <c r="G734" s="227"/>
      <c r="H734" s="224"/>
      <c r="I734" s="228"/>
      <c r="J734" s="224"/>
      <c r="K734" s="228"/>
      <c r="L734" s="208"/>
    </row>
    <row r="735" spans="1:12" x14ac:dyDescent="0.25">
      <c r="A735" s="224" t="str">
        <f t="shared" si="19"/>
        <v>00011900--</v>
      </c>
      <c r="B735" s="225"/>
      <c r="C735" s="224"/>
      <c r="D735" s="224"/>
      <c r="E735" s="224"/>
      <c r="F735" s="224"/>
      <c r="G735" s="227"/>
      <c r="H735" s="224"/>
      <c r="I735" s="228"/>
      <c r="J735" s="224"/>
      <c r="K735" s="228"/>
      <c r="L735" s="208"/>
    </row>
    <row r="736" spans="1:12" x14ac:dyDescent="0.25">
      <c r="A736" s="224" t="str">
        <f t="shared" si="19"/>
        <v>00011900--</v>
      </c>
      <c r="B736" s="225"/>
      <c r="C736" s="224"/>
      <c r="D736" s="224"/>
      <c r="E736" s="224"/>
      <c r="F736" s="224"/>
      <c r="G736" s="227"/>
      <c r="H736" s="224"/>
      <c r="I736" s="228"/>
      <c r="J736" s="224"/>
      <c r="K736" s="228"/>
      <c r="L736" s="208"/>
    </row>
    <row r="737" spans="1:12" x14ac:dyDescent="0.25">
      <c r="A737" s="224" t="str">
        <f t="shared" si="19"/>
        <v>00011900--</v>
      </c>
      <c r="B737" s="225"/>
      <c r="C737" s="224"/>
      <c r="D737" s="224"/>
      <c r="E737" s="224"/>
      <c r="F737" s="224"/>
      <c r="G737" s="227"/>
      <c r="H737" s="224"/>
      <c r="I737" s="228"/>
      <c r="J737" s="224"/>
      <c r="K737" s="228"/>
      <c r="L737" s="208"/>
    </row>
    <row r="738" spans="1:12" x14ac:dyDescent="0.25">
      <c r="A738" s="224" t="str">
        <f t="shared" si="19"/>
        <v>00011900--</v>
      </c>
      <c r="B738" s="225"/>
      <c r="C738" s="224"/>
      <c r="D738" s="224"/>
      <c r="E738" s="224"/>
      <c r="F738" s="224"/>
      <c r="G738" s="227"/>
      <c r="H738" s="224"/>
      <c r="I738" s="228"/>
      <c r="J738" s="224"/>
      <c r="K738" s="228"/>
      <c r="L738" s="208"/>
    </row>
    <row r="739" spans="1:12" x14ac:dyDescent="0.25">
      <c r="A739" s="224" t="str">
        <f t="shared" si="19"/>
        <v>00011900--</v>
      </c>
      <c r="B739" s="225"/>
      <c r="C739" s="224"/>
      <c r="D739" s="224"/>
      <c r="E739" s="224"/>
      <c r="F739" s="224"/>
      <c r="G739" s="227"/>
      <c r="H739" s="224"/>
      <c r="I739" s="228"/>
      <c r="J739" s="224"/>
      <c r="K739" s="228"/>
      <c r="L739" s="208"/>
    </row>
    <row r="740" spans="1:12" x14ac:dyDescent="0.25">
      <c r="A740" s="224" t="str">
        <f t="shared" si="19"/>
        <v>00011900--</v>
      </c>
      <c r="B740" s="225"/>
      <c r="C740" s="224"/>
      <c r="D740" s="224"/>
      <c r="E740" s="224"/>
      <c r="F740" s="224"/>
      <c r="G740" s="227"/>
      <c r="H740" s="224"/>
      <c r="I740" s="228"/>
      <c r="J740" s="224"/>
      <c r="K740" s="228"/>
      <c r="L740" s="208"/>
    </row>
    <row r="741" spans="1:12" x14ac:dyDescent="0.25">
      <c r="A741" s="224" t="str">
        <f t="shared" si="19"/>
        <v>00011900--</v>
      </c>
      <c r="B741" s="225"/>
      <c r="C741" s="224"/>
      <c r="D741" s="224"/>
      <c r="E741" s="224"/>
      <c r="F741" s="224"/>
      <c r="G741" s="227"/>
      <c r="H741" s="224"/>
      <c r="I741" s="228"/>
      <c r="J741" s="224"/>
      <c r="K741" s="228"/>
      <c r="L741" s="208"/>
    </row>
    <row r="742" spans="1:12" x14ac:dyDescent="0.25">
      <c r="A742" s="224" t="str">
        <f t="shared" si="19"/>
        <v>00011900--</v>
      </c>
      <c r="B742" s="225"/>
      <c r="C742" s="224"/>
      <c r="D742" s="224"/>
      <c r="E742" s="224"/>
      <c r="F742" s="224"/>
      <c r="G742" s="227"/>
      <c r="H742" s="224"/>
      <c r="I742" s="228"/>
      <c r="J742" s="224"/>
      <c r="K742" s="228"/>
      <c r="L742" s="208"/>
    </row>
    <row r="743" spans="1:12" x14ac:dyDescent="0.25">
      <c r="A743" s="224" t="str">
        <f t="shared" si="19"/>
        <v>00011900--</v>
      </c>
      <c r="B743" s="225"/>
      <c r="C743" s="224"/>
      <c r="D743" s="224"/>
      <c r="E743" s="224"/>
      <c r="F743" s="224"/>
      <c r="G743" s="227"/>
      <c r="H743" s="224"/>
      <c r="I743" s="228"/>
      <c r="J743" s="224"/>
      <c r="K743" s="228"/>
      <c r="L743" s="208"/>
    </row>
    <row r="744" spans="1:12" x14ac:dyDescent="0.25">
      <c r="A744" s="224" t="str">
        <f t="shared" si="19"/>
        <v>00011900--</v>
      </c>
      <c r="B744" s="225"/>
      <c r="C744" s="224"/>
      <c r="D744" s="224"/>
      <c r="E744" s="224"/>
      <c r="F744" s="224"/>
      <c r="G744" s="227"/>
      <c r="H744" s="224"/>
      <c r="I744" s="228"/>
      <c r="J744" s="224"/>
      <c r="K744" s="228"/>
      <c r="L744" s="208"/>
    </row>
    <row r="745" spans="1:12" x14ac:dyDescent="0.25">
      <c r="A745" s="224" t="str">
        <f t="shared" si="19"/>
        <v>00011900--</v>
      </c>
      <c r="B745" s="225"/>
      <c r="C745" s="224"/>
      <c r="D745" s="224"/>
      <c r="E745" s="224"/>
      <c r="F745" s="224"/>
      <c r="G745" s="227"/>
      <c r="H745" s="224"/>
      <c r="I745" s="228"/>
      <c r="J745" s="224"/>
      <c r="K745" s="228"/>
      <c r="L745" s="208"/>
    </row>
    <row r="746" spans="1:12" x14ac:dyDescent="0.25">
      <c r="A746" s="224" t="str">
        <f t="shared" si="19"/>
        <v>00011900--</v>
      </c>
      <c r="B746" s="225"/>
      <c r="C746" s="224"/>
      <c r="D746" s="224"/>
      <c r="E746" s="224"/>
      <c r="F746" s="224"/>
      <c r="G746" s="227"/>
      <c r="H746" s="224"/>
      <c r="I746" s="228"/>
      <c r="J746" s="224"/>
      <c r="K746" s="228"/>
      <c r="L746" s="208"/>
    </row>
    <row r="747" spans="1:12" x14ac:dyDescent="0.25">
      <c r="A747" s="224" t="str">
        <f t="shared" si="19"/>
        <v>00011900--</v>
      </c>
      <c r="B747" s="225"/>
      <c r="C747" s="224"/>
      <c r="D747" s="224"/>
      <c r="E747" s="224"/>
      <c r="F747" s="224"/>
      <c r="G747" s="227"/>
      <c r="H747" s="224"/>
      <c r="I747" s="228"/>
      <c r="J747" s="224"/>
      <c r="K747" s="228"/>
      <c r="L747" s="208"/>
    </row>
    <row r="748" spans="1:12" x14ac:dyDescent="0.25">
      <c r="A748" s="224" t="str">
        <f t="shared" si="19"/>
        <v>00011900--</v>
      </c>
      <c r="B748" s="225"/>
      <c r="C748" s="224"/>
      <c r="D748" s="224"/>
      <c r="E748" s="224"/>
      <c r="F748" s="224"/>
      <c r="G748" s="227"/>
      <c r="H748" s="224"/>
      <c r="I748" s="228"/>
      <c r="J748" s="224"/>
      <c r="K748" s="228"/>
      <c r="L748" s="208"/>
    </row>
    <row r="749" spans="1:12" x14ac:dyDescent="0.25">
      <c r="A749" s="224" t="str">
        <f t="shared" si="19"/>
        <v>00011900--</v>
      </c>
      <c r="B749" s="225"/>
      <c r="C749" s="224"/>
      <c r="D749" s="224"/>
      <c r="E749" s="224"/>
      <c r="F749" s="224"/>
      <c r="G749" s="227"/>
      <c r="H749" s="224"/>
      <c r="I749" s="228"/>
      <c r="J749" s="224"/>
      <c r="K749" s="228"/>
      <c r="L749" s="208"/>
    </row>
    <row r="750" spans="1:12" x14ac:dyDescent="0.25">
      <c r="A750" s="224" t="str">
        <f t="shared" si="19"/>
        <v>00011900--</v>
      </c>
      <c r="B750" s="225"/>
      <c r="C750" s="224"/>
      <c r="D750" s="224"/>
      <c r="E750" s="224"/>
      <c r="F750" s="224"/>
      <c r="G750" s="227"/>
      <c r="H750" s="224"/>
      <c r="I750" s="228"/>
      <c r="J750" s="224"/>
      <c r="K750" s="228"/>
      <c r="L750" s="208"/>
    </row>
    <row r="751" spans="1:12" x14ac:dyDescent="0.25">
      <c r="A751" s="224" t="str">
        <f t="shared" si="19"/>
        <v>00011900--</v>
      </c>
      <c r="B751" s="225"/>
      <c r="C751" s="224"/>
      <c r="D751" s="224"/>
      <c r="E751" s="224"/>
      <c r="F751" s="224"/>
      <c r="G751" s="227"/>
      <c r="H751" s="224"/>
      <c r="I751" s="228"/>
      <c r="J751" s="224"/>
      <c r="K751" s="228"/>
      <c r="L751" s="208"/>
    </row>
    <row r="752" spans="1:12" x14ac:dyDescent="0.25">
      <c r="A752" s="224" t="str">
        <f t="shared" si="19"/>
        <v>00011900--</v>
      </c>
      <c r="B752" s="225"/>
      <c r="C752" s="224"/>
      <c r="D752" s="224"/>
      <c r="E752" s="224"/>
      <c r="F752" s="224"/>
      <c r="G752" s="227"/>
      <c r="H752" s="224"/>
      <c r="I752" s="228"/>
      <c r="J752" s="224"/>
      <c r="K752" s="228"/>
      <c r="L752" s="208"/>
    </row>
    <row r="753" spans="1:12" x14ac:dyDescent="0.25">
      <c r="A753" s="224" t="str">
        <f t="shared" si="19"/>
        <v>00011900--</v>
      </c>
      <c r="B753" s="225"/>
      <c r="C753" s="224"/>
      <c r="D753" s="224"/>
      <c r="E753" s="224"/>
      <c r="F753" s="224"/>
      <c r="G753" s="227"/>
      <c r="H753" s="224"/>
      <c r="I753" s="228"/>
      <c r="J753" s="224"/>
      <c r="K753" s="228"/>
      <c r="L753" s="208"/>
    </row>
    <row r="754" spans="1:12" x14ac:dyDescent="0.25">
      <c r="A754" s="224" t="str">
        <f t="shared" si="19"/>
        <v>00011900--</v>
      </c>
      <c r="B754" s="225"/>
      <c r="C754" s="224"/>
      <c r="D754" s="224"/>
      <c r="E754" s="224"/>
      <c r="F754" s="224"/>
      <c r="G754" s="227"/>
      <c r="H754" s="224"/>
      <c r="I754" s="228"/>
      <c r="J754" s="224"/>
      <c r="K754" s="228"/>
      <c r="L754" s="208"/>
    </row>
    <row r="755" spans="1:12" x14ac:dyDescent="0.25">
      <c r="A755" s="224" t="str">
        <f t="shared" si="19"/>
        <v>00011900--</v>
      </c>
      <c r="B755" s="225"/>
      <c r="C755" s="224"/>
      <c r="D755" s="224"/>
      <c r="E755" s="224"/>
      <c r="F755" s="224"/>
      <c r="G755" s="227"/>
      <c r="H755" s="224"/>
      <c r="I755" s="228"/>
      <c r="J755" s="224"/>
      <c r="K755" s="228"/>
      <c r="L755" s="208"/>
    </row>
    <row r="756" spans="1:12" x14ac:dyDescent="0.25">
      <c r="A756" s="224" t="str">
        <f t="shared" si="19"/>
        <v>00011900--</v>
      </c>
      <c r="B756" s="225"/>
      <c r="C756" s="224"/>
      <c r="D756" s="224"/>
      <c r="E756" s="224"/>
      <c r="F756" s="224"/>
      <c r="G756" s="227"/>
      <c r="H756" s="224"/>
      <c r="I756" s="228"/>
      <c r="J756" s="224"/>
      <c r="K756" s="228"/>
      <c r="L756" s="208"/>
    </row>
    <row r="757" spans="1:12" x14ac:dyDescent="0.25">
      <c r="A757" s="224" t="str">
        <f t="shared" si="19"/>
        <v>00011900--</v>
      </c>
      <c r="B757" s="225"/>
      <c r="C757" s="224"/>
      <c r="D757" s="224"/>
      <c r="E757" s="224"/>
      <c r="F757" s="224"/>
      <c r="G757" s="227"/>
      <c r="H757" s="224"/>
      <c r="I757" s="228"/>
      <c r="J757" s="224"/>
      <c r="K757" s="228"/>
      <c r="L757" s="208"/>
    </row>
    <row r="758" spans="1:12" x14ac:dyDescent="0.25">
      <c r="A758" s="224" t="str">
        <f t="shared" si="19"/>
        <v>00011900--</v>
      </c>
      <c r="B758" s="225"/>
      <c r="C758" s="224"/>
      <c r="D758" s="224"/>
      <c r="E758" s="224"/>
      <c r="F758" s="224"/>
      <c r="G758" s="227"/>
      <c r="H758" s="224"/>
      <c r="I758" s="228"/>
      <c r="J758" s="224"/>
      <c r="K758" s="228"/>
      <c r="L758" s="208"/>
    </row>
    <row r="759" spans="1:12" x14ac:dyDescent="0.25">
      <c r="A759" s="224" t="str">
        <f t="shared" si="19"/>
        <v>00011900--</v>
      </c>
      <c r="B759" s="225"/>
      <c r="C759" s="224"/>
      <c r="D759" s="224"/>
      <c r="E759" s="224"/>
      <c r="F759" s="224"/>
      <c r="G759" s="227"/>
      <c r="H759" s="224"/>
      <c r="I759" s="228"/>
      <c r="J759" s="224"/>
      <c r="K759" s="228"/>
      <c r="L759" s="208"/>
    </row>
    <row r="760" spans="1:12" x14ac:dyDescent="0.25">
      <c r="A760" s="224" t="str">
        <f t="shared" si="19"/>
        <v>00011900--</v>
      </c>
      <c r="B760" s="225"/>
      <c r="C760" s="224"/>
      <c r="D760" s="224"/>
      <c r="E760" s="224"/>
      <c r="F760" s="224"/>
      <c r="G760" s="227"/>
      <c r="H760" s="224"/>
      <c r="I760" s="228"/>
      <c r="J760" s="224"/>
      <c r="K760" s="228"/>
      <c r="L760" s="208"/>
    </row>
    <row r="761" spans="1:12" x14ac:dyDescent="0.25">
      <c r="A761" s="224" t="str">
        <f t="shared" si="19"/>
        <v>00011900--</v>
      </c>
      <c r="B761" s="225"/>
      <c r="C761" s="224"/>
      <c r="D761" s="224"/>
      <c r="E761" s="224"/>
      <c r="F761" s="224"/>
      <c r="G761" s="227"/>
      <c r="H761" s="224"/>
      <c r="I761" s="228"/>
      <c r="J761" s="224"/>
      <c r="K761" s="228"/>
      <c r="L761" s="208"/>
    </row>
    <row r="762" spans="1:12" x14ac:dyDescent="0.25">
      <c r="A762" s="224" t="str">
        <f t="shared" si="19"/>
        <v>00011900--</v>
      </c>
      <c r="B762" s="225"/>
      <c r="C762" s="224"/>
      <c r="D762" s="224"/>
      <c r="E762" s="224"/>
      <c r="F762" s="224"/>
      <c r="G762" s="227"/>
      <c r="H762" s="224"/>
      <c r="I762" s="228"/>
      <c r="J762" s="224"/>
      <c r="K762" s="228"/>
      <c r="L762" s="208"/>
    </row>
    <row r="763" spans="1:12" x14ac:dyDescent="0.25">
      <c r="A763" s="224" t="str">
        <f t="shared" si="19"/>
        <v>00011900--</v>
      </c>
      <c r="B763" s="225"/>
      <c r="C763" s="224"/>
      <c r="D763" s="224"/>
      <c r="E763" s="224"/>
      <c r="F763" s="224"/>
      <c r="G763" s="227"/>
      <c r="H763" s="224"/>
      <c r="I763" s="228"/>
      <c r="J763" s="224"/>
      <c r="K763" s="228"/>
      <c r="L763" s="208"/>
    </row>
    <row r="764" spans="1:12" x14ac:dyDescent="0.25">
      <c r="A764" s="224" t="str">
        <f t="shared" si="19"/>
        <v>00011900--</v>
      </c>
      <c r="B764" s="225"/>
      <c r="C764" s="224"/>
      <c r="D764" s="224"/>
      <c r="E764" s="224"/>
      <c r="F764" s="224"/>
      <c r="G764" s="227"/>
      <c r="H764" s="224"/>
      <c r="I764" s="228"/>
      <c r="J764" s="224"/>
      <c r="K764" s="228"/>
      <c r="L764" s="208"/>
    </row>
    <row r="765" spans="1:12" x14ac:dyDescent="0.25">
      <c r="A765" s="224" t="str">
        <f t="shared" ref="A765:A781" si="20">TEXT(DAY(B765),"00")&amp;TEXT(MONTH(B765),"00")&amp;YEAR(B765)&amp;"-"&amp;C765&amp;"-"&amp;LEFT(E765,SEARCH(" ",E765&amp;" ")-1)</f>
        <v>00011900--</v>
      </c>
      <c r="B765" s="225"/>
      <c r="C765" s="224"/>
      <c r="D765" s="224"/>
      <c r="E765" s="224"/>
      <c r="F765" s="224"/>
      <c r="G765" s="227"/>
      <c r="H765" s="224"/>
      <c r="I765" s="228"/>
      <c r="J765" s="224"/>
      <c r="K765" s="228"/>
      <c r="L765" s="208"/>
    </row>
    <row r="766" spans="1:12" x14ac:dyDescent="0.25">
      <c r="A766" s="224" t="str">
        <f t="shared" si="20"/>
        <v>00011900--</v>
      </c>
      <c r="B766" s="225"/>
      <c r="C766" s="224"/>
      <c r="D766" s="224"/>
      <c r="E766" s="224"/>
      <c r="F766" s="224"/>
      <c r="G766" s="227"/>
      <c r="H766" s="224"/>
      <c r="I766" s="228"/>
      <c r="J766" s="224"/>
      <c r="K766" s="228"/>
      <c r="L766" s="208"/>
    </row>
    <row r="767" spans="1:12" x14ac:dyDescent="0.25">
      <c r="A767" s="224" t="str">
        <f t="shared" si="20"/>
        <v>00011900--</v>
      </c>
      <c r="B767" s="225"/>
      <c r="C767" s="224"/>
      <c r="D767" s="224"/>
      <c r="E767" s="224"/>
      <c r="F767" s="224"/>
      <c r="G767" s="227"/>
      <c r="H767" s="224"/>
      <c r="I767" s="228"/>
      <c r="J767" s="224"/>
      <c r="K767" s="228"/>
      <c r="L767" s="208"/>
    </row>
    <row r="768" spans="1:12" x14ac:dyDescent="0.25">
      <c r="A768" s="224" t="str">
        <f t="shared" si="20"/>
        <v>00011900--</v>
      </c>
      <c r="B768" s="225"/>
      <c r="C768" s="224"/>
      <c r="D768" s="224"/>
      <c r="E768" s="224"/>
      <c r="F768" s="224"/>
      <c r="G768" s="227"/>
      <c r="H768" s="224"/>
      <c r="I768" s="228"/>
      <c r="J768" s="224"/>
      <c r="K768" s="228"/>
      <c r="L768" s="208"/>
    </row>
    <row r="769" spans="1:12" x14ac:dyDescent="0.25">
      <c r="A769" s="224" t="str">
        <f t="shared" si="20"/>
        <v>00011900--</v>
      </c>
      <c r="B769" s="225"/>
      <c r="C769" s="224"/>
      <c r="D769" s="224"/>
      <c r="E769" s="224"/>
      <c r="F769" s="224"/>
      <c r="G769" s="227"/>
      <c r="H769" s="224"/>
      <c r="I769" s="228"/>
      <c r="J769" s="224"/>
      <c r="K769" s="228"/>
      <c r="L769" s="208"/>
    </row>
    <row r="770" spans="1:12" x14ac:dyDescent="0.25">
      <c r="A770" s="224" t="str">
        <f t="shared" si="20"/>
        <v>00011900--</v>
      </c>
      <c r="B770" s="225"/>
      <c r="C770" s="224"/>
      <c r="D770" s="224"/>
      <c r="E770" s="224"/>
      <c r="F770" s="224"/>
      <c r="G770" s="227"/>
      <c r="H770" s="224"/>
      <c r="I770" s="228"/>
      <c r="J770" s="224"/>
      <c r="K770" s="228"/>
      <c r="L770" s="208"/>
    </row>
    <row r="771" spans="1:12" x14ac:dyDescent="0.25">
      <c r="A771" s="224" t="str">
        <f t="shared" si="20"/>
        <v>00011900--</v>
      </c>
      <c r="B771" s="225"/>
      <c r="C771" s="224"/>
      <c r="D771" s="224"/>
      <c r="E771" s="224"/>
      <c r="F771" s="224"/>
      <c r="G771" s="227"/>
      <c r="H771" s="224"/>
      <c r="I771" s="228"/>
      <c r="J771" s="224"/>
      <c r="K771" s="228"/>
      <c r="L771" s="208"/>
    </row>
    <row r="772" spans="1:12" x14ac:dyDescent="0.25">
      <c r="A772" s="224" t="str">
        <f t="shared" si="20"/>
        <v>00011900--</v>
      </c>
      <c r="B772" s="225"/>
      <c r="C772" s="224"/>
      <c r="D772" s="224"/>
      <c r="E772" s="224"/>
      <c r="F772" s="224"/>
      <c r="G772" s="227"/>
      <c r="H772" s="224"/>
      <c r="I772" s="228"/>
      <c r="J772" s="224"/>
      <c r="K772" s="228"/>
      <c r="L772" s="208"/>
    </row>
    <row r="773" spans="1:12" x14ac:dyDescent="0.25">
      <c r="A773" s="224" t="str">
        <f t="shared" si="20"/>
        <v>00011900--</v>
      </c>
      <c r="B773" s="225"/>
      <c r="C773" s="224"/>
      <c r="D773" s="224"/>
      <c r="E773" s="224"/>
      <c r="F773" s="224"/>
      <c r="G773" s="227"/>
      <c r="H773" s="224"/>
      <c r="I773" s="228"/>
      <c r="J773" s="224"/>
      <c r="K773" s="228"/>
      <c r="L773" s="208"/>
    </row>
    <row r="774" spans="1:12" x14ac:dyDescent="0.25">
      <c r="A774" s="224" t="str">
        <f t="shared" si="20"/>
        <v>00011900--</v>
      </c>
      <c r="B774" s="225"/>
      <c r="C774" s="224"/>
      <c r="D774" s="224"/>
      <c r="E774" s="224"/>
      <c r="F774" s="224"/>
      <c r="G774" s="227"/>
      <c r="H774" s="224"/>
      <c r="I774" s="228"/>
      <c r="J774" s="224"/>
      <c r="K774" s="228"/>
      <c r="L774" s="208"/>
    </row>
    <row r="775" spans="1:12" x14ac:dyDescent="0.25">
      <c r="A775" s="224" t="str">
        <f t="shared" si="20"/>
        <v>00011900--</v>
      </c>
      <c r="B775" s="225"/>
      <c r="C775" s="224"/>
      <c r="D775" s="224"/>
      <c r="E775" s="224"/>
      <c r="F775" s="224"/>
      <c r="G775" s="227"/>
      <c r="H775" s="224"/>
      <c r="I775" s="228"/>
      <c r="J775" s="224"/>
      <c r="K775" s="228"/>
      <c r="L775" s="208"/>
    </row>
    <row r="776" spans="1:12" x14ac:dyDescent="0.25">
      <c r="A776" s="224" t="str">
        <f t="shared" si="20"/>
        <v>00011900--</v>
      </c>
      <c r="B776" s="225"/>
      <c r="C776" s="224"/>
      <c r="D776" s="224"/>
      <c r="E776" s="224"/>
      <c r="F776" s="224"/>
      <c r="G776" s="227"/>
      <c r="H776" s="224"/>
      <c r="I776" s="228"/>
      <c r="J776" s="224"/>
      <c r="K776" s="228"/>
      <c r="L776" s="208"/>
    </row>
    <row r="777" spans="1:12" x14ac:dyDescent="0.25">
      <c r="A777" s="224" t="str">
        <f t="shared" si="20"/>
        <v>00011900--</v>
      </c>
      <c r="B777" s="225"/>
      <c r="C777" s="224"/>
      <c r="D777" s="224"/>
      <c r="E777" s="224"/>
      <c r="F777" s="224"/>
      <c r="G777" s="227"/>
      <c r="H777" s="224"/>
      <c r="I777" s="228"/>
      <c r="J777" s="224"/>
      <c r="K777" s="228"/>
      <c r="L777" s="208"/>
    </row>
    <row r="778" spans="1:12" x14ac:dyDescent="0.25">
      <c r="A778" s="224" t="str">
        <f t="shared" si="20"/>
        <v>00011900--</v>
      </c>
      <c r="B778" s="225"/>
      <c r="C778" s="224"/>
      <c r="D778" s="224"/>
      <c r="E778" s="224"/>
      <c r="F778" s="224"/>
      <c r="G778" s="227"/>
      <c r="H778" s="224"/>
      <c r="I778" s="228"/>
      <c r="J778" s="224"/>
      <c r="K778" s="228"/>
      <c r="L778" s="208"/>
    </row>
    <row r="779" spans="1:12" x14ac:dyDescent="0.25">
      <c r="A779" s="224" t="str">
        <f t="shared" si="20"/>
        <v>00011900--</v>
      </c>
      <c r="B779" s="225"/>
      <c r="C779" s="224"/>
      <c r="D779" s="224"/>
      <c r="E779" s="224"/>
      <c r="F779" s="224"/>
      <c r="G779" s="227"/>
      <c r="H779" s="224"/>
      <c r="I779" s="228"/>
      <c r="J779" s="224"/>
      <c r="K779" s="228"/>
      <c r="L779" s="208"/>
    </row>
    <row r="780" spans="1:12" x14ac:dyDescent="0.25">
      <c r="A780" s="224" t="str">
        <f t="shared" si="20"/>
        <v>00011900--</v>
      </c>
      <c r="B780" s="225"/>
      <c r="C780" s="224"/>
      <c r="D780" s="224"/>
      <c r="E780" s="224"/>
      <c r="F780" s="224"/>
      <c r="G780" s="227"/>
      <c r="H780" s="224"/>
      <c r="I780" s="228"/>
      <c r="J780" s="224"/>
      <c r="K780" s="228"/>
      <c r="L780" s="208"/>
    </row>
    <row r="781" spans="1:12" x14ac:dyDescent="0.25">
      <c r="A781" s="224" t="str">
        <f t="shared" si="20"/>
        <v>00011900--</v>
      </c>
      <c r="B781" s="225"/>
      <c r="C781" s="224"/>
      <c r="D781" s="224"/>
      <c r="E781" s="224"/>
      <c r="F781" s="224"/>
      <c r="G781" s="227"/>
      <c r="H781" s="224"/>
      <c r="I781" s="228"/>
      <c r="J781" s="224"/>
      <c r="K781" s="228"/>
      <c r="L781" s="208"/>
    </row>
  </sheetData>
  <autoFilter ref="A1:M508" xr:uid="{3EE9AC46-B223-4709-9BAC-5B4A46C1CC91}"/>
  <phoneticPr fontId="53" type="noConversion"/>
  <conditionalFormatting sqref="A1:A1048576">
    <cfRule type="duplicateValues" dxfId="7" priority="1"/>
  </conditionalFormatting>
  <dataValidations count="1">
    <dataValidation type="list" showInputMessage="1" showErrorMessage="1" sqref="L2:L781" xr:uid="{F9BE16E3-EFD3-4FCB-BF65-09D746FDFE91}">
      <formula1>"Print, Printed"</formula1>
    </dataValidation>
  </dataValidations>
  <pageMargins left="0.23622047244094491" right="0.23622047244094491" top="0.74803149606299213" bottom="0.74803149606299213" header="0.31496062992125984" footer="0.31496062992125984"/>
  <pageSetup paperSize="9" scale="10" pageOrder="overThenDown" orientation="portrait" r:id="rId1"/>
  <rowBreaks count="4" manualBreakCount="4">
    <brk id="365" max="10" man="1"/>
    <brk id="425" max="10" man="1"/>
    <brk id="542" max="10" man="1"/>
    <brk id="591" max="10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36369-51FA-469D-9484-460325BDFBC3}">
  <dimension ref="A1:I186"/>
  <sheetViews>
    <sheetView workbookViewId="0">
      <pane ySplit="5" topLeftCell="A154" activePane="bottomLeft" state="frozen"/>
      <selection pane="bottomLeft" activeCell="F192" sqref="F192"/>
    </sheetView>
  </sheetViews>
  <sheetFormatPr defaultRowHeight="12.5" x14ac:dyDescent="0.25"/>
  <cols>
    <col min="1" max="1" width="40.81640625" customWidth="1"/>
    <col min="2" max="4" width="13.54296875" customWidth="1"/>
    <col min="5" max="5" width="3.54296875" customWidth="1"/>
    <col min="6" max="6" width="37.81640625" customWidth="1"/>
    <col min="7" max="7" width="15.453125" customWidth="1"/>
    <col min="8" max="9" width="33.54296875" customWidth="1"/>
  </cols>
  <sheetData>
    <row r="1" spans="1:9" ht="20" x14ac:dyDescent="0.4">
      <c r="A1" s="363" t="s">
        <v>820</v>
      </c>
      <c r="F1" s="372" t="s">
        <v>831</v>
      </c>
      <c r="H1" s="373">
        <v>500</v>
      </c>
      <c r="I1" s="364" t="str">
        <f>"= x"&amp;('Lube Frequency BMSK'!L1/H1)&amp;" per year"</f>
        <v>= x14 per year</v>
      </c>
    </row>
    <row r="2" spans="1:9" ht="13" x14ac:dyDescent="0.3">
      <c r="A2" s="364" t="s">
        <v>821</v>
      </c>
    </row>
    <row r="4" spans="1:9" ht="15.5" x14ac:dyDescent="0.35">
      <c r="A4" s="291" t="s">
        <v>822</v>
      </c>
      <c r="B4" s="292"/>
      <c r="C4" s="292"/>
      <c r="D4" s="292"/>
      <c r="F4" s="366" t="s">
        <v>832</v>
      </c>
      <c r="G4" s="367"/>
      <c r="H4" s="367"/>
      <c r="I4" s="367"/>
    </row>
    <row r="5" spans="1:9" ht="13" x14ac:dyDescent="0.3">
      <c r="A5" s="293" t="s">
        <v>823</v>
      </c>
      <c r="B5" s="365" t="s">
        <v>824</v>
      </c>
      <c r="C5" s="365" t="s">
        <v>825</v>
      </c>
      <c r="D5" s="365" t="s">
        <v>826</v>
      </c>
      <c r="F5" s="368" t="s">
        <v>823</v>
      </c>
      <c r="G5" s="368" t="s">
        <v>827</v>
      </c>
      <c r="H5" s="368" t="s">
        <v>828</v>
      </c>
      <c r="I5" s="368" t="s">
        <v>829</v>
      </c>
    </row>
    <row r="6" spans="1:9" x14ac:dyDescent="0.25">
      <c r="A6" t="str">
        <f>'Lube Frequency BMSK'!B31</f>
        <v>BUS DAEWOO BS106A45</v>
      </c>
      <c r="B6">
        <f>N('Lube Frequency BMSK'!C31)</f>
        <v>0</v>
      </c>
      <c r="C6">
        <f>N('Lube Frequency BMSK'!D31)</f>
        <v>0</v>
      </c>
      <c r="D6">
        <f>N('Lube Frequency BMSK'!E31)</f>
        <v>0</v>
      </c>
      <c r="F6" t="str">
        <f>A6</f>
        <v>BUS DAEWOO BS106A45</v>
      </c>
      <c r="G6">
        <f>'Lube Frequency BMSK'!I31*B6*('Lube Frequency BMSK'!$L$1/$H$1)</f>
        <v>0</v>
      </c>
      <c r="H6">
        <f>'Lube Frequency BMSK'!I31*C6*('Lube Frequency BMSK'!$L$1/$H$1)</f>
        <v>0</v>
      </c>
      <c r="I6">
        <f>'Lube Frequency BMSK'!I31*D6*('Lube Frequency BMSK'!$L$1/$H$1)</f>
        <v>0</v>
      </c>
    </row>
    <row r="7" spans="1:9" x14ac:dyDescent="0.25">
      <c r="A7" t="str">
        <f>'Lube Frequency BMSK'!B32</f>
        <v>Cat 160K</v>
      </c>
      <c r="B7">
        <f>N('Lube Frequency BMSK'!C32)</f>
        <v>3</v>
      </c>
      <c r="C7">
        <f>N('Lube Frequency BMSK'!D32)</f>
        <v>3</v>
      </c>
      <c r="D7">
        <f>N('Lube Frequency BMSK'!E32)</f>
        <v>3</v>
      </c>
      <c r="F7" t="str">
        <f t="shared" ref="F7:F70" si="0">A7</f>
        <v>Cat 160K</v>
      </c>
      <c r="G7">
        <f>'Lube Frequency BMSK'!I32*B7*('Lube Frequency BMSK'!$L$1/$H$1)</f>
        <v>210</v>
      </c>
      <c r="H7">
        <f>'Lube Frequency BMSK'!I32*C7*('Lube Frequency BMSK'!$L$1/$H$1)</f>
        <v>210</v>
      </c>
      <c r="I7">
        <f>'Lube Frequency BMSK'!I32*D7*('Lube Frequency BMSK'!$L$1/$H$1)</f>
        <v>210</v>
      </c>
    </row>
    <row r="8" spans="1:9" x14ac:dyDescent="0.25">
      <c r="A8" t="str">
        <f>'Lube Frequency BMSK'!B33</f>
        <v>CAT 336D Excavator</v>
      </c>
      <c r="B8">
        <f>N('Lube Frequency BMSK'!C33)</f>
        <v>0</v>
      </c>
      <c r="C8">
        <f>N('Lube Frequency BMSK'!D33)</f>
        <v>0</v>
      </c>
      <c r="D8">
        <f>N('Lube Frequency BMSK'!E33)</f>
        <v>0</v>
      </c>
      <c r="F8" t="str">
        <f t="shared" si="0"/>
        <v>CAT 336D Excavator</v>
      </c>
      <c r="G8">
        <f>'Lube Frequency BMSK'!I33*B8*('Lube Frequency BMSK'!$L$1/$H$1)</f>
        <v>0</v>
      </c>
      <c r="H8">
        <f>'Lube Frequency BMSK'!I33*C8*('Lube Frequency BMSK'!$L$1/$H$1)</f>
        <v>0</v>
      </c>
      <c r="I8">
        <f>'Lube Frequency BMSK'!I33*D8*('Lube Frequency BMSK'!$L$1/$H$1)</f>
        <v>0</v>
      </c>
    </row>
    <row r="9" spans="1:9" x14ac:dyDescent="0.25">
      <c r="A9" t="str">
        <f>'Lube Frequency BMSK'!B34</f>
        <v>CAT 3412C Genset</v>
      </c>
      <c r="B9">
        <f>N('Lube Frequency BMSK'!C34)</f>
        <v>0</v>
      </c>
      <c r="C9">
        <f>N('Lube Frequency BMSK'!D34)</f>
        <v>0</v>
      </c>
      <c r="D9">
        <f>N('Lube Frequency BMSK'!E34)</f>
        <v>0</v>
      </c>
      <c r="F9" t="str">
        <f t="shared" si="0"/>
        <v>CAT 3412C Genset</v>
      </c>
      <c r="G9">
        <f>'Lube Frequency BMSK'!I34*B9*('Lube Frequency BMSK'!$L$1/$H$1)</f>
        <v>0</v>
      </c>
      <c r="H9">
        <f>'Lube Frequency BMSK'!I34*C9*('Lube Frequency BMSK'!$L$1/$H$1)</f>
        <v>0</v>
      </c>
      <c r="I9">
        <f>'Lube Frequency BMSK'!I34*D9*('Lube Frequency BMSK'!$L$1/$H$1)</f>
        <v>0</v>
      </c>
    </row>
    <row r="10" spans="1:9" x14ac:dyDescent="0.25">
      <c r="A10" t="str">
        <f>'Lube Frequency BMSK'!B35</f>
        <v>CAT C13 Genset</v>
      </c>
      <c r="B10">
        <f>N('Lube Frequency BMSK'!C35)</f>
        <v>0</v>
      </c>
      <c r="C10">
        <f>N('Lube Frequency BMSK'!D35)</f>
        <v>0</v>
      </c>
      <c r="D10">
        <f>N('Lube Frequency BMSK'!E35)</f>
        <v>0</v>
      </c>
      <c r="F10" t="str">
        <f t="shared" si="0"/>
        <v>CAT C13 Genset</v>
      </c>
      <c r="G10">
        <f>'Lube Frequency BMSK'!I35*B10*('Lube Frequency BMSK'!$L$1/$H$1)</f>
        <v>0</v>
      </c>
      <c r="H10">
        <f>'Lube Frequency BMSK'!I35*C10*('Lube Frequency BMSK'!$L$1/$H$1)</f>
        <v>0</v>
      </c>
      <c r="I10">
        <f>'Lube Frequency BMSK'!I35*D10*('Lube Frequency BMSK'!$L$1/$H$1)</f>
        <v>0</v>
      </c>
    </row>
    <row r="11" spans="1:9" x14ac:dyDescent="0.25">
      <c r="A11" t="str">
        <f>'Lube Frequency BMSK'!B36</f>
        <v>CAT C175-20</v>
      </c>
      <c r="B11">
        <f>N('Lube Frequency BMSK'!C36)</f>
        <v>0</v>
      </c>
      <c r="C11">
        <f>N('Lube Frequency BMSK'!D36)</f>
        <v>0</v>
      </c>
      <c r="D11">
        <f>N('Lube Frequency BMSK'!E36)</f>
        <v>0</v>
      </c>
      <c r="F11" t="str">
        <f t="shared" si="0"/>
        <v>CAT C175-20</v>
      </c>
      <c r="G11">
        <f>'Lube Frequency BMSK'!I36*B11*('Lube Frequency BMSK'!$L$1/$H$1)</f>
        <v>0</v>
      </c>
      <c r="H11">
        <f>'Lube Frequency BMSK'!I36*C11*('Lube Frequency BMSK'!$L$1/$H$1)</f>
        <v>0</v>
      </c>
      <c r="I11">
        <f>'Lube Frequency BMSK'!I36*D11*('Lube Frequency BMSK'!$L$1/$H$1)</f>
        <v>0</v>
      </c>
    </row>
    <row r="12" spans="1:9" x14ac:dyDescent="0.25">
      <c r="A12" t="str">
        <f>'Lube Frequency BMSK'!B37</f>
        <v>CAT C18 Genset</v>
      </c>
      <c r="B12">
        <f>N('Lube Frequency BMSK'!C37)</f>
        <v>0</v>
      </c>
      <c r="C12">
        <f>N('Lube Frequency BMSK'!D37)</f>
        <v>0</v>
      </c>
      <c r="D12">
        <f>N('Lube Frequency BMSK'!E37)</f>
        <v>0</v>
      </c>
      <c r="F12" t="str">
        <f t="shared" si="0"/>
        <v>CAT C18 Genset</v>
      </c>
      <c r="G12">
        <f>'Lube Frequency BMSK'!I37*B12*('Lube Frequency BMSK'!$L$1/$H$1)</f>
        <v>0</v>
      </c>
      <c r="H12">
        <f>'Lube Frequency BMSK'!I37*C12*('Lube Frequency BMSK'!$L$1/$H$1)</f>
        <v>0</v>
      </c>
      <c r="I12">
        <f>'Lube Frequency BMSK'!I37*D12*('Lube Frequency BMSK'!$L$1/$H$1)</f>
        <v>0</v>
      </c>
    </row>
    <row r="13" spans="1:9" x14ac:dyDescent="0.25">
      <c r="A13" t="str">
        <f>'Lube Frequency BMSK'!B38</f>
        <v>CAT D9R</v>
      </c>
      <c r="B13">
        <f>N('Lube Frequency BMSK'!C38)</f>
        <v>2</v>
      </c>
      <c r="C13">
        <f>N('Lube Frequency BMSK'!D38)</f>
        <v>2</v>
      </c>
      <c r="D13">
        <f>N('Lube Frequency BMSK'!E38)</f>
        <v>2</v>
      </c>
      <c r="F13" t="str">
        <f t="shared" si="0"/>
        <v>CAT D9R</v>
      </c>
      <c r="G13">
        <f>'Lube Frequency BMSK'!I38*B13*('Lube Frequency BMSK'!$L$1/$H$1)</f>
        <v>224</v>
      </c>
      <c r="H13">
        <f>'Lube Frequency BMSK'!I38*C13*('Lube Frequency BMSK'!$L$1/$H$1)</f>
        <v>224</v>
      </c>
      <c r="I13">
        <f>'Lube Frequency BMSK'!I38*D13*('Lube Frequency BMSK'!$L$1/$H$1)</f>
        <v>224</v>
      </c>
    </row>
    <row r="14" spans="1:9" x14ac:dyDescent="0.25">
      <c r="A14" t="str">
        <f>'Lube Frequency BMSK'!B39</f>
        <v>CAT DE715</v>
      </c>
      <c r="B14">
        <f>N('Lube Frequency BMSK'!C39)</f>
        <v>0</v>
      </c>
      <c r="C14">
        <f>N('Lube Frequency BMSK'!D39)</f>
        <v>0</v>
      </c>
      <c r="D14">
        <f>N('Lube Frequency BMSK'!E39)</f>
        <v>0</v>
      </c>
      <c r="F14" t="str">
        <f t="shared" si="0"/>
        <v>CAT DE715</v>
      </c>
      <c r="G14">
        <f>'Lube Frequency BMSK'!I39*B14*('Lube Frequency BMSK'!$L$1/$H$1)</f>
        <v>0</v>
      </c>
      <c r="H14">
        <f>'Lube Frequency BMSK'!I39*C14*('Lube Frequency BMSK'!$L$1/$H$1)</f>
        <v>0</v>
      </c>
      <c r="I14">
        <f>'Lube Frequency BMSK'!I39*D14*('Lube Frequency BMSK'!$L$1/$H$1)</f>
        <v>0</v>
      </c>
    </row>
    <row r="15" spans="1:9" x14ac:dyDescent="0.25">
      <c r="A15" t="str">
        <f>'Lube Frequency BMSK'!B40</f>
        <v>CHSDM DZ-98V</v>
      </c>
      <c r="B15">
        <f>N('Lube Frequency BMSK'!C40)</f>
        <v>0</v>
      </c>
      <c r="C15">
        <f>N('Lube Frequency BMSK'!D40)</f>
        <v>0</v>
      </c>
      <c r="D15">
        <f>N('Lube Frequency BMSK'!E40)</f>
        <v>0</v>
      </c>
      <c r="F15" t="str">
        <f t="shared" si="0"/>
        <v>CHSDM DZ-98V</v>
      </c>
      <c r="G15">
        <f>'Lube Frequency BMSK'!I40*B15*('Lube Frequency BMSK'!$L$1/$H$1)</f>
        <v>0</v>
      </c>
      <c r="H15">
        <f>'Lube Frequency BMSK'!I40*C15*('Lube Frequency BMSK'!$L$1/$H$1)</f>
        <v>0</v>
      </c>
      <c r="I15">
        <f>'Lube Frequency BMSK'!I40*D15*('Lube Frequency BMSK'!$L$1/$H$1)</f>
        <v>0</v>
      </c>
    </row>
    <row r="16" spans="1:9" x14ac:dyDescent="0.25">
      <c r="A16" t="str">
        <f>'Lube Frequency BMSK'!B41</f>
        <v>ZOOMLION ZCC2600 260 TON</v>
      </c>
      <c r="B16">
        <f>N('Lube Frequency BMSK'!C41)</f>
        <v>0</v>
      </c>
      <c r="C16">
        <f>N('Lube Frequency BMSK'!D41)</f>
        <v>0</v>
      </c>
      <c r="D16">
        <f>N('Lube Frequency BMSK'!E41)</f>
        <v>0</v>
      </c>
      <c r="F16" t="str">
        <f t="shared" si="0"/>
        <v>ZOOMLION ZCC2600 260 TON</v>
      </c>
      <c r="G16">
        <f>'Lube Frequency BMSK'!I41*B16*('Lube Frequency BMSK'!$L$1/$H$1)</f>
        <v>0</v>
      </c>
      <c r="H16">
        <f>'Lube Frequency BMSK'!I41*C16*('Lube Frequency BMSK'!$L$1/$H$1)</f>
        <v>0</v>
      </c>
      <c r="I16">
        <f>'Lube Frequency BMSK'!I41*D16*('Lube Frequency BMSK'!$L$1/$H$1)</f>
        <v>0</v>
      </c>
    </row>
    <row r="17" spans="1:9" x14ac:dyDescent="0.25">
      <c r="A17" t="str">
        <f>'Lube Frequency BMSK'!B42</f>
        <v>KAMAZ УСТ 54535</v>
      </c>
      <c r="B17">
        <f>N('Lube Frequency BMSK'!C42)</f>
        <v>0</v>
      </c>
      <c r="C17">
        <f>N('Lube Frequency BMSK'!D42)</f>
        <v>0</v>
      </c>
      <c r="D17">
        <f>N('Lube Frequency BMSK'!E42)</f>
        <v>0</v>
      </c>
      <c r="F17" t="str">
        <f t="shared" si="0"/>
        <v>KAMAZ УСТ 54535</v>
      </c>
      <c r="G17">
        <f>'Lube Frequency BMSK'!I42*B17*('Lube Frequency BMSK'!$L$1/$H$1)</f>
        <v>0</v>
      </c>
      <c r="H17">
        <f>'Lube Frequency BMSK'!I42*C17*('Lube Frequency BMSK'!$L$1/$H$1)</f>
        <v>0</v>
      </c>
      <c r="I17">
        <f>'Lube Frequency BMSK'!I42*D17*('Lube Frequency BMSK'!$L$1/$H$1)</f>
        <v>0</v>
      </c>
    </row>
    <row r="18" spans="1:9" x14ac:dyDescent="0.25">
      <c r="A18" t="str">
        <f>'Lube Frequency BMSK'!B43</f>
        <v>KAMAZ УСТ 5849HF-000020</v>
      </c>
      <c r="B18">
        <f>N('Lube Frequency BMSK'!C43)</f>
        <v>0</v>
      </c>
      <c r="C18">
        <f>N('Lube Frequency BMSK'!D43)</f>
        <v>0</v>
      </c>
      <c r="D18">
        <f>N('Lube Frequency BMSK'!E43)</f>
        <v>0</v>
      </c>
      <c r="F18" t="str">
        <f t="shared" si="0"/>
        <v>KAMAZ УСТ 5849HF-000020</v>
      </c>
      <c r="G18">
        <f>'Lube Frequency BMSK'!I43*B18*('Lube Frequency BMSK'!$L$1/$H$1)</f>
        <v>0</v>
      </c>
      <c r="H18">
        <f>'Lube Frequency BMSK'!I43*C18*('Lube Frequency BMSK'!$L$1/$H$1)</f>
        <v>0</v>
      </c>
      <c r="I18">
        <f>'Lube Frequency BMSK'!I43*D18*('Lube Frequency BMSK'!$L$1/$H$1)</f>
        <v>0</v>
      </c>
    </row>
    <row r="19" spans="1:9" x14ac:dyDescent="0.25">
      <c r="A19" t="str">
        <f>'Lube Frequency BMSK'!B44</f>
        <v>CUMMINS C250 D5 GENERATOR</v>
      </c>
      <c r="B19">
        <f>N('Lube Frequency BMSK'!C44)</f>
        <v>0</v>
      </c>
      <c r="C19">
        <f>N('Lube Frequency BMSK'!D44)</f>
        <v>0</v>
      </c>
      <c r="D19">
        <f>N('Lube Frequency BMSK'!E44)</f>
        <v>0</v>
      </c>
      <c r="F19" t="str">
        <f t="shared" si="0"/>
        <v>CUMMINS C250 D5 GENERATOR</v>
      </c>
      <c r="G19">
        <f>'Lube Frequency BMSK'!I44*B19*('Lube Frequency BMSK'!$L$1/$H$1)</f>
        <v>0</v>
      </c>
      <c r="H19">
        <f>'Lube Frequency BMSK'!I44*C19*('Lube Frequency BMSK'!$L$1/$H$1)</f>
        <v>0</v>
      </c>
      <c r="I19">
        <f>'Lube Frequency BMSK'!I44*D19*('Lube Frequency BMSK'!$L$1/$H$1)</f>
        <v>0</v>
      </c>
    </row>
    <row r="20" spans="1:9" x14ac:dyDescent="0.25">
      <c r="A20" t="str">
        <f>'Lube Frequency BMSK'!B45</f>
        <v>DENYO DCA-15LSX GENERATOR</v>
      </c>
      <c r="B20">
        <f>N('Lube Frequency BMSK'!C45)</f>
        <v>0</v>
      </c>
      <c r="C20">
        <f>N('Lube Frequency BMSK'!D45)</f>
        <v>0</v>
      </c>
      <c r="D20">
        <f>N('Lube Frequency BMSK'!E45)</f>
        <v>0</v>
      </c>
      <c r="F20" t="str">
        <f t="shared" si="0"/>
        <v>DENYO DCA-15LSX GENERATOR</v>
      </c>
      <c r="G20">
        <f>'Lube Frequency BMSK'!I45*B20*('Lube Frequency BMSK'!$L$1/$H$1)</f>
        <v>0</v>
      </c>
      <c r="H20">
        <f>'Lube Frequency BMSK'!I45*C20*('Lube Frequency BMSK'!$L$1/$H$1)</f>
        <v>0</v>
      </c>
      <c r="I20">
        <f>'Lube Frequency BMSK'!I45*D20*('Lube Frequency BMSK'!$L$1/$H$1)</f>
        <v>0</v>
      </c>
    </row>
    <row r="21" spans="1:9" x14ac:dyDescent="0.25">
      <c r="A21" t="str">
        <f>'Lube Frequency BMSK'!B46</f>
        <v>DENYO DCA-45ESI GENERATOR</v>
      </c>
      <c r="B21">
        <f>N('Lube Frequency BMSK'!C46)</f>
        <v>0</v>
      </c>
      <c r="C21">
        <f>N('Lube Frequency BMSK'!D46)</f>
        <v>0</v>
      </c>
      <c r="D21">
        <f>N('Lube Frequency BMSK'!E46)</f>
        <v>0</v>
      </c>
      <c r="F21" t="str">
        <f t="shared" si="0"/>
        <v>DENYO DCA-45ESI GENERATOR</v>
      </c>
      <c r="G21">
        <f>'Lube Frequency BMSK'!I46*B21*('Lube Frequency BMSK'!$L$1/$H$1)</f>
        <v>0</v>
      </c>
      <c r="H21">
        <f>'Lube Frequency BMSK'!I46*C21*('Lube Frequency BMSK'!$L$1/$H$1)</f>
        <v>0</v>
      </c>
      <c r="I21">
        <f>'Lube Frequency BMSK'!I46*D21*('Lube Frequency BMSK'!$L$1/$H$1)</f>
        <v>0</v>
      </c>
    </row>
    <row r="22" spans="1:9" x14ac:dyDescent="0.25">
      <c r="A22" t="str">
        <f>'Lube Frequency BMSK'!B47</f>
        <v>DENYO DLW-400LSW WELDING MACHINE</v>
      </c>
      <c r="B22">
        <f>N('Lube Frequency BMSK'!C47)</f>
        <v>0</v>
      </c>
      <c r="C22">
        <f>N('Lube Frequency BMSK'!D47)</f>
        <v>0</v>
      </c>
      <c r="D22">
        <f>N('Lube Frequency BMSK'!E47)</f>
        <v>0</v>
      </c>
      <c r="F22" t="str">
        <f t="shared" si="0"/>
        <v>DENYO DLW-400LSW WELDING MACHINE</v>
      </c>
      <c r="G22">
        <f>'Lube Frequency BMSK'!I47*B22*('Lube Frequency BMSK'!$L$1/$H$1)</f>
        <v>0</v>
      </c>
      <c r="H22">
        <f>'Lube Frequency BMSK'!I47*C22*('Lube Frequency BMSK'!$L$1/$H$1)</f>
        <v>0</v>
      </c>
      <c r="I22">
        <f>'Lube Frequency BMSK'!I47*D22*('Lube Frequency BMSK'!$L$1/$H$1)</f>
        <v>0</v>
      </c>
    </row>
    <row r="23" spans="1:9" x14ac:dyDescent="0.25">
      <c r="A23" t="str">
        <f>'Lube Frequency BMSK'!B48</f>
        <v>DENYO_DCW-480ESW WELDING MACHINE</v>
      </c>
      <c r="B23">
        <f>N('Lube Frequency BMSK'!C48)</f>
        <v>0</v>
      </c>
      <c r="C23">
        <f>N('Lube Frequency BMSK'!D48)</f>
        <v>0</v>
      </c>
      <c r="D23">
        <f>N('Lube Frequency BMSK'!E48)</f>
        <v>0</v>
      </c>
      <c r="F23" t="str">
        <f t="shared" si="0"/>
        <v>DENYO_DCW-480ESW WELDING MACHINE</v>
      </c>
      <c r="G23">
        <f>'Lube Frequency BMSK'!I48*B23*('Lube Frequency BMSK'!$L$1/$H$1)</f>
        <v>0</v>
      </c>
      <c r="H23">
        <f>'Lube Frequency BMSK'!I48*C23*('Lube Frequency BMSK'!$L$1/$H$1)</f>
        <v>0</v>
      </c>
      <c r="I23">
        <f>'Lube Frequency BMSK'!I48*D23*('Lube Frequency BMSK'!$L$1/$H$1)</f>
        <v>0</v>
      </c>
    </row>
    <row r="24" spans="1:9" x14ac:dyDescent="0.25">
      <c r="A24" t="str">
        <f>'Lube Frequency BMSK'!B49</f>
        <v>DIESEL AD 240C GENERATOR</v>
      </c>
      <c r="B24">
        <f>N('Lube Frequency BMSK'!C49)</f>
        <v>0</v>
      </c>
      <c r="C24">
        <f>N('Lube Frequency BMSK'!D49)</f>
        <v>0</v>
      </c>
      <c r="D24">
        <f>N('Lube Frequency BMSK'!E49)</f>
        <v>0</v>
      </c>
      <c r="F24" t="str">
        <f t="shared" si="0"/>
        <v>DIESEL AD 240C GENERATOR</v>
      </c>
      <c r="G24">
        <f>'Lube Frequency BMSK'!I49*B24*('Lube Frequency BMSK'!$L$1/$H$1)</f>
        <v>0</v>
      </c>
      <c r="H24">
        <f>'Lube Frequency BMSK'!I49*C24*('Lube Frequency BMSK'!$L$1/$H$1)</f>
        <v>0</v>
      </c>
      <c r="I24">
        <f>'Lube Frequency BMSK'!I49*D24*('Lube Frequency BMSK'!$L$1/$H$1)</f>
        <v>0</v>
      </c>
    </row>
    <row r="25" spans="1:9" x14ac:dyDescent="0.25">
      <c r="A25" t="str">
        <f>'Lube Frequency BMSK'!B50</f>
        <v>DIESEL POWER ED320C-T400-50-2PH-G1 GENERATOR</v>
      </c>
      <c r="B25">
        <f>N('Lube Frequency BMSK'!C50)</f>
        <v>0</v>
      </c>
      <c r="C25">
        <f>N('Lube Frequency BMSK'!D50)</f>
        <v>0</v>
      </c>
      <c r="D25">
        <f>N('Lube Frequency BMSK'!E50)</f>
        <v>0</v>
      </c>
      <c r="F25" t="str">
        <f t="shared" si="0"/>
        <v>DIESEL POWER ED320C-T400-50-2PH-G1 GENERATOR</v>
      </c>
      <c r="G25">
        <f>'Lube Frequency BMSK'!I50*B25*('Lube Frequency BMSK'!$L$1/$H$1)</f>
        <v>0</v>
      </c>
      <c r="H25">
        <f>'Lube Frequency BMSK'!I50*C25*('Lube Frequency BMSK'!$L$1/$H$1)</f>
        <v>0</v>
      </c>
      <c r="I25">
        <f>'Lube Frequency BMSK'!I50*D25*('Lube Frequency BMSK'!$L$1/$H$1)</f>
        <v>0</v>
      </c>
    </row>
    <row r="26" spans="1:9" x14ac:dyDescent="0.25">
      <c r="A26" t="str">
        <f>'Lube Frequency BMSK'!B51</f>
        <v>DIESEL POWER ED400C-T400-2RN GENERATOR</v>
      </c>
      <c r="B26">
        <f>N('Lube Frequency BMSK'!C51)</f>
        <v>0</v>
      </c>
      <c r="C26">
        <f>N('Lube Frequency BMSK'!D51)</f>
        <v>0</v>
      </c>
      <c r="D26">
        <f>N('Lube Frequency BMSK'!E51)</f>
        <v>0</v>
      </c>
      <c r="F26" t="str">
        <f t="shared" si="0"/>
        <v>DIESEL POWER ED400C-T400-2RN GENERATOR</v>
      </c>
      <c r="G26">
        <f>'Lube Frequency BMSK'!I51*B26*('Lube Frequency BMSK'!$L$1/$H$1)</f>
        <v>0</v>
      </c>
      <c r="H26">
        <f>'Lube Frequency BMSK'!I51*C26*('Lube Frequency BMSK'!$L$1/$H$1)</f>
        <v>0</v>
      </c>
      <c r="I26">
        <f>'Lube Frequency BMSK'!I51*D26*('Lube Frequency BMSK'!$L$1/$H$1)</f>
        <v>0</v>
      </c>
    </row>
    <row r="27" spans="1:9" x14ac:dyDescent="0.25">
      <c r="A27" t="str">
        <f>'Lube Frequency BMSK'!B52</f>
        <v>DIESEL ЭД20П-Т400-50-2РН-G2 GENERATOR</v>
      </c>
      <c r="B27">
        <f>N('Lube Frequency BMSK'!C52)</f>
        <v>0</v>
      </c>
      <c r="C27">
        <f>N('Lube Frequency BMSK'!D52)</f>
        <v>0</v>
      </c>
      <c r="D27">
        <f>N('Lube Frequency BMSK'!E52)</f>
        <v>0</v>
      </c>
      <c r="F27" t="str">
        <f t="shared" si="0"/>
        <v>DIESEL ЭД20П-Т400-50-2РН-G2 GENERATOR</v>
      </c>
      <c r="G27">
        <f>'Lube Frequency BMSK'!I52*B27*('Lube Frequency BMSK'!$L$1/$H$1)</f>
        <v>0</v>
      </c>
      <c r="H27">
        <f>'Lube Frequency BMSK'!I52*C27*('Lube Frequency BMSK'!$L$1/$H$1)</f>
        <v>0</v>
      </c>
      <c r="I27">
        <f>'Lube Frequency BMSK'!I52*D27*('Lube Frequency BMSK'!$L$1/$H$1)</f>
        <v>0</v>
      </c>
    </row>
    <row r="28" spans="1:9" x14ac:dyDescent="0.25">
      <c r="A28" t="str">
        <f>'Lube Frequency BMSK'!B53</f>
        <v>Dongfeng Pickup</v>
      </c>
      <c r="B28">
        <f>N('Lube Frequency BMSK'!C53)</f>
        <v>50</v>
      </c>
      <c r="C28">
        <f>N('Lube Frequency BMSK'!D53)</f>
        <v>50</v>
      </c>
      <c r="D28">
        <f>N('Lube Frequency BMSK'!E53)</f>
        <v>50</v>
      </c>
      <c r="F28" t="str">
        <f t="shared" si="0"/>
        <v>Dongfeng Pickup</v>
      </c>
      <c r="G28">
        <f>'Lube Frequency BMSK'!I53*B28*('Lube Frequency BMSK'!$L$1/$H$1)</f>
        <v>700</v>
      </c>
      <c r="H28">
        <f>'Lube Frequency BMSK'!I53*C28*('Lube Frequency BMSK'!$L$1/$H$1)</f>
        <v>700</v>
      </c>
      <c r="I28">
        <f>'Lube Frequency BMSK'!I53*D28*('Lube Frequency BMSK'!$L$1/$H$1)</f>
        <v>700</v>
      </c>
    </row>
    <row r="29" spans="1:9" x14ac:dyDescent="0.25">
      <c r="A29" t="str">
        <f>'Lube Frequency BMSK'!B54</f>
        <v>DOOSAN P250/HP210 COMPRESSOR</v>
      </c>
      <c r="B29">
        <f>N('Lube Frequency BMSK'!C54)</f>
        <v>0</v>
      </c>
      <c r="C29">
        <f>N('Lube Frequency BMSK'!D54)</f>
        <v>0</v>
      </c>
      <c r="D29">
        <f>N('Lube Frequency BMSK'!E54)</f>
        <v>0</v>
      </c>
      <c r="F29" t="str">
        <f t="shared" si="0"/>
        <v>DOOSAN P250/HP210 COMPRESSOR</v>
      </c>
      <c r="G29">
        <f>'Lube Frequency BMSK'!I54*B29*('Lube Frequency BMSK'!$L$1/$H$1)</f>
        <v>0</v>
      </c>
      <c r="H29">
        <f>'Lube Frequency BMSK'!I54*C29*('Lube Frequency BMSK'!$L$1/$H$1)</f>
        <v>0</v>
      </c>
      <c r="I29">
        <f>'Lube Frequency BMSK'!I54*D29*('Lube Frequency BMSK'!$L$1/$H$1)</f>
        <v>0</v>
      </c>
    </row>
    <row r="30" spans="1:9" x14ac:dyDescent="0.25">
      <c r="A30" t="str">
        <f>'Lube Frequency BMSK'!B55</f>
        <v>ELAZ-BL 888 Backhoe Loader</v>
      </c>
      <c r="B30">
        <f>N('Lube Frequency BMSK'!C55)</f>
        <v>0</v>
      </c>
      <c r="C30">
        <f>N('Lube Frequency BMSK'!D55)</f>
        <v>0</v>
      </c>
      <c r="D30">
        <f>N('Lube Frequency BMSK'!E55)</f>
        <v>0</v>
      </c>
      <c r="F30" t="str">
        <f t="shared" si="0"/>
        <v>ELAZ-BL 888 Backhoe Loader</v>
      </c>
      <c r="G30">
        <f>'Lube Frequency BMSK'!I55*B30*('Lube Frequency BMSK'!$L$1/$H$1)</f>
        <v>0</v>
      </c>
      <c r="H30">
        <f>'Lube Frequency BMSK'!I55*C30*('Lube Frequency BMSK'!$L$1/$H$1)</f>
        <v>0</v>
      </c>
      <c r="I30">
        <f>'Lube Frequency BMSK'!I55*D30*('Lube Frequency BMSK'!$L$1/$H$1)</f>
        <v>0</v>
      </c>
    </row>
    <row r="31" spans="1:9" x14ac:dyDescent="0.25">
      <c r="A31" t="str">
        <f>'Lube Frequency BMSK'!B56</f>
        <v>Elcos Genset GE.CU.030/027.SS+011</v>
      </c>
      <c r="B31">
        <f>N('Lube Frequency BMSK'!C56)</f>
        <v>0</v>
      </c>
      <c r="C31">
        <f>N('Lube Frequency BMSK'!D56)</f>
        <v>0</v>
      </c>
      <c r="D31">
        <f>N('Lube Frequency BMSK'!E56)</f>
        <v>0</v>
      </c>
      <c r="F31" t="str">
        <f t="shared" si="0"/>
        <v>Elcos Genset GE.CU.030/027.SS+011</v>
      </c>
      <c r="G31">
        <f>'Lube Frequency BMSK'!I56*B31*('Lube Frequency BMSK'!$L$1/$H$1)</f>
        <v>0</v>
      </c>
      <c r="H31">
        <f>'Lube Frequency BMSK'!I56*C31*('Lube Frequency BMSK'!$L$1/$H$1)</f>
        <v>0</v>
      </c>
      <c r="I31">
        <f>'Lube Frequency BMSK'!I56*D31*('Lube Frequency BMSK'!$L$1/$H$1)</f>
        <v>0</v>
      </c>
    </row>
    <row r="32" spans="1:9" x14ac:dyDescent="0.25">
      <c r="A32" t="str">
        <f>'Lube Frequency BMSK'!B57</f>
        <v>FAW CA1081P40K2L4E5A85</v>
      </c>
      <c r="B32">
        <f>N('Lube Frequency BMSK'!C57)</f>
        <v>0</v>
      </c>
      <c r="C32">
        <f>N('Lube Frequency BMSK'!D57)</f>
        <v>0</v>
      </c>
      <c r="D32">
        <f>N('Lube Frequency BMSK'!E57)</f>
        <v>0</v>
      </c>
      <c r="F32" t="str">
        <f t="shared" si="0"/>
        <v>FAW CA1081P40K2L4E5A85</v>
      </c>
      <c r="G32">
        <f>'Lube Frequency BMSK'!I57*B32*('Lube Frequency BMSK'!$L$1/$H$1)</f>
        <v>0</v>
      </c>
      <c r="H32">
        <f>'Lube Frequency BMSK'!I57*C32*('Lube Frequency BMSK'!$L$1/$H$1)</f>
        <v>0</v>
      </c>
      <c r="I32">
        <f>'Lube Frequency BMSK'!I57*D32*('Lube Frequency BMSK'!$L$1/$H$1)</f>
        <v>0</v>
      </c>
    </row>
    <row r="33" spans="1:9" x14ac:dyDescent="0.25">
      <c r="A33" t="str">
        <f>'Lube Frequency BMSK'!B58</f>
        <v>FAW CA1121P40K2LE5A85</v>
      </c>
      <c r="B33">
        <f>N('Lube Frequency BMSK'!C58)</f>
        <v>0</v>
      </c>
      <c r="C33">
        <f>N('Lube Frequency BMSK'!D58)</f>
        <v>0</v>
      </c>
      <c r="D33">
        <f>N('Lube Frequency BMSK'!E58)</f>
        <v>0</v>
      </c>
      <c r="F33" t="str">
        <f t="shared" si="0"/>
        <v>FAW CA1121P40K2LE5A85</v>
      </c>
      <c r="G33">
        <f>'Lube Frequency BMSK'!I58*B33*('Lube Frequency BMSK'!$L$1/$H$1)</f>
        <v>0</v>
      </c>
      <c r="H33">
        <f>'Lube Frequency BMSK'!I58*C33*('Lube Frequency BMSK'!$L$1/$H$1)</f>
        <v>0</v>
      </c>
      <c r="I33">
        <f>'Lube Frequency BMSK'!I58*D33*('Lube Frequency BMSK'!$L$1/$H$1)</f>
        <v>0</v>
      </c>
    </row>
    <row r="34" spans="1:9" x14ac:dyDescent="0.25">
      <c r="A34" t="str">
        <f>'Lube Frequency BMSK'!B59</f>
        <v>FAW CA2080P40K8T5E5A84</v>
      </c>
      <c r="B34">
        <f>N('Lube Frequency BMSK'!C59)</f>
        <v>0</v>
      </c>
      <c r="C34">
        <f>N('Lube Frequency BMSK'!D59)</f>
        <v>0</v>
      </c>
      <c r="D34">
        <f>N('Lube Frequency BMSK'!E59)</f>
        <v>0</v>
      </c>
      <c r="F34" t="str">
        <f t="shared" si="0"/>
        <v>FAW CA2080P40K8T5E5A84</v>
      </c>
      <c r="G34">
        <f>'Lube Frequency BMSK'!I59*B34*('Lube Frequency BMSK'!$L$1/$H$1)</f>
        <v>0</v>
      </c>
      <c r="H34">
        <f>'Lube Frequency BMSK'!I59*C34*('Lube Frequency BMSK'!$L$1/$H$1)</f>
        <v>0</v>
      </c>
      <c r="I34">
        <f>'Lube Frequency BMSK'!I59*D34*('Lube Frequency BMSK'!$L$1/$H$1)</f>
        <v>0</v>
      </c>
    </row>
    <row r="35" spans="1:9" x14ac:dyDescent="0.25">
      <c r="A35" t="str">
        <f>'Lube Frequency BMSK'!B60</f>
        <v>FAW CA3250P66K24L1TE5</v>
      </c>
      <c r="B35">
        <f>N('Lube Frequency BMSK'!C60)</f>
        <v>0</v>
      </c>
      <c r="C35">
        <f>N('Lube Frequency BMSK'!D60)</f>
        <v>0</v>
      </c>
      <c r="D35">
        <f>N('Lube Frequency BMSK'!E60)</f>
        <v>0</v>
      </c>
      <c r="F35" t="str">
        <f t="shared" si="0"/>
        <v>FAW CA3250P66K24L1TE5</v>
      </c>
      <c r="G35">
        <f>'Lube Frequency BMSK'!I60*B35*('Lube Frequency BMSK'!$L$1/$H$1)</f>
        <v>0</v>
      </c>
      <c r="H35">
        <f>'Lube Frequency BMSK'!I60*C35*('Lube Frequency BMSK'!$L$1/$H$1)</f>
        <v>0</v>
      </c>
      <c r="I35">
        <f>'Lube Frequency BMSK'!I60*D35*('Lube Frequency BMSK'!$L$1/$H$1)</f>
        <v>0</v>
      </c>
    </row>
    <row r="36" spans="1:9" x14ac:dyDescent="0.25">
      <c r="A36" t="str">
        <f>'Lube Frequency BMSK'!B61</f>
        <v>FORD TRANSIT DE-ICER VAN</v>
      </c>
      <c r="B36">
        <f>N('Lube Frequency BMSK'!C61)</f>
        <v>0</v>
      </c>
      <c r="C36">
        <f>N('Lube Frequency BMSK'!D61)</f>
        <v>0</v>
      </c>
      <c r="D36">
        <f>N('Lube Frequency BMSK'!E61)</f>
        <v>0</v>
      </c>
      <c r="F36" t="str">
        <f t="shared" si="0"/>
        <v>FORD TRANSIT DE-ICER VAN</v>
      </c>
      <c r="G36">
        <f>'Lube Frequency BMSK'!I61*B36*('Lube Frequency BMSK'!$L$1/$H$1)</f>
        <v>0</v>
      </c>
      <c r="H36">
        <f>'Lube Frequency BMSK'!I61*C36*('Lube Frequency BMSK'!$L$1/$H$1)</f>
        <v>0</v>
      </c>
      <c r="I36">
        <f>'Lube Frequency BMSK'!I61*D36*('Lube Frequency BMSK'!$L$1/$H$1)</f>
        <v>0</v>
      </c>
    </row>
    <row r="37" spans="1:9" x14ac:dyDescent="0.25">
      <c r="A37" t="str">
        <f>'Lube Frequency BMSK'!B62</f>
        <v>KAMAZ  43118-3098-50</v>
      </c>
      <c r="B37">
        <f>N('Lube Frequency BMSK'!C62)</f>
        <v>0</v>
      </c>
      <c r="C37">
        <f>N('Lube Frequency BMSK'!D62)</f>
        <v>0</v>
      </c>
      <c r="D37">
        <f>N('Lube Frequency BMSK'!E62)</f>
        <v>0</v>
      </c>
      <c r="F37" t="str">
        <f t="shared" si="0"/>
        <v>KAMAZ  43118-3098-50</v>
      </c>
      <c r="G37">
        <f>'Lube Frequency BMSK'!I62*B37*('Lube Frequency BMSK'!$L$1/$H$1)</f>
        <v>0</v>
      </c>
      <c r="H37">
        <f>'Lube Frequency BMSK'!I62*C37*('Lube Frequency BMSK'!$L$1/$H$1)</f>
        <v>0</v>
      </c>
      <c r="I37">
        <f>'Lube Frequency BMSK'!I62*D37*('Lube Frequency BMSK'!$L$1/$H$1)</f>
        <v>0</v>
      </c>
    </row>
    <row r="38" spans="1:9" x14ac:dyDescent="0.25">
      <c r="A38" t="str">
        <f>'Lube Frequency BMSK'!B63</f>
        <v>GAZ 340901-0000012 ALL TERRAIN VEHICLE</v>
      </c>
      <c r="B38">
        <f>N('Lube Frequency BMSK'!C63)</f>
        <v>0</v>
      </c>
      <c r="C38">
        <f>N('Lube Frequency BMSK'!D63)</f>
        <v>0</v>
      </c>
      <c r="D38">
        <f>N('Lube Frequency BMSK'!E63)</f>
        <v>0</v>
      </c>
      <c r="F38" t="str">
        <f t="shared" si="0"/>
        <v>GAZ 340901-0000012 ALL TERRAIN VEHICLE</v>
      </c>
      <c r="G38">
        <f>'Lube Frequency BMSK'!I63*B38*('Lube Frequency BMSK'!$L$1/$H$1)</f>
        <v>0</v>
      </c>
      <c r="H38">
        <f>'Lube Frequency BMSK'!I63*C38*('Lube Frequency BMSK'!$L$1/$H$1)</f>
        <v>0</v>
      </c>
      <c r="I38">
        <f>'Lube Frequency BMSK'!I63*D38*('Lube Frequency BMSK'!$L$1/$H$1)</f>
        <v>0</v>
      </c>
    </row>
    <row r="39" spans="1:9" x14ac:dyDescent="0.25">
      <c r="A39" t="str">
        <f>'Lube Frequency BMSK'!B64</f>
        <v>GAZ SADKO NEXT TRUCK, BAGGAGE</v>
      </c>
      <c r="B39">
        <f>N('Lube Frequency BMSK'!C64)</f>
        <v>0</v>
      </c>
      <c r="C39">
        <f>N('Lube Frequency BMSK'!D64)</f>
        <v>0</v>
      </c>
      <c r="D39">
        <f>N('Lube Frequency BMSK'!E64)</f>
        <v>0</v>
      </c>
      <c r="F39" t="str">
        <f t="shared" si="0"/>
        <v>GAZ SADKO NEXT TRUCK, BAGGAGE</v>
      </c>
      <c r="G39">
        <f>'Lube Frequency BMSK'!I64*B39*('Lube Frequency BMSK'!$L$1/$H$1)</f>
        <v>0</v>
      </c>
      <c r="H39">
        <f>'Lube Frequency BMSK'!I64*C39*('Lube Frequency BMSK'!$L$1/$H$1)</f>
        <v>0</v>
      </c>
      <c r="I39">
        <f>'Lube Frequency BMSK'!I64*D39*('Lube Frequency BMSK'!$L$1/$H$1)</f>
        <v>0</v>
      </c>
    </row>
    <row r="40" spans="1:9" x14ac:dyDescent="0.25">
      <c r="A40" t="str">
        <f>'Lube Frequency BMSK'!B65</f>
        <v>Generac CUBE+ Super Lighting Tower</v>
      </c>
      <c r="B40">
        <f>N('Lube Frequency BMSK'!C65)</f>
        <v>0</v>
      </c>
      <c r="C40">
        <f>N('Lube Frequency BMSK'!D65)</f>
        <v>0</v>
      </c>
      <c r="D40">
        <f>N('Lube Frequency BMSK'!E65)</f>
        <v>0</v>
      </c>
      <c r="F40" t="str">
        <f t="shared" si="0"/>
        <v>Generac CUBE+ Super Lighting Tower</v>
      </c>
      <c r="G40">
        <f>'Lube Frequency BMSK'!I65*B40*('Lube Frequency BMSK'!$L$1/$H$1)</f>
        <v>0</v>
      </c>
      <c r="H40">
        <f>'Lube Frequency BMSK'!I65*C40*('Lube Frequency BMSK'!$L$1/$H$1)</f>
        <v>0</v>
      </c>
      <c r="I40">
        <f>'Lube Frequency BMSK'!I65*D40*('Lube Frequency BMSK'!$L$1/$H$1)</f>
        <v>0</v>
      </c>
    </row>
    <row r="41" spans="1:9" x14ac:dyDescent="0.25">
      <c r="A41" t="str">
        <f>'Lube Frequency BMSK'!B66</f>
        <v>Genset Onis Visa P21CK</v>
      </c>
      <c r="B41">
        <f>N('Lube Frequency BMSK'!C66)</f>
        <v>0</v>
      </c>
      <c r="C41">
        <f>N('Lube Frequency BMSK'!D66)</f>
        <v>0</v>
      </c>
      <c r="D41">
        <f>N('Lube Frequency BMSK'!E66)</f>
        <v>0</v>
      </c>
      <c r="F41" t="str">
        <f t="shared" si="0"/>
        <v>Genset Onis Visa P21CK</v>
      </c>
      <c r="G41">
        <f>'Lube Frequency BMSK'!I66*B41*('Lube Frequency BMSK'!$L$1/$H$1)</f>
        <v>0</v>
      </c>
      <c r="H41">
        <f>'Lube Frequency BMSK'!I66*C41*('Lube Frequency BMSK'!$L$1/$H$1)</f>
        <v>0</v>
      </c>
      <c r="I41">
        <f>'Lube Frequency BMSK'!I66*D41*('Lube Frequency BMSK'!$L$1/$H$1)</f>
        <v>0</v>
      </c>
    </row>
    <row r="42" spans="1:9" x14ac:dyDescent="0.25">
      <c r="A42" t="str">
        <f>'Lube Frequency BMSK'!B67</f>
        <v>Hanjin D&amp;B-16GT</v>
      </c>
      <c r="B42">
        <f>N('Lube Frequency BMSK'!C67)</f>
        <v>1</v>
      </c>
      <c r="C42">
        <f>N('Lube Frequency BMSK'!D67)</f>
        <v>2</v>
      </c>
      <c r="D42">
        <f>N('Lube Frequency BMSK'!E67)</f>
        <v>2</v>
      </c>
      <c r="F42" t="str">
        <f t="shared" si="0"/>
        <v>Hanjin D&amp;B-16GT</v>
      </c>
      <c r="G42">
        <f>'Lube Frequency BMSK'!I67*B42*('Lube Frequency BMSK'!$L$1/$H$1)</f>
        <v>84</v>
      </c>
      <c r="H42">
        <f>'Lube Frequency BMSK'!I67*C42*('Lube Frequency BMSK'!$L$1/$H$1)</f>
        <v>168</v>
      </c>
      <c r="I42">
        <f>'Lube Frequency BMSK'!I67*D42*('Lube Frequency BMSK'!$L$1/$H$1)</f>
        <v>168</v>
      </c>
    </row>
    <row r="43" spans="1:9" x14ac:dyDescent="0.25">
      <c r="A43" t="str">
        <f>'Lube Frequency BMSK'!B68</f>
        <v>Hitachi EX 1200-6BH</v>
      </c>
      <c r="B43">
        <f>N('Lube Frequency BMSK'!C68)</f>
        <v>2</v>
      </c>
      <c r="C43">
        <f>N('Lube Frequency BMSK'!D68)</f>
        <v>2</v>
      </c>
      <c r="D43">
        <f>N('Lube Frequency BMSK'!E68)</f>
        <v>2</v>
      </c>
      <c r="F43" t="str">
        <f t="shared" si="0"/>
        <v>Hitachi EX 1200-6BH</v>
      </c>
      <c r="G43">
        <f>'Lube Frequency BMSK'!I68*B43*('Lube Frequency BMSK'!$L$1/$H$1)</f>
        <v>252</v>
      </c>
      <c r="H43">
        <f>'Lube Frequency BMSK'!I68*C43*('Lube Frequency BMSK'!$L$1/$H$1)</f>
        <v>252</v>
      </c>
      <c r="I43">
        <f>'Lube Frequency BMSK'!I68*D43*('Lube Frequency BMSK'!$L$1/$H$1)</f>
        <v>252</v>
      </c>
    </row>
    <row r="44" spans="1:9" x14ac:dyDescent="0.25">
      <c r="A44" t="str">
        <f>'Lube Frequency BMSK'!B69</f>
        <v>Hitachi EX 1200-7BH</v>
      </c>
      <c r="B44">
        <f>N('Lube Frequency BMSK'!C69)</f>
        <v>1</v>
      </c>
      <c r="C44">
        <f>N('Lube Frequency BMSK'!D69)</f>
        <v>1</v>
      </c>
      <c r="D44">
        <f>N('Lube Frequency BMSK'!E69)</f>
        <v>1</v>
      </c>
      <c r="F44" t="str">
        <f t="shared" si="0"/>
        <v>Hitachi EX 1200-7BH</v>
      </c>
      <c r="G44">
        <f>'Lube Frequency BMSK'!I69*B44*('Lube Frequency BMSK'!$L$1/$H$1)</f>
        <v>126</v>
      </c>
      <c r="H44">
        <f>'Lube Frequency BMSK'!I69*C44*('Lube Frequency BMSK'!$L$1/$H$1)</f>
        <v>126</v>
      </c>
      <c r="I44">
        <f>'Lube Frequency BMSK'!I69*D44*('Lube Frequency BMSK'!$L$1/$H$1)</f>
        <v>126</v>
      </c>
    </row>
    <row r="45" spans="1:9" x14ac:dyDescent="0.25">
      <c r="A45" t="str">
        <f>'Lube Frequency BMSK'!B70</f>
        <v>Hitachi ZX 330-5G</v>
      </c>
      <c r="B45">
        <f>N('Lube Frequency BMSK'!C70)</f>
        <v>4</v>
      </c>
      <c r="C45">
        <f>N('Lube Frequency BMSK'!D70)</f>
        <v>4</v>
      </c>
      <c r="D45">
        <f>N('Lube Frequency BMSK'!E70)</f>
        <v>4</v>
      </c>
      <c r="F45" t="str">
        <f t="shared" si="0"/>
        <v>Hitachi ZX 330-5G</v>
      </c>
      <c r="G45">
        <f>'Lube Frequency BMSK'!I70*B45*('Lube Frequency BMSK'!$L$1/$H$1)</f>
        <v>392</v>
      </c>
      <c r="H45">
        <f>'Lube Frequency BMSK'!I70*C45*('Lube Frequency BMSK'!$L$1/$H$1)</f>
        <v>392</v>
      </c>
      <c r="I45">
        <f>'Lube Frequency BMSK'!I70*D45*('Lube Frequency BMSK'!$L$1/$H$1)</f>
        <v>392</v>
      </c>
    </row>
    <row r="46" spans="1:9" x14ac:dyDescent="0.25">
      <c r="A46" t="str">
        <f>'Lube Frequency BMSK'!B71</f>
        <v>Hitachi ZX 470</v>
      </c>
      <c r="B46">
        <f>N('Lube Frequency BMSK'!C71)</f>
        <v>4</v>
      </c>
      <c r="C46">
        <f>N('Lube Frequency BMSK'!D71)</f>
        <v>4</v>
      </c>
      <c r="D46">
        <f>N('Lube Frequency BMSK'!E71)</f>
        <v>4</v>
      </c>
      <c r="F46" t="str">
        <f t="shared" si="0"/>
        <v>Hitachi ZX 470</v>
      </c>
      <c r="G46">
        <f>'Lube Frequency BMSK'!I71*B46*('Lube Frequency BMSK'!$L$1/$H$1)</f>
        <v>392</v>
      </c>
      <c r="H46">
        <f>'Lube Frequency BMSK'!I71*C46*('Lube Frequency BMSK'!$L$1/$H$1)</f>
        <v>392</v>
      </c>
      <c r="I46">
        <f>'Lube Frequency BMSK'!I71*D46*('Lube Frequency BMSK'!$L$1/$H$1)</f>
        <v>392</v>
      </c>
    </row>
    <row r="47" spans="1:9" x14ac:dyDescent="0.25">
      <c r="A47" t="str">
        <f>'Lube Frequency BMSK'!B72</f>
        <v>HITACHI ZX210W-5A EXCAVATOR</v>
      </c>
      <c r="B47">
        <f>N('Lube Frequency BMSK'!C72)</f>
        <v>0</v>
      </c>
      <c r="C47">
        <f>N('Lube Frequency BMSK'!D72)</f>
        <v>0</v>
      </c>
      <c r="D47">
        <f>N('Lube Frequency BMSK'!E72)</f>
        <v>0</v>
      </c>
      <c r="F47" t="str">
        <f t="shared" si="0"/>
        <v>HITACHI ZX210W-5A EXCAVATOR</v>
      </c>
      <c r="G47">
        <f>'Lube Frequency BMSK'!I72*B47*('Lube Frequency BMSK'!$L$1/$H$1)</f>
        <v>0</v>
      </c>
      <c r="H47">
        <f>'Lube Frequency BMSK'!I72*C47*('Lube Frequency BMSK'!$L$1/$H$1)</f>
        <v>0</v>
      </c>
      <c r="I47">
        <f>'Lube Frequency BMSK'!I72*D47*('Lube Frequency BMSK'!$L$1/$H$1)</f>
        <v>0</v>
      </c>
    </row>
    <row r="48" spans="1:9" x14ac:dyDescent="0.25">
      <c r="A48" t="str">
        <f>'Lube Frequency BMSK'!B73</f>
        <v>HITACHI ZX280-5G EXCAVATOR</v>
      </c>
      <c r="B48">
        <f>N('Lube Frequency BMSK'!C73)</f>
        <v>0</v>
      </c>
      <c r="C48">
        <f>N('Lube Frequency BMSK'!D73)</f>
        <v>0</v>
      </c>
      <c r="D48">
        <f>N('Lube Frequency BMSK'!E73)</f>
        <v>0</v>
      </c>
      <c r="F48" t="str">
        <f t="shared" si="0"/>
        <v>HITACHI ZX280-5G EXCAVATOR</v>
      </c>
      <c r="G48">
        <f>'Lube Frequency BMSK'!I73*B48*('Lube Frequency BMSK'!$L$1/$H$1)</f>
        <v>0</v>
      </c>
      <c r="H48">
        <f>'Lube Frequency BMSK'!I73*C48*('Lube Frequency BMSK'!$L$1/$H$1)</f>
        <v>0</v>
      </c>
      <c r="I48">
        <f>'Lube Frequency BMSK'!I73*D48*('Lube Frequency BMSK'!$L$1/$H$1)</f>
        <v>0</v>
      </c>
    </row>
    <row r="49" spans="1:9" x14ac:dyDescent="0.25">
      <c r="A49" t="str">
        <f>'Lube Frequency BMSK'!B74</f>
        <v>Hyundai HL770-9S</v>
      </c>
      <c r="B49">
        <f>N('Lube Frequency BMSK'!C74)</f>
        <v>3</v>
      </c>
      <c r="C49">
        <f>N('Lube Frequency BMSK'!D74)</f>
        <v>3</v>
      </c>
      <c r="D49">
        <f>N('Lube Frequency BMSK'!E74)</f>
        <v>3</v>
      </c>
      <c r="F49" t="str">
        <f t="shared" si="0"/>
        <v>Hyundai HL770-9S</v>
      </c>
      <c r="G49">
        <f>'Lube Frequency BMSK'!I74*B49*('Lube Frequency BMSK'!$L$1/$H$1)</f>
        <v>210</v>
      </c>
      <c r="H49">
        <f>'Lube Frequency BMSK'!I74*C49*('Lube Frequency BMSK'!$L$1/$H$1)</f>
        <v>210</v>
      </c>
      <c r="I49">
        <f>'Lube Frequency BMSK'!I74*D49*('Lube Frequency BMSK'!$L$1/$H$1)</f>
        <v>210</v>
      </c>
    </row>
    <row r="50" spans="1:9" x14ac:dyDescent="0.25">
      <c r="A50" t="str">
        <f>'Lube Frequency BMSK'!B75</f>
        <v>IVECO AA10,0-100 EMERGENCY EQUIPMENT FIRE-TRUCK</v>
      </c>
      <c r="B50">
        <f>N('Lube Frequency BMSK'!C75)</f>
        <v>0</v>
      </c>
      <c r="C50">
        <f>N('Lube Frequency BMSK'!D75)</f>
        <v>0</v>
      </c>
      <c r="D50">
        <f>N('Lube Frequency BMSK'!E75)</f>
        <v>0</v>
      </c>
      <c r="F50" t="str">
        <f t="shared" si="0"/>
        <v>IVECO AA10,0-100 EMERGENCY EQUIPMENT FIRE-TRUCK</v>
      </c>
      <c r="G50">
        <f>'Lube Frequency BMSK'!I75*B50*('Lube Frequency BMSK'!$L$1/$H$1)</f>
        <v>0</v>
      </c>
      <c r="H50">
        <f>'Lube Frequency BMSK'!I75*C50*('Lube Frequency BMSK'!$L$1/$H$1)</f>
        <v>0</v>
      </c>
      <c r="I50">
        <f>'Lube Frequency BMSK'!I75*D50*('Lube Frequency BMSK'!$L$1/$H$1)</f>
        <v>0</v>
      </c>
    </row>
    <row r="51" spans="1:9" x14ac:dyDescent="0.25">
      <c r="A51" t="str">
        <f>'Lube Frequency BMSK'!B76</f>
        <v>IVECO AMT 473916 EMERGENCY EQUIPMENT FIRE-TRUCK</v>
      </c>
      <c r="B51">
        <f>N('Lube Frequency BMSK'!C76)</f>
        <v>0</v>
      </c>
      <c r="C51">
        <f>N('Lube Frequency BMSK'!D76)</f>
        <v>0</v>
      </c>
      <c r="D51">
        <f>N('Lube Frequency BMSK'!E76)</f>
        <v>0</v>
      </c>
      <c r="F51" t="str">
        <f t="shared" si="0"/>
        <v>IVECO AMT 473916 EMERGENCY EQUIPMENT FIRE-TRUCK</v>
      </c>
      <c r="G51">
        <f>'Lube Frequency BMSK'!I76*B51*('Lube Frequency BMSK'!$L$1/$H$1)</f>
        <v>0</v>
      </c>
      <c r="H51">
        <f>'Lube Frequency BMSK'!I76*C51*('Lube Frequency BMSK'!$L$1/$H$1)</f>
        <v>0</v>
      </c>
      <c r="I51">
        <f>'Lube Frequency BMSK'!I76*D51*('Lube Frequency BMSK'!$L$1/$H$1)</f>
        <v>0</v>
      </c>
    </row>
    <row r="52" spans="1:9" x14ac:dyDescent="0.25">
      <c r="A52" t="str">
        <f>'Lube Frequency BMSK'!B77</f>
        <v>IVECO-AMT 653900 Dump Truck</v>
      </c>
      <c r="B52">
        <f>N('Lube Frequency BMSK'!C77)</f>
        <v>4</v>
      </c>
      <c r="C52">
        <f>N('Lube Frequency BMSK'!D77)</f>
        <v>4</v>
      </c>
      <c r="D52">
        <f>N('Lube Frequency BMSK'!E77)</f>
        <v>4</v>
      </c>
      <c r="F52" t="str">
        <f t="shared" si="0"/>
        <v>IVECO-AMT 653900 Dump Truck</v>
      </c>
      <c r="G52">
        <f>'Lube Frequency BMSK'!I77*B52*('Lube Frequency BMSK'!$L$1/$H$1)</f>
        <v>56</v>
      </c>
      <c r="H52">
        <f>'Lube Frequency BMSK'!I77*C52*('Lube Frequency BMSK'!$L$1/$H$1)</f>
        <v>56</v>
      </c>
      <c r="I52">
        <f>'Lube Frequency BMSK'!I77*D52*('Lube Frequency BMSK'!$L$1/$H$1)</f>
        <v>56</v>
      </c>
    </row>
    <row r="53" spans="1:9" x14ac:dyDescent="0.25">
      <c r="A53" t="str">
        <f>'Lube Frequency BMSK'!B78</f>
        <v>IVECO-AMT 653910 Tractor Truck</v>
      </c>
      <c r="B53">
        <f>N('Lube Frequency BMSK'!C78)</f>
        <v>0</v>
      </c>
      <c r="C53">
        <f>N('Lube Frequency BMSK'!D78)</f>
        <v>0</v>
      </c>
      <c r="D53">
        <f>N('Lube Frequency BMSK'!E78)</f>
        <v>0</v>
      </c>
      <c r="F53" t="str">
        <f t="shared" si="0"/>
        <v>IVECO-AMT 653910 Tractor Truck</v>
      </c>
      <c r="G53">
        <f>'Lube Frequency BMSK'!I78*B53*('Lube Frequency BMSK'!$L$1/$H$1)</f>
        <v>0</v>
      </c>
      <c r="H53">
        <f>'Lube Frequency BMSK'!I78*C53*('Lube Frequency BMSK'!$L$1/$H$1)</f>
        <v>0</v>
      </c>
      <c r="I53">
        <f>'Lube Frequency BMSK'!I78*D53*('Lube Frequency BMSK'!$L$1/$H$1)</f>
        <v>0</v>
      </c>
    </row>
    <row r="54" spans="1:9" x14ac:dyDescent="0.25">
      <c r="A54" t="str">
        <f>'Lube Frequency BMSK'!B79</f>
        <v>IVECO-AMT MTGE3 Tractor Truck</v>
      </c>
      <c r="B54">
        <f>N('Lube Frequency BMSK'!C79)</f>
        <v>0</v>
      </c>
      <c r="C54">
        <f>N('Lube Frequency BMSK'!D79)</f>
        <v>0</v>
      </c>
      <c r="D54">
        <f>N('Lube Frequency BMSK'!E79)</f>
        <v>0</v>
      </c>
      <c r="F54" t="str">
        <f t="shared" si="0"/>
        <v>IVECO-AMT MTGE3 Tractor Truck</v>
      </c>
      <c r="G54">
        <f>'Lube Frequency BMSK'!I79*B54*('Lube Frequency BMSK'!$L$1/$H$1)</f>
        <v>0</v>
      </c>
      <c r="H54">
        <f>'Lube Frequency BMSK'!I79*C54*('Lube Frequency BMSK'!$L$1/$H$1)</f>
        <v>0</v>
      </c>
      <c r="I54">
        <f>'Lube Frequency BMSK'!I79*D54*('Lube Frequency BMSK'!$L$1/$H$1)</f>
        <v>0</v>
      </c>
    </row>
    <row r="55" spans="1:9" x14ac:dyDescent="0.25">
      <c r="A55" t="str">
        <f>'Lube Frequency BMSK'!B80</f>
        <v>JCB VM200D COMPACTOR, ROLLER DRUM</v>
      </c>
      <c r="B55">
        <f>N('Lube Frequency BMSK'!C80)</f>
        <v>0</v>
      </c>
      <c r="C55">
        <f>N('Lube Frequency BMSK'!D80)</f>
        <v>0</v>
      </c>
      <c r="D55">
        <f>N('Lube Frequency BMSK'!E80)</f>
        <v>0</v>
      </c>
      <c r="F55" t="str">
        <f t="shared" si="0"/>
        <v>JCB VM200D COMPACTOR, ROLLER DRUM</v>
      </c>
      <c r="G55">
        <f>'Lube Frequency BMSK'!I80*B55*('Lube Frequency BMSK'!$L$1/$H$1)</f>
        <v>0</v>
      </c>
      <c r="H55">
        <f>'Lube Frequency BMSK'!I80*C55*('Lube Frequency BMSK'!$L$1/$H$1)</f>
        <v>0</v>
      </c>
      <c r="I55">
        <f>'Lube Frequency BMSK'!I80*D55*('Lube Frequency BMSK'!$L$1/$H$1)</f>
        <v>0</v>
      </c>
    </row>
    <row r="56" spans="1:9" x14ac:dyDescent="0.25">
      <c r="A56" t="str">
        <f>'Lube Frequency BMSK'!B81</f>
        <v>JLG 520AJ Manlift</v>
      </c>
      <c r="B56">
        <f>N('Lube Frequency BMSK'!C81)</f>
        <v>0</v>
      </c>
      <c r="C56">
        <f>N('Lube Frequency BMSK'!D81)</f>
        <v>0</v>
      </c>
      <c r="D56">
        <f>N('Lube Frequency BMSK'!E81)</f>
        <v>0</v>
      </c>
      <c r="F56" t="str">
        <f t="shared" si="0"/>
        <v>JLG 520AJ Manlift</v>
      </c>
      <c r="G56">
        <f>'Lube Frequency BMSK'!I81*B56*('Lube Frequency BMSK'!$L$1/$H$1)</f>
        <v>0</v>
      </c>
      <c r="H56">
        <f>'Lube Frequency BMSK'!I81*C56*('Lube Frequency BMSK'!$L$1/$H$1)</f>
        <v>0</v>
      </c>
      <c r="I56">
        <f>'Lube Frequency BMSK'!I81*D56*('Lube Frequency BMSK'!$L$1/$H$1)</f>
        <v>0</v>
      </c>
    </row>
    <row r="57" spans="1:9" x14ac:dyDescent="0.25">
      <c r="A57" t="str">
        <f>'Lube Frequency BMSK'!B82</f>
        <v>KAMAZ 65201-6010-49(B5)</v>
      </c>
      <c r="B57">
        <f>N('Lube Frequency BMSK'!C82)</f>
        <v>25</v>
      </c>
      <c r="C57">
        <f>N('Lube Frequency BMSK'!D82)</f>
        <v>25</v>
      </c>
      <c r="D57">
        <f>N('Lube Frequency BMSK'!E82)</f>
        <v>25</v>
      </c>
      <c r="F57" t="str">
        <f t="shared" si="0"/>
        <v>KAMAZ 65201-6010-49(B5)</v>
      </c>
      <c r="G57">
        <f>'Lube Frequency BMSK'!I82*B57*('Lube Frequency BMSK'!$L$1/$H$1)</f>
        <v>350</v>
      </c>
      <c r="H57">
        <f>'Lube Frequency BMSK'!I82*C57*('Lube Frequency BMSK'!$L$1/$H$1)</f>
        <v>350</v>
      </c>
      <c r="I57">
        <f>'Lube Frequency BMSK'!I82*D57*('Lube Frequency BMSK'!$L$1/$H$1)</f>
        <v>350</v>
      </c>
    </row>
    <row r="58" spans="1:9" x14ac:dyDescent="0.25">
      <c r="A58" t="str">
        <f>'Lube Frequency BMSK'!B83</f>
        <v>KOHLER J165 GENERATOR</v>
      </c>
      <c r="B58">
        <f>N('Lube Frequency BMSK'!C83)</f>
        <v>0</v>
      </c>
      <c r="C58">
        <f>N('Lube Frequency BMSK'!D83)</f>
        <v>0</v>
      </c>
      <c r="D58">
        <f>N('Lube Frequency BMSK'!E83)</f>
        <v>0</v>
      </c>
      <c r="F58" t="str">
        <f t="shared" si="0"/>
        <v>KOHLER J165 GENERATOR</v>
      </c>
      <c r="G58">
        <f>'Lube Frequency BMSK'!I83*B58*('Lube Frequency BMSK'!$L$1/$H$1)</f>
        <v>0</v>
      </c>
      <c r="H58">
        <f>'Lube Frequency BMSK'!I83*C58*('Lube Frequency BMSK'!$L$1/$H$1)</f>
        <v>0</v>
      </c>
      <c r="I58">
        <f>'Lube Frequency BMSK'!I83*D58*('Lube Frequency BMSK'!$L$1/$H$1)</f>
        <v>0</v>
      </c>
    </row>
    <row r="59" spans="1:9" x14ac:dyDescent="0.25">
      <c r="A59" t="str">
        <f>'Lube Frequency BMSK'!B84</f>
        <v>Komatsu D155A-5</v>
      </c>
      <c r="B59">
        <f>N('Lube Frequency BMSK'!C84)</f>
        <v>2</v>
      </c>
      <c r="C59">
        <f>N('Lube Frequency BMSK'!D84)</f>
        <v>2</v>
      </c>
      <c r="D59">
        <f>N('Lube Frequency BMSK'!E84)</f>
        <v>2</v>
      </c>
      <c r="F59" t="str">
        <f t="shared" si="0"/>
        <v>Komatsu D155A-5</v>
      </c>
      <c r="G59">
        <f>'Lube Frequency BMSK'!I84*B59*('Lube Frequency BMSK'!$L$1/$H$1)</f>
        <v>168</v>
      </c>
      <c r="H59">
        <f>'Lube Frequency BMSK'!I84*C59*('Lube Frequency BMSK'!$L$1/$H$1)</f>
        <v>168</v>
      </c>
      <c r="I59">
        <f>'Lube Frequency BMSK'!I84*D59*('Lube Frequency BMSK'!$L$1/$H$1)</f>
        <v>168</v>
      </c>
    </row>
    <row r="60" spans="1:9" x14ac:dyDescent="0.25">
      <c r="A60" t="str">
        <f>'Lube Frequency BMSK'!B85</f>
        <v>Komatsu D275A-5</v>
      </c>
      <c r="B60">
        <f>N('Lube Frequency BMSK'!C85)</f>
        <v>2</v>
      </c>
      <c r="C60">
        <f>N('Lube Frequency BMSK'!D85)</f>
        <v>2</v>
      </c>
      <c r="D60">
        <f>N('Lube Frequency BMSK'!E85)</f>
        <v>2</v>
      </c>
      <c r="F60" t="str">
        <f t="shared" si="0"/>
        <v>Komatsu D275A-5</v>
      </c>
      <c r="G60">
        <f>'Lube Frequency BMSK'!I85*B60*('Lube Frequency BMSK'!$L$1/$H$1)</f>
        <v>168</v>
      </c>
      <c r="H60">
        <f>'Lube Frequency BMSK'!I85*C60*('Lube Frequency BMSK'!$L$1/$H$1)</f>
        <v>168</v>
      </c>
      <c r="I60">
        <f>'Lube Frequency BMSK'!I85*D60*('Lube Frequency BMSK'!$L$1/$H$1)</f>
        <v>168</v>
      </c>
    </row>
    <row r="61" spans="1:9" x14ac:dyDescent="0.25">
      <c r="A61" t="str">
        <f>'Lube Frequency BMSK'!B86</f>
        <v>Komatsu D375A-6</v>
      </c>
      <c r="B61">
        <f>N('Lube Frequency BMSK'!C86)</f>
        <v>5</v>
      </c>
      <c r="C61">
        <f>N('Lube Frequency BMSK'!D86)</f>
        <v>5</v>
      </c>
      <c r="D61">
        <f>N('Lube Frequency BMSK'!E86)</f>
        <v>5</v>
      </c>
      <c r="F61" t="str">
        <f t="shared" si="0"/>
        <v>Komatsu D375A-6</v>
      </c>
      <c r="G61">
        <f>'Lube Frequency BMSK'!I86*B61*('Lube Frequency BMSK'!$L$1/$H$1)</f>
        <v>420</v>
      </c>
      <c r="H61">
        <f>'Lube Frequency BMSK'!I86*C61*('Lube Frequency BMSK'!$L$1/$H$1)</f>
        <v>420</v>
      </c>
      <c r="I61">
        <f>'Lube Frequency BMSK'!I86*D61*('Lube Frequency BMSK'!$L$1/$H$1)</f>
        <v>420</v>
      </c>
    </row>
    <row r="62" spans="1:9" x14ac:dyDescent="0.25">
      <c r="A62" t="str">
        <f>'Lube Frequency BMSK'!B87</f>
        <v>Komatsu GD825A-2</v>
      </c>
      <c r="B62">
        <f>N('Lube Frequency BMSK'!C87)</f>
        <v>2</v>
      </c>
      <c r="C62">
        <f>N('Lube Frequency BMSK'!D87)</f>
        <v>2</v>
      </c>
      <c r="D62">
        <f>N('Lube Frequency BMSK'!E87)</f>
        <v>2</v>
      </c>
      <c r="F62" t="str">
        <f t="shared" si="0"/>
        <v>Komatsu GD825A-2</v>
      </c>
      <c r="G62">
        <f>'Lube Frequency BMSK'!I87*B62*('Lube Frequency BMSK'!$L$1/$H$1)</f>
        <v>280</v>
      </c>
      <c r="H62">
        <f>'Lube Frequency BMSK'!I87*C62*('Lube Frequency BMSK'!$L$1/$H$1)</f>
        <v>280</v>
      </c>
      <c r="I62">
        <f>'Lube Frequency BMSK'!I87*D62*('Lube Frequency BMSK'!$L$1/$H$1)</f>
        <v>280</v>
      </c>
    </row>
    <row r="63" spans="1:9" x14ac:dyDescent="0.25">
      <c r="A63" t="str">
        <f>'Lube Frequency BMSK'!B88</f>
        <v>Komatsu HM400-3MO</v>
      </c>
      <c r="B63">
        <f>N('Lube Frequency BMSK'!C88)</f>
        <v>28</v>
      </c>
      <c r="C63">
        <f>N('Lube Frequency BMSK'!D88)</f>
        <v>28</v>
      </c>
      <c r="D63">
        <f>N('Lube Frequency BMSK'!E88)</f>
        <v>28</v>
      </c>
      <c r="F63" t="str">
        <f t="shared" si="0"/>
        <v>Komatsu HM400-3MO</v>
      </c>
      <c r="G63">
        <f>'Lube Frequency BMSK'!I88*B63*('Lube Frequency BMSK'!$L$1/$H$1)</f>
        <v>3528</v>
      </c>
      <c r="H63">
        <f>'Lube Frequency BMSK'!I88*C63*('Lube Frequency BMSK'!$L$1/$H$1)</f>
        <v>3528</v>
      </c>
      <c r="I63">
        <f>'Lube Frequency BMSK'!I88*D63*('Lube Frequency BMSK'!$L$1/$H$1)</f>
        <v>3528</v>
      </c>
    </row>
    <row r="64" spans="1:9" x14ac:dyDescent="0.25">
      <c r="A64" t="str">
        <f>'Lube Frequency BMSK'!B89</f>
        <v>Komatsu P&amp;H 44XT</v>
      </c>
      <c r="B64">
        <f>N('Lube Frequency BMSK'!C89)</f>
        <v>2</v>
      </c>
      <c r="C64">
        <f>N('Lube Frequency BMSK'!D89)</f>
        <v>2</v>
      </c>
      <c r="D64">
        <f>N('Lube Frequency BMSK'!E89)</f>
        <v>2</v>
      </c>
      <c r="F64" t="str">
        <f t="shared" si="0"/>
        <v>Komatsu P&amp;H 44XT</v>
      </c>
      <c r="G64">
        <f>'Lube Frequency BMSK'!I89*B64*('Lube Frequency BMSK'!$L$1/$H$1)</f>
        <v>336</v>
      </c>
      <c r="H64">
        <f>'Lube Frequency BMSK'!I89*C64*('Lube Frequency BMSK'!$L$1/$H$1)</f>
        <v>336</v>
      </c>
      <c r="I64">
        <f>'Lube Frequency BMSK'!I89*D64*('Lube Frequency BMSK'!$L$1/$H$1)</f>
        <v>336</v>
      </c>
    </row>
    <row r="65" spans="1:9" x14ac:dyDescent="0.25">
      <c r="A65" t="str">
        <f>'Lube Frequency BMSK'!B90</f>
        <v>KOMATSU PC2000-8</v>
      </c>
      <c r="B65">
        <f>N('Lube Frequency BMSK'!C90)</f>
        <v>2</v>
      </c>
      <c r="C65">
        <f>N('Lube Frequency BMSK'!D90)</f>
        <v>2</v>
      </c>
      <c r="D65">
        <f>N('Lube Frequency BMSK'!E90)</f>
        <v>2</v>
      </c>
      <c r="F65" t="str">
        <f t="shared" si="0"/>
        <v>KOMATSU PC2000-8</v>
      </c>
      <c r="G65">
        <f>'Lube Frequency BMSK'!I90*B65*('Lube Frequency BMSK'!$L$1/$H$1)</f>
        <v>196</v>
      </c>
      <c r="H65">
        <f>'Lube Frequency BMSK'!I90*C65*('Lube Frequency BMSK'!$L$1/$H$1)</f>
        <v>196</v>
      </c>
      <c r="I65">
        <f>'Lube Frequency BMSK'!I90*D65*('Lube Frequency BMSK'!$L$1/$H$1)</f>
        <v>196</v>
      </c>
    </row>
    <row r="66" spans="1:9" x14ac:dyDescent="0.25">
      <c r="A66" t="str">
        <f>'Lube Frequency BMSK'!B91</f>
        <v>Komatsu PC800-8EO</v>
      </c>
      <c r="B66">
        <f>N('Lube Frequency BMSK'!C91)</f>
        <v>3</v>
      </c>
      <c r="C66">
        <f>N('Lube Frequency BMSK'!D91)</f>
        <v>3</v>
      </c>
      <c r="D66">
        <f>N('Lube Frequency BMSK'!E91)</f>
        <v>3</v>
      </c>
      <c r="F66" t="str">
        <f t="shared" si="0"/>
        <v>Komatsu PC800-8EO</v>
      </c>
      <c r="G66">
        <f>'Lube Frequency BMSK'!I91*B66*('Lube Frequency BMSK'!$L$1/$H$1)</f>
        <v>252</v>
      </c>
      <c r="H66">
        <f>'Lube Frequency BMSK'!I91*C66*('Lube Frequency BMSK'!$L$1/$H$1)</f>
        <v>252</v>
      </c>
      <c r="I66">
        <f>'Lube Frequency BMSK'!I91*D66*('Lube Frequency BMSK'!$L$1/$H$1)</f>
        <v>252</v>
      </c>
    </row>
    <row r="67" spans="1:9" x14ac:dyDescent="0.25">
      <c r="A67" t="str">
        <f>'Lube Frequency BMSK'!B92</f>
        <v>Komatsu WA470-6 8?</v>
      </c>
      <c r="B67">
        <f>N('Lube Frequency BMSK'!C92)</f>
        <v>5</v>
      </c>
      <c r="C67">
        <f>N('Lube Frequency BMSK'!D92)</f>
        <v>5</v>
      </c>
      <c r="D67">
        <f>N('Lube Frequency BMSK'!E92)</f>
        <v>5</v>
      </c>
      <c r="F67" t="str">
        <f t="shared" si="0"/>
        <v>Komatsu WA470-6 8?</v>
      </c>
      <c r="G67">
        <f>'Lube Frequency BMSK'!I92*B67*('Lube Frequency BMSK'!$L$1/$H$1)</f>
        <v>350</v>
      </c>
      <c r="H67">
        <f>'Lube Frequency BMSK'!I92*C67*('Lube Frequency BMSK'!$L$1/$H$1)</f>
        <v>350</v>
      </c>
      <c r="I67">
        <f>'Lube Frequency BMSK'!I92*D67*('Lube Frequency BMSK'!$L$1/$H$1)</f>
        <v>350</v>
      </c>
    </row>
    <row r="68" spans="1:9" x14ac:dyDescent="0.25">
      <c r="A68" t="str">
        <f>'Lube Frequency BMSK'!B93</f>
        <v>LIUGONG 395B</v>
      </c>
      <c r="B68">
        <f>N('Lube Frequency BMSK'!C93)</f>
        <v>0</v>
      </c>
      <c r="C68">
        <f>N('Lube Frequency BMSK'!D93)</f>
        <v>0</v>
      </c>
      <c r="D68">
        <f>N('Lube Frequency BMSK'!E93)</f>
        <v>0</v>
      </c>
      <c r="F68" t="str">
        <f t="shared" si="0"/>
        <v>LIUGONG 395B</v>
      </c>
      <c r="G68">
        <f>'Lube Frequency BMSK'!I93*B68*('Lube Frequency BMSK'!$L$1/$H$1)</f>
        <v>0</v>
      </c>
      <c r="H68">
        <f>'Lube Frequency BMSK'!I93*C68*('Lube Frequency BMSK'!$L$1/$H$1)</f>
        <v>0</v>
      </c>
      <c r="I68">
        <f>'Lube Frequency BMSK'!I93*D68*('Lube Frequency BMSK'!$L$1/$H$1)</f>
        <v>0</v>
      </c>
    </row>
    <row r="69" spans="1:9" x14ac:dyDescent="0.25">
      <c r="A69" t="str">
        <f>'Lube Frequency BMSK'!B94</f>
        <v>LIUGONG CLG2050H</v>
      </c>
      <c r="B69">
        <f>N('Lube Frequency BMSK'!C94)</f>
        <v>0</v>
      </c>
      <c r="C69">
        <f>N('Lube Frequency BMSK'!D94)</f>
        <v>0</v>
      </c>
      <c r="D69">
        <f>N('Lube Frequency BMSK'!E94)</f>
        <v>0</v>
      </c>
      <c r="F69" t="str">
        <f t="shared" si="0"/>
        <v>LIUGONG CLG2050H</v>
      </c>
      <c r="G69">
        <f>'Lube Frequency BMSK'!I94*B69*('Lube Frequency BMSK'!$L$1/$H$1)</f>
        <v>0</v>
      </c>
      <c r="H69">
        <f>'Lube Frequency BMSK'!I94*C69*('Lube Frequency BMSK'!$L$1/$H$1)</f>
        <v>0</v>
      </c>
      <c r="I69">
        <f>'Lube Frequency BMSK'!I94*D69*('Lube Frequency BMSK'!$L$1/$H$1)</f>
        <v>0</v>
      </c>
    </row>
    <row r="70" spans="1:9" x14ac:dyDescent="0.25">
      <c r="A70" t="str">
        <f>'Lube Frequency BMSK'!B95</f>
        <v>Liugong CLG764A</v>
      </c>
      <c r="B70">
        <f>N('Lube Frequency BMSK'!C95)</f>
        <v>0</v>
      </c>
      <c r="C70">
        <f>N('Lube Frequency BMSK'!D95)</f>
        <v>0</v>
      </c>
      <c r="D70">
        <f>N('Lube Frequency BMSK'!E95)</f>
        <v>0</v>
      </c>
      <c r="F70" t="str">
        <f t="shared" si="0"/>
        <v>Liugong CLG764A</v>
      </c>
      <c r="G70">
        <f>'Lube Frequency BMSK'!I95*B70*('Lube Frequency BMSK'!$L$1/$H$1)</f>
        <v>0</v>
      </c>
      <c r="H70">
        <f>'Lube Frequency BMSK'!I95*C70*('Lube Frequency BMSK'!$L$1/$H$1)</f>
        <v>0</v>
      </c>
      <c r="I70">
        <f>'Lube Frequency BMSK'!I95*D70*('Lube Frequency BMSK'!$L$1/$H$1)</f>
        <v>0</v>
      </c>
    </row>
    <row r="71" spans="1:9" x14ac:dyDescent="0.25">
      <c r="A71" t="str">
        <f>'Lube Frequency BMSK'!B96</f>
        <v>Liugong CLG8250H</v>
      </c>
      <c r="B71">
        <f>N('Lube Frequency BMSK'!C96)</f>
        <v>0</v>
      </c>
      <c r="C71">
        <f>N('Lube Frequency BMSK'!D96)</f>
        <v>0</v>
      </c>
      <c r="D71">
        <f>N('Lube Frequency BMSK'!E96)</f>
        <v>0</v>
      </c>
      <c r="F71" t="str">
        <f t="shared" ref="F71:F134" si="1">A71</f>
        <v>Liugong CLG8250H</v>
      </c>
      <c r="G71">
        <f>'Lube Frequency BMSK'!I96*B71*('Lube Frequency BMSK'!$L$1/$H$1)</f>
        <v>0</v>
      </c>
      <c r="H71">
        <f>'Lube Frequency BMSK'!I96*C71*('Lube Frequency BMSK'!$L$1/$H$1)</f>
        <v>0</v>
      </c>
      <c r="I71">
        <f>'Lube Frequency BMSK'!I96*D71*('Lube Frequency BMSK'!$L$1/$H$1)</f>
        <v>0</v>
      </c>
    </row>
    <row r="72" spans="1:9" x14ac:dyDescent="0.25">
      <c r="A72" t="str">
        <f>'Lube Frequency BMSK'!B97</f>
        <v>Liugong CLG886H</v>
      </c>
      <c r="B72">
        <f>N('Lube Frequency BMSK'!C97)</f>
        <v>0</v>
      </c>
      <c r="C72">
        <f>N('Lube Frequency BMSK'!D97)</f>
        <v>0</v>
      </c>
      <c r="D72">
        <f>N('Lube Frequency BMSK'!E97)</f>
        <v>0</v>
      </c>
      <c r="F72" t="str">
        <f t="shared" si="1"/>
        <v>Liugong CLG886H</v>
      </c>
      <c r="G72">
        <f>'Lube Frequency BMSK'!I97*B72*('Lube Frequency BMSK'!$L$1/$H$1)</f>
        <v>0</v>
      </c>
      <c r="H72">
        <f>'Lube Frequency BMSK'!I97*C72*('Lube Frequency BMSK'!$L$1/$H$1)</f>
        <v>0</v>
      </c>
      <c r="I72">
        <f>'Lube Frequency BMSK'!I97*D72*('Lube Frequency BMSK'!$L$1/$H$1)</f>
        <v>0</v>
      </c>
    </row>
    <row r="73" spans="1:9" x14ac:dyDescent="0.25">
      <c r="A73" t="str">
        <f>'Lube Frequency BMSK'!B98</f>
        <v>LIUGONG CLGA20-S</v>
      </c>
      <c r="B73">
        <f>N('Lube Frequency BMSK'!C98)</f>
        <v>0</v>
      </c>
      <c r="C73">
        <f>N('Lube Frequency BMSK'!D98)</f>
        <v>0</v>
      </c>
      <c r="D73">
        <f>N('Lube Frequency BMSK'!E98)</f>
        <v>0</v>
      </c>
      <c r="F73" t="str">
        <f t="shared" si="1"/>
        <v>LIUGONG CLGA20-S</v>
      </c>
      <c r="G73">
        <f>'Lube Frequency BMSK'!I98*B73*('Lube Frequency BMSK'!$L$1/$H$1)</f>
        <v>0</v>
      </c>
      <c r="H73">
        <f>'Lube Frequency BMSK'!I98*C73*('Lube Frequency BMSK'!$L$1/$H$1)</f>
        <v>0</v>
      </c>
      <c r="I73">
        <f>'Lube Frequency BMSK'!I98*D73*('Lube Frequency BMSK'!$L$1/$H$1)</f>
        <v>0</v>
      </c>
    </row>
    <row r="74" spans="1:9" x14ac:dyDescent="0.25">
      <c r="A74" t="str">
        <f>'Lube Frequency BMSK'!B99</f>
        <v xml:space="preserve">LIUGONG CPCD30 </v>
      </c>
      <c r="B74">
        <f>N('Lube Frequency BMSK'!C99)</f>
        <v>0</v>
      </c>
      <c r="C74">
        <f>N('Lube Frequency BMSK'!D99)</f>
        <v>0</v>
      </c>
      <c r="D74">
        <f>N('Lube Frequency BMSK'!E99)</f>
        <v>0</v>
      </c>
      <c r="F74" t="str">
        <f t="shared" si="1"/>
        <v xml:space="preserve">LIUGONG CPCD30 </v>
      </c>
      <c r="G74">
        <f>'Lube Frequency BMSK'!I99*B74*('Lube Frequency BMSK'!$L$1/$H$1)</f>
        <v>0</v>
      </c>
      <c r="H74">
        <f>'Lube Frequency BMSK'!I99*C74*('Lube Frequency BMSK'!$L$1/$H$1)</f>
        <v>0</v>
      </c>
      <c r="I74">
        <f>'Lube Frequency BMSK'!I99*D74*('Lube Frequency BMSK'!$L$1/$H$1)</f>
        <v>0</v>
      </c>
    </row>
    <row r="75" spans="1:9" x14ac:dyDescent="0.25">
      <c r="A75" t="str">
        <f>'Lube Frequency BMSK'!B100</f>
        <v>Longyear LF-90D</v>
      </c>
      <c r="B75">
        <f>N('Lube Frequency BMSK'!C100)</f>
        <v>3</v>
      </c>
      <c r="C75">
        <f>N('Lube Frequency BMSK'!D100)</f>
        <v>3</v>
      </c>
      <c r="D75">
        <f>N('Lube Frequency BMSK'!E100)</f>
        <v>3</v>
      </c>
      <c r="F75" t="str">
        <f t="shared" si="1"/>
        <v>Longyear LF-90D</v>
      </c>
      <c r="G75">
        <f>'Lube Frequency BMSK'!I100*B75*('Lube Frequency BMSK'!$L$1/$H$1)</f>
        <v>42</v>
      </c>
      <c r="H75">
        <f>'Lube Frequency BMSK'!I100*C75*('Lube Frequency BMSK'!$L$1/$H$1)</f>
        <v>42</v>
      </c>
      <c r="I75">
        <f>'Lube Frequency BMSK'!I100*D75*('Lube Frequency BMSK'!$L$1/$H$1)</f>
        <v>42</v>
      </c>
    </row>
    <row r="76" spans="1:9" x14ac:dyDescent="0.25">
      <c r="A76" t="str">
        <f>'Lube Frequency BMSK'!B101</f>
        <v>Luigong 990FHD</v>
      </c>
      <c r="B76">
        <f>N('Lube Frequency BMSK'!C101)</f>
        <v>2</v>
      </c>
      <c r="C76">
        <f>N('Lube Frequency BMSK'!D101)</f>
        <v>2</v>
      </c>
      <c r="D76">
        <f>N('Lube Frequency BMSK'!E101)</f>
        <v>2</v>
      </c>
      <c r="F76" t="str">
        <f t="shared" si="1"/>
        <v>Luigong 990FHD</v>
      </c>
      <c r="G76">
        <f>'Lube Frequency BMSK'!I101*B76*('Lube Frequency BMSK'!$L$1/$H$1)</f>
        <v>168</v>
      </c>
      <c r="H76">
        <f>'Lube Frequency BMSK'!I101*C76*('Lube Frequency BMSK'!$L$1/$H$1)</f>
        <v>168</v>
      </c>
      <c r="I76">
        <f>'Lube Frequency BMSK'!I101*D76*('Lube Frequency BMSK'!$L$1/$H$1)</f>
        <v>168</v>
      </c>
    </row>
    <row r="77" spans="1:9" x14ac:dyDescent="0.25">
      <c r="A77" t="str">
        <f>'Lube Frequency BMSK'!B102</f>
        <v>Luigong CLG4260D</v>
      </c>
      <c r="B77">
        <f>N('Lube Frequency BMSK'!C102)</f>
        <v>4</v>
      </c>
      <c r="C77">
        <f>N('Lube Frequency BMSK'!D102)</f>
        <v>4</v>
      </c>
      <c r="D77">
        <f>N('Lube Frequency BMSK'!E102)</f>
        <v>4</v>
      </c>
      <c r="F77" t="str">
        <f t="shared" si="1"/>
        <v>Luigong CLG4260D</v>
      </c>
      <c r="G77">
        <f>'Lube Frequency BMSK'!I102*B77*('Lube Frequency BMSK'!$L$1/$H$1)</f>
        <v>280</v>
      </c>
      <c r="H77">
        <f>'Lube Frequency BMSK'!I102*C77*('Lube Frequency BMSK'!$L$1/$H$1)</f>
        <v>280</v>
      </c>
      <c r="I77">
        <f>'Lube Frequency BMSK'!I102*D77*('Lube Frequency BMSK'!$L$1/$H$1)</f>
        <v>280</v>
      </c>
    </row>
    <row r="78" spans="1:9" x14ac:dyDescent="0.25">
      <c r="A78" t="str">
        <f>'Lube Frequency BMSK'!B103</f>
        <v>Luigong CLG970E</v>
      </c>
      <c r="B78">
        <f>N('Lube Frequency BMSK'!C103)</f>
        <v>3</v>
      </c>
      <c r="C78">
        <f>N('Lube Frequency BMSK'!D103)</f>
        <v>3</v>
      </c>
      <c r="D78">
        <f>N('Lube Frequency BMSK'!E103)</f>
        <v>3</v>
      </c>
      <c r="F78" t="str">
        <f t="shared" si="1"/>
        <v>Luigong CLG970E</v>
      </c>
      <c r="G78">
        <f>'Lube Frequency BMSK'!I103*B78*('Lube Frequency BMSK'!$L$1/$H$1)</f>
        <v>252</v>
      </c>
      <c r="H78">
        <f>'Lube Frequency BMSK'!I103*C78*('Lube Frequency BMSK'!$L$1/$H$1)</f>
        <v>252</v>
      </c>
      <c r="I78">
        <f>'Lube Frequency BMSK'!I103*D78*('Lube Frequency BMSK'!$L$1/$H$1)</f>
        <v>252</v>
      </c>
    </row>
    <row r="79" spans="1:9" x14ac:dyDescent="0.25">
      <c r="A79" t="str">
        <f>'Lube Frequency BMSK'!B104</f>
        <v>Luigong CLGF330</v>
      </c>
      <c r="B79">
        <f>N('Lube Frequency BMSK'!C104)</f>
        <v>1</v>
      </c>
      <c r="C79">
        <f>N('Lube Frequency BMSK'!D104)</f>
        <v>1</v>
      </c>
      <c r="D79">
        <f>N('Lube Frequency BMSK'!E104)</f>
        <v>1</v>
      </c>
      <c r="F79" t="str">
        <f t="shared" si="1"/>
        <v>Luigong CLGF330</v>
      </c>
      <c r="G79">
        <f>'Lube Frequency BMSK'!I104*B79*('Lube Frequency BMSK'!$L$1/$H$1)</f>
        <v>98</v>
      </c>
      <c r="H79">
        <f>'Lube Frequency BMSK'!I104*C79*('Lube Frequency BMSK'!$L$1/$H$1)</f>
        <v>98</v>
      </c>
      <c r="I79">
        <f>'Lube Frequency BMSK'!I104*D79*('Lube Frequency BMSK'!$L$1/$H$1)</f>
        <v>98</v>
      </c>
    </row>
    <row r="80" spans="1:9" x14ac:dyDescent="0.25">
      <c r="A80" t="str">
        <f>'Lube Frequency BMSK'!B105</f>
        <v>Manitou MHT-X 10135 Tyre Handler</v>
      </c>
      <c r="B80">
        <f>N('Lube Frequency BMSK'!C105)</f>
        <v>0</v>
      </c>
      <c r="C80">
        <f>N('Lube Frequency BMSK'!D105)</f>
        <v>0</v>
      </c>
      <c r="D80">
        <f>N('Lube Frequency BMSK'!E105)</f>
        <v>0</v>
      </c>
      <c r="F80" t="str">
        <f t="shared" si="1"/>
        <v>Manitou MHT-X 10135 Tyre Handler</v>
      </c>
      <c r="G80">
        <f>'Lube Frequency BMSK'!I105*B80*('Lube Frequency BMSK'!$L$1/$H$1)</f>
        <v>0</v>
      </c>
      <c r="H80">
        <f>'Lube Frequency BMSK'!I105*C80*('Lube Frequency BMSK'!$L$1/$H$1)</f>
        <v>0</v>
      </c>
      <c r="I80">
        <f>'Lube Frequency BMSK'!I105*D80*('Lube Frequency BMSK'!$L$1/$H$1)</f>
        <v>0</v>
      </c>
    </row>
    <row r="81" spans="1:9" x14ac:dyDescent="0.25">
      <c r="A81" t="str">
        <f>'Lube Frequency BMSK'!B106</f>
        <v>Manitou MHT-X 10180 Cylinder Handler</v>
      </c>
      <c r="B81">
        <f>N('Lube Frequency BMSK'!C106)</f>
        <v>0</v>
      </c>
      <c r="C81">
        <f>N('Lube Frequency BMSK'!D106)</f>
        <v>0</v>
      </c>
      <c r="D81">
        <f>N('Lube Frequency BMSK'!E106)</f>
        <v>0</v>
      </c>
      <c r="F81" t="str">
        <f t="shared" si="1"/>
        <v>Manitou MHT-X 10180 Cylinder Handler</v>
      </c>
      <c r="G81">
        <f>'Lube Frequency BMSK'!I106*B81*('Lube Frequency BMSK'!$L$1/$H$1)</f>
        <v>0</v>
      </c>
      <c r="H81">
        <f>'Lube Frequency BMSK'!I106*C81*('Lube Frequency BMSK'!$L$1/$H$1)</f>
        <v>0</v>
      </c>
      <c r="I81">
        <f>'Lube Frequency BMSK'!I106*D81*('Lube Frequency BMSK'!$L$1/$H$1)</f>
        <v>0</v>
      </c>
    </row>
    <row r="82" spans="1:9" x14ac:dyDescent="0.25">
      <c r="A82" t="str">
        <f>'Lube Frequency BMSK'!B107</f>
        <v>Manitou MHT-X 790 Telescopic Handler</v>
      </c>
      <c r="B82">
        <f>N('Lube Frequency BMSK'!C107)</f>
        <v>0</v>
      </c>
      <c r="C82">
        <f>N('Lube Frequency BMSK'!D107)</f>
        <v>0</v>
      </c>
      <c r="D82">
        <f>N('Lube Frequency BMSK'!E107)</f>
        <v>0</v>
      </c>
      <c r="F82" t="str">
        <f t="shared" si="1"/>
        <v>Manitou MHT-X 790 Telescopic Handler</v>
      </c>
      <c r="G82">
        <f>'Lube Frequency BMSK'!I107*B82*('Lube Frequency BMSK'!$L$1/$H$1)</f>
        <v>0</v>
      </c>
      <c r="H82">
        <f>'Lube Frequency BMSK'!I107*C82*('Lube Frequency BMSK'!$L$1/$H$1)</f>
        <v>0</v>
      </c>
      <c r="I82">
        <f>'Lube Frequency BMSK'!I107*D82*('Lube Frequency BMSK'!$L$1/$H$1)</f>
        <v>0</v>
      </c>
    </row>
    <row r="83" spans="1:9" x14ac:dyDescent="0.25">
      <c r="A83" t="str">
        <f>'Lube Frequency BMSK'!B108</f>
        <v>Manitou MT-X 1840 Telescopic Handler</v>
      </c>
      <c r="B83">
        <f>N('Lube Frequency BMSK'!C108)</f>
        <v>0</v>
      </c>
      <c r="C83">
        <f>N('Lube Frequency BMSK'!D108)</f>
        <v>0</v>
      </c>
      <c r="D83">
        <f>N('Lube Frequency BMSK'!E108)</f>
        <v>0</v>
      </c>
      <c r="F83" t="str">
        <f t="shared" si="1"/>
        <v>Manitou MT-X 1840 Telescopic Handler</v>
      </c>
      <c r="G83">
        <f>'Lube Frequency BMSK'!I108*B83*('Lube Frequency BMSK'!$L$1/$H$1)</f>
        <v>0</v>
      </c>
      <c r="H83">
        <f>'Lube Frequency BMSK'!I108*C83*('Lube Frequency BMSK'!$L$1/$H$1)</f>
        <v>0</v>
      </c>
      <c r="I83">
        <f>'Lube Frequency BMSK'!I108*D83*('Lube Frequency BMSK'!$L$1/$H$1)</f>
        <v>0</v>
      </c>
    </row>
    <row r="84" spans="1:9" x14ac:dyDescent="0.25">
      <c r="A84" t="str">
        <f>'Lube Frequency BMSK'!B109</f>
        <v>Manitou MT-X1440 Telescopic Handler</v>
      </c>
      <c r="B84">
        <f>N('Lube Frequency BMSK'!C109)</f>
        <v>0</v>
      </c>
      <c r="C84">
        <f>N('Lube Frequency BMSK'!D109)</f>
        <v>0</v>
      </c>
      <c r="D84">
        <f>N('Lube Frequency BMSK'!E109)</f>
        <v>0</v>
      </c>
      <c r="F84" t="str">
        <f t="shared" si="1"/>
        <v>Manitou MT-X1440 Telescopic Handler</v>
      </c>
      <c r="G84">
        <f>'Lube Frequency BMSK'!I109*B84*('Lube Frequency BMSK'!$L$1/$H$1)</f>
        <v>0</v>
      </c>
      <c r="H84">
        <f>'Lube Frequency BMSK'!I109*C84*('Lube Frequency BMSK'!$L$1/$H$1)</f>
        <v>0</v>
      </c>
      <c r="I84">
        <f>'Lube Frequency BMSK'!I109*D84*('Lube Frequency BMSK'!$L$1/$H$1)</f>
        <v>0</v>
      </c>
    </row>
    <row r="85" spans="1:9" x14ac:dyDescent="0.25">
      <c r="A85" t="str">
        <f>'Lube Frequency BMSK'!B110</f>
        <v>Manitou M-X-50-4 Forklift</v>
      </c>
      <c r="B85">
        <f>N('Lube Frequency BMSK'!C110)</f>
        <v>0</v>
      </c>
      <c r="C85">
        <f>N('Lube Frequency BMSK'!D110)</f>
        <v>0</v>
      </c>
      <c r="D85">
        <f>N('Lube Frequency BMSK'!E110)</f>
        <v>0</v>
      </c>
      <c r="F85" t="str">
        <f t="shared" si="1"/>
        <v>Manitou M-X-50-4 Forklift</v>
      </c>
      <c r="G85">
        <f>'Lube Frequency BMSK'!I110*B85*('Lube Frequency BMSK'!$L$1/$H$1)</f>
        <v>0</v>
      </c>
      <c r="H85">
        <f>'Lube Frequency BMSK'!I110*C85*('Lube Frequency BMSK'!$L$1/$H$1)</f>
        <v>0</v>
      </c>
      <c r="I85">
        <f>'Lube Frequency BMSK'!I110*D85*('Lube Frequency BMSK'!$L$1/$H$1)</f>
        <v>0</v>
      </c>
    </row>
    <row r="86" spans="1:9" x14ac:dyDescent="0.25">
      <c r="A86" t="str">
        <f>'Lube Frequency BMSK'!B111</f>
        <v>MAZ misc trucks</v>
      </c>
      <c r="B86">
        <f>N('Lube Frequency BMSK'!C111)</f>
        <v>0</v>
      </c>
      <c r="C86">
        <f>N('Lube Frequency BMSK'!D111)</f>
        <v>0</v>
      </c>
      <c r="D86">
        <f>N('Lube Frequency BMSK'!E111)</f>
        <v>0</v>
      </c>
      <c r="F86" t="str">
        <f t="shared" si="1"/>
        <v>MAZ misc trucks</v>
      </c>
      <c r="G86">
        <f>'Lube Frequency BMSK'!I111*B86*('Lube Frequency BMSK'!$L$1/$H$1)</f>
        <v>0</v>
      </c>
      <c r="H86">
        <f>'Lube Frequency BMSK'!I111*C86*('Lube Frequency BMSK'!$L$1/$H$1)</f>
        <v>0</v>
      </c>
      <c r="I86">
        <f>'Lube Frequency BMSK'!I111*D86*('Lube Frequency BMSK'!$L$1/$H$1)</f>
        <v>0</v>
      </c>
    </row>
    <row r="87" spans="1:9" x14ac:dyDescent="0.25">
      <c r="A87" t="str">
        <f>'Lube Frequency BMSK'!B112</f>
        <v>McCloskey C38</v>
      </c>
      <c r="B87">
        <f>N('Lube Frequency BMSK'!C112)</f>
        <v>1</v>
      </c>
      <c r="C87">
        <f>N('Lube Frequency BMSK'!D112)</f>
        <v>1</v>
      </c>
      <c r="D87">
        <f>N('Lube Frequency BMSK'!E112)</f>
        <v>1</v>
      </c>
      <c r="F87" t="str">
        <f t="shared" si="1"/>
        <v>McCloskey C38</v>
      </c>
      <c r="G87">
        <f>'Lube Frequency BMSK'!I112*B87*('Lube Frequency BMSK'!$L$1/$H$1)</f>
        <v>28</v>
      </c>
      <c r="H87">
        <f>'Lube Frequency BMSK'!I112*C87*('Lube Frequency BMSK'!$L$1/$H$1)</f>
        <v>28</v>
      </c>
      <c r="I87">
        <f>'Lube Frequency BMSK'!I112*D87*('Lube Frequency BMSK'!$L$1/$H$1)</f>
        <v>28</v>
      </c>
    </row>
    <row r="88" spans="1:9" x14ac:dyDescent="0.25">
      <c r="A88" t="str">
        <f>'Lube Frequency BMSK'!B113</f>
        <v>McCloskey C44</v>
      </c>
      <c r="B88">
        <f>N('Lube Frequency BMSK'!C113)</f>
        <v>1</v>
      </c>
      <c r="C88">
        <f>N('Lube Frequency BMSK'!D113)</f>
        <v>1</v>
      </c>
      <c r="D88">
        <f>N('Lube Frequency BMSK'!E113)</f>
        <v>1</v>
      </c>
      <c r="F88" t="str">
        <f t="shared" si="1"/>
        <v>McCloskey C44</v>
      </c>
      <c r="G88">
        <f>'Lube Frequency BMSK'!I113*B88*('Lube Frequency BMSK'!$L$1/$H$1)</f>
        <v>28</v>
      </c>
      <c r="H88">
        <f>'Lube Frequency BMSK'!I113*C88*('Lube Frequency BMSK'!$L$1/$H$1)</f>
        <v>28</v>
      </c>
      <c r="I88">
        <f>'Lube Frequency BMSK'!I113*D88*('Lube Frequency BMSK'!$L$1/$H$1)</f>
        <v>28</v>
      </c>
    </row>
    <row r="89" spans="1:9" x14ac:dyDescent="0.25">
      <c r="A89" t="str">
        <f>'Lube Frequency BMSK'!B114</f>
        <v>McCloskey J45</v>
      </c>
      <c r="B89">
        <f>N('Lube Frequency BMSK'!C114)</f>
        <v>1</v>
      </c>
      <c r="C89">
        <f>N('Lube Frequency BMSK'!D114)</f>
        <v>1</v>
      </c>
      <c r="D89">
        <f>N('Lube Frequency BMSK'!E114)</f>
        <v>1</v>
      </c>
      <c r="F89" t="str">
        <f t="shared" si="1"/>
        <v>McCloskey J45</v>
      </c>
      <c r="G89">
        <f>'Lube Frequency BMSK'!I114*B89*('Lube Frequency BMSK'!$L$1/$H$1)</f>
        <v>28</v>
      </c>
      <c r="H89">
        <f>'Lube Frequency BMSK'!I114*C89*('Lube Frequency BMSK'!$L$1/$H$1)</f>
        <v>28</v>
      </c>
      <c r="I89">
        <f>'Lube Frequency BMSK'!I114*D89*('Lube Frequency BMSK'!$L$1/$H$1)</f>
        <v>28</v>
      </c>
    </row>
    <row r="90" spans="1:9" x14ac:dyDescent="0.25">
      <c r="A90" t="str">
        <f>'Lube Frequency BMSK'!B115</f>
        <v>McCloskey J50V2</v>
      </c>
      <c r="B90">
        <f>N('Lube Frequency BMSK'!C115)</f>
        <v>1</v>
      </c>
      <c r="C90">
        <f>N('Lube Frequency BMSK'!D115)</f>
        <v>1</v>
      </c>
      <c r="D90">
        <f>N('Lube Frequency BMSK'!E115)</f>
        <v>1</v>
      </c>
      <c r="F90" t="str">
        <f t="shared" si="1"/>
        <v>McCloskey J50V2</v>
      </c>
      <c r="G90">
        <f>'Lube Frequency BMSK'!I115*B90*('Lube Frequency BMSK'!$L$1/$H$1)</f>
        <v>28</v>
      </c>
      <c r="H90">
        <f>'Lube Frequency BMSK'!I115*C90*('Lube Frequency BMSK'!$L$1/$H$1)</f>
        <v>28</v>
      </c>
      <c r="I90">
        <f>'Lube Frequency BMSK'!I115*D90*('Lube Frequency BMSK'!$L$1/$H$1)</f>
        <v>28</v>
      </c>
    </row>
    <row r="91" spans="1:9" x14ac:dyDescent="0.25">
      <c r="A91" t="str">
        <f>'Lube Frequency BMSK'!B116</f>
        <v>McCloskey S190</v>
      </c>
      <c r="B91">
        <f>N('Lube Frequency BMSK'!C116)</f>
        <v>2</v>
      </c>
      <c r="C91">
        <f>N('Lube Frequency BMSK'!D116)</f>
        <v>2</v>
      </c>
      <c r="D91">
        <f>N('Lube Frequency BMSK'!E116)</f>
        <v>2</v>
      </c>
      <c r="F91" t="str">
        <f t="shared" si="1"/>
        <v>McCloskey S190</v>
      </c>
      <c r="G91">
        <f>'Lube Frequency BMSK'!I116*B91*('Lube Frequency BMSK'!$L$1/$H$1)</f>
        <v>0</v>
      </c>
      <c r="H91">
        <f>'Lube Frequency BMSK'!I116*C91*('Lube Frequency BMSK'!$L$1/$H$1)</f>
        <v>0</v>
      </c>
      <c r="I91">
        <f>'Lube Frequency BMSK'!I116*D91*('Lube Frequency BMSK'!$L$1/$H$1)</f>
        <v>0</v>
      </c>
    </row>
    <row r="92" spans="1:9" x14ac:dyDescent="0.25">
      <c r="A92" t="str">
        <f>'Lube Frequency BMSK'!B117</f>
        <v>MILLER Big Blue 800 Duo AIR PAK Welder - Diesel</v>
      </c>
      <c r="B92">
        <f>N('Lube Frequency BMSK'!C117)</f>
        <v>0</v>
      </c>
      <c r="C92">
        <f>N('Lube Frequency BMSK'!D117)</f>
        <v>0</v>
      </c>
      <c r="D92">
        <f>N('Lube Frequency BMSK'!E117)</f>
        <v>0</v>
      </c>
      <c r="F92" t="str">
        <f t="shared" si="1"/>
        <v>MILLER Big Blue 800 Duo AIR PAK Welder - Diesel</v>
      </c>
      <c r="G92">
        <f>'Lube Frequency BMSK'!I117*B92*('Lube Frequency BMSK'!$L$1/$H$1)</f>
        <v>0</v>
      </c>
      <c r="H92">
        <f>'Lube Frequency BMSK'!I117*C92*('Lube Frequency BMSK'!$L$1/$H$1)</f>
        <v>0</v>
      </c>
      <c r="I92">
        <f>'Lube Frequency BMSK'!I117*D92*('Lube Frequency BMSK'!$L$1/$H$1)</f>
        <v>0</v>
      </c>
    </row>
    <row r="93" spans="1:9" x14ac:dyDescent="0.25">
      <c r="A93" t="str">
        <f>'Lube Frequency BMSK'!B118</f>
        <v>New Holland LM1345 Telescopic Handler</v>
      </c>
      <c r="B93">
        <f>N('Lube Frequency BMSK'!C118)</f>
        <v>0</v>
      </c>
      <c r="C93">
        <f>N('Lube Frequency BMSK'!D118)</f>
        <v>0</v>
      </c>
      <c r="D93">
        <f>N('Lube Frequency BMSK'!E118)</f>
        <v>0</v>
      </c>
      <c r="F93" t="str">
        <f t="shared" si="1"/>
        <v>New Holland LM1345 Telescopic Handler</v>
      </c>
      <c r="G93">
        <f>'Lube Frequency BMSK'!I118*B93*('Lube Frequency BMSK'!$L$1/$H$1)</f>
        <v>0</v>
      </c>
      <c r="H93">
        <f>'Lube Frequency BMSK'!I118*C93*('Lube Frequency BMSK'!$L$1/$H$1)</f>
        <v>0</v>
      </c>
      <c r="I93">
        <f>'Lube Frequency BMSK'!I118*D93*('Lube Frequency BMSK'!$L$1/$H$1)</f>
        <v>0</v>
      </c>
    </row>
    <row r="94" spans="1:9" x14ac:dyDescent="0.25">
      <c r="A94" t="str">
        <f>'Lube Frequency BMSK'!B119</f>
        <v>NHL NTE150</v>
      </c>
      <c r="B94">
        <f>N('Lube Frequency BMSK'!C119)</f>
        <v>1</v>
      </c>
      <c r="C94">
        <f>N('Lube Frequency BMSK'!D119)</f>
        <v>13</v>
      </c>
      <c r="D94">
        <f>N('Lube Frequency BMSK'!E119)</f>
        <v>13</v>
      </c>
      <c r="F94" t="str">
        <f t="shared" si="1"/>
        <v>NHL NTE150</v>
      </c>
      <c r="G94">
        <f>'Lube Frequency BMSK'!I119*B94*('Lube Frequency BMSK'!$L$1/$H$1)</f>
        <v>112</v>
      </c>
      <c r="H94">
        <f>'Lube Frequency BMSK'!I119*C94*('Lube Frequency BMSK'!$L$1/$H$1)</f>
        <v>1456</v>
      </c>
      <c r="I94">
        <f>'Lube Frequency BMSK'!I119*D94*('Lube Frequency BMSK'!$L$1/$H$1)</f>
        <v>1456</v>
      </c>
    </row>
    <row r="95" spans="1:9" x14ac:dyDescent="0.25">
      <c r="A95" t="str">
        <f>'Lube Frequency BMSK'!B120</f>
        <v>NHL NTE360</v>
      </c>
      <c r="B95">
        <f>N('Lube Frequency BMSK'!C120)</f>
        <v>0</v>
      </c>
      <c r="C95">
        <f>N('Lube Frequency BMSK'!D120)</f>
        <v>18</v>
      </c>
      <c r="D95">
        <f>N('Lube Frequency BMSK'!E120)</f>
        <v>32</v>
      </c>
      <c r="F95" t="str">
        <f t="shared" si="1"/>
        <v>NHL NTE360</v>
      </c>
      <c r="G95">
        <f>'Lube Frequency BMSK'!I120*B95*('Lube Frequency BMSK'!$L$1/$H$1)</f>
        <v>0</v>
      </c>
      <c r="H95">
        <f>'Lube Frequency BMSK'!I120*C95*('Lube Frequency BMSK'!$L$1/$H$1)</f>
        <v>1764</v>
      </c>
      <c r="I95">
        <f>'Lube Frequency BMSK'!I120*D95*('Lube Frequency BMSK'!$L$1/$H$1)</f>
        <v>3136</v>
      </c>
    </row>
    <row r="96" spans="1:9" x14ac:dyDescent="0.25">
      <c r="A96" t="str">
        <f>'Lube Frequency BMSK'!B121</f>
        <v>NHL TR60</v>
      </c>
      <c r="B96">
        <f>N('Lube Frequency BMSK'!C121)</f>
        <v>16</v>
      </c>
      <c r="C96">
        <f>N('Lube Frequency BMSK'!D121)</f>
        <v>16</v>
      </c>
      <c r="D96">
        <f>N('Lube Frequency BMSK'!E121)</f>
        <v>16</v>
      </c>
      <c r="F96" t="str">
        <f t="shared" si="1"/>
        <v>NHL TR60</v>
      </c>
      <c r="G96">
        <f>'Lube Frequency BMSK'!I121*B96*('Lube Frequency BMSK'!$L$1/$H$1)</f>
        <v>2016</v>
      </c>
      <c r="H96">
        <f>'Lube Frequency BMSK'!I121*C96*('Lube Frequency BMSK'!$L$1/$H$1)</f>
        <v>2016</v>
      </c>
      <c r="I96">
        <f>'Lube Frequency BMSK'!I121*D96*('Lube Frequency BMSK'!$L$1/$H$1)</f>
        <v>2016</v>
      </c>
    </row>
    <row r="97" spans="1:9" x14ac:dyDescent="0.25">
      <c r="A97" t="str">
        <f>'Lube Frequency BMSK'!B122</f>
        <v>NMS MT1150JC</v>
      </c>
      <c r="B97">
        <f>N('Lube Frequency BMSK'!C122)</f>
        <v>2</v>
      </c>
      <c r="C97">
        <f>N('Lube Frequency BMSK'!D122)</f>
        <v>2</v>
      </c>
      <c r="D97">
        <f>N('Lube Frequency BMSK'!E122)</f>
        <v>2</v>
      </c>
      <c r="F97" t="str">
        <f t="shared" si="1"/>
        <v>NMS MT1150JC</v>
      </c>
      <c r="G97">
        <f>'Lube Frequency BMSK'!I122*B97*('Lube Frequency BMSK'!$L$1/$H$1)</f>
        <v>56</v>
      </c>
      <c r="H97">
        <f>'Lube Frequency BMSK'!I122*C97*('Lube Frequency BMSK'!$L$1/$H$1)</f>
        <v>56</v>
      </c>
      <c r="I97">
        <f>'Lube Frequency BMSK'!I122*D97*('Lube Frequency BMSK'!$L$1/$H$1)</f>
        <v>56</v>
      </c>
    </row>
    <row r="98" spans="1:9" x14ac:dyDescent="0.25">
      <c r="A98" t="str">
        <f>'Lube Frequency BMSK'!B123</f>
        <v>NMS MT1860SR</v>
      </c>
      <c r="B98">
        <f>N('Lube Frequency BMSK'!C123)</f>
        <v>2</v>
      </c>
      <c r="C98">
        <f>N('Lube Frequency BMSK'!D123)</f>
        <v>2</v>
      </c>
      <c r="D98">
        <f>N('Lube Frequency BMSK'!E123)</f>
        <v>2</v>
      </c>
      <c r="F98" t="str">
        <f t="shared" si="1"/>
        <v>NMS MT1860SR</v>
      </c>
      <c r="G98">
        <f>'Lube Frequency BMSK'!I123*B98*('Lube Frequency BMSK'!$L$1/$H$1)</f>
        <v>56</v>
      </c>
      <c r="H98">
        <f>'Lube Frequency BMSK'!I123*C98*('Lube Frequency BMSK'!$L$1/$H$1)</f>
        <v>56</v>
      </c>
      <c r="I98">
        <f>'Lube Frequency BMSK'!I123*D98*('Lube Frequency BMSK'!$L$1/$H$1)</f>
        <v>56</v>
      </c>
    </row>
    <row r="99" spans="1:9" x14ac:dyDescent="0.25">
      <c r="A99" t="str">
        <f>'Lube Frequency BMSK'!B124</f>
        <v>NMS MT300MC</v>
      </c>
      <c r="B99">
        <f>N('Lube Frequency BMSK'!C124)</f>
        <v>2</v>
      </c>
      <c r="C99">
        <f>N('Lube Frequency BMSK'!D124)</f>
        <v>2</v>
      </c>
      <c r="D99">
        <f>N('Lube Frequency BMSK'!E124)</f>
        <v>2</v>
      </c>
      <c r="F99" t="str">
        <f t="shared" si="1"/>
        <v>NMS MT300MC</v>
      </c>
      <c r="G99">
        <f>'Lube Frequency BMSK'!I124*B99*('Lube Frequency BMSK'!$L$1/$H$1)</f>
        <v>56</v>
      </c>
      <c r="H99">
        <f>'Lube Frequency BMSK'!I124*C99*('Lube Frequency BMSK'!$L$1/$H$1)</f>
        <v>56</v>
      </c>
      <c r="I99">
        <f>'Lube Frequency BMSK'!I124*D99*('Lube Frequency BMSK'!$L$1/$H$1)</f>
        <v>56</v>
      </c>
    </row>
    <row r="100" spans="1:9" x14ac:dyDescent="0.25">
      <c r="A100" t="str">
        <f>'Lube Frequency BMSK'!B125</f>
        <v>Pargarant ПГ-300ЖМ2 Steam generator</v>
      </c>
      <c r="B100">
        <f>N('Lube Frequency BMSK'!C125)</f>
        <v>0</v>
      </c>
      <c r="C100">
        <f>N('Lube Frequency BMSK'!D125)</f>
        <v>0</v>
      </c>
      <c r="D100">
        <f>N('Lube Frequency BMSK'!E125)</f>
        <v>0</v>
      </c>
      <c r="F100" t="str">
        <f t="shared" si="1"/>
        <v>Pargarant ПГ-300ЖМ2 Steam generator</v>
      </c>
      <c r="G100">
        <f>'Lube Frequency BMSK'!I125*B100*('Lube Frequency BMSK'!$L$1/$H$1)</f>
        <v>0</v>
      </c>
      <c r="H100">
        <f>'Lube Frequency BMSK'!I125*C100*('Lube Frequency BMSK'!$L$1/$H$1)</f>
        <v>0</v>
      </c>
      <c r="I100">
        <f>'Lube Frequency BMSK'!I125*D100*('Lube Frequency BMSK'!$L$1/$H$1)</f>
        <v>0</v>
      </c>
    </row>
    <row r="101" spans="1:9" x14ac:dyDescent="0.25">
      <c r="A101" t="str">
        <f>'Lube Frequency BMSK'!B126</f>
        <v>Sany SRC1200C Wheel Crane</v>
      </c>
      <c r="B101">
        <f>N('Lube Frequency BMSK'!C126)</f>
        <v>0</v>
      </c>
      <c r="C101">
        <f>N('Lube Frequency BMSK'!D126)</f>
        <v>0</v>
      </c>
      <c r="D101">
        <f>N('Lube Frequency BMSK'!E126)</f>
        <v>0</v>
      </c>
      <c r="F101" t="str">
        <f t="shared" si="1"/>
        <v>Sany SRC1200C Wheel Crane</v>
      </c>
      <c r="G101">
        <f>'Lube Frequency BMSK'!I126*B101*('Lube Frequency BMSK'!$L$1/$H$1)</f>
        <v>0</v>
      </c>
      <c r="H101">
        <f>'Lube Frequency BMSK'!I126*C101*('Lube Frequency BMSK'!$L$1/$H$1)</f>
        <v>0</v>
      </c>
      <c r="I101">
        <f>'Lube Frequency BMSK'!I126*D101*('Lube Frequency BMSK'!$L$1/$H$1)</f>
        <v>0</v>
      </c>
    </row>
    <row r="102" spans="1:9" x14ac:dyDescent="0.25">
      <c r="A102" t="str">
        <f>'Lube Frequency BMSK'!B127</f>
        <v>Sany SRC600A Wheel Crane</v>
      </c>
      <c r="B102">
        <f>N('Lube Frequency BMSK'!C127)</f>
        <v>0</v>
      </c>
      <c r="C102">
        <f>N('Lube Frequency BMSK'!D127)</f>
        <v>0</v>
      </c>
      <c r="D102">
        <f>N('Lube Frequency BMSK'!E127)</f>
        <v>0</v>
      </c>
      <c r="F102" t="str">
        <f t="shared" si="1"/>
        <v>Sany SRC600A Wheel Crane</v>
      </c>
      <c r="G102">
        <f>'Lube Frequency BMSK'!I127*B102*('Lube Frequency BMSK'!$L$1/$H$1)</f>
        <v>0</v>
      </c>
      <c r="H102">
        <f>'Lube Frequency BMSK'!I127*C102*('Lube Frequency BMSK'!$L$1/$H$1)</f>
        <v>0</v>
      </c>
      <c r="I102">
        <f>'Lube Frequency BMSK'!I127*D102*('Lube Frequency BMSK'!$L$1/$H$1)</f>
        <v>0</v>
      </c>
    </row>
    <row r="103" spans="1:9" x14ac:dyDescent="0.25">
      <c r="A103" t="str">
        <f>'Lube Frequency BMSK'!B128</f>
        <v>Shantui SD32</v>
      </c>
      <c r="B103">
        <f>N('Lube Frequency BMSK'!C128)</f>
        <v>5</v>
      </c>
      <c r="C103">
        <f>N('Lube Frequency BMSK'!D128)</f>
        <v>5</v>
      </c>
      <c r="D103">
        <f>N('Lube Frequency BMSK'!E128)</f>
        <v>5</v>
      </c>
      <c r="F103" t="str">
        <f t="shared" si="1"/>
        <v>Shantui SD32</v>
      </c>
      <c r="G103">
        <f>'Lube Frequency BMSK'!I128*B103*('Lube Frequency BMSK'!$L$1/$H$1)</f>
        <v>350</v>
      </c>
      <c r="H103">
        <f>'Lube Frequency BMSK'!I128*C103*('Lube Frequency BMSK'!$L$1/$H$1)</f>
        <v>350</v>
      </c>
      <c r="I103">
        <f>'Lube Frequency BMSK'!I128*D103*('Lube Frequency BMSK'!$L$1/$H$1)</f>
        <v>350</v>
      </c>
    </row>
    <row r="104" spans="1:9" x14ac:dyDescent="0.25">
      <c r="A104" t="str">
        <f>'Lube Frequency BMSK'!B129</f>
        <v>Shantui SD34-B3</v>
      </c>
      <c r="B104">
        <f>N('Lube Frequency BMSK'!C129)</f>
        <v>2</v>
      </c>
      <c r="C104">
        <f>N('Lube Frequency BMSK'!D129)</f>
        <v>1</v>
      </c>
      <c r="D104">
        <f>N('Lube Frequency BMSK'!E129)</f>
        <v>1</v>
      </c>
      <c r="F104" t="str">
        <f t="shared" si="1"/>
        <v>Shantui SD34-B3</v>
      </c>
      <c r="G104">
        <f>'Lube Frequency BMSK'!I129*B104*('Lube Frequency BMSK'!$L$1/$H$1)</f>
        <v>140</v>
      </c>
      <c r="H104">
        <f>'Lube Frequency BMSK'!I129*C104*('Lube Frequency BMSK'!$L$1/$H$1)</f>
        <v>70</v>
      </c>
      <c r="I104">
        <f>'Lube Frequency BMSK'!I129*D104*('Lube Frequency BMSK'!$L$1/$H$1)</f>
        <v>70</v>
      </c>
    </row>
    <row r="105" spans="1:9" x14ac:dyDescent="0.25">
      <c r="A105" t="str">
        <f>'Lube Frequency BMSK'!B130</f>
        <v>Shantui SD60-C5</v>
      </c>
      <c r="B105">
        <f>N('Lube Frequency BMSK'!C130)</f>
        <v>5</v>
      </c>
      <c r="C105">
        <f>N('Lube Frequency BMSK'!D130)</f>
        <v>6</v>
      </c>
      <c r="D105">
        <f>N('Lube Frequency BMSK'!E130)</f>
        <v>7</v>
      </c>
      <c r="F105" t="str">
        <f t="shared" si="1"/>
        <v>Shantui SD60-C5</v>
      </c>
      <c r="G105">
        <f>'Lube Frequency BMSK'!I130*B105*('Lube Frequency BMSK'!$L$1/$H$1)</f>
        <v>630</v>
      </c>
      <c r="H105">
        <f>'Lube Frequency BMSK'!I130*C105*('Lube Frequency BMSK'!$L$1/$H$1)</f>
        <v>756</v>
      </c>
      <c r="I105">
        <f>'Lube Frequency BMSK'!I130*D105*('Lube Frequency BMSK'!$L$1/$H$1)</f>
        <v>882</v>
      </c>
    </row>
    <row r="106" spans="1:9" x14ac:dyDescent="0.25">
      <c r="A106" t="str">
        <f>'Lube Frequency BMSK'!B131</f>
        <v>Shantui SD90-C5</v>
      </c>
      <c r="B106">
        <f>N('Lube Frequency BMSK'!C131)</f>
        <v>4</v>
      </c>
      <c r="C106">
        <f>N('Lube Frequency BMSK'!D131)</f>
        <v>3</v>
      </c>
      <c r="D106">
        <f>N('Lube Frequency BMSK'!E131)</f>
        <v>4</v>
      </c>
      <c r="F106" t="str">
        <f t="shared" si="1"/>
        <v>Shantui SD90-C5</v>
      </c>
      <c r="G106">
        <f>'Lube Frequency BMSK'!I131*B106*('Lube Frequency BMSK'!$L$1/$H$1)</f>
        <v>560</v>
      </c>
      <c r="H106">
        <f>'Lube Frequency BMSK'!I131*C106*('Lube Frequency BMSK'!$L$1/$H$1)</f>
        <v>420</v>
      </c>
      <c r="I106">
        <f>'Lube Frequency BMSK'!I131*D106*('Lube Frequency BMSK'!$L$1/$H$1)</f>
        <v>560</v>
      </c>
    </row>
    <row r="107" spans="1:9" x14ac:dyDescent="0.25">
      <c r="A107" t="str">
        <f>'Lube Frequency BMSK'!B132</f>
        <v>Shantui SG16-3</v>
      </c>
      <c r="B107">
        <f>N('Lube Frequency BMSK'!C132)</f>
        <v>2</v>
      </c>
      <c r="C107">
        <f>N('Lube Frequency BMSK'!D132)</f>
        <v>2</v>
      </c>
      <c r="D107">
        <f>N('Lube Frequency BMSK'!E132)</f>
        <v>2</v>
      </c>
      <c r="F107" t="str">
        <f t="shared" si="1"/>
        <v>Shantui SG16-3</v>
      </c>
      <c r="G107">
        <f>'Lube Frequency BMSK'!I132*B107*('Lube Frequency BMSK'!$L$1/$H$1)</f>
        <v>168</v>
      </c>
      <c r="H107">
        <f>'Lube Frequency BMSK'!I132*C107*('Lube Frequency BMSK'!$L$1/$H$1)</f>
        <v>168</v>
      </c>
      <c r="I107">
        <f>'Lube Frequency BMSK'!I132*D107*('Lube Frequency BMSK'!$L$1/$H$1)</f>
        <v>168</v>
      </c>
    </row>
    <row r="108" spans="1:9" x14ac:dyDescent="0.25">
      <c r="A108" t="str">
        <f>'Lube Frequency BMSK'!B133</f>
        <v>Shantui SG18-3</v>
      </c>
      <c r="B108">
        <f>N('Lube Frequency BMSK'!C133)</f>
        <v>4</v>
      </c>
      <c r="C108">
        <f>N('Lube Frequency BMSK'!D133)</f>
        <v>4</v>
      </c>
      <c r="D108">
        <f>N('Lube Frequency BMSK'!E133)</f>
        <v>4</v>
      </c>
      <c r="F108" t="str">
        <f t="shared" si="1"/>
        <v>Shantui SG18-3</v>
      </c>
      <c r="G108">
        <f>'Lube Frequency BMSK'!I133*B108*('Lube Frequency BMSK'!$L$1/$H$1)</f>
        <v>336</v>
      </c>
      <c r="H108">
        <f>'Lube Frequency BMSK'!I133*C108*('Lube Frequency BMSK'!$L$1/$H$1)</f>
        <v>336</v>
      </c>
      <c r="I108">
        <f>'Lube Frequency BMSK'!I133*D108*('Lube Frequency BMSK'!$L$1/$H$1)</f>
        <v>336</v>
      </c>
    </row>
    <row r="109" spans="1:9" x14ac:dyDescent="0.25">
      <c r="A109" t="str">
        <f>'Lube Frequency BMSK'!B134</f>
        <v>Shantui SG18-4</v>
      </c>
      <c r="B109">
        <f>N('Lube Frequency BMSK'!C134)</f>
        <v>2</v>
      </c>
      <c r="C109">
        <f>N('Lube Frequency BMSK'!D134)</f>
        <v>2</v>
      </c>
      <c r="D109">
        <f>N('Lube Frequency BMSK'!E134)</f>
        <v>2</v>
      </c>
      <c r="F109" t="str">
        <f t="shared" si="1"/>
        <v>Shantui SG18-4</v>
      </c>
      <c r="G109">
        <f>'Lube Frequency BMSK'!I134*B109*('Lube Frequency BMSK'!$L$1/$H$1)</f>
        <v>168</v>
      </c>
      <c r="H109">
        <f>'Lube Frequency BMSK'!I134*C109*('Lube Frequency BMSK'!$L$1/$H$1)</f>
        <v>168</v>
      </c>
      <c r="I109">
        <f>'Lube Frequency BMSK'!I134*D109*('Lube Frequency BMSK'!$L$1/$H$1)</f>
        <v>168</v>
      </c>
    </row>
    <row r="110" spans="1:9" x14ac:dyDescent="0.25">
      <c r="A110" t="str">
        <f>'Lube Frequency BMSK'!B135</f>
        <v>Shantui SR14P Compactor</v>
      </c>
      <c r="B110">
        <f>N('Lube Frequency BMSK'!C135)</f>
        <v>0</v>
      </c>
      <c r="C110">
        <f>N('Lube Frequency BMSK'!D135)</f>
        <v>0</v>
      </c>
      <c r="D110">
        <f>N('Lube Frequency BMSK'!E135)</f>
        <v>0</v>
      </c>
      <c r="F110" t="str">
        <f t="shared" si="1"/>
        <v>Shantui SR14P Compactor</v>
      </c>
      <c r="G110">
        <f>'Lube Frequency BMSK'!I135*B110*('Lube Frequency BMSK'!$L$1/$H$1)</f>
        <v>0</v>
      </c>
      <c r="H110">
        <f>'Lube Frequency BMSK'!I135*C110*('Lube Frequency BMSK'!$L$1/$H$1)</f>
        <v>0</v>
      </c>
      <c r="I110">
        <f>'Lube Frequency BMSK'!I135*D110*('Lube Frequency BMSK'!$L$1/$H$1)</f>
        <v>0</v>
      </c>
    </row>
    <row r="111" spans="1:9" x14ac:dyDescent="0.25">
      <c r="A111" t="str">
        <f>'Lube Frequency BMSK'!B136</f>
        <v>Shantui SR20MPA</v>
      </c>
      <c r="B111">
        <f>N('Lube Frequency BMSK'!C136)</f>
        <v>3</v>
      </c>
      <c r="C111">
        <f>N('Lube Frequency BMSK'!D136)</f>
        <v>3</v>
      </c>
      <c r="D111">
        <f>N('Lube Frequency BMSK'!E136)</f>
        <v>3</v>
      </c>
      <c r="F111" t="str">
        <f t="shared" si="1"/>
        <v>Shantui SR20MPA</v>
      </c>
      <c r="G111">
        <f>'Lube Frequency BMSK'!I136*B111*('Lube Frequency BMSK'!$L$1/$H$1)</f>
        <v>252</v>
      </c>
      <c r="H111">
        <f>'Lube Frequency BMSK'!I136*C111*('Lube Frequency BMSK'!$L$1/$H$1)</f>
        <v>252</v>
      </c>
      <c r="I111">
        <f>'Lube Frequency BMSK'!I136*D111*('Lube Frequency BMSK'!$L$1/$H$1)</f>
        <v>252</v>
      </c>
    </row>
    <row r="112" spans="1:9" x14ac:dyDescent="0.25">
      <c r="A112" t="str">
        <f>'Lube Frequency BMSK'!B137</f>
        <v>Shantui SR26-C5</v>
      </c>
      <c r="B112">
        <f>N('Lube Frequency BMSK'!C137)</f>
        <v>4</v>
      </c>
      <c r="C112">
        <f>N('Lube Frequency BMSK'!D137)</f>
        <v>4</v>
      </c>
      <c r="D112">
        <f>N('Lube Frequency BMSK'!E137)</f>
        <v>4</v>
      </c>
      <c r="F112" t="str">
        <f t="shared" si="1"/>
        <v>Shantui SR26-C5</v>
      </c>
      <c r="G112">
        <f>'Lube Frequency BMSK'!I137*B112*('Lube Frequency BMSK'!$L$1/$H$1)</f>
        <v>280</v>
      </c>
      <c r="H112">
        <f>'Lube Frequency BMSK'!I137*C112*('Lube Frequency BMSK'!$L$1/$H$1)</f>
        <v>280</v>
      </c>
      <c r="I112">
        <f>'Lube Frequency BMSK'!I137*D112*('Lube Frequency BMSK'!$L$1/$H$1)</f>
        <v>280</v>
      </c>
    </row>
    <row r="113" spans="1:9" x14ac:dyDescent="0.25">
      <c r="A113" t="str">
        <f>'Lube Frequency BMSK'!B138</f>
        <v>SHINDAIWA DGW 400 Welding machine</v>
      </c>
      <c r="B113">
        <f>N('Lube Frequency BMSK'!C138)</f>
        <v>0</v>
      </c>
      <c r="C113">
        <f>N('Lube Frequency BMSK'!D138)</f>
        <v>0</v>
      </c>
      <c r="D113">
        <f>N('Lube Frequency BMSK'!E138)</f>
        <v>0</v>
      </c>
      <c r="F113" t="str">
        <f t="shared" si="1"/>
        <v>SHINDAIWA DGW 400 Welding machine</v>
      </c>
      <c r="G113">
        <f>'Lube Frequency BMSK'!I138*B113*('Lube Frequency BMSK'!$L$1/$H$1)</f>
        <v>0</v>
      </c>
      <c r="H113">
        <f>'Lube Frequency BMSK'!I138*C113*('Lube Frequency BMSK'!$L$1/$H$1)</f>
        <v>0</v>
      </c>
      <c r="I113">
        <f>'Lube Frequency BMSK'!I138*D113*('Lube Frequency BMSK'!$L$1/$H$1)</f>
        <v>0</v>
      </c>
    </row>
    <row r="114" spans="1:9" x14ac:dyDescent="0.25">
      <c r="A114" t="str">
        <f>'Lube Frequency BMSK'!B139</f>
        <v>SINOMACH TTC025G2 Truck Crane</v>
      </c>
      <c r="B114">
        <f>N('Lube Frequency BMSK'!C139)</f>
        <v>0</v>
      </c>
      <c r="C114">
        <f>N('Lube Frequency BMSK'!D139)</f>
        <v>0</v>
      </c>
      <c r="D114">
        <f>N('Lube Frequency BMSK'!E139)</f>
        <v>0</v>
      </c>
      <c r="F114" t="str">
        <f t="shared" si="1"/>
        <v>SINOMACH TTC025G2 Truck Crane</v>
      </c>
      <c r="G114">
        <f>'Lube Frequency BMSK'!I139*B114*('Lube Frequency BMSK'!$L$1/$H$1)</f>
        <v>0</v>
      </c>
      <c r="H114">
        <f>'Lube Frequency BMSK'!I139*C114*('Lube Frequency BMSK'!$L$1/$H$1)</f>
        <v>0</v>
      </c>
      <c r="I114">
        <f>'Lube Frequency BMSK'!I139*D114*('Lube Frequency BMSK'!$L$1/$H$1)</f>
        <v>0</v>
      </c>
    </row>
    <row r="115" spans="1:9" x14ac:dyDescent="0.25">
      <c r="A115" t="str">
        <f>'Lube Frequency BMSK'!B140</f>
        <v>Sunward SWDE165A</v>
      </c>
      <c r="B115">
        <f>N('Lube Frequency BMSK'!C140)</f>
        <v>4</v>
      </c>
      <c r="C115">
        <f>N('Lube Frequency BMSK'!D140)</f>
        <v>3</v>
      </c>
      <c r="D115">
        <f>N('Lube Frequency BMSK'!E140)</f>
        <v>3</v>
      </c>
      <c r="F115" t="str">
        <f t="shared" si="1"/>
        <v>Sunward SWDE165A</v>
      </c>
      <c r="G115">
        <f>'Lube Frequency BMSK'!I140*B115*('Lube Frequency BMSK'!$L$1/$H$1)</f>
        <v>168</v>
      </c>
      <c r="H115">
        <f>'Lube Frequency BMSK'!I140*C115*('Lube Frequency BMSK'!$L$1/$H$1)</f>
        <v>126</v>
      </c>
      <c r="I115">
        <f>'Lube Frequency BMSK'!I140*D115*('Lube Frequency BMSK'!$L$1/$H$1)</f>
        <v>126</v>
      </c>
    </row>
    <row r="116" spans="1:9" x14ac:dyDescent="0.25">
      <c r="A116" t="str">
        <f>'Lube Frequency BMSK'!B141</f>
        <v>Sunward SWDR T250</v>
      </c>
      <c r="B116">
        <f>N('Lube Frequency BMSK'!C141)</f>
        <v>0</v>
      </c>
      <c r="C116">
        <f>N('Lube Frequency BMSK'!D141)</f>
        <v>4</v>
      </c>
      <c r="D116">
        <f>N('Lube Frequency BMSK'!E141)</f>
        <v>5</v>
      </c>
      <c r="F116" t="str">
        <f t="shared" si="1"/>
        <v>Sunward SWDR T250</v>
      </c>
      <c r="G116">
        <f>'Lube Frequency BMSK'!I141*B116*('Lube Frequency BMSK'!$L$1/$H$1)</f>
        <v>0</v>
      </c>
      <c r="H116">
        <f>'Lube Frequency BMSK'!I141*C116*('Lube Frequency BMSK'!$L$1/$H$1)</f>
        <v>336</v>
      </c>
      <c r="I116">
        <f>'Lube Frequency BMSK'!I141*D116*('Lube Frequency BMSK'!$L$1/$H$1)</f>
        <v>420</v>
      </c>
    </row>
    <row r="117" spans="1:9" x14ac:dyDescent="0.25">
      <c r="A117" t="str">
        <f>'Lube Frequency BMSK'!B142</f>
        <v>Taihao HDX Motivator for Electric Rope Shovel based on a truck chassis (6x6)</v>
      </c>
      <c r="B117">
        <f>N('Lube Frequency BMSK'!C142)</f>
        <v>0</v>
      </c>
      <c r="C117">
        <f>N('Lube Frequency BMSK'!D142)</f>
        <v>0</v>
      </c>
      <c r="D117">
        <f>N('Lube Frequency BMSK'!E142)</f>
        <v>0</v>
      </c>
      <c r="F117" t="str">
        <f t="shared" si="1"/>
        <v>Taihao HDX Motivator for Electric Rope Shovel based on a truck chassis (6x6)</v>
      </c>
      <c r="G117">
        <f>'Lube Frequency BMSK'!I142*B117*('Lube Frequency BMSK'!$L$1/$H$1)</f>
        <v>0</v>
      </c>
      <c r="H117">
        <f>'Lube Frequency BMSK'!I142*C117*('Lube Frequency BMSK'!$L$1/$H$1)</f>
        <v>0</v>
      </c>
      <c r="I117">
        <f>'Lube Frequency BMSK'!I142*D117*('Lube Frequency BMSK'!$L$1/$H$1)</f>
        <v>0</v>
      </c>
    </row>
    <row r="118" spans="1:9" x14ac:dyDescent="0.25">
      <c r="A118" t="str">
        <f>'Lube Frequency BMSK'!B143</f>
        <v>Teplorod С-175/DG Industrial Heater</v>
      </c>
      <c r="B118">
        <f>N('Lube Frequency BMSK'!C143)</f>
        <v>0</v>
      </c>
      <c r="C118">
        <f>N('Lube Frequency BMSK'!D143)</f>
        <v>0</v>
      </c>
      <c r="D118">
        <f>N('Lube Frequency BMSK'!E143)</f>
        <v>0</v>
      </c>
      <c r="F118" t="str">
        <f t="shared" si="1"/>
        <v>Teplorod С-175/DG Industrial Heater</v>
      </c>
      <c r="G118">
        <f>'Lube Frequency BMSK'!I143*B118*('Lube Frequency BMSK'!$L$1/$H$1)</f>
        <v>0</v>
      </c>
      <c r="H118">
        <f>'Lube Frequency BMSK'!I143*C118*('Lube Frequency BMSK'!$L$1/$H$1)</f>
        <v>0</v>
      </c>
      <c r="I118">
        <f>'Lube Frequency BMSK'!I143*D118*('Lube Frequency BMSK'!$L$1/$H$1)</f>
        <v>0</v>
      </c>
    </row>
    <row r="119" spans="1:9" x14ac:dyDescent="0.25">
      <c r="A119" t="str">
        <f>'Lube Frequency BMSK'!B144</f>
        <v>TEREX 1075L CRANE, MOBILE</v>
      </c>
      <c r="B119">
        <f>N('Lube Frequency BMSK'!C144)</f>
        <v>0</v>
      </c>
      <c r="C119">
        <f>N('Lube Frequency BMSK'!D144)</f>
        <v>0</v>
      </c>
      <c r="D119">
        <f>N('Lube Frequency BMSK'!E144)</f>
        <v>0</v>
      </c>
      <c r="F119" t="str">
        <f t="shared" si="1"/>
        <v>TEREX 1075L CRANE, MOBILE</v>
      </c>
      <c r="G119">
        <f>'Lube Frequency BMSK'!I144*B119*('Lube Frequency BMSK'!$L$1/$H$1)</f>
        <v>0</v>
      </c>
      <c r="H119">
        <f>'Lube Frequency BMSK'!I144*C119*('Lube Frequency BMSK'!$L$1/$H$1)</f>
        <v>0</v>
      </c>
      <c r="I119">
        <f>'Lube Frequency BMSK'!I144*D119*('Lube Frequency BMSK'!$L$1/$H$1)</f>
        <v>0</v>
      </c>
    </row>
    <row r="120" spans="1:9" x14ac:dyDescent="0.25">
      <c r="A120" t="str">
        <f>'Lube Frequency BMSK'!B145</f>
        <v>TEREX DEMAG AC220-5 CRANE, MOBILE</v>
      </c>
      <c r="B120">
        <f>N('Lube Frequency BMSK'!C145)</f>
        <v>0</v>
      </c>
      <c r="C120">
        <f>N('Lube Frequency BMSK'!D145)</f>
        <v>0</v>
      </c>
      <c r="D120">
        <f>N('Lube Frequency BMSK'!E145)</f>
        <v>0</v>
      </c>
      <c r="F120" t="str">
        <f t="shared" si="1"/>
        <v>TEREX DEMAG AC220-5 CRANE, MOBILE</v>
      </c>
      <c r="G120">
        <f>'Lube Frequency BMSK'!I145*B120*('Lube Frequency BMSK'!$L$1/$H$1)</f>
        <v>0</v>
      </c>
      <c r="H120">
        <f>'Lube Frequency BMSK'!I145*C120*('Lube Frequency BMSK'!$L$1/$H$1)</f>
        <v>0</v>
      </c>
      <c r="I120">
        <f>'Lube Frequency BMSK'!I145*D120*('Lube Frequency BMSK'!$L$1/$H$1)</f>
        <v>0</v>
      </c>
    </row>
    <row r="121" spans="1:9" x14ac:dyDescent="0.25">
      <c r="A121" t="str">
        <f>'Lube Frequency BMSK'!B146</f>
        <v>TEREX DEMAG AC350-6 CRANE, MOBILE</v>
      </c>
      <c r="B121">
        <f>N('Lube Frequency BMSK'!C146)</f>
        <v>0</v>
      </c>
      <c r="C121">
        <f>N('Lube Frequency BMSK'!D146)</f>
        <v>0</v>
      </c>
      <c r="D121">
        <f>N('Lube Frequency BMSK'!E146)</f>
        <v>0</v>
      </c>
      <c r="F121" t="str">
        <f t="shared" si="1"/>
        <v>TEREX DEMAG AC350-6 CRANE, MOBILE</v>
      </c>
      <c r="G121">
        <f>'Lube Frequency BMSK'!I146*B121*('Lube Frequency BMSK'!$L$1/$H$1)</f>
        <v>0</v>
      </c>
      <c r="H121">
        <f>'Lube Frequency BMSK'!I146*C121*('Lube Frequency BMSK'!$L$1/$H$1)</f>
        <v>0</v>
      </c>
      <c r="I121">
        <f>'Lube Frequency BMSK'!I146*D121*('Lube Frequency BMSK'!$L$1/$H$1)</f>
        <v>0</v>
      </c>
    </row>
    <row r="122" spans="1:9" x14ac:dyDescent="0.25">
      <c r="A122" t="str">
        <f>'Lube Frequency BMSK'!B147</f>
        <v>TEREX GENIE S-60 Manlift</v>
      </c>
      <c r="B122">
        <f>N('Lube Frequency BMSK'!C147)</f>
        <v>0</v>
      </c>
      <c r="C122">
        <f>N('Lube Frequency BMSK'!D147)</f>
        <v>0</v>
      </c>
      <c r="D122">
        <f>N('Lube Frequency BMSK'!E147)</f>
        <v>0</v>
      </c>
      <c r="F122" t="str">
        <f t="shared" si="1"/>
        <v>TEREX GENIE S-60 Manlift</v>
      </c>
      <c r="G122">
        <f>'Lube Frequency BMSK'!I147*B122*('Lube Frequency BMSK'!$L$1/$H$1)</f>
        <v>0</v>
      </c>
      <c r="H122">
        <f>'Lube Frequency BMSK'!I147*C122*('Lube Frequency BMSK'!$L$1/$H$1)</f>
        <v>0</v>
      </c>
      <c r="I122">
        <f>'Lube Frequency BMSK'!I147*D122*('Lube Frequency BMSK'!$L$1/$H$1)</f>
        <v>0</v>
      </c>
    </row>
    <row r="123" spans="1:9" x14ac:dyDescent="0.25">
      <c r="A123" t="str">
        <f>'Lube Frequency BMSK'!B148</f>
        <v>TEREX GENIE SX-105XC Manlift</v>
      </c>
      <c r="B123">
        <f>N('Lube Frequency BMSK'!C148)</f>
        <v>0</v>
      </c>
      <c r="C123">
        <f>N('Lube Frequency BMSK'!D148)</f>
        <v>0</v>
      </c>
      <c r="D123">
        <f>N('Lube Frequency BMSK'!E148)</f>
        <v>0</v>
      </c>
      <c r="F123" t="str">
        <f t="shared" si="1"/>
        <v>TEREX GENIE SX-105XC Manlift</v>
      </c>
      <c r="G123">
        <f>'Lube Frequency BMSK'!I148*B123*('Lube Frequency BMSK'!$L$1/$H$1)</f>
        <v>0</v>
      </c>
      <c r="H123">
        <f>'Lube Frequency BMSK'!I148*C123*('Lube Frequency BMSK'!$L$1/$H$1)</f>
        <v>0</v>
      </c>
      <c r="I123">
        <f>'Lube Frequency BMSK'!I148*D123*('Lube Frequency BMSK'!$L$1/$H$1)</f>
        <v>0</v>
      </c>
    </row>
    <row r="124" spans="1:9" x14ac:dyDescent="0.25">
      <c r="A124" t="str">
        <f>'Lube Frequency BMSK'!B149</f>
        <v>TEREX GENIE SX-125XC Manlift</v>
      </c>
      <c r="B124">
        <f>N('Lube Frequency BMSK'!C149)</f>
        <v>0</v>
      </c>
      <c r="C124">
        <f>N('Lube Frequency BMSK'!D149)</f>
        <v>0</v>
      </c>
      <c r="D124">
        <f>N('Lube Frequency BMSK'!E149)</f>
        <v>0</v>
      </c>
      <c r="F124" t="str">
        <f t="shared" si="1"/>
        <v>TEREX GENIE SX-125XC Manlift</v>
      </c>
      <c r="G124">
        <f>'Lube Frequency BMSK'!I149*B124*('Lube Frequency BMSK'!$L$1/$H$1)</f>
        <v>0</v>
      </c>
      <c r="H124">
        <f>'Lube Frequency BMSK'!I149*C124*('Lube Frequency BMSK'!$L$1/$H$1)</f>
        <v>0</v>
      </c>
      <c r="I124">
        <f>'Lube Frequency BMSK'!I149*D124*('Lube Frequency BMSK'!$L$1/$H$1)</f>
        <v>0</v>
      </c>
    </row>
    <row r="125" spans="1:9" x14ac:dyDescent="0.25">
      <c r="A125" t="str">
        <f>'Lube Frequency BMSK'!B150</f>
        <v>TEREX RT100 CRANE, MOBILE</v>
      </c>
      <c r="B125">
        <f>N('Lube Frequency BMSK'!C150)</f>
        <v>0</v>
      </c>
      <c r="C125">
        <f>N('Lube Frequency BMSK'!D150)</f>
        <v>0</v>
      </c>
      <c r="D125">
        <f>N('Lube Frequency BMSK'!E150)</f>
        <v>0</v>
      </c>
      <c r="F125" t="str">
        <f t="shared" si="1"/>
        <v>TEREX RT100 CRANE, MOBILE</v>
      </c>
      <c r="G125">
        <f>'Lube Frequency BMSK'!I150*B125*('Lube Frequency BMSK'!$L$1/$H$1)</f>
        <v>0</v>
      </c>
      <c r="H125">
        <f>'Lube Frequency BMSK'!I150*C125*('Lube Frequency BMSK'!$L$1/$H$1)</f>
        <v>0</v>
      </c>
      <c r="I125">
        <f>'Lube Frequency BMSK'!I150*D125*('Lube Frequency BMSK'!$L$1/$H$1)</f>
        <v>0</v>
      </c>
    </row>
    <row r="126" spans="1:9" x14ac:dyDescent="0.25">
      <c r="A126" t="str">
        <f>'Lube Frequency BMSK'!B151</f>
        <v>TLP-4M-030 (ТЛП-4М-030)</v>
      </c>
      <c r="B126">
        <f>N('Lube Frequency BMSK'!C151)</f>
        <v>0</v>
      </c>
      <c r="C126">
        <f>N('Lube Frequency BMSK'!D151)</f>
        <v>0</v>
      </c>
      <c r="D126">
        <f>N('Lube Frequency BMSK'!E151)</f>
        <v>0</v>
      </c>
      <c r="F126" t="str">
        <f t="shared" si="1"/>
        <v>TLP-4M-030 (ТЛП-4М-030)</v>
      </c>
      <c r="G126">
        <f>'Lube Frequency BMSK'!I151*B126*('Lube Frequency BMSK'!$L$1/$H$1)</f>
        <v>0</v>
      </c>
      <c r="H126">
        <f>'Lube Frequency BMSK'!I151*C126*('Lube Frequency BMSK'!$L$1/$H$1)</f>
        <v>0</v>
      </c>
      <c r="I126">
        <f>'Lube Frequency BMSK'!I151*D126*('Lube Frequency BMSK'!$L$1/$H$1)</f>
        <v>0</v>
      </c>
    </row>
    <row r="127" spans="1:9" x14ac:dyDescent="0.25">
      <c r="A127" t="str">
        <f>'Lube Frequency BMSK'!B152</f>
        <v>Toyota Hilux AT Pickup</v>
      </c>
      <c r="B127">
        <f>N('Lube Frequency BMSK'!C152)</f>
        <v>0</v>
      </c>
      <c r="C127">
        <f>N('Lube Frequency BMSK'!D152)</f>
        <v>0</v>
      </c>
      <c r="D127">
        <f>N('Lube Frequency BMSK'!E152)</f>
        <v>0</v>
      </c>
      <c r="F127" t="str">
        <f t="shared" si="1"/>
        <v>Toyota Hilux AT Pickup</v>
      </c>
      <c r="G127">
        <f>'Lube Frequency BMSK'!I152*B127*('Lube Frequency BMSK'!$L$1/$H$1)</f>
        <v>0</v>
      </c>
      <c r="H127">
        <f>'Lube Frequency BMSK'!I152*C127*('Lube Frequency BMSK'!$L$1/$H$1)</f>
        <v>0</v>
      </c>
      <c r="I127">
        <f>'Lube Frequency BMSK'!I152*D127*('Lube Frequency BMSK'!$L$1/$H$1)</f>
        <v>0</v>
      </c>
    </row>
    <row r="128" spans="1:9" x14ac:dyDescent="0.25">
      <c r="A128" t="str">
        <f>'Lube Frequency BMSK'!B153</f>
        <v>Toyota Hilux MT Pickup</v>
      </c>
      <c r="B128">
        <f>N('Lube Frequency BMSK'!C153)</f>
        <v>0</v>
      </c>
      <c r="C128">
        <f>N('Lube Frequency BMSK'!D153)</f>
        <v>0</v>
      </c>
      <c r="D128">
        <f>N('Lube Frequency BMSK'!E153)</f>
        <v>0</v>
      </c>
      <c r="F128" t="str">
        <f t="shared" si="1"/>
        <v>Toyota Hilux MT Pickup</v>
      </c>
      <c r="G128">
        <f>'Lube Frequency BMSK'!I153*B128*('Lube Frequency BMSK'!$L$1/$H$1)</f>
        <v>0</v>
      </c>
      <c r="H128">
        <f>'Lube Frequency BMSK'!I153*C128*('Lube Frequency BMSK'!$L$1/$H$1)</f>
        <v>0</v>
      </c>
      <c r="I128">
        <f>'Lube Frequency BMSK'!I153*D128*('Lube Frequency BMSK'!$L$1/$H$1)</f>
        <v>0</v>
      </c>
    </row>
    <row r="129" spans="1:9" x14ac:dyDescent="0.25">
      <c r="A129" t="str">
        <f>'Lube Frequency BMSK'!B154</f>
        <v>Toyota Landcruiser 200 AT</v>
      </c>
      <c r="B129">
        <f>N('Lube Frequency BMSK'!C154)</f>
        <v>0</v>
      </c>
      <c r="C129">
        <f>N('Lube Frequency BMSK'!D154)</f>
        <v>0</v>
      </c>
      <c r="D129">
        <f>N('Lube Frequency BMSK'!E154)</f>
        <v>0</v>
      </c>
      <c r="F129" t="str">
        <f t="shared" si="1"/>
        <v>Toyota Landcruiser 200 AT</v>
      </c>
      <c r="G129">
        <f>'Lube Frequency BMSK'!I154*B129*('Lube Frequency BMSK'!$L$1/$H$1)</f>
        <v>0</v>
      </c>
      <c r="H129">
        <f>'Lube Frequency BMSK'!I154*C129*('Lube Frequency BMSK'!$L$1/$H$1)</f>
        <v>0</v>
      </c>
      <c r="I129">
        <f>'Lube Frequency BMSK'!I154*D129*('Lube Frequency BMSK'!$L$1/$H$1)</f>
        <v>0</v>
      </c>
    </row>
    <row r="130" spans="1:9" x14ac:dyDescent="0.25">
      <c r="A130" t="str">
        <f>'Lube Frequency BMSK'!B155</f>
        <v>TREKOL 39294 ALL-TERRAIN VEHICLE</v>
      </c>
      <c r="B130">
        <f>N('Lube Frequency BMSK'!C155)</f>
        <v>0</v>
      </c>
      <c r="C130">
        <f>N('Lube Frequency BMSK'!D155)</f>
        <v>0</v>
      </c>
      <c r="D130">
        <f>N('Lube Frequency BMSK'!E155)</f>
        <v>0</v>
      </c>
      <c r="F130" t="str">
        <f t="shared" si="1"/>
        <v>TREKOL 39294 ALL-TERRAIN VEHICLE</v>
      </c>
      <c r="G130">
        <f>'Lube Frequency BMSK'!I155*B130*('Lube Frequency BMSK'!$L$1/$H$1)</f>
        <v>0</v>
      </c>
      <c r="H130">
        <f>'Lube Frequency BMSK'!I155*C130*('Lube Frequency BMSK'!$L$1/$H$1)</f>
        <v>0</v>
      </c>
      <c r="I130">
        <f>'Lube Frequency BMSK'!I155*D130*('Lube Frequency BMSK'!$L$1/$H$1)</f>
        <v>0</v>
      </c>
    </row>
    <row r="131" spans="1:9" x14ac:dyDescent="0.25">
      <c r="A131" t="str">
        <f>'Lube Frequency BMSK'!B156</f>
        <v>TRUCK , BOOM KAMAZ 65117-776010-19</v>
      </c>
      <c r="B131">
        <f>N('Lube Frequency BMSK'!C156)</f>
        <v>7</v>
      </c>
      <c r="C131">
        <f>N('Lube Frequency BMSK'!D156)</f>
        <v>7</v>
      </c>
      <c r="D131">
        <f>N('Lube Frequency BMSK'!E156)</f>
        <v>7</v>
      </c>
      <c r="F131" t="str">
        <f t="shared" si="1"/>
        <v>TRUCK , BOOM KAMAZ 65117-776010-19</v>
      </c>
      <c r="G131">
        <f>'Lube Frequency BMSK'!I156*B131*('Lube Frequency BMSK'!$L$1/$H$1)</f>
        <v>196</v>
      </c>
      <c r="H131">
        <f>'Lube Frequency BMSK'!I156*C131*('Lube Frequency BMSK'!$L$1/$H$1)</f>
        <v>196</v>
      </c>
      <c r="I131">
        <f>'Lube Frequency BMSK'!I156*D131*('Lube Frequency BMSK'!$L$1/$H$1)</f>
        <v>196</v>
      </c>
    </row>
    <row r="132" spans="1:9" x14ac:dyDescent="0.25">
      <c r="A132" t="str">
        <f>'Lube Frequency BMSK'!B157</f>
        <v>TRUCK , CONCRETE PUMP MERCEDES-BENZ 3340</v>
      </c>
      <c r="B132">
        <f>N('Lube Frequency BMSK'!C157)</f>
        <v>0</v>
      </c>
      <c r="C132">
        <f>N('Lube Frequency BMSK'!D157)</f>
        <v>0</v>
      </c>
      <c r="D132">
        <f>N('Lube Frequency BMSK'!E157)</f>
        <v>0</v>
      </c>
      <c r="F132" t="str">
        <f t="shared" si="1"/>
        <v>TRUCK , CONCRETE PUMP MERCEDES-BENZ 3340</v>
      </c>
      <c r="G132">
        <f>'Lube Frequency BMSK'!I157*B132*('Lube Frequency BMSK'!$L$1/$H$1)</f>
        <v>0</v>
      </c>
      <c r="H132">
        <f>'Lube Frequency BMSK'!I157*C132*('Lube Frequency BMSK'!$L$1/$H$1)</f>
        <v>0</v>
      </c>
      <c r="I132">
        <f>'Lube Frequency BMSK'!I157*D132*('Lube Frequency BMSK'!$L$1/$H$1)</f>
        <v>0</v>
      </c>
    </row>
    <row r="133" spans="1:9" x14ac:dyDescent="0.25">
      <c r="A133" t="str">
        <f>'Lube Frequency BMSK'!B158</f>
        <v>TRUCK , DUMP KAMAZ 65201-6010-49(B5)</v>
      </c>
      <c r="B133">
        <f>N('Lube Frequency BMSK'!C158)</f>
        <v>4</v>
      </c>
      <c r="C133">
        <f>N('Lube Frequency BMSK'!D158)</f>
        <v>4</v>
      </c>
      <c r="D133">
        <f>N('Lube Frequency BMSK'!E158)</f>
        <v>4</v>
      </c>
      <c r="F133" t="str">
        <f t="shared" si="1"/>
        <v>TRUCK , DUMP KAMAZ 65201-6010-49(B5)</v>
      </c>
      <c r="G133">
        <f>'Lube Frequency BMSK'!I158*B133*('Lube Frequency BMSK'!$L$1/$H$1)</f>
        <v>56</v>
      </c>
      <c r="H133">
        <f>'Lube Frequency BMSK'!I158*C133*('Lube Frequency BMSK'!$L$1/$H$1)</f>
        <v>56</v>
      </c>
      <c r="I133">
        <f>'Lube Frequency BMSK'!I158*D133*('Lube Frequency BMSK'!$L$1/$H$1)</f>
        <v>56</v>
      </c>
    </row>
    <row r="134" spans="1:9" x14ac:dyDescent="0.25">
      <c r="A134" t="str">
        <f>'Lube Frequency BMSK'!B159</f>
        <v>TRUCK, CONCRETE TRANSMIXER KAMAZ 6520-6041-43</v>
      </c>
      <c r="B134">
        <f>N('Lube Frequency BMSK'!C159)</f>
        <v>0</v>
      </c>
      <c r="C134">
        <f>N('Lube Frequency BMSK'!D159)</f>
        <v>0</v>
      </c>
      <c r="D134">
        <f>N('Lube Frequency BMSK'!E159)</f>
        <v>0</v>
      </c>
      <c r="F134" t="str">
        <f t="shared" si="1"/>
        <v>TRUCK, CONCRETE TRANSMIXER KAMAZ 6520-6041-43</v>
      </c>
      <c r="G134">
        <f>'Lube Frequency BMSK'!I159*B134*('Lube Frequency BMSK'!$L$1/$H$1)</f>
        <v>0</v>
      </c>
      <c r="H134">
        <f>'Lube Frequency BMSK'!I159*C134*('Lube Frequency BMSK'!$L$1/$H$1)</f>
        <v>0</v>
      </c>
      <c r="I134">
        <f>'Lube Frequency BMSK'!I159*D134*('Lube Frequency BMSK'!$L$1/$H$1)</f>
        <v>0</v>
      </c>
    </row>
    <row r="135" spans="1:9" x14ac:dyDescent="0.25">
      <c r="A135" t="str">
        <f>'Lube Frequency BMSK'!B160</f>
        <v>TRUCK, DUMP KAMAZ 6520-6041-43</v>
      </c>
      <c r="B135">
        <f>N('Lube Frequency BMSK'!C160)</f>
        <v>0</v>
      </c>
      <c r="C135">
        <f>N('Lube Frequency BMSK'!D160)</f>
        <v>0</v>
      </c>
      <c r="D135">
        <f>N('Lube Frequency BMSK'!E160)</f>
        <v>0</v>
      </c>
      <c r="F135" t="str">
        <f t="shared" ref="F135:F161" si="2">A135</f>
        <v>TRUCK, DUMP KAMAZ 6520-6041-43</v>
      </c>
      <c r="G135">
        <f>'Lube Frequency BMSK'!I160*B135*('Lube Frequency BMSK'!$L$1/$H$1)</f>
        <v>0</v>
      </c>
      <c r="H135">
        <f>'Lube Frequency BMSK'!I160*C135*('Lube Frequency BMSK'!$L$1/$H$1)</f>
        <v>0</v>
      </c>
      <c r="I135">
        <f>'Lube Frequency BMSK'!I160*D135*('Lube Frequency BMSK'!$L$1/$H$1)</f>
        <v>0</v>
      </c>
    </row>
    <row r="136" spans="1:9" x14ac:dyDescent="0.25">
      <c r="A136" t="str">
        <f>'Lube Frequency BMSK'!B161</f>
        <v>TRUCK, MECHANIC KAMAZ 5350-3014-42</v>
      </c>
      <c r="B136">
        <f>N('Lube Frequency BMSK'!C161)</f>
        <v>0</v>
      </c>
      <c r="C136">
        <f>N('Lube Frequency BMSK'!D161)</f>
        <v>0</v>
      </c>
      <c r="D136">
        <f>N('Lube Frequency BMSK'!E161)</f>
        <v>0</v>
      </c>
      <c r="F136" t="str">
        <f t="shared" si="2"/>
        <v>TRUCK, MECHANIC KAMAZ 5350-3014-42</v>
      </c>
      <c r="G136">
        <f>'Lube Frequency BMSK'!I161*B136*('Lube Frequency BMSK'!$L$1/$H$1)</f>
        <v>0</v>
      </c>
      <c r="H136">
        <f>'Lube Frequency BMSK'!I161*C136*('Lube Frequency BMSK'!$L$1/$H$1)</f>
        <v>0</v>
      </c>
      <c r="I136">
        <f>'Lube Frequency BMSK'!I161*D136*('Lube Frequency BMSK'!$L$1/$H$1)</f>
        <v>0</v>
      </c>
    </row>
    <row r="137" spans="1:9" x14ac:dyDescent="0.25">
      <c r="A137" t="str">
        <f>'Lube Frequency BMSK'!B162</f>
        <v>TRUCK, TANKER KAMAZ 65115-3082-48</v>
      </c>
      <c r="B137">
        <f>N('Lube Frequency BMSK'!C162)</f>
        <v>0</v>
      </c>
      <c r="C137">
        <f>N('Lube Frequency BMSK'!D162)</f>
        <v>0</v>
      </c>
      <c r="D137">
        <f>N('Lube Frequency BMSK'!E162)</f>
        <v>0</v>
      </c>
      <c r="F137" t="str">
        <f t="shared" si="2"/>
        <v>TRUCK, TANKER KAMAZ 65115-3082-48</v>
      </c>
      <c r="G137">
        <f>'Lube Frequency BMSK'!I162*B137*('Lube Frequency BMSK'!$L$1/$H$1)</f>
        <v>0</v>
      </c>
      <c r="H137">
        <f>'Lube Frequency BMSK'!I162*C137*('Lube Frequency BMSK'!$L$1/$H$1)</f>
        <v>0</v>
      </c>
      <c r="I137">
        <f>'Lube Frequency BMSK'!I162*D137*('Lube Frequency BMSK'!$L$1/$H$1)</f>
        <v>0</v>
      </c>
    </row>
    <row r="138" spans="1:9" x14ac:dyDescent="0.25">
      <c r="A138" t="str">
        <f>'Lube Frequency BMSK'!B163</f>
        <v>TRUCK, TRACTOR KAMAZ 65116-6010-48</v>
      </c>
      <c r="B138">
        <f>N('Lube Frequency BMSK'!C163)</f>
        <v>0</v>
      </c>
      <c r="C138">
        <f>N('Lube Frequency BMSK'!D163)</f>
        <v>0</v>
      </c>
      <c r="D138">
        <f>N('Lube Frequency BMSK'!E163)</f>
        <v>0</v>
      </c>
      <c r="F138" t="str">
        <f t="shared" si="2"/>
        <v>TRUCK, TRACTOR KAMAZ 65116-6010-48</v>
      </c>
      <c r="G138">
        <f>'Lube Frequency BMSK'!I163*B138*('Lube Frequency BMSK'!$L$1/$H$1)</f>
        <v>0</v>
      </c>
      <c r="H138">
        <f>'Lube Frequency BMSK'!I163*C138*('Lube Frequency BMSK'!$L$1/$H$1)</f>
        <v>0</v>
      </c>
      <c r="I138">
        <f>'Lube Frequency BMSK'!I163*D138*('Lube Frequency BMSK'!$L$1/$H$1)</f>
        <v>0</v>
      </c>
    </row>
    <row r="139" spans="1:9" x14ac:dyDescent="0.25">
      <c r="A139" t="str">
        <f>'Lube Frequency BMSK'!B164</f>
        <v>TRUCK, TRACTOR MAN TGS 26.400 6x4 BLS WW</v>
      </c>
      <c r="B139">
        <f>N('Lube Frequency BMSK'!C164)</f>
        <v>0</v>
      </c>
      <c r="C139">
        <f>N('Lube Frequency BMSK'!D164)</f>
        <v>0</v>
      </c>
      <c r="D139">
        <f>N('Lube Frequency BMSK'!E164)</f>
        <v>0</v>
      </c>
      <c r="F139" t="str">
        <f t="shared" si="2"/>
        <v>TRUCK, TRACTOR MAN TGS 26.400 6x4 BLS WW</v>
      </c>
      <c r="G139">
        <f>'Lube Frequency BMSK'!I164*B139*('Lube Frequency BMSK'!$L$1/$H$1)</f>
        <v>0</v>
      </c>
      <c r="H139">
        <f>'Lube Frequency BMSK'!I164*C139*('Lube Frequency BMSK'!$L$1/$H$1)</f>
        <v>0</v>
      </c>
      <c r="I139">
        <f>'Lube Frequency BMSK'!I164*D139*('Lube Frequency BMSK'!$L$1/$H$1)</f>
        <v>0</v>
      </c>
    </row>
    <row r="140" spans="1:9" x14ac:dyDescent="0.25">
      <c r="A140" t="str">
        <f>'Lube Frequency BMSK'!B165</f>
        <v>TRUCK, TRACTOR MAN TGS 40.480 6x4 BBS WW</v>
      </c>
      <c r="B140">
        <f>N('Lube Frequency BMSK'!C165)</f>
        <v>0</v>
      </c>
      <c r="C140">
        <f>N('Lube Frequency BMSK'!D165)</f>
        <v>0</v>
      </c>
      <c r="D140">
        <f>N('Lube Frequency BMSK'!E165)</f>
        <v>0</v>
      </c>
      <c r="F140" t="str">
        <f t="shared" si="2"/>
        <v>TRUCK, TRACTOR MAN TGS 40.480 6x4 BBS WW</v>
      </c>
      <c r="G140">
        <f>'Lube Frequency BMSK'!I165*B140*('Lube Frequency BMSK'!$L$1/$H$1)</f>
        <v>0</v>
      </c>
      <c r="H140">
        <f>'Lube Frequency BMSK'!I165*C140*('Lube Frequency BMSK'!$L$1/$H$1)</f>
        <v>0</v>
      </c>
      <c r="I140">
        <f>'Lube Frequency BMSK'!I165*D140*('Lube Frequency BMSK'!$L$1/$H$1)</f>
        <v>0</v>
      </c>
    </row>
    <row r="141" spans="1:9" x14ac:dyDescent="0.25">
      <c r="A141" t="str">
        <f>'Lube Frequency BMSK'!B166</f>
        <v>TRUCK, WATER KAMAZ УСТ 5453К2</v>
      </c>
      <c r="B141">
        <f>N('Lube Frequency BMSK'!C166)</f>
        <v>20</v>
      </c>
      <c r="C141">
        <f>N('Lube Frequency BMSK'!D166)</f>
        <v>20</v>
      </c>
      <c r="D141">
        <f>N('Lube Frequency BMSK'!E166)</f>
        <v>20</v>
      </c>
      <c r="F141" t="str">
        <f t="shared" si="2"/>
        <v>TRUCK, WATER KAMAZ УСТ 5453К2</v>
      </c>
      <c r="G141">
        <f>'Lube Frequency BMSK'!I166*B141*('Lube Frequency BMSK'!$L$1/$H$1)</f>
        <v>280</v>
      </c>
      <c r="H141">
        <f>'Lube Frequency BMSK'!I166*C141*('Lube Frequency BMSK'!$L$1/$H$1)</f>
        <v>280</v>
      </c>
      <c r="I141">
        <f>'Lube Frequency BMSK'!I166*D141*('Lube Frequency BMSK'!$L$1/$H$1)</f>
        <v>280</v>
      </c>
    </row>
    <row r="142" spans="1:9" x14ac:dyDescent="0.25">
      <c r="A142" t="str">
        <f>'Lube Frequency BMSK'!B167</f>
        <v>TZCO  WK-35</v>
      </c>
      <c r="B142">
        <f>N('Lube Frequency BMSK'!C167)</f>
        <v>0</v>
      </c>
      <c r="C142">
        <f>N('Lube Frequency BMSK'!D167)</f>
        <v>0</v>
      </c>
      <c r="D142">
        <f>N('Lube Frequency BMSK'!E167)</f>
        <v>0</v>
      </c>
      <c r="F142" t="str">
        <f t="shared" si="2"/>
        <v>TZCO  WK-35</v>
      </c>
      <c r="G142">
        <f>'Lube Frequency BMSK'!I167*B142*('Lube Frequency BMSK'!$L$1/$H$1)</f>
        <v>0</v>
      </c>
      <c r="H142">
        <f>'Lube Frequency BMSK'!I167*C142*('Lube Frequency BMSK'!$L$1/$H$1)</f>
        <v>0</v>
      </c>
      <c r="I142">
        <f>'Lube Frequency BMSK'!I167*D142*('Lube Frequency BMSK'!$L$1/$H$1)</f>
        <v>0</v>
      </c>
    </row>
    <row r="143" spans="1:9" x14ac:dyDescent="0.25">
      <c r="A143" t="str">
        <f>'Lube Frequency BMSK'!B168</f>
        <v>TZCO  WK-55</v>
      </c>
      <c r="B143">
        <f>N('Lube Frequency BMSK'!C168)</f>
        <v>0</v>
      </c>
      <c r="C143">
        <f>N('Lube Frequency BMSK'!D168)</f>
        <v>0</v>
      </c>
      <c r="D143">
        <f>N('Lube Frequency BMSK'!E168)</f>
        <v>0</v>
      </c>
      <c r="F143" t="str">
        <f t="shared" si="2"/>
        <v>TZCO  WK-55</v>
      </c>
      <c r="G143">
        <f>'Lube Frequency BMSK'!I168*B143*('Lube Frequency BMSK'!$L$1/$H$1)</f>
        <v>0</v>
      </c>
      <c r="H143">
        <f>'Lube Frequency BMSK'!I168*C143*('Lube Frequency BMSK'!$L$1/$H$1)</f>
        <v>0</v>
      </c>
      <c r="I143">
        <f>'Lube Frequency BMSK'!I168*D143*('Lube Frequency BMSK'!$L$1/$H$1)</f>
        <v>0</v>
      </c>
    </row>
    <row r="144" spans="1:9" x14ac:dyDescent="0.25">
      <c r="A144" t="str">
        <f>'Lube Frequency BMSK'!B169</f>
        <v>URAL 32551-5013-71 Crew bus</v>
      </c>
      <c r="B144">
        <f>N('Lube Frequency BMSK'!C169)</f>
        <v>0</v>
      </c>
      <c r="C144">
        <f>N('Lube Frequency BMSK'!D169)</f>
        <v>0</v>
      </c>
      <c r="D144">
        <f>N('Lube Frequency BMSK'!E169)</f>
        <v>0</v>
      </c>
      <c r="F144" t="str">
        <f t="shared" si="2"/>
        <v>URAL 32551-5013-71 Crew bus</v>
      </c>
      <c r="G144">
        <f>'Lube Frequency BMSK'!I169*B144*('Lube Frequency BMSK'!$L$1/$H$1)</f>
        <v>0</v>
      </c>
      <c r="H144">
        <f>'Lube Frequency BMSK'!I169*C144*('Lube Frequency BMSK'!$L$1/$H$1)</f>
        <v>0</v>
      </c>
      <c r="I144">
        <f>'Lube Frequency BMSK'!I169*D144*('Lube Frequency BMSK'!$L$1/$H$1)</f>
        <v>0</v>
      </c>
    </row>
    <row r="145" spans="1:9" x14ac:dyDescent="0.25">
      <c r="A145" t="str">
        <f>'Lube Frequency BMSK'!B170</f>
        <v>URAL 43441C-10 АЦ 6.0-70 Fire-truck</v>
      </c>
      <c r="B145">
        <f>N('Lube Frequency BMSK'!C170)</f>
        <v>0</v>
      </c>
      <c r="C145">
        <f>N('Lube Frequency BMSK'!D170)</f>
        <v>0</v>
      </c>
      <c r="D145">
        <f>N('Lube Frequency BMSK'!E170)</f>
        <v>0</v>
      </c>
      <c r="F145" t="str">
        <f t="shared" si="2"/>
        <v>URAL 43441C-10 АЦ 6.0-70 Fire-truck</v>
      </c>
      <c r="G145">
        <f>'Lube Frequency BMSK'!I170*B145*('Lube Frequency BMSK'!$L$1/$H$1)</f>
        <v>0</v>
      </c>
      <c r="H145">
        <f>'Lube Frequency BMSK'!I170*C145*('Lube Frequency BMSK'!$L$1/$H$1)</f>
        <v>0</v>
      </c>
      <c r="I145">
        <f>'Lube Frequency BMSK'!I170*D145*('Lube Frequency BMSK'!$L$1/$H$1)</f>
        <v>0</v>
      </c>
    </row>
    <row r="146" spans="1:9" x14ac:dyDescent="0.25">
      <c r="A146" t="str">
        <f>'Lube Frequency BMSK'!B171</f>
        <v>URAL 4671L2-20 WATER TRUCK</v>
      </c>
      <c r="B146">
        <f>N('Lube Frequency BMSK'!C171)</f>
        <v>0</v>
      </c>
      <c r="C146">
        <f>N('Lube Frequency BMSK'!D171)</f>
        <v>0</v>
      </c>
      <c r="D146">
        <f>N('Lube Frequency BMSK'!E171)</f>
        <v>0</v>
      </c>
      <c r="F146" t="str">
        <f t="shared" si="2"/>
        <v>URAL 4671L2-20 WATER TRUCK</v>
      </c>
      <c r="G146">
        <f>'Lube Frequency BMSK'!I171*B146*('Lube Frequency BMSK'!$L$1/$H$1)</f>
        <v>0</v>
      </c>
      <c r="H146">
        <f>'Lube Frequency BMSK'!I171*C146*('Lube Frequency BMSK'!$L$1/$H$1)</f>
        <v>0</v>
      </c>
      <c r="I146">
        <f>'Lube Frequency BMSK'!I171*D146*('Lube Frequency BMSK'!$L$1/$H$1)</f>
        <v>0</v>
      </c>
    </row>
    <row r="147" spans="1:9" x14ac:dyDescent="0.25">
      <c r="A147" t="str">
        <f>'Lube Frequency BMSK'!B172</f>
        <v>URAL 4672M8 VACUUM TRUCK</v>
      </c>
      <c r="B147">
        <f>N('Lube Frequency BMSK'!C172)</f>
        <v>0</v>
      </c>
      <c r="C147">
        <f>N('Lube Frequency BMSK'!D172)</f>
        <v>0</v>
      </c>
      <c r="D147">
        <f>N('Lube Frequency BMSK'!E172)</f>
        <v>0</v>
      </c>
      <c r="F147" t="str">
        <f t="shared" si="2"/>
        <v>URAL 4672M8 VACUUM TRUCK</v>
      </c>
      <c r="G147">
        <f>'Lube Frequency BMSK'!I172*B147*('Lube Frequency BMSK'!$L$1/$H$1)</f>
        <v>0</v>
      </c>
      <c r="H147">
        <f>'Lube Frequency BMSK'!I172*C147*('Lube Frequency BMSK'!$L$1/$H$1)</f>
        <v>0</v>
      </c>
      <c r="I147">
        <f>'Lube Frequency BMSK'!I172*D147*('Lube Frequency BMSK'!$L$1/$H$1)</f>
        <v>0</v>
      </c>
    </row>
    <row r="148" spans="1:9" x14ac:dyDescent="0.25">
      <c r="A148" t="str">
        <f>'Lube Frequency BMSK'!B173</f>
        <v>URAL 4672М1-20 WATER TRUCK</v>
      </c>
      <c r="B148">
        <f>N('Lube Frequency BMSK'!C173)</f>
        <v>0</v>
      </c>
      <c r="C148">
        <f>N('Lube Frequency BMSK'!D173)</f>
        <v>0</v>
      </c>
      <c r="D148">
        <f>N('Lube Frequency BMSK'!E173)</f>
        <v>0</v>
      </c>
      <c r="F148" t="str">
        <f t="shared" si="2"/>
        <v>URAL 4672М1-20 WATER TRUCK</v>
      </c>
      <c r="G148">
        <f>'Lube Frequency BMSK'!I173*B148*('Lube Frequency BMSK'!$L$1/$H$1)</f>
        <v>0</v>
      </c>
      <c r="H148">
        <f>'Lube Frequency BMSK'!I173*C148*('Lube Frequency BMSK'!$L$1/$H$1)</f>
        <v>0</v>
      </c>
      <c r="I148">
        <f>'Lube Frequency BMSK'!I173*D148*('Lube Frequency BMSK'!$L$1/$H$1)</f>
        <v>0</v>
      </c>
    </row>
    <row r="149" spans="1:9" x14ac:dyDescent="0.25">
      <c r="A149" t="str">
        <f>'Lube Frequency BMSK'!B174</f>
        <v>URAL 58498А-0000020 Crew bus</v>
      </c>
      <c r="B149">
        <f>N('Lube Frequency BMSK'!C174)</f>
        <v>0</v>
      </c>
      <c r="C149">
        <f>N('Lube Frequency BMSK'!D174)</f>
        <v>0</v>
      </c>
      <c r="D149">
        <f>N('Lube Frequency BMSK'!E174)</f>
        <v>0</v>
      </c>
      <c r="F149" t="str">
        <f t="shared" si="2"/>
        <v>URAL 58498А-0000020 Crew bus</v>
      </c>
      <c r="G149">
        <f>'Lube Frequency BMSK'!I174*B149*('Lube Frequency BMSK'!$L$1/$H$1)</f>
        <v>0</v>
      </c>
      <c r="H149">
        <f>'Lube Frequency BMSK'!I174*C149*('Lube Frequency BMSK'!$L$1/$H$1)</f>
        <v>0</v>
      </c>
      <c r="I149">
        <f>'Lube Frequency BMSK'!I174*D149*('Lube Frequency BMSK'!$L$1/$H$1)</f>
        <v>0</v>
      </c>
    </row>
    <row r="150" spans="1:9" x14ac:dyDescent="0.25">
      <c r="A150" t="str">
        <f>'Lube Frequency BMSK'!B175</f>
        <v>URAL 63704-0151 Fuel Truck</v>
      </c>
      <c r="B150">
        <f>N('Lube Frequency BMSK'!C175)</f>
        <v>0</v>
      </c>
      <c r="C150">
        <f>N('Lube Frequency BMSK'!D175)</f>
        <v>0</v>
      </c>
      <c r="D150">
        <f>N('Lube Frequency BMSK'!E175)</f>
        <v>0</v>
      </c>
      <c r="F150" t="str">
        <f t="shared" si="2"/>
        <v>URAL 63704-0151 Fuel Truck</v>
      </c>
      <c r="G150">
        <f>'Lube Frequency BMSK'!I175*B150*('Lube Frequency BMSK'!$L$1/$H$1)</f>
        <v>0</v>
      </c>
      <c r="H150">
        <f>'Lube Frequency BMSK'!I175*C150*('Lube Frequency BMSK'!$L$1/$H$1)</f>
        <v>0</v>
      </c>
      <c r="I150">
        <f>'Lube Frequency BMSK'!I175*D150*('Lube Frequency BMSK'!$L$1/$H$1)</f>
        <v>0</v>
      </c>
    </row>
    <row r="151" spans="1:9" x14ac:dyDescent="0.25">
      <c r="A151" t="str">
        <f>'Lube Frequency BMSK'!B176</f>
        <v>URAL 63704К Fuel Truck</v>
      </c>
      <c r="B151">
        <f>N('Lube Frequency BMSK'!C176)</f>
        <v>0</v>
      </c>
      <c r="C151">
        <f>N('Lube Frequency BMSK'!D176)</f>
        <v>0</v>
      </c>
      <c r="D151">
        <f>N('Lube Frequency BMSK'!E176)</f>
        <v>0</v>
      </c>
      <c r="F151" t="str">
        <f t="shared" si="2"/>
        <v>URAL 63704К Fuel Truck</v>
      </c>
      <c r="G151">
        <f>'Lube Frequency BMSK'!I176*B151*('Lube Frequency BMSK'!$L$1/$H$1)</f>
        <v>0</v>
      </c>
      <c r="H151">
        <f>'Lube Frequency BMSK'!I176*C151*('Lube Frequency BMSK'!$L$1/$H$1)</f>
        <v>0</v>
      </c>
      <c r="I151">
        <f>'Lube Frequency BMSK'!I176*D151*('Lube Frequency BMSK'!$L$1/$H$1)</f>
        <v>0</v>
      </c>
    </row>
    <row r="152" spans="1:9" x14ac:dyDescent="0.25">
      <c r="A152" t="str">
        <f>'Lube Frequency BMSK'!B177</f>
        <v>URAL NEXT 4320 Lube Truck    (1891АА-0001100)</v>
      </c>
      <c r="B152">
        <f>N('Lube Frequency BMSK'!C177)</f>
        <v>0</v>
      </c>
      <c r="C152">
        <f>N('Lube Frequency BMSK'!D177)</f>
        <v>0</v>
      </c>
      <c r="D152">
        <f>N('Lube Frequency BMSK'!E177)</f>
        <v>0</v>
      </c>
      <c r="F152" t="str">
        <f t="shared" si="2"/>
        <v>URAL NEXT 4320 Lube Truck    (1891АА-0001100)</v>
      </c>
      <c r="G152">
        <f>'Lube Frequency BMSK'!I177*B152*('Lube Frequency BMSK'!$L$1/$H$1)</f>
        <v>0</v>
      </c>
      <c r="H152">
        <f>'Lube Frequency BMSK'!I177*C152*('Lube Frequency BMSK'!$L$1/$H$1)</f>
        <v>0</v>
      </c>
      <c r="I152">
        <f>'Lube Frequency BMSK'!I177*D152*('Lube Frequency BMSK'!$L$1/$H$1)</f>
        <v>0</v>
      </c>
    </row>
    <row r="153" spans="1:9" x14ac:dyDescent="0.25">
      <c r="A153" t="str">
        <f>'Lube Frequency BMSK'!B178</f>
        <v>URAL NEXT 4320 Mechanical Truck      (1891AA-0001103)</v>
      </c>
      <c r="B153">
        <f>N('Lube Frequency BMSK'!C178)</f>
        <v>0</v>
      </c>
      <c r="C153">
        <f>N('Lube Frequency BMSK'!D178)</f>
        <v>0</v>
      </c>
      <c r="D153">
        <f>N('Lube Frequency BMSK'!E178)</f>
        <v>0</v>
      </c>
      <c r="F153" t="str">
        <f t="shared" si="2"/>
        <v>URAL NEXT 4320 Mechanical Truck      (1891AA-0001103)</v>
      </c>
      <c r="G153">
        <f>'Lube Frequency BMSK'!I178*B153*('Lube Frequency BMSK'!$L$1/$H$1)</f>
        <v>0</v>
      </c>
      <c r="H153">
        <f>'Lube Frequency BMSK'!I178*C153*('Lube Frequency BMSK'!$L$1/$H$1)</f>
        <v>0</v>
      </c>
      <c r="I153">
        <f>'Lube Frequency BMSK'!I178*D153*('Lube Frequency BMSK'!$L$1/$H$1)</f>
        <v>0</v>
      </c>
    </row>
    <row r="154" spans="1:9" x14ac:dyDescent="0.25">
      <c r="A154" t="str">
        <f>'Lube Frequency BMSK'!B179</f>
        <v>URAL ППУА Steam Truck</v>
      </c>
      <c r="B154">
        <f>N('Lube Frequency BMSK'!C179)</f>
        <v>0</v>
      </c>
      <c r="C154">
        <f>N('Lube Frequency BMSK'!D179)</f>
        <v>0</v>
      </c>
      <c r="D154">
        <f>N('Lube Frequency BMSK'!E179)</f>
        <v>0</v>
      </c>
      <c r="F154" t="str">
        <f t="shared" si="2"/>
        <v>URAL ППУА Steam Truck</v>
      </c>
      <c r="G154">
        <f>'Lube Frequency BMSK'!I179*B154*('Lube Frequency BMSK'!$L$1/$H$1)</f>
        <v>0</v>
      </c>
      <c r="H154">
        <f>'Lube Frequency BMSK'!I179*C154*('Lube Frequency BMSK'!$L$1/$H$1)</f>
        <v>0</v>
      </c>
      <c r="I154">
        <f>'Lube Frequency BMSK'!I179*D154*('Lube Frequency BMSK'!$L$1/$H$1)</f>
        <v>0</v>
      </c>
    </row>
    <row r="155" spans="1:9" x14ac:dyDescent="0.25">
      <c r="A155" t="str">
        <f>'Lube Frequency BMSK'!B180</f>
        <v>URAL СШР-1 Snow blower Truck</v>
      </c>
      <c r="B155">
        <f>N('Lube Frequency BMSK'!C180)</f>
        <v>0</v>
      </c>
      <c r="C155">
        <f>N('Lube Frequency BMSK'!D180)</f>
        <v>0</v>
      </c>
      <c r="D155">
        <f>N('Lube Frequency BMSK'!E180)</f>
        <v>0</v>
      </c>
      <c r="F155" t="str">
        <f t="shared" si="2"/>
        <v>URAL СШР-1 Snow blower Truck</v>
      </c>
      <c r="G155">
        <f>'Lube Frequency BMSK'!I180*B155*('Lube Frequency BMSK'!$L$1/$H$1)</f>
        <v>0</v>
      </c>
      <c r="H155">
        <f>'Lube Frequency BMSK'!I180*C155*('Lube Frequency BMSK'!$L$1/$H$1)</f>
        <v>0</v>
      </c>
      <c r="I155">
        <f>'Lube Frequency BMSK'!I180*D155*('Lube Frequency BMSK'!$L$1/$H$1)</f>
        <v>0</v>
      </c>
    </row>
    <row r="156" spans="1:9" x14ac:dyDescent="0.25">
      <c r="A156" t="str">
        <f>'Lube Frequency BMSK'!B181</f>
        <v xml:space="preserve">URB-2D3 </v>
      </c>
      <c r="B156">
        <f>N('Lube Frequency BMSK'!C181)</f>
        <v>1</v>
      </c>
      <c r="C156">
        <f>N('Lube Frequency BMSK'!D181)</f>
        <v>0</v>
      </c>
      <c r="D156">
        <f>N('Lube Frequency BMSK'!E181)</f>
        <v>0</v>
      </c>
      <c r="F156" t="str">
        <f t="shared" si="2"/>
        <v xml:space="preserve">URB-2D3 </v>
      </c>
      <c r="G156">
        <f>'Lube Frequency BMSK'!I181*B156*('Lube Frequency BMSK'!$L$1/$H$1)</f>
        <v>14</v>
      </c>
      <c r="H156">
        <f>'Lube Frequency BMSK'!I181*C156*('Lube Frequency BMSK'!$L$1/$H$1)</f>
        <v>0</v>
      </c>
      <c r="I156">
        <f>'Lube Frequency BMSK'!I181*D156*('Lube Frequency BMSK'!$L$1/$H$1)</f>
        <v>0</v>
      </c>
    </row>
    <row r="157" spans="1:9" x14ac:dyDescent="0.25">
      <c r="A157" t="str">
        <f>'Lube Frequency BMSK'!B182</f>
        <v>ZOOMLION ZRS4531 KONTAINER LOADER</v>
      </c>
      <c r="B157">
        <f>N('Lube Frequency BMSK'!C182)</f>
        <v>0</v>
      </c>
      <c r="C157">
        <f>N('Lube Frequency BMSK'!D182)</f>
        <v>0</v>
      </c>
      <c r="D157">
        <f>N('Lube Frequency BMSK'!E182)</f>
        <v>0</v>
      </c>
      <c r="F157" t="str">
        <f t="shared" si="2"/>
        <v>ZOOMLION ZRS4531 KONTAINER LOADER</v>
      </c>
      <c r="G157">
        <f>'Lube Frequency BMSK'!I182*B157*('Lube Frequency BMSK'!$L$1/$H$1)</f>
        <v>0</v>
      </c>
      <c r="H157">
        <f>'Lube Frequency BMSK'!I182*C157*('Lube Frequency BMSK'!$L$1/$H$1)</f>
        <v>0</v>
      </c>
      <c r="I157">
        <f>'Lube Frequency BMSK'!I182*D157*('Lube Frequency BMSK'!$L$1/$H$1)</f>
        <v>0</v>
      </c>
    </row>
    <row r="158" spans="1:9" x14ac:dyDescent="0.25">
      <c r="A158" t="str">
        <f>'Lube Frequency BMSK'!B183</f>
        <v>ZOOMLION ZRT400</v>
      </c>
      <c r="B158">
        <f>N('Lube Frequency BMSK'!C183)</f>
        <v>0</v>
      </c>
      <c r="C158">
        <f>N('Lube Frequency BMSK'!D183)</f>
        <v>0</v>
      </c>
      <c r="D158">
        <f>N('Lube Frequency BMSK'!E183)</f>
        <v>0</v>
      </c>
      <c r="F158" t="str">
        <f t="shared" si="2"/>
        <v>ZOOMLION ZRT400</v>
      </c>
      <c r="G158">
        <f>'Lube Frequency BMSK'!I183*B158*('Lube Frequency BMSK'!$L$1/$H$1)</f>
        <v>0</v>
      </c>
      <c r="H158">
        <f>'Lube Frequency BMSK'!I183*C158*('Lube Frequency BMSK'!$L$1/$H$1)</f>
        <v>0</v>
      </c>
      <c r="I158">
        <f>'Lube Frequency BMSK'!I183*D158*('Lube Frequency BMSK'!$L$1/$H$1)</f>
        <v>0</v>
      </c>
    </row>
    <row r="159" spans="1:9" x14ac:dyDescent="0.25">
      <c r="A159" t="str">
        <f>'Lube Frequency BMSK'!B184</f>
        <v>ZOOMLION ZS0808HD</v>
      </c>
      <c r="B159">
        <f>N('Lube Frequency BMSK'!C184)</f>
        <v>0</v>
      </c>
      <c r="C159">
        <f>N('Lube Frequency BMSK'!D184)</f>
        <v>0</v>
      </c>
      <c r="D159">
        <f>N('Lube Frequency BMSK'!E184)</f>
        <v>0</v>
      </c>
      <c r="F159" t="str">
        <f t="shared" si="2"/>
        <v>ZOOMLION ZS0808HD</v>
      </c>
      <c r="G159">
        <f>'Lube Frequency BMSK'!I184*B159*('Lube Frequency BMSK'!$L$1/$H$1)</f>
        <v>0</v>
      </c>
      <c r="H159">
        <f>'Lube Frequency BMSK'!I184*C159*('Lube Frequency BMSK'!$L$1/$H$1)</f>
        <v>0</v>
      </c>
      <c r="I159">
        <f>'Lube Frequency BMSK'!I184*D159*('Lube Frequency BMSK'!$L$1/$H$1)</f>
        <v>0</v>
      </c>
    </row>
    <row r="160" spans="1:9" x14ac:dyDescent="0.25">
      <c r="A160" t="str">
        <f>'Lube Frequency BMSK'!B185</f>
        <v>ZOOMLION ZS2023ERT</v>
      </c>
      <c r="B160">
        <f>N('Lube Frequency BMSK'!C185)</f>
        <v>0</v>
      </c>
      <c r="C160">
        <f>N('Lube Frequency BMSK'!D185)</f>
        <v>0</v>
      </c>
      <c r="D160">
        <f>N('Lube Frequency BMSK'!E185)</f>
        <v>0</v>
      </c>
      <c r="F160" t="str">
        <f t="shared" si="2"/>
        <v>ZOOMLION ZS2023ERT</v>
      </c>
      <c r="G160">
        <f>'Lube Frequency BMSK'!I185*B160*('Lube Frequency BMSK'!$L$1/$H$1)</f>
        <v>0</v>
      </c>
      <c r="H160">
        <f>'Lube Frequency BMSK'!I185*C160*('Lube Frequency BMSK'!$L$1/$H$1)</f>
        <v>0</v>
      </c>
      <c r="I160">
        <f>'Lube Frequency BMSK'!I185*D160*('Lube Frequency BMSK'!$L$1/$H$1)</f>
        <v>0</v>
      </c>
    </row>
    <row r="161" spans="1:9" x14ac:dyDescent="0.25">
      <c r="A161" t="str">
        <f>'Lube Frequency BMSK'!B186</f>
        <v>ZOOMLION ZT42J</v>
      </c>
      <c r="B161">
        <f>N('Lube Frequency BMSK'!C186)</f>
        <v>0</v>
      </c>
      <c r="C161">
        <f>N('Lube Frequency BMSK'!D186)</f>
        <v>0</v>
      </c>
      <c r="D161">
        <f>N('Lube Frequency BMSK'!E186)</f>
        <v>0</v>
      </c>
      <c r="F161" t="str">
        <f t="shared" si="2"/>
        <v>ZOOMLION ZT42J</v>
      </c>
      <c r="G161">
        <f>'Lube Frequency BMSK'!I186*B161*('Lube Frequency BMSK'!$L$1/$H$1)</f>
        <v>0</v>
      </c>
      <c r="H161">
        <f>'Lube Frequency BMSK'!I186*C161*('Lube Frequency BMSK'!$L$1/$H$1)</f>
        <v>0</v>
      </c>
      <c r="I161">
        <f>'Lube Frequency BMSK'!I186*D161*('Lube Frequency BMSK'!$L$1/$H$1)</f>
        <v>0</v>
      </c>
    </row>
    <row r="162" spans="1:9" ht="13" x14ac:dyDescent="0.3">
      <c r="A162" s="293" t="s">
        <v>155</v>
      </c>
      <c r="B162" s="365">
        <f>SUM(B6:B161)</f>
        <v>259</v>
      </c>
      <c r="C162" s="365">
        <f>SUM(C6:C161)</f>
        <v>291</v>
      </c>
      <c r="D162" s="365">
        <f>SUM(D6:D161)</f>
        <v>308</v>
      </c>
      <c r="F162" s="369" t="s">
        <v>155</v>
      </c>
      <c r="G162" s="368">
        <f>SUM(G6:G161)</f>
        <v>15540</v>
      </c>
      <c r="H162" s="368">
        <f>SUM(H6:H161)</f>
        <v>18928</v>
      </c>
      <c r="I162" s="368">
        <f>SUM(I6:I161)</f>
        <v>20650</v>
      </c>
    </row>
    <row r="165" spans="1:9" ht="15.5" x14ac:dyDescent="0.35">
      <c r="A165" s="370" t="s">
        <v>866</v>
      </c>
      <c r="B165" s="371"/>
      <c r="C165" s="371"/>
      <c r="D165" s="371"/>
    </row>
    <row r="166" spans="1:9" ht="13" x14ac:dyDescent="0.3">
      <c r="A166" s="376" t="s">
        <v>830</v>
      </c>
      <c r="B166" s="377">
        <v>2026</v>
      </c>
      <c r="C166" s="377">
        <v>2027</v>
      </c>
      <c r="D166" s="377">
        <v>2028</v>
      </c>
      <c r="F166" s="377" t="s">
        <v>860</v>
      </c>
      <c r="G166" s="377" t="s">
        <v>861</v>
      </c>
      <c r="H166" s="377" t="s">
        <v>862</v>
      </c>
      <c r="I166" s="377" t="s">
        <v>863</v>
      </c>
    </row>
    <row r="167" spans="1:9" x14ac:dyDescent="0.25">
      <c r="A167" s="378" t="s">
        <v>669</v>
      </c>
      <c r="B167" s="379">
        <f>SUMPRODUCT('Lube Frequency BMSK'!GM31:GM186,'Lube Frequency BMSK'!C31:C186)*('Lube Frequency BMSK'!$L$1/$H$1)</f>
        <v>3598</v>
      </c>
      <c r="C167" s="379">
        <f>SUMPRODUCT('Lube Frequency BMSK'!GM31:GM186,'Lube Frequency BMSK'!D31:D186)*('Lube Frequency BMSK'!$L$1/$H$1)</f>
        <v>4046</v>
      </c>
      <c r="D167" s="379">
        <f>SUMPRODUCT('Lube Frequency BMSK'!GM31:GM186,'Lube Frequency BMSK'!E31:E186)*('Lube Frequency BMSK'!$L$1/$H$1)</f>
        <v>4284</v>
      </c>
      <c r="F167" s="398">
        <f>Comparison!$B$6</f>
        <v>5865</v>
      </c>
      <c r="G167" s="398">
        <f>Comparison!$C$6</f>
        <v>3293.64</v>
      </c>
      <c r="H167" s="398" t="str">
        <f>"₽"&amp;FIXED(B167*F167,0)&amp;" (USD "&amp;FIXED(B167*F167/Comparison!$G$1,0)&amp;")"</f>
        <v>₽21 102 270 (USD 268 477)</v>
      </c>
      <c r="I167" s="398" t="str">
        <f>"₽"&amp;FIXED(B167*G167,0)&amp;" (USD "&amp;FIXED(B167*G167/Comparison!$G$1,0)&amp;")"</f>
        <v>₽11 850 517 (USD 150 770)</v>
      </c>
    </row>
    <row r="168" spans="1:9" x14ac:dyDescent="0.25">
      <c r="A168" s="378" t="s">
        <v>671</v>
      </c>
      <c r="B168" s="379">
        <f>SUMPRODUCT('Lube Frequency BMSK'!GN31:GN186,'Lube Frequency BMSK'!C31:C186)*('Lube Frequency BMSK'!$L$1/$H$1)</f>
        <v>1442</v>
      </c>
      <c r="C168" s="379">
        <f>SUMPRODUCT('Lube Frequency BMSK'!GN31:GN186,'Lube Frequency BMSK'!D31:D186)*('Lube Frequency BMSK'!$L$1/$H$1)</f>
        <v>1484</v>
      </c>
      <c r="D168" s="379">
        <f>SUMPRODUCT('Lube Frequency BMSK'!GN31:GN186,'Lube Frequency BMSK'!E31:E186)*('Lube Frequency BMSK'!$L$1/$H$1)</f>
        <v>1526</v>
      </c>
      <c r="F168" s="398">
        <f>Comparison!$B$8</f>
        <v>5230</v>
      </c>
      <c r="G168" s="398">
        <f>Comparison!$C$8</f>
        <v>3519.81</v>
      </c>
      <c r="H168" s="398" t="str">
        <f>"₽"&amp;FIXED(B168*F168,0)&amp;" (USD "&amp;FIXED(B168*F168/Comparison!$G$1,0)&amp;")"</f>
        <v>₽7 541 660 (USD 95 950)</v>
      </c>
      <c r="I168" s="398" t="str">
        <f>"₽"&amp;FIXED(B168*G168,0)&amp;" (USD "&amp;FIXED(B168*G168/Comparison!$G$1,0)&amp;")"</f>
        <v>₽5 075 566 (USD 64 575)</v>
      </c>
    </row>
    <row r="169" spans="1:9" x14ac:dyDescent="0.25">
      <c r="A169" s="378" t="s">
        <v>646</v>
      </c>
      <c r="B169" s="379">
        <f>SUMPRODUCT('Lube Frequency BMSK'!GO31:GO186,'Lube Frequency BMSK'!C31:C186)*('Lube Frequency BMSK'!$L$1/$H$1)</f>
        <v>2002</v>
      </c>
      <c r="C169" s="379">
        <f>SUMPRODUCT('Lube Frequency BMSK'!GO31:GO186,'Lube Frequency BMSK'!D31:D186)*('Lube Frequency BMSK'!$L$1/$H$1)</f>
        <v>2464</v>
      </c>
      <c r="D169" s="379">
        <f>SUMPRODUCT('Lube Frequency BMSK'!GO31:GO186,'Lube Frequency BMSK'!E31:E186)*('Lube Frequency BMSK'!$L$1/$H$1)</f>
        <v>2702</v>
      </c>
      <c r="F169" s="398">
        <f>Comparison!$B$7</f>
        <v>5610</v>
      </c>
      <c r="G169" s="398">
        <f>Comparison!$C$7</f>
        <v>2838.78</v>
      </c>
      <c r="H169" s="398" t="str">
        <f>"₽"&amp;FIXED(B169*F169,0)&amp;" (USD "&amp;FIXED(B169*F169/Comparison!$G$1,0)&amp;")"</f>
        <v>₽11 231 220 (USD 142 891)</v>
      </c>
      <c r="I169" s="398" t="str">
        <f>"₽"&amp;FIXED(B169*G169,0)&amp;" (USD "&amp;FIXED(B169*G169/Comparison!$G$1,0)&amp;")"</f>
        <v>₽5 683 238 (USD 72 306)</v>
      </c>
    </row>
    <row r="170" spans="1:9" x14ac:dyDescent="0.25">
      <c r="A170" s="378" t="s">
        <v>649</v>
      </c>
      <c r="B170" s="379">
        <f>SUMPRODUCT('Lube Frequency BMSK'!GP31:GP186,'Lube Frequency BMSK'!C31:C186)*('Lube Frequency BMSK'!$L$1/$H$1)</f>
        <v>7336</v>
      </c>
      <c r="C170" s="379">
        <f>SUMPRODUCT('Lube Frequency BMSK'!GP31:GP186,'Lube Frequency BMSK'!D31:D186)*('Lube Frequency BMSK'!$L$1/$H$1)</f>
        <v>9128</v>
      </c>
      <c r="D170" s="379">
        <f>SUMPRODUCT('Lube Frequency BMSK'!GP31:GP186,'Lube Frequency BMSK'!E31:E186)*('Lube Frequency BMSK'!$L$1/$H$1)</f>
        <v>10122</v>
      </c>
      <c r="F170" s="398">
        <f>Comparison!$B$8</f>
        <v>5230</v>
      </c>
      <c r="G170" s="398">
        <f>Comparison!$C$8</f>
        <v>3519.81</v>
      </c>
      <c r="H170" s="398" t="str">
        <f>"₽"&amp;FIXED(B170*F170,0)&amp;" (USD "&amp;FIXED(B170*F170/Comparison!$G$1,0)&amp;")"</f>
        <v>₽38 367 280 (USD 488 133)</v>
      </c>
      <c r="I170" s="398" t="str">
        <f>"₽"&amp;FIXED(B170*G170,0)&amp;" (USD "&amp;FIXED(B170*G170/Comparison!$G$1,0)&amp;")"</f>
        <v>₽25 821 326 (USD 328 516)</v>
      </c>
    </row>
    <row r="171" spans="1:9" x14ac:dyDescent="0.25">
      <c r="A171" s="380" t="s">
        <v>659</v>
      </c>
      <c r="B171" s="381">
        <f>SUMPRODUCT('Lube Frequency BMSK'!GQ31:GQ186,'Lube Frequency BMSK'!C31:C186)*('Lube Frequency BMSK'!$L$1/$H$1)</f>
        <v>308</v>
      </c>
      <c r="C171" s="381">
        <f>SUMPRODUCT('Lube Frequency BMSK'!GQ31:GQ186,'Lube Frequency BMSK'!D31:D186)*('Lube Frequency BMSK'!$L$1/$H$1)</f>
        <v>350</v>
      </c>
      <c r="D171" s="381">
        <f>SUMPRODUCT('Lube Frequency BMSK'!GQ31:GQ186,'Lube Frequency BMSK'!E31:E186)*('Lube Frequency BMSK'!$L$1/$H$1)</f>
        <v>364</v>
      </c>
      <c r="F171" s="398">
        <f>Comparison!$B$7</f>
        <v>5610</v>
      </c>
      <c r="G171" s="398">
        <f>Comparison!$C$7</f>
        <v>2838.78</v>
      </c>
      <c r="H171" s="398" t="str">
        <f>"₽"&amp;FIXED(B171*F171,0)&amp;" (USD "&amp;FIXED(B171*F171/Comparison!$G$1,0)&amp;")"</f>
        <v>₽1 727 880 (USD 21 983)</v>
      </c>
      <c r="I171" s="398" t="str">
        <f>"₽"&amp;FIXED(B171*G171,0)&amp;" (USD "&amp;FIXED(B171*G171/Comparison!$G$1,0)&amp;")"</f>
        <v>₽874 344 (USD 11 124)</v>
      </c>
    </row>
    <row r="172" spans="1:9" ht="13" x14ac:dyDescent="0.3">
      <c r="A172" s="382" t="s">
        <v>123</v>
      </c>
      <c r="B172" s="383">
        <f>SUMPRODUCT('Lube Frequency BMSK'!GR31:GR186,'Lube Frequency BMSK'!C31:C186)*('Lube Frequency BMSK'!$L$1/$H$1)</f>
        <v>1638</v>
      </c>
      <c r="C172" s="383">
        <f>SUMPRODUCT('Lube Frequency BMSK'!GR31:GR186,'Lube Frequency BMSK'!D31:D186)*('Lube Frequency BMSK'!$L$1/$H$1)</f>
        <v>2100</v>
      </c>
      <c r="D172" s="383">
        <f>SUMPRODUCT('Lube Frequency BMSK'!GR31:GR186,'Lube Frequency BMSK'!E31:E186)*('Lube Frequency BMSK'!$L$1/$H$1)</f>
        <v>2338</v>
      </c>
      <c r="F172" s="398">
        <f>Comparison!$B$9</f>
        <v>5015</v>
      </c>
      <c r="G172" s="399" t="s">
        <v>847</v>
      </c>
      <c r="H172" s="398" t="str">
        <f>"₽"&amp;FIXED(B172*F172,0)&amp;" (USD "&amp;FIXED(B172*F172/Comparison!$G$1,0)&amp;")"</f>
        <v>₽8 214 570 (USD 104 511)</v>
      </c>
      <c r="I172" s="399" t="s">
        <v>848</v>
      </c>
    </row>
    <row r="173" spans="1:9" ht="13" x14ac:dyDescent="0.3">
      <c r="A173" s="376" t="s">
        <v>155</v>
      </c>
      <c r="B173" s="377">
        <f>SUM(B167:B172)</f>
        <v>16324</v>
      </c>
      <c r="C173" s="377">
        <f>SUM(C167:C172)</f>
        <v>19572</v>
      </c>
      <c r="D173" s="377">
        <f>SUM(D167:D172)</f>
        <v>21336</v>
      </c>
      <c r="F173" s="376" t="s">
        <v>155</v>
      </c>
      <c r="G173" s="400"/>
      <c r="H173" s="401" t="str">
        <f>"₽"&amp;FIXED(B167*F167+B168*F168+B169*F169+B170*F170+B171*F171+B172*F172,0)&amp;" (USD "&amp;FIXED((B167*F167+B168*F168+B169*F169+B170*F170+B171*F171+B172*F172)/Comparison!$G$1,0)&amp;")"</f>
        <v>₽88 184 880 (USD 1 121 945)</v>
      </c>
      <c r="I173" s="401" t="str">
        <f>"₽"&amp;FIXED(B167*G167+B168*G168+B169*G169+B170*G170+B171*G171,0)&amp;" (USD "&amp;FIXED((B167*G167+B168*G168+B169*G169+B170*G170+B171*G171)/Comparison!$G$1,0)&amp;")"</f>
        <v>₽49 304 991 (USD 627 290)</v>
      </c>
    </row>
    <row r="174" spans="1:9" ht="13" x14ac:dyDescent="0.3">
      <c r="A174" s="375" t="s">
        <v>835</v>
      </c>
    </row>
    <row r="177" spans="1:9" ht="15.5" x14ac:dyDescent="0.35">
      <c r="A177" s="384" t="s">
        <v>836</v>
      </c>
      <c r="B177" s="385"/>
      <c r="C177" s="385"/>
      <c r="D177" s="385"/>
    </row>
    <row r="178" spans="1:9" ht="13" x14ac:dyDescent="0.3">
      <c r="A178" s="394" t="s">
        <v>830</v>
      </c>
      <c r="B178" s="395">
        <v>2026</v>
      </c>
      <c r="C178" s="395">
        <v>2027</v>
      </c>
      <c r="D178" s="395">
        <v>2028</v>
      </c>
      <c r="F178" s="395" t="s">
        <v>860</v>
      </c>
      <c r="G178" s="395" t="s">
        <v>861</v>
      </c>
      <c r="H178" s="395" t="s">
        <v>862</v>
      </c>
      <c r="I178" s="395" t="s">
        <v>863</v>
      </c>
    </row>
    <row r="179" spans="1:9" ht="13" x14ac:dyDescent="0.3">
      <c r="A179" s="396" t="s">
        <v>837</v>
      </c>
      <c r="B179" s="397">
        <f>SUMPRODUCT('Lube Frequency BMSK'!GM31:GM186,'Lube Frequency BMSK'!C31:C186)*('Lube Frequency BMSK'!$L$1/250)</f>
        <v>7196</v>
      </c>
      <c r="C179" s="397">
        <f>SUMPRODUCT('Lube Frequency BMSK'!GM31:GM186,'Lube Frequency BMSK'!D31:D186)*('Lube Frequency BMSK'!$L$1/250)</f>
        <v>8092</v>
      </c>
      <c r="D179" s="397">
        <f>SUMPRODUCT('Lube Frequency BMSK'!GM31:GM186,'Lube Frequency BMSK'!E31:E186)*('Lube Frequency BMSK'!$L$1/250)</f>
        <v>8568</v>
      </c>
      <c r="F179" s="398">
        <f>Comparison!$B$6</f>
        <v>5865</v>
      </c>
      <c r="G179" s="398">
        <f>Comparison!$C$6</f>
        <v>3293.64</v>
      </c>
      <c r="H179" s="398" t="str">
        <f>"₽"&amp;FIXED(B179*F179,0)&amp;" (USD "&amp;FIXED(B179*F179/Comparison!$G$1,0)&amp;")"</f>
        <v>₽42 204 540 (USD 536 953)</v>
      </c>
      <c r="I179" s="398" t="str">
        <f>"₽"&amp;FIXED(B179*G179,0)&amp;" (USD "&amp;FIXED(B179*G179/Comparison!$G$1,0)&amp;")"</f>
        <v>₽23 701 033 (USD 301 540)</v>
      </c>
    </row>
    <row r="180" spans="1:9" x14ac:dyDescent="0.25">
      <c r="A180" s="378" t="s">
        <v>671</v>
      </c>
      <c r="B180" s="379">
        <f>SUMPRODUCT('Lube Frequency BMSK'!GN31:GN186,'Lube Frequency BMSK'!C31:C186)*('Lube Frequency BMSK'!$L$1/$H$1)</f>
        <v>1442</v>
      </c>
      <c r="C180" s="379">
        <f>SUMPRODUCT('Lube Frequency BMSK'!GN31:GN186,'Lube Frequency BMSK'!D31:D186)*('Lube Frequency BMSK'!$L$1/$H$1)</f>
        <v>1484</v>
      </c>
      <c r="D180" s="379">
        <f>SUMPRODUCT('Lube Frequency BMSK'!GN31:GN186,'Lube Frequency BMSK'!E31:E186)*('Lube Frequency BMSK'!$L$1/$H$1)</f>
        <v>1526</v>
      </c>
      <c r="F180" s="398">
        <f>Comparison!$B$8</f>
        <v>5230</v>
      </c>
      <c r="G180" s="398">
        <f>Comparison!$C$8</f>
        <v>3519.81</v>
      </c>
      <c r="H180" s="398" t="str">
        <f>"₽"&amp;FIXED(B180*F180,0)&amp;" (USD "&amp;FIXED(B180*F180/Comparison!$G$1,0)&amp;")"</f>
        <v>₽7 541 660 (USD 95 950)</v>
      </c>
      <c r="I180" s="398" t="str">
        <f>"₽"&amp;FIXED(B180*G180,0)&amp;" (USD "&amp;FIXED(B180*G180/Comparison!$G$1,0)&amp;")"</f>
        <v>₽5 075 566 (USD 64 575)</v>
      </c>
    </row>
    <row r="181" spans="1:9" x14ac:dyDescent="0.25">
      <c r="A181" s="378" t="s">
        <v>646</v>
      </c>
      <c r="B181" s="379">
        <f>SUMPRODUCT('Lube Frequency BMSK'!GO31:GO186,'Lube Frequency BMSK'!C31:C186)*('Lube Frequency BMSK'!$L$1/$H$1)</f>
        <v>2002</v>
      </c>
      <c r="C181" s="379">
        <f>SUMPRODUCT('Lube Frequency BMSK'!GO31:GO186,'Lube Frequency BMSK'!D31:D186)*('Lube Frequency BMSK'!$L$1/$H$1)</f>
        <v>2464</v>
      </c>
      <c r="D181" s="379">
        <f>SUMPRODUCT('Lube Frequency BMSK'!GO31:GO186,'Lube Frequency BMSK'!E31:E186)*('Lube Frequency BMSK'!$L$1/$H$1)</f>
        <v>2702</v>
      </c>
      <c r="F181" s="398">
        <f>Comparison!$B$7</f>
        <v>5610</v>
      </c>
      <c r="G181" s="398">
        <f>Comparison!$C$7</f>
        <v>2838.78</v>
      </c>
      <c r="H181" s="398" t="str">
        <f>"₽"&amp;FIXED(B181*F181,0)&amp;" (USD "&amp;FIXED(B181*F181/Comparison!$G$1,0)&amp;")"</f>
        <v>₽11 231 220 (USD 142 891)</v>
      </c>
      <c r="I181" s="398" t="str">
        <f>"₽"&amp;FIXED(B181*G181,0)&amp;" (USD "&amp;FIXED(B181*G181/Comparison!$G$1,0)&amp;")"</f>
        <v>₽5 683 238 (USD 72 306)</v>
      </c>
    </row>
    <row r="182" spans="1:9" x14ac:dyDescent="0.25">
      <c r="A182" s="378" t="s">
        <v>649</v>
      </c>
      <c r="B182" s="379">
        <f>SUMPRODUCT('Lube Frequency BMSK'!GP31:GP186,'Lube Frequency BMSK'!C31:C186)*('Lube Frequency BMSK'!$L$1/$H$1)</f>
        <v>7336</v>
      </c>
      <c r="C182" s="379">
        <f>SUMPRODUCT('Lube Frequency BMSK'!GP31:GP186,'Lube Frequency BMSK'!D31:D186)*('Lube Frequency BMSK'!$L$1/$H$1)</f>
        <v>9128</v>
      </c>
      <c r="D182" s="379">
        <f>SUMPRODUCT('Lube Frequency BMSK'!GP31:GP186,'Lube Frequency BMSK'!E31:E186)*('Lube Frequency BMSK'!$L$1/$H$1)</f>
        <v>10122</v>
      </c>
      <c r="F182" s="398">
        <f>Comparison!$B$8</f>
        <v>5230</v>
      </c>
      <c r="G182" s="398">
        <f>Comparison!$C$8</f>
        <v>3519.81</v>
      </c>
      <c r="H182" s="398" t="str">
        <f>"₽"&amp;FIXED(B182*F182,0)&amp;" (USD "&amp;FIXED(B182*F182/Comparison!$G$1,0)&amp;")"</f>
        <v>₽38 367 280 (USD 488 133)</v>
      </c>
      <c r="I182" s="398" t="str">
        <f>"₽"&amp;FIXED(B182*G182,0)&amp;" (USD "&amp;FIXED(B182*G182/Comparison!$G$1,0)&amp;")"</f>
        <v>₽25 821 326 (USD 328 516)</v>
      </c>
    </row>
    <row r="183" spans="1:9" x14ac:dyDescent="0.25">
      <c r="A183" s="378" t="s">
        <v>659</v>
      </c>
      <c r="B183" s="379">
        <f>SUMPRODUCT('Lube Frequency BMSK'!GQ31:GQ186,'Lube Frequency BMSK'!C31:C186)*('Lube Frequency BMSK'!$L$1/$H$1)</f>
        <v>308</v>
      </c>
      <c r="C183" s="379">
        <f>SUMPRODUCT('Lube Frequency BMSK'!GQ31:GQ186,'Lube Frequency BMSK'!D31:D186)*('Lube Frequency BMSK'!$L$1/$H$1)</f>
        <v>350</v>
      </c>
      <c r="D183" s="379">
        <f>SUMPRODUCT('Lube Frequency BMSK'!GQ31:GQ186,'Lube Frequency BMSK'!E31:E186)*('Lube Frequency BMSK'!$L$1/$H$1)</f>
        <v>364</v>
      </c>
      <c r="F183" s="398">
        <f>Comparison!$B$7</f>
        <v>5610</v>
      </c>
      <c r="G183" s="398">
        <f>Comparison!$C$7</f>
        <v>2838.78</v>
      </c>
      <c r="H183" s="398" t="str">
        <f>"₽"&amp;FIXED(B183*F183,0)&amp;" (USD "&amp;FIXED(B183*F183/Comparison!$G$1,0)&amp;")"</f>
        <v>₽1 727 880 (USD 21 983)</v>
      </c>
      <c r="I183" s="398" t="str">
        <f>"₽"&amp;FIXED(B183*G183,0)&amp;" (USD "&amp;FIXED(B183*G183/Comparison!$G$1,0)&amp;")"</f>
        <v>₽874 344 (USD 11 124)</v>
      </c>
    </row>
    <row r="184" spans="1:9" x14ac:dyDescent="0.25">
      <c r="A184" s="378" t="s">
        <v>123</v>
      </c>
      <c r="B184" s="379">
        <f>SUMPRODUCT('Lube Frequency BMSK'!GR31:GR186,'Lube Frequency BMSK'!C31:C186)*('Lube Frequency BMSK'!$L$1/$H$1)</f>
        <v>1638</v>
      </c>
      <c r="C184" s="379">
        <f>SUMPRODUCT('Lube Frequency BMSK'!GR31:GR186,'Lube Frequency BMSK'!D31:D186)*('Lube Frequency BMSK'!$L$1/$H$1)</f>
        <v>2100</v>
      </c>
      <c r="D184" s="379">
        <f>SUMPRODUCT('Lube Frequency BMSK'!GR31:GR186,'Lube Frequency BMSK'!E31:E186)*('Lube Frequency BMSK'!$L$1/$H$1)</f>
        <v>2338</v>
      </c>
      <c r="F184" s="398">
        <f>Comparison!$B$9</f>
        <v>5015</v>
      </c>
      <c r="G184" s="399" t="s">
        <v>847</v>
      </c>
      <c r="H184" s="398" t="str">
        <f>"₽"&amp;FIXED(B184*F184,0)&amp;" (USD "&amp;FIXED(B184*F184/Comparison!$G$1,0)&amp;")"</f>
        <v>₽8 214 570 (USD 104 511)</v>
      </c>
      <c r="I184" s="399" t="s">
        <v>848</v>
      </c>
    </row>
    <row r="185" spans="1:9" ht="13" x14ac:dyDescent="0.3">
      <c r="A185" s="394" t="s">
        <v>155</v>
      </c>
      <c r="B185" s="395">
        <f>SUM(B179:B184)</f>
        <v>19922</v>
      </c>
      <c r="C185" s="395">
        <f>SUM(C179:C184)</f>
        <v>23618</v>
      </c>
      <c r="D185" s="395">
        <f>SUM(D179:D184)</f>
        <v>25620</v>
      </c>
      <c r="F185" s="394" t="s">
        <v>155</v>
      </c>
      <c r="G185" s="402"/>
      <c r="H185" s="403" t="str">
        <f>"₽"&amp;FIXED(B179*F179+B180*F180+B181*F181+B182*F182+B183*F183+B184*F184,0)&amp;" (USD "&amp;FIXED((B179*F179+B180*F180+B181*F181+B182*F182+B183*F183+B184*F184)/Comparison!$G$1,0)&amp;")"</f>
        <v>₽109 287 150 (USD 1 390 422)</v>
      </c>
      <c r="I185" s="403" t="str">
        <f>"₽"&amp;FIXED(B179*G179+B180*G180+B181*G181+B182*G182+B183*G183,0)&amp;" (USD "&amp;FIXED((B179*G179+B180*G180+B181*G181+B182*G182+B183*G183)/Comparison!$G$1,0)&amp;")"</f>
        <v>₽61 155 507 (USD 778 060)</v>
      </c>
    </row>
    <row r="186" spans="1:9" ht="13" x14ac:dyDescent="0.3">
      <c r="A186" s="375" t="s">
        <v>838</v>
      </c>
    </row>
  </sheetData>
  <dataValidations count="1">
    <dataValidation type="list" allowBlank="1" showInputMessage="1" showErrorMessage="1" sqref="H1" xr:uid="{EB87F266-DB48-4D5E-B149-3A9DC0F9E9D8}">
      <formula1>"250,500"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4E1B9-6AC4-4736-9829-2E1E08495C60}">
  <dimension ref="A1:H23"/>
  <sheetViews>
    <sheetView topLeftCell="A12" workbookViewId="0">
      <selection activeCell="I13" sqref="I13"/>
    </sheetView>
  </sheetViews>
  <sheetFormatPr defaultRowHeight="12.5" x14ac:dyDescent="0.25"/>
  <cols>
    <col min="1" max="1" width="41.81640625" customWidth="1"/>
    <col min="2" max="2" width="17.26953125" customWidth="1"/>
    <col min="3" max="5" width="31.81640625" customWidth="1"/>
    <col min="6" max="8" width="17.26953125" customWidth="1"/>
    <col min="9" max="9" width="20.1796875" customWidth="1"/>
  </cols>
  <sheetData>
    <row r="1" spans="1:7" ht="20" x14ac:dyDescent="0.4">
      <c r="A1" s="363" t="s">
        <v>839</v>
      </c>
      <c r="F1" s="372" t="s">
        <v>864</v>
      </c>
      <c r="G1" s="391">
        <v>78.599999999999994</v>
      </c>
    </row>
    <row r="2" spans="1:7" ht="13" x14ac:dyDescent="0.3">
      <c r="A2" s="364" t="s">
        <v>840</v>
      </c>
      <c r="F2" s="375" t="s">
        <v>865</v>
      </c>
    </row>
    <row r="4" spans="1:7" ht="15.5" x14ac:dyDescent="0.35">
      <c r="A4" s="291" t="s">
        <v>841</v>
      </c>
      <c r="B4" s="292"/>
      <c r="C4" s="292"/>
      <c r="D4" s="292"/>
    </row>
    <row r="5" spans="1:7" ht="13" x14ac:dyDescent="0.3">
      <c r="A5" s="293" t="s">
        <v>830</v>
      </c>
      <c r="B5" s="365" t="s">
        <v>842</v>
      </c>
      <c r="C5" s="365" t="s">
        <v>843</v>
      </c>
      <c r="D5" s="365" t="s">
        <v>844</v>
      </c>
    </row>
    <row r="6" spans="1:7" x14ac:dyDescent="0.25">
      <c r="A6" t="s">
        <v>845</v>
      </c>
      <c r="B6" s="386">
        <v>5865</v>
      </c>
      <c r="C6" s="386">
        <v>3293.64</v>
      </c>
      <c r="D6" s="387">
        <f>B6-C6</f>
        <v>2571.36</v>
      </c>
    </row>
    <row r="7" spans="1:7" x14ac:dyDescent="0.25">
      <c r="A7" t="s">
        <v>846</v>
      </c>
      <c r="B7" s="386">
        <v>5610</v>
      </c>
      <c r="C7" s="386">
        <v>2838.78</v>
      </c>
      <c r="D7" s="387">
        <f>B7-C7</f>
        <v>2771.22</v>
      </c>
    </row>
    <row r="8" spans="1:7" x14ac:dyDescent="0.25">
      <c r="A8" t="s">
        <v>671</v>
      </c>
      <c r="B8" s="386">
        <v>5230</v>
      </c>
      <c r="C8" s="386">
        <v>3519.81</v>
      </c>
      <c r="D8" s="387">
        <f>B8-C8</f>
        <v>1710.19</v>
      </c>
    </row>
    <row r="9" spans="1:7" x14ac:dyDescent="0.25">
      <c r="A9" t="s">
        <v>123</v>
      </c>
      <c r="B9" s="386">
        <v>5015</v>
      </c>
      <c r="C9" s="388" t="s">
        <v>847</v>
      </c>
      <c r="D9" s="388" t="s">
        <v>848</v>
      </c>
    </row>
    <row r="10" spans="1:7" x14ac:dyDescent="0.25">
      <c r="A10" t="s">
        <v>849</v>
      </c>
      <c r="B10" s="386">
        <v>10130</v>
      </c>
      <c r="C10" s="388" t="s">
        <v>847</v>
      </c>
      <c r="D10" s="388" t="s">
        <v>848</v>
      </c>
    </row>
    <row r="12" spans="1:7" ht="15.5" x14ac:dyDescent="0.35">
      <c r="A12" s="366" t="s">
        <v>850</v>
      </c>
      <c r="B12" s="367"/>
      <c r="C12" s="367"/>
      <c r="D12" s="367"/>
      <c r="E12" s="367"/>
    </row>
    <row r="13" spans="1:7" ht="13" x14ac:dyDescent="0.3">
      <c r="A13" s="369" t="s">
        <v>830</v>
      </c>
      <c r="B13" s="368" t="s">
        <v>851</v>
      </c>
      <c r="C13" s="368" t="s">
        <v>852</v>
      </c>
      <c r="D13" s="368" t="s">
        <v>853</v>
      </c>
      <c r="E13" s="368" t="s">
        <v>854</v>
      </c>
    </row>
    <row r="14" spans="1:7" x14ac:dyDescent="0.25">
      <c r="A14" t="s">
        <v>845</v>
      </c>
      <c r="B14" s="387">
        <f>Summary!B167</f>
        <v>3598</v>
      </c>
      <c r="C14" s="387" t="str">
        <f>"₽"&amp;FIXED(B14*B6,0)&amp;" (USD "&amp;FIXED(B14*B6/$G$1,0)&amp;")"</f>
        <v>₽21 102 270 (USD 268 477)</v>
      </c>
      <c r="D14" s="387" t="str">
        <f>"₽"&amp;FIXED(B14*C6,0)&amp;" (USD "&amp;FIXED(B14*C6/$G$1,0)&amp;")"</f>
        <v>₽11 850 517 (USD 150 770)</v>
      </c>
      <c r="E14" s="387" t="str">
        <f>"₽"&amp;FIXED(B14*(B6-C6),0)&amp;" (USD "&amp;FIXED(B14*(B6-C6)/$G$1,0)&amp;")"</f>
        <v>₽9 251 753 (USD 117 707)</v>
      </c>
    </row>
    <row r="15" spans="1:7" x14ac:dyDescent="0.25">
      <c r="A15" t="s">
        <v>846</v>
      </c>
      <c r="B15" s="387">
        <f>Summary!B169+Summary!B171</f>
        <v>2310</v>
      </c>
      <c r="C15" s="387" t="str">
        <f>"₽"&amp;FIXED(B15*B7,0)&amp;" (USD "&amp;FIXED(B15*B7/$G$1,0)&amp;")"</f>
        <v>₽12 959 100 (USD 164 874)</v>
      </c>
      <c r="D15" s="387" t="str">
        <f>"₽"&amp;FIXED(B15*C7,0)&amp;" (USD "&amp;FIXED(B15*C7/$G$1,0)&amp;")"</f>
        <v>₽6 557 582 (USD 83 430)</v>
      </c>
      <c r="E15" s="387" t="str">
        <f>"₽"&amp;FIXED(B15*(B7-C7),0)&amp;" (USD "&amp;FIXED(B15*(B7-C7)/$G$1,0)&amp;")"</f>
        <v>₽6 401 518 (USD 81 444)</v>
      </c>
    </row>
    <row r="16" spans="1:7" x14ac:dyDescent="0.25">
      <c r="A16" t="s">
        <v>855</v>
      </c>
      <c r="B16" s="387">
        <f>Summary!B168+Summary!B170</f>
        <v>8778</v>
      </c>
      <c r="C16" s="387" t="str">
        <f>"₽"&amp;FIXED(B16*B8,0)&amp;" (USD "&amp;FIXED(B16*B8/$G$1,0)&amp;")"</f>
        <v>₽45 908 940 (USD 584 083)</v>
      </c>
      <c r="D16" s="387" t="str">
        <f>"₽"&amp;FIXED(B16*C8,0)&amp;" (USD "&amp;FIXED(B16*C8/$G$1,0)&amp;")"</f>
        <v>₽30 896 892 (USD 393 090)</v>
      </c>
      <c r="E16" s="387" t="str">
        <f>"₽"&amp;FIXED(B16*(B8-C8),0)&amp;" (USD "&amp;FIXED(B16*(B8-C8)/$G$1,0)&amp;")"</f>
        <v>₽15 012 048 (USD 190 993)</v>
      </c>
    </row>
    <row r="17" spans="1:8" x14ac:dyDescent="0.25">
      <c r="A17" t="s">
        <v>123</v>
      </c>
      <c r="B17" s="387">
        <f>Summary!B172</f>
        <v>1638</v>
      </c>
      <c r="C17" s="387" t="str">
        <f>"₽"&amp;FIXED(B17*B9,0)&amp;" (USD "&amp;FIXED(B17*B9/$G$1,0)&amp;")"</f>
        <v>₽8 214 570 (USD 104 511)</v>
      </c>
      <c r="D17" s="388" t="s">
        <v>847</v>
      </c>
      <c r="E17" s="388" t="s">
        <v>848</v>
      </c>
    </row>
    <row r="18" spans="1:8" ht="13" x14ac:dyDescent="0.3">
      <c r="A18" s="369" t="s">
        <v>155</v>
      </c>
      <c r="B18" s="389">
        <f>SUM(B14:B17)</f>
        <v>16324</v>
      </c>
      <c r="C18" s="389" t="str">
        <f>"₽"&amp;FIXED(B14*B6+B15*B7+B16*B8+B17*B9,0)&amp;" (USD "&amp;FIXED((B14*B6+B15*B7+B16*B8+B17*B9)/$G$1,0)&amp;")"</f>
        <v>₽88 184 880 (USD 1 121 945)</v>
      </c>
      <c r="D18" s="389" t="str">
        <f>"₽"&amp;FIXED(B14*C6+B15*C7+B16*C8,0)&amp;" (USD "&amp;FIXED((B14*C6+B15*C7+B16*C8)/$G$1,0)&amp;")"</f>
        <v>₽49 304 991 (USD 627 290)</v>
      </c>
      <c r="E18" s="389" t="str">
        <f>"₽"&amp;FIXED((B14*B6+B15*B7+B16*B8)-(B14*C6+B15*C7+B16*C8),0)&amp;" (USD "&amp;FIXED(((B14*B6+B15*B7+B16*B8)-(B14*C6+B15*C7+B16*C8))/$G$1,0)&amp;")"</f>
        <v>₽30 665 319 (USD 390 144)</v>
      </c>
    </row>
    <row r="19" spans="1:8" s="220" customFormat="1" ht="13" x14ac:dyDescent="0.3">
      <c r="A19" s="393" t="s">
        <v>856</v>
      </c>
      <c r="C19" s="392" t="str">
        <f>"₽"&amp;FIXED(B14*B6+B15*B7+B16*B8,0)&amp;" (USD "&amp;FIXED((B14*B6+B15*B7+B16*B8)/$G$1,0)&amp;")"</f>
        <v>₽79 970 310 (USD 1 017 434)</v>
      </c>
      <c r="D19" s="392" t="str">
        <f>"₽"&amp;FIXED(B14*C6+B15*C7+B16*C8,0)&amp;" (USD "&amp;FIXED((B14*C6+B15*C7+B16*C8)/$G$1,0)&amp;")"</f>
        <v>₽49 304 991 (USD 627 290)</v>
      </c>
      <c r="E19" s="392" t="str">
        <f>"₽"&amp;FIXED((B14*B6+B15*B7+B16*B8)-(B14*C6+B15*C7+B16*C8),0)&amp;" (USD "&amp;FIXED(((B14*B6+B15*B7+B16*B8)-(B14*C6+B15*C7+B16*C8))/$G$1,0)&amp;")"</f>
        <v>₽30 665 319 (USD 390 144)</v>
      </c>
      <c r="F19"/>
      <c r="G19"/>
      <c r="H19"/>
    </row>
    <row r="21" spans="1:8" x14ac:dyDescent="0.25">
      <c r="A21" s="390" t="s">
        <v>857</v>
      </c>
    </row>
    <row r="22" spans="1:8" x14ac:dyDescent="0.25">
      <c r="A22" s="374" t="s">
        <v>858</v>
      </c>
    </row>
    <row r="23" spans="1:8" x14ac:dyDescent="0.25">
      <c r="A23" s="374" t="s">
        <v>859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6B68-3C60-40C3-9A77-47A4BC7D820B}">
  <sheetPr codeName="Sheet5"/>
  <dimension ref="A1:GR197"/>
  <sheetViews>
    <sheetView tabSelected="1" view="pageBreakPreview" zoomScale="20" zoomScaleNormal="70" zoomScaleSheetLayoutView="20" zoomScalePageLayoutView="50" workbookViewId="0">
      <pane xSplit="2" ySplit="2" topLeftCell="C3" activePane="bottomRight" state="frozen"/>
      <selection pane="topRight" activeCell="B1" sqref="B1"/>
      <selection pane="bottomLeft" activeCell="A3" sqref="A3"/>
      <selection pane="bottomRight" activeCell="V17" sqref="V17"/>
    </sheetView>
  </sheetViews>
  <sheetFormatPr defaultColWidth="9.26953125" defaultRowHeight="20" x14ac:dyDescent="0.4"/>
  <cols>
    <col min="1" max="1" width="14.26953125" style="121" customWidth="1"/>
    <col min="2" max="2" width="63.453125" style="318" customWidth="1"/>
    <col min="3" max="3" width="19" style="121" customWidth="1"/>
    <col min="4" max="4" width="12.81640625" style="121" customWidth="1"/>
    <col min="5" max="9" width="14.26953125" style="121" customWidth="1"/>
    <col min="10" max="10" width="18.1796875" style="121" customWidth="1"/>
    <col min="11" max="12" width="14.26953125" style="121" customWidth="1"/>
    <col min="13" max="14" width="17.1796875" style="121" customWidth="1"/>
    <col min="15" max="15" width="14.1796875" style="121" customWidth="1"/>
    <col min="16" max="16" width="15.7265625" style="121" customWidth="1"/>
    <col min="17" max="17" width="11.81640625" style="121" customWidth="1"/>
    <col min="18" max="18" width="15.1796875" style="121" customWidth="1"/>
    <col min="19" max="19" width="16" style="121" customWidth="1"/>
    <col min="20" max="20" width="11.81640625" style="121" customWidth="1"/>
    <col min="21" max="21" width="13.7265625" style="121" customWidth="1"/>
    <col min="22" max="23" width="13.7265625" style="188" customWidth="1"/>
    <col min="24" max="24" width="13.7265625" style="121" customWidth="1"/>
    <col min="25" max="25" width="19.1796875" style="121" customWidth="1"/>
    <col min="26" max="26" width="15.26953125" style="121" customWidth="1"/>
    <col min="27" max="28" width="13.7265625" style="121" customWidth="1"/>
    <col min="29" max="29" width="9.26953125" style="121"/>
    <col min="30" max="31" width="13.7265625" style="121" customWidth="1"/>
    <col min="32" max="32" width="11.7265625" style="121" customWidth="1"/>
    <col min="33" max="53" width="13.7265625" style="121" customWidth="1"/>
    <col min="54" max="54" width="14.1796875" style="121" customWidth="1"/>
    <col min="55" max="55" width="13.7265625" style="121" customWidth="1"/>
    <col min="56" max="56" width="9.26953125" style="121"/>
    <col min="57" max="58" width="13.7265625" style="121" customWidth="1"/>
    <col min="59" max="59" width="9.26953125" style="121"/>
    <col min="60" max="73" width="13.7265625" style="121" customWidth="1"/>
    <col min="74" max="74" width="9.26953125" style="121"/>
    <col min="75" max="76" width="13.7265625" style="121" customWidth="1"/>
    <col min="77" max="77" width="9.26953125" style="121"/>
    <col min="78" max="113" width="13.7265625" style="121" customWidth="1"/>
    <col min="114" max="116" width="14.26953125" style="121" customWidth="1"/>
    <col min="117" max="119" width="11.1796875" style="121" customWidth="1"/>
    <col min="120" max="120" width="9.26953125" style="261" customWidth="1"/>
    <col min="121" max="122" width="9.26953125" style="121" customWidth="1"/>
    <col min="123" max="123" width="9.26953125" style="121"/>
    <col min="124" max="125" width="9.26953125" style="121" customWidth="1"/>
    <col min="126" max="126" width="12.54296875" style="121" customWidth="1"/>
    <col min="127" max="128" width="9.26953125" style="121" customWidth="1"/>
    <col min="129" max="129" width="9.26953125" style="121"/>
    <col min="130" max="131" width="9.26953125" style="121" customWidth="1"/>
    <col min="132" max="132" width="13" style="121" customWidth="1"/>
    <col min="133" max="134" width="9.26953125" style="121" customWidth="1"/>
    <col min="135" max="135" width="9.26953125" style="121"/>
    <col min="136" max="137" width="9.26953125" style="121" customWidth="1"/>
    <col min="138" max="138" width="10.81640625" style="121" customWidth="1"/>
    <col min="139" max="140" width="9.26953125" style="121" customWidth="1"/>
    <col min="141" max="141" width="20.26953125" style="121" customWidth="1"/>
    <col min="142" max="143" width="9.26953125" style="121" customWidth="1"/>
    <col min="144" max="144" width="12.81640625" style="121" customWidth="1"/>
    <col min="145" max="146" width="9.26953125" style="121"/>
    <col min="147" max="147" width="12.81640625" style="121" customWidth="1"/>
    <col min="148" max="149" width="9.26953125" style="121"/>
    <col min="150" max="150" width="12.81640625" style="121" customWidth="1"/>
    <col min="151" max="161" width="9.26953125" style="121"/>
    <col min="162" max="162" width="13.7265625" style="121" customWidth="1"/>
    <col min="163" max="191" width="9.26953125" style="121"/>
    <col min="192" max="192" width="18.26953125" style="121" customWidth="1"/>
    <col min="193" max="193" width="15.26953125" style="121" customWidth="1"/>
    <col min="194" max="16384" width="9.26953125" style="121"/>
  </cols>
  <sheetData>
    <row r="1" spans="1:200" s="114" customFormat="1" ht="201" customHeight="1" x14ac:dyDescent="0.25">
      <c r="B1" s="302" t="s">
        <v>93</v>
      </c>
      <c r="C1" s="494" t="s">
        <v>611</v>
      </c>
      <c r="D1" s="494"/>
      <c r="E1" s="494"/>
      <c r="F1" s="494" t="s">
        <v>612</v>
      </c>
      <c r="G1" s="494"/>
      <c r="H1" s="494"/>
      <c r="I1" s="197"/>
      <c r="J1" s="115"/>
      <c r="K1" s="191" t="s">
        <v>154</v>
      </c>
      <c r="L1" s="116">
        <v>7000</v>
      </c>
      <c r="M1" s="117" t="s">
        <v>94</v>
      </c>
      <c r="N1" s="117" t="s">
        <v>919</v>
      </c>
      <c r="O1" s="117" t="s">
        <v>371</v>
      </c>
      <c r="P1" s="117" t="s">
        <v>529</v>
      </c>
      <c r="Q1" s="117" t="s">
        <v>368</v>
      </c>
      <c r="R1" s="117" t="s">
        <v>369</v>
      </c>
      <c r="S1" s="117" t="s">
        <v>96</v>
      </c>
      <c r="T1" s="117" t="s">
        <v>528</v>
      </c>
      <c r="U1" s="118" t="s">
        <v>609</v>
      </c>
      <c r="V1" s="118" t="s">
        <v>608</v>
      </c>
      <c r="W1" s="118" t="s">
        <v>607</v>
      </c>
      <c r="X1" s="118" t="s">
        <v>97</v>
      </c>
      <c r="Y1" s="266" t="s">
        <v>607</v>
      </c>
      <c r="Z1" s="266" t="s">
        <v>514</v>
      </c>
      <c r="AA1" s="118" t="s">
        <v>98</v>
      </c>
      <c r="AB1" s="266" t="s">
        <v>607</v>
      </c>
      <c r="AC1" s="266" t="s">
        <v>514</v>
      </c>
      <c r="AD1" s="118" t="s">
        <v>0</v>
      </c>
      <c r="AE1" s="266" t="s">
        <v>607</v>
      </c>
      <c r="AF1" s="266" t="s">
        <v>514</v>
      </c>
      <c r="AG1" s="118" t="s">
        <v>1</v>
      </c>
      <c r="AH1" s="266" t="s">
        <v>607</v>
      </c>
      <c r="AI1" s="266" t="s">
        <v>514</v>
      </c>
      <c r="AJ1" s="118" t="s">
        <v>99</v>
      </c>
      <c r="AK1" s="266" t="s">
        <v>607</v>
      </c>
      <c r="AL1" s="266" t="s">
        <v>514</v>
      </c>
      <c r="AM1" s="118" t="s">
        <v>100</v>
      </c>
      <c r="AN1" s="266" t="s">
        <v>607</v>
      </c>
      <c r="AO1" s="266" t="s">
        <v>514</v>
      </c>
      <c r="AP1" s="118" t="s">
        <v>101</v>
      </c>
      <c r="AQ1" s="266" t="s">
        <v>607</v>
      </c>
      <c r="AR1" s="266" t="s">
        <v>514</v>
      </c>
      <c r="AS1" s="267" t="s">
        <v>102</v>
      </c>
      <c r="AT1" s="266" t="s">
        <v>607</v>
      </c>
      <c r="AU1" s="266" t="s">
        <v>514</v>
      </c>
      <c r="AV1" s="118" t="s">
        <v>103</v>
      </c>
      <c r="AW1" s="266" t="s">
        <v>607</v>
      </c>
      <c r="AX1" s="266" t="s">
        <v>514</v>
      </c>
      <c r="AY1" s="118" t="s">
        <v>104</v>
      </c>
      <c r="AZ1" s="266" t="s">
        <v>607</v>
      </c>
      <c r="BA1" s="266" t="s">
        <v>514</v>
      </c>
      <c r="BB1" s="118" t="s">
        <v>74</v>
      </c>
      <c r="BC1" s="266" t="s">
        <v>607</v>
      </c>
      <c r="BD1" s="266" t="s">
        <v>514</v>
      </c>
      <c r="BE1" s="118" t="s">
        <v>75</v>
      </c>
      <c r="BF1" s="266" t="s">
        <v>607</v>
      </c>
      <c r="BG1" s="266" t="s">
        <v>514</v>
      </c>
      <c r="BH1" s="118" t="s">
        <v>76</v>
      </c>
      <c r="BI1" s="266" t="s">
        <v>607</v>
      </c>
      <c r="BJ1" s="266" t="s">
        <v>514</v>
      </c>
      <c r="BK1" s="118" t="s">
        <v>77</v>
      </c>
      <c r="BL1" s="266" t="s">
        <v>607</v>
      </c>
      <c r="BM1" s="266" t="s">
        <v>514</v>
      </c>
      <c r="BN1" s="267" t="s">
        <v>105</v>
      </c>
      <c r="BO1" s="266" t="s">
        <v>607</v>
      </c>
      <c r="BP1" s="266" t="s">
        <v>514</v>
      </c>
      <c r="BQ1" s="267" t="s">
        <v>106</v>
      </c>
      <c r="BR1" s="266" t="s">
        <v>607</v>
      </c>
      <c r="BS1" s="266" t="s">
        <v>514</v>
      </c>
      <c r="BT1" s="118" t="s">
        <v>107</v>
      </c>
      <c r="BU1" s="266" t="s">
        <v>607</v>
      </c>
      <c r="BV1" s="266" t="s">
        <v>514</v>
      </c>
      <c r="BW1" s="118" t="s">
        <v>108</v>
      </c>
      <c r="BX1" s="266" t="s">
        <v>607</v>
      </c>
      <c r="BY1" s="266" t="s">
        <v>514</v>
      </c>
      <c r="BZ1" s="118" t="s">
        <v>109</v>
      </c>
      <c r="CA1" s="266" t="s">
        <v>607</v>
      </c>
      <c r="CB1" s="266" t="s">
        <v>514</v>
      </c>
      <c r="CC1" s="118" t="s">
        <v>2</v>
      </c>
      <c r="CD1" s="266" t="s">
        <v>607</v>
      </c>
      <c r="CE1" s="266" t="s">
        <v>514</v>
      </c>
      <c r="CF1" s="118" t="s">
        <v>110</v>
      </c>
      <c r="CG1" s="266" t="s">
        <v>607</v>
      </c>
      <c r="CH1" s="266" t="s">
        <v>514</v>
      </c>
      <c r="CI1" s="118" t="s">
        <v>90</v>
      </c>
      <c r="CJ1" s="266" t="s">
        <v>607</v>
      </c>
      <c r="CK1" s="266" t="s">
        <v>514</v>
      </c>
      <c r="CL1" s="118" t="s">
        <v>111</v>
      </c>
      <c r="CM1" s="266" t="s">
        <v>607</v>
      </c>
      <c r="CN1" s="266" t="s">
        <v>514</v>
      </c>
      <c r="CO1" s="118" t="s">
        <v>112</v>
      </c>
      <c r="CP1" s="266" t="s">
        <v>607</v>
      </c>
      <c r="CQ1" s="266" t="s">
        <v>514</v>
      </c>
      <c r="CR1" s="118" t="s">
        <v>113</v>
      </c>
      <c r="CS1" s="266" t="s">
        <v>607</v>
      </c>
      <c r="CT1" s="266" t="s">
        <v>514</v>
      </c>
      <c r="CU1" s="118" t="s">
        <v>114</v>
      </c>
      <c r="CV1" s="266" t="s">
        <v>607</v>
      </c>
      <c r="CW1" s="266" t="s">
        <v>514</v>
      </c>
      <c r="CX1" s="118" t="s">
        <v>115</v>
      </c>
      <c r="CY1" s="266" t="s">
        <v>607</v>
      </c>
      <c r="CZ1" s="266" t="s">
        <v>514</v>
      </c>
      <c r="DA1" s="118" t="s">
        <v>116</v>
      </c>
      <c r="DB1" s="266" t="s">
        <v>607</v>
      </c>
      <c r="DC1" s="266" t="s">
        <v>514</v>
      </c>
      <c r="DD1" s="118" t="s">
        <v>3</v>
      </c>
      <c r="DE1" s="266" t="s">
        <v>607</v>
      </c>
      <c r="DF1" s="266" t="s">
        <v>514</v>
      </c>
      <c r="DG1" s="118" t="s">
        <v>117</v>
      </c>
      <c r="DH1" s="266" t="s">
        <v>607</v>
      </c>
      <c r="DI1" s="266" t="s">
        <v>514</v>
      </c>
      <c r="DJ1" s="118" t="s">
        <v>118</v>
      </c>
      <c r="DK1" s="266" t="s">
        <v>607</v>
      </c>
      <c r="DL1" s="266" t="s">
        <v>514</v>
      </c>
      <c r="DM1" s="118" t="s">
        <v>191</v>
      </c>
      <c r="DN1" s="266" t="s">
        <v>607</v>
      </c>
      <c r="DO1" s="266" t="s">
        <v>514</v>
      </c>
      <c r="DP1" s="118" t="s">
        <v>192</v>
      </c>
      <c r="DQ1" s="266" t="s">
        <v>607</v>
      </c>
      <c r="DR1" s="266" t="s">
        <v>514</v>
      </c>
      <c r="DS1" s="118" t="s">
        <v>352</v>
      </c>
      <c r="DT1" s="266" t="s">
        <v>607</v>
      </c>
      <c r="DU1" s="266" t="s">
        <v>514</v>
      </c>
      <c r="DV1" s="118" t="s">
        <v>353</v>
      </c>
      <c r="DW1" s="266" t="s">
        <v>607</v>
      </c>
      <c r="DX1" s="266" t="s">
        <v>514</v>
      </c>
      <c r="DY1" s="118" t="s">
        <v>354</v>
      </c>
      <c r="DZ1" s="266" t="s">
        <v>607</v>
      </c>
      <c r="EA1" s="266" t="s">
        <v>514</v>
      </c>
      <c r="EB1" s="118" t="s">
        <v>355</v>
      </c>
      <c r="EC1" s="266" t="s">
        <v>607</v>
      </c>
      <c r="ED1" s="266" t="s">
        <v>514</v>
      </c>
      <c r="EE1" s="118" t="s">
        <v>356</v>
      </c>
      <c r="EF1" s="266" t="s">
        <v>607</v>
      </c>
      <c r="EG1" s="266" t="s">
        <v>514</v>
      </c>
      <c r="EH1" s="118" t="s">
        <v>360</v>
      </c>
      <c r="EI1" s="266" t="s">
        <v>607</v>
      </c>
      <c r="EJ1" s="266" t="s">
        <v>514</v>
      </c>
      <c r="EK1" s="118" t="s">
        <v>361</v>
      </c>
      <c r="EL1" s="266" t="s">
        <v>607</v>
      </c>
      <c r="EM1" s="266" t="s">
        <v>514</v>
      </c>
      <c r="EN1" s="118" t="s">
        <v>362</v>
      </c>
      <c r="EO1" s="266" t="s">
        <v>607</v>
      </c>
      <c r="EP1" s="266" t="s">
        <v>514</v>
      </c>
      <c r="EQ1" s="118" t="s">
        <v>363</v>
      </c>
      <c r="ER1" s="266" t="s">
        <v>607</v>
      </c>
      <c r="ES1" s="266" t="s">
        <v>514</v>
      </c>
      <c r="ET1" s="118" t="s">
        <v>364</v>
      </c>
      <c r="EU1" s="266" t="s">
        <v>607</v>
      </c>
      <c r="EV1" s="266" t="s">
        <v>514</v>
      </c>
      <c r="EW1" s="118" t="s">
        <v>365</v>
      </c>
      <c r="EX1" s="266" t="s">
        <v>607</v>
      </c>
      <c r="EY1" s="266" t="s">
        <v>514</v>
      </c>
      <c r="EZ1" s="118" t="s">
        <v>366</v>
      </c>
      <c r="FA1" s="266" t="s">
        <v>607</v>
      </c>
      <c r="FB1" s="266" t="s">
        <v>514</v>
      </c>
      <c r="FC1" s="118" t="s">
        <v>367</v>
      </c>
      <c r="FD1" s="266" t="s">
        <v>607</v>
      </c>
      <c r="FE1" s="266" t="s">
        <v>514</v>
      </c>
      <c r="FF1" s="118" t="s">
        <v>370</v>
      </c>
      <c r="FG1" s="266" t="s">
        <v>607</v>
      </c>
      <c r="FH1" s="266" t="s">
        <v>514</v>
      </c>
      <c r="FI1" s="118" t="s">
        <v>372</v>
      </c>
      <c r="FJ1" s="266" t="s">
        <v>607</v>
      </c>
      <c r="FK1" s="266" t="s">
        <v>514</v>
      </c>
      <c r="FL1" s="118" t="s">
        <v>510</v>
      </c>
      <c r="FM1" s="266" t="s">
        <v>607</v>
      </c>
      <c r="FN1" s="266" t="s">
        <v>514</v>
      </c>
      <c r="FO1" s="118" t="s">
        <v>511</v>
      </c>
      <c r="FP1" s="266" t="s">
        <v>607</v>
      </c>
      <c r="FQ1" s="266" t="s">
        <v>514</v>
      </c>
      <c r="FR1" s="118" t="s">
        <v>513</v>
      </c>
      <c r="FS1" s="266" t="s">
        <v>607</v>
      </c>
      <c r="FT1" s="266" t="s">
        <v>514</v>
      </c>
      <c r="FU1" s="118" t="s">
        <v>512</v>
      </c>
      <c r="FV1" s="266" t="s">
        <v>607</v>
      </c>
      <c r="FW1" s="266" t="s">
        <v>514</v>
      </c>
      <c r="FX1" s="118" t="s">
        <v>552</v>
      </c>
      <c r="FY1" s="266" t="s">
        <v>607</v>
      </c>
      <c r="FZ1" s="266" t="s">
        <v>514</v>
      </c>
      <c r="GA1" s="118" t="s">
        <v>540</v>
      </c>
      <c r="GB1" s="266" t="s">
        <v>607</v>
      </c>
      <c r="GC1" s="266" t="s">
        <v>514</v>
      </c>
      <c r="GD1" s="319" t="s">
        <v>782</v>
      </c>
      <c r="GE1" s="114" t="s">
        <v>607</v>
      </c>
      <c r="GF1" s="114" t="s">
        <v>514</v>
      </c>
      <c r="GG1" s="319" t="s">
        <v>783</v>
      </c>
      <c r="GH1" s="114" t="s">
        <v>607</v>
      </c>
      <c r="GI1" s="114" t="s">
        <v>514</v>
      </c>
      <c r="GJ1" s="114" t="s">
        <v>784</v>
      </c>
      <c r="GK1" s="114" t="s">
        <v>786</v>
      </c>
      <c r="GL1" s="362" t="s">
        <v>819</v>
      </c>
    </row>
    <row r="2" spans="1:200" s="324" customFormat="1" ht="55.15" customHeight="1" x14ac:dyDescent="0.25">
      <c r="A2" s="324">
        <f>24*30</f>
        <v>720</v>
      </c>
      <c r="B2" s="325"/>
      <c r="C2" s="326">
        <v>2026</v>
      </c>
      <c r="D2" s="326">
        <v>2027</v>
      </c>
      <c r="E2" s="326">
        <v>2028</v>
      </c>
      <c r="F2" s="326">
        <v>2026</v>
      </c>
      <c r="G2" s="326">
        <v>2027</v>
      </c>
      <c r="H2" s="326">
        <v>2028</v>
      </c>
      <c r="I2" s="326" t="s">
        <v>119</v>
      </c>
      <c r="J2" s="326" t="s">
        <v>120</v>
      </c>
      <c r="K2" s="326">
        <v>500</v>
      </c>
      <c r="L2" s="326" t="s">
        <v>121</v>
      </c>
      <c r="M2" s="327" t="s">
        <v>71</v>
      </c>
      <c r="N2" s="327" t="s">
        <v>72</v>
      </c>
      <c r="O2" s="338" t="s">
        <v>802</v>
      </c>
      <c r="P2" s="328" t="s">
        <v>122</v>
      </c>
      <c r="Q2" s="119" t="s">
        <v>801</v>
      </c>
      <c r="R2" s="329" t="s">
        <v>19</v>
      </c>
      <c r="S2" s="330" t="s">
        <v>123</v>
      </c>
      <c r="T2" s="331" t="s">
        <v>146</v>
      </c>
      <c r="U2" s="332">
        <v>10</v>
      </c>
      <c r="V2" s="332">
        <v>9</v>
      </c>
      <c r="W2" s="332"/>
      <c r="X2" s="332">
        <v>1</v>
      </c>
      <c r="Y2" s="332"/>
      <c r="Z2" s="332"/>
      <c r="AA2" s="332">
        <v>2</v>
      </c>
      <c r="AB2" s="332"/>
      <c r="AC2" s="332"/>
      <c r="AD2" s="332">
        <v>3</v>
      </c>
      <c r="AE2" s="332"/>
      <c r="AF2" s="332"/>
      <c r="AG2" s="332" t="s">
        <v>4</v>
      </c>
      <c r="AH2" s="332"/>
      <c r="AI2" s="332"/>
      <c r="AJ2" s="332">
        <v>4</v>
      </c>
      <c r="AK2" s="332"/>
      <c r="AL2" s="332"/>
      <c r="AM2" s="332" t="s">
        <v>5</v>
      </c>
      <c r="AN2" s="332"/>
      <c r="AO2" s="332"/>
      <c r="AP2" s="332" t="s">
        <v>6</v>
      </c>
      <c r="AQ2" s="332"/>
      <c r="AR2" s="332"/>
      <c r="AS2" s="332" t="s">
        <v>7</v>
      </c>
      <c r="AT2" s="332"/>
      <c r="AU2" s="332"/>
      <c r="AV2" s="332" t="s">
        <v>8</v>
      </c>
      <c r="AW2" s="332"/>
      <c r="AX2" s="332"/>
      <c r="AY2" s="332" t="s">
        <v>9</v>
      </c>
      <c r="AZ2" s="332"/>
      <c r="BA2" s="332"/>
      <c r="BB2" s="332" t="s">
        <v>65</v>
      </c>
      <c r="BC2" s="332"/>
      <c r="BD2" s="332"/>
      <c r="BE2" s="332" t="s">
        <v>66</v>
      </c>
      <c r="BF2" s="332"/>
      <c r="BG2" s="332"/>
      <c r="BH2" s="332" t="s">
        <v>67</v>
      </c>
      <c r="BI2" s="332"/>
      <c r="BJ2" s="332"/>
      <c r="BK2" s="332" t="s">
        <v>68</v>
      </c>
      <c r="BL2" s="332"/>
      <c r="BM2" s="332"/>
      <c r="BN2" s="332" t="s">
        <v>69</v>
      </c>
      <c r="BO2" s="332"/>
      <c r="BP2" s="332"/>
      <c r="BQ2" s="332" t="s">
        <v>70</v>
      </c>
      <c r="BR2" s="332"/>
      <c r="BS2" s="332"/>
      <c r="BT2" s="332" t="s">
        <v>124</v>
      </c>
      <c r="BU2" s="332"/>
      <c r="BV2" s="332"/>
      <c r="BW2" s="332" t="s">
        <v>125</v>
      </c>
      <c r="BX2" s="332"/>
      <c r="BY2" s="332"/>
      <c r="BZ2" s="332" t="s">
        <v>10</v>
      </c>
      <c r="CA2" s="332"/>
      <c r="CB2" s="332"/>
      <c r="CC2" s="332" t="s">
        <v>11</v>
      </c>
      <c r="CD2" s="332"/>
      <c r="CE2" s="332"/>
      <c r="CF2" s="332">
        <v>5</v>
      </c>
      <c r="CG2" s="332"/>
      <c r="CH2" s="332"/>
      <c r="CI2" s="332" t="s">
        <v>12</v>
      </c>
      <c r="CJ2" s="332"/>
      <c r="CK2" s="332"/>
      <c r="CL2" s="332" t="s">
        <v>13</v>
      </c>
      <c r="CM2" s="332"/>
      <c r="CN2" s="332"/>
      <c r="CO2" s="332" t="s">
        <v>14</v>
      </c>
      <c r="CP2" s="332"/>
      <c r="CQ2" s="332"/>
      <c r="CR2" s="332" t="s">
        <v>126</v>
      </c>
      <c r="CS2" s="332"/>
      <c r="CT2" s="332"/>
      <c r="CU2" s="332" t="s">
        <v>15</v>
      </c>
      <c r="CV2" s="332"/>
      <c r="CW2" s="332"/>
      <c r="CX2" s="332" t="s">
        <v>127</v>
      </c>
      <c r="CY2" s="332"/>
      <c r="CZ2" s="332"/>
      <c r="DA2" s="332">
        <v>7</v>
      </c>
      <c r="DB2" s="332"/>
      <c r="DC2" s="332"/>
      <c r="DD2" s="332">
        <v>8</v>
      </c>
      <c r="DE2" s="332"/>
      <c r="DF2" s="332"/>
      <c r="DG2" s="332" t="s">
        <v>630</v>
      </c>
      <c r="DH2" s="332"/>
      <c r="DI2" s="332"/>
      <c r="DJ2" s="332">
        <v>13</v>
      </c>
      <c r="DK2" s="332"/>
      <c r="DL2" s="332"/>
      <c r="DM2" s="332" t="s">
        <v>631</v>
      </c>
      <c r="DN2" s="332"/>
      <c r="DO2" s="332"/>
      <c r="DP2" s="332" t="s">
        <v>613</v>
      </c>
      <c r="DQ2" s="332"/>
      <c r="DR2" s="332"/>
      <c r="DS2" s="332" t="s">
        <v>614</v>
      </c>
      <c r="DT2" s="332"/>
      <c r="DU2" s="332"/>
      <c r="DV2" s="332" t="s">
        <v>615</v>
      </c>
      <c r="DW2" s="332"/>
      <c r="DX2" s="332"/>
      <c r="DY2" s="332" t="s">
        <v>632</v>
      </c>
      <c r="DZ2" s="332"/>
      <c r="EA2" s="332"/>
      <c r="EB2" s="332" t="s">
        <v>616</v>
      </c>
      <c r="EC2" s="332"/>
      <c r="ED2" s="332"/>
      <c r="EE2" s="332" t="s">
        <v>617</v>
      </c>
      <c r="EF2" s="332"/>
      <c r="EG2" s="332"/>
      <c r="EH2" s="332" t="s">
        <v>633</v>
      </c>
      <c r="EI2" s="332"/>
      <c r="EJ2" s="332"/>
      <c r="EK2" s="332" t="s">
        <v>618</v>
      </c>
      <c r="EL2" s="332"/>
      <c r="EM2" s="332"/>
      <c r="EN2" s="332" t="s">
        <v>634</v>
      </c>
      <c r="EO2" s="332"/>
      <c r="EP2" s="332"/>
      <c r="EQ2" s="332" t="s">
        <v>619</v>
      </c>
      <c r="ER2" s="332"/>
      <c r="ES2" s="332"/>
      <c r="ET2" s="332" t="s">
        <v>620</v>
      </c>
      <c r="EU2" s="332"/>
      <c r="EV2" s="332"/>
      <c r="EW2" s="332" t="s">
        <v>621</v>
      </c>
      <c r="EX2" s="332"/>
      <c r="EY2" s="332"/>
      <c r="EZ2" s="332" t="s">
        <v>622</v>
      </c>
      <c r="FA2" s="332"/>
      <c r="FB2" s="332"/>
      <c r="FC2" s="332" t="s">
        <v>623</v>
      </c>
      <c r="FD2" s="332"/>
      <c r="FE2" s="332"/>
      <c r="FF2" s="332" t="s">
        <v>624</v>
      </c>
      <c r="FG2" s="332"/>
      <c r="FH2" s="332"/>
      <c r="FI2" s="332" t="s">
        <v>625</v>
      </c>
      <c r="FJ2" s="332"/>
      <c r="FK2" s="332"/>
      <c r="FL2" s="332" t="s">
        <v>626</v>
      </c>
      <c r="FM2" s="332"/>
      <c r="FN2" s="332"/>
      <c r="FO2" s="332" t="s">
        <v>627</v>
      </c>
      <c r="FP2" s="332"/>
      <c r="FQ2" s="332"/>
      <c r="FR2" s="332" t="s">
        <v>628</v>
      </c>
      <c r="FS2" s="332"/>
      <c r="FT2" s="332"/>
      <c r="FU2" s="332" t="s">
        <v>631</v>
      </c>
      <c r="FV2" s="332"/>
      <c r="FW2" s="332"/>
      <c r="FX2" s="332" t="s">
        <v>629</v>
      </c>
      <c r="FY2" s="332"/>
      <c r="FZ2" s="332"/>
      <c r="GA2" s="332" t="s">
        <v>635</v>
      </c>
      <c r="GB2" s="332"/>
      <c r="GC2" s="332"/>
      <c r="GD2" s="324">
        <v>15</v>
      </c>
      <c r="GG2" s="324">
        <v>16</v>
      </c>
      <c r="GJ2" s="333" t="s">
        <v>785</v>
      </c>
      <c r="GK2" s="334" t="s">
        <v>787</v>
      </c>
      <c r="GM2" s="324" t="s">
        <v>815</v>
      </c>
      <c r="GN2" s="324" t="s">
        <v>816</v>
      </c>
      <c r="GO2" s="324" t="s">
        <v>817</v>
      </c>
      <c r="GP2" s="324" t="s">
        <v>818</v>
      </c>
      <c r="GQ2" s="324" t="s">
        <v>833</v>
      </c>
      <c r="GR2" s="324" t="s">
        <v>834</v>
      </c>
    </row>
    <row r="3" spans="1:200" ht="38.25" customHeight="1" x14ac:dyDescent="0.55000000000000004">
      <c r="B3" s="303" t="s">
        <v>416</v>
      </c>
      <c r="C3" s="198"/>
      <c r="D3" s="198"/>
      <c r="E3" s="198"/>
      <c r="F3" s="198"/>
      <c r="G3" s="198"/>
      <c r="H3" s="198"/>
      <c r="I3" s="142"/>
      <c r="J3" s="122"/>
      <c r="K3" s="122"/>
      <c r="L3" s="249">
        <f t="shared" ref="L3:L66" si="0">$L$1</f>
        <v>7000</v>
      </c>
      <c r="M3" s="144">
        <f t="shared" ref="M3:M30" si="1">(X3/250)*L3*(D3+C3+E3+I3)</f>
        <v>0</v>
      </c>
      <c r="N3" s="405"/>
      <c r="O3" s="145">
        <f t="shared" ref="O3:O30" si="2">((AD3)/2000)*L3*(C3+D3+E3+I3)</f>
        <v>0</v>
      </c>
      <c r="P3" s="145">
        <f t="shared" ref="P3:P30" si="3">(AA3+AG3+AJ3+AM3+AP3+AS3+AV3+AY3+BB3+BE3+BH3+BK3+BN3+BQ3+BT3+BW3+BZ3+CC3+CF3+CI3+CL3+CO3+CR3+CU3+CX3+DA3+DM3+DP3+DS3+DV3+DY3+EH3+EK3+EN3+EQ3+ET3+EW3+EZ3+FC3+FF3+FI3+FL3+FO3+FR3+FU3+FX3)/1000*L3*(C3+D3+E3+I3)</f>
        <v>0</v>
      </c>
      <c r="Q3" s="145">
        <f t="shared" ref="Q3:Q30" si="4">((EB3)/3000)*L3*(C3+D3+E3+I3)</f>
        <v>0</v>
      </c>
      <c r="R3" s="145">
        <f t="shared" ref="R3:R30" si="5">(DJ3+DG3+EE3+GA3)/4000*L3*(C3+D3+E3+I3)</f>
        <v>0</v>
      </c>
      <c r="S3" s="130">
        <f>(V3/2000)*L3*(C3+D3+E3+I3)</f>
        <v>0</v>
      </c>
      <c r="T3" s="130">
        <f t="shared" ref="T3:T30" si="6">(DD3/1000)*L3*(C3+D3+E3+I3)</f>
        <v>0</v>
      </c>
      <c r="U3" s="141"/>
      <c r="V3" s="123"/>
      <c r="W3" s="134"/>
      <c r="X3" s="124"/>
      <c r="Y3" s="134"/>
      <c r="Z3" s="200"/>
      <c r="AA3" s="120"/>
      <c r="AB3" s="134"/>
      <c r="AC3" s="200"/>
      <c r="AD3" s="125"/>
      <c r="AE3" s="134"/>
      <c r="AF3" s="200"/>
      <c r="AG3" s="120"/>
      <c r="AH3" s="262"/>
      <c r="AI3" s="262"/>
      <c r="AJ3" s="120"/>
      <c r="AK3" s="262"/>
      <c r="AL3" s="262"/>
      <c r="AM3" s="120"/>
      <c r="AN3" s="262"/>
      <c r="AO3" s="262"/>
      <c r="AP3" s="120"/>
      <c r="AQ3" s="262"/>
      <c r="AR3" s="262"/>
      <c r="AS3" s="120"/>
      <c r="AT3" s="262"/>
      <c r="AU3" s="262"/>
      <c r="AV3" s="120"/>
      <c r="AW3" s="262"/>
      <c r="AX3" s="262"/>
      <c r="AY3" s="120"/>
      <c r="AZ3" s="262"/>
      <c r="BA3" s="262"/>
      <c r="BB3" s="120"/>
      <c r="BC3" s="134"/>
      <c r="BD3" s="200"/>
      <c r="BE3" s="120"/>
      <c r="BF3" s="134"/>
      <c r="BG3" s="200"/>
      <c r="BH3" s="120"/>
      <c r="BI3" s="252"/>
      <c r="BJ3" s="252"/>
      <c r="BK3" s="120"/>
      <c r="BL3" s="134"/>
      <c r="BM3" s="134"/>
      <c r="BN3" s="120"/>
      <c r="BO3" s="252"/>
      <c r="BP3" s="252"/>
      <c r="BQ3" s="120"/>
      <c r="BR3" s="134"/>
      <c r="BS3" s="134"/>
      <c r="BT3" s="120"/>
      <c r="BU3" s="134"/>
      <c r="BV3" s="200"/>
      <c r="BW3" s="120"/>
      <c r="BX3" s="134"/>
      <c r="BY3" s="200"/>
      <c r="BZ3" s="120"/>
      <c r="CA3" s="126"/>
      <c r="CB3" s="126"/>
      <c r="CC3" s="120"/>
      <c r="CD3" s="126"/>
      <c r="CE3" s="126"/>
      <c r="CF3" s="120"/>
      <c r="CG3" s="134"/>
      <c r="CH3" s="134"/>
      <c r="CI3" s="120"/>
      <c r="CJ3" s="200"/>
      <c r="CK3" s="200"/>
      <c r="CL3" s="120"/>
      <c r="CM3" s="200"/>
      <c r="CN3" s="200"/>
      <c r="CO3" s="120"/>
      <c r="CP3" s="134"/>
      <c r="CQ3" s="134"/>
      <c r="CR3" s="120"/>
      <c r="CS3" s="134"/>
      <c r="CT3" s="134"/>
      <c r="CU3" s="120"/>
      <c r="CV3" s="202"/>
      <c r="CW3" s="202"/>
      <c r="CX3" s="120"/>
      <c r="CY3" s="202"/>
      <c r="CZ3" s="202"/>
      <c r="DA3" s="120"/>
      <c r="DB3" s="202"/>
      <c r="DC3" s="202"/>
      <c r="DD3" s="253"/>
      <c r="DE3" s="202"/>
      <c r="DF3" s="202"/>
      <c r="DG3" s="254"/>
      <c r="DH3" s="203"/>
      <c r="DI3" s="203"/>
      <c r="DJ3" s="259"/>
      <c r="DK3" s="136"/>
      <c r="DL3" s="136"/>
      <c r="DM3" s="120"/>
      <c r="DN3" s="233"/>
      <c r="DO3" s="233"/>
      <c r="DP3" s="120"/>
      <c r="DQ3" s="262"/>
      <c r="DR3" s="262"/>
      <c r="DS3" s="120"/>
      <c r="DT3" s="262"/>
      <c r="DU3" s="262"/>
      <c r="DV3" s="120"/>
      <c r="DW3" s="262"/>
      <c r="DX3" s="262"/>
      <c r="DY3" s="120"/>
      <c r="DZ3" s="262"/>
      <c r="EA3" s="262"/>
      <c r="EB3" s="265"/>
      <c r="EC3" s="262"/>
      <c r="ED3" s="262"/>
      <c r="EE3" s="254"/>
      <c r="EF3" s="233"/>
      <c r="EG3" s="233"/>
      <c r="EH3" s="120"/>
      <c r="EI3" s="262"/>
      <c r="EJ3" s="262"/>
      <c r="EK3" s="120"/>
      <c r="EL3" s="262"/>
      <c r="EM3" s="262"/>
      <c r="EN3" s="120"/>
      <c r="EO3" s="262"/>
      <c r="EP3" s="262"/>
      <c r="EQ3" s="120"/>
      <c r="ER3" s="262"/>
      <c r="ES3" s="262"/>
      <c r="ET3" s="120"/>
      <c r="EU3" s="262"/>
      <c r="EV3" s="262"/>
      <c r="EW3" s="120"/>
      <c r="EX3" s="262"/>
      <c r="EY3" s="262"/>
      <c r="EZ3" s="120"/>
      <c r="FA3" s="262"/>
      <c r="FB3" s="262"/>
      <c r="FC3" s="120"/>
      <c r="FD3" s="262"/>
      <c r="FE3" s="262"/>
      <c r="FF3" s="120"/>
      <c r="FG3" s="262"/>
      <c r="FH3" s="262"/>
      <c r="FI3" s="120"/>
      <c r="FJ3" s="262"/>
      <c r="FK3" s="262"/>
      <c r="FL3" s="120"/>
      <c r="FM3" s="262"/>
      <c r="FN3" s="262"/>
      <c r="FO3" s="120"/>
      <c r="FP3" s="262"/>
      <c r="FQ3" s="262"/>
      <c r="FR3" s="120"/>
      <c r="FS3" s="262"/>
      <c r="FT3" s="262"/>
      <c r="FU3" s="120"/>
      <c r="FV3" s="262"/>
      <c r="FW3" s="262"/>
      <c r="FX3" s="120"/>
      <c r="FY3" s="262"/>
      <c r="FZ3" s="262"/>
      <c r="GA3" s="256"/>
      <c r="GB3" s="233"/>
      <c r="GC3" s="233"/>
      <c r="GJ3" s="121">
        <f>(GD3/4000)*L3*(C3+D3+E3+I3)</f>
        <v>0</v>
      </c>
      <c r="GK3" s="121">
        <f>(GG3/4000)*L3*(C3+D3+E3+I3)</f>
        <v>0</v>
      </c>
    </row>
    <row r="4" spans="1:200" ht="38.25" customHeight="1" x14ac:dyDescent="0.55000000000000004">
      <c r="B4" s="303" t="s">
        <v>378</v>
      </c>
      <c r="C4" s="198"/>
      <c r="D4" s="198"/>
      <c r="E4" s="198"/>
      <c r="F4" s="198"/>
      <c r="G4" s="198"/>
      <c r="H4" s="198"/>
      <c r="I4" s="142"/>
      <c r="J4" s="122"/>
      <c r="K4" s="122"/>
      <c r="L4" s="249">
        <f t="shared" si="0"/>
        <v>7000</v>
      </c>
      <c r="M4" s="144">
        <f t="shared" si="1"/>
        <v>0</v>
      </c>
      <c r="N4" s="405"/>
      <c r="O4" s="145">
        <f t="shared" si="2"/>
        <v>0</v>
      </c>
      <c r="P4" s="145">
        <f t="shared" si="3"/>
        <v>0</v>
      </c>
      <c r="Q4" s="145">
        <f t="shared" si="4"/>
        <v>0</v>
      </c>
      <c r="R4" s="145">
        <f t="shared" si="5"/>
        <v>0</v>
      </c>
      <c r="S4" s="130">
        <f t="shared" ref="S4:S30" si="7">(V4/6000)*L4*(C4+D4+E4+I4)</f>
        <v>0</v>
      </c>
      <c r="T4" s="130">
        <f t="shared" si="6"/>
        <v>0</v>
      </c>
      <c r="U4" s="141"/>
      <c r="V4" s="123"/>
      <c r="W4" s="134"/>
      <c r="X4" s="124"/>
      <c r="Y4" s="134"/>
      <c r="Z4" s="200"/>
      <c r="AA4" s="120"/>
      <c r="AB4" s="134"/>
      <c r="AC4" s="200"/>
      <c r="AD4" s="125"/>
      <c r="AE4" s="134"/>
      <c r="AF4" s="200"/>
      <c r="AG4" s="120"/>
      <c r="AH4" s="262"/>
      <c r="AI4" s="262"/>
      <c r="AJ4" s="120"/>
      <c r="AK4" s="262"/>
      <c r="AL4" s="262"/>
      <c r="AM4" s="120"/>
      <c r="AN4" s="262"/>
      <c r="AO4" s="262"/>
      <c r="AP4" s="120"/>
      <c r="AQ4" s="262"/>
      <c r="AR4" s="262"/>
      <c r="AS4" s="120"/>
      <c r="AT4" s="262"/>
      <c r="AU4" s="262"/>
      <c r="AV4" s="120"/>
      <c r="AW4" s="262"/>
      <c r="AX4" s="262"/>
      <c r="AY4" s="120"/>
      <c r="AZ4" s="262"/>
      <c r="BA4" s="262"/>
      <c r="BB4" s="120"/>
      <c r="BC4" s="134"/>
      <c r="BD4" s="200"/>
      <c r="BE4" s="120"/>
      <c r="BF4" s="134"/>
      <c r="BG4" s="200"/>
      <c r="BH4" s="120"/>
      <c r="BI4" s="252"/>
      <c r="BJ4" s="252"/>
      <c r="BK4" s="120"/>
      <c r="BL4" s="134"/>
      <c r="BM4" s="134"/>
      <c r="BN4" s="120"/>
      <c r="BO4" s="252"/>
      <c r="BP4" s="252"/>
      <c r="BQ4" s="120"/>
      <c r="BR4" s="134"/>
      <c r="BS4" s="134"/>
      <c r="BT4" s="120"/>
      <c r="BU4" s="134"/>
      <c r="BV4" s="200"/>
      <c r="BW4" s="120"/>
      <c r="BX4" s="134"/>
      <c r="BY4" s="200"/>
      <c r="BZ4" s="120"/>
      <c r="CA4" s="126"/>
      <c r="CB4" s="126"/>
      <c r="CC4" s="120"/>
      <c r="CD4" s="126"/>
      <c r="CE4" s="126"/>
      <c r="CF4" s="120"/>
      <c r="CG4" s="134"/>
      <c r="CH4" s="134"/>
      <c r="CI4" s="120"/>
      <c r="CJ4" s="200"/>
      <c r="CK4" s="200"/>
      <c r="CL4" s="120"/>
      <c r="CM4" s="200"/>
      <c r="CN4" s="200"/>
      <c r="CO4" s="120"/>
      <c r="CP4" s="134"/>
      <c r="CQ4" s="134"/>
      <c r="CR4" s="120"/>
      <c r="CS4" s="134"/>
      <c r="CT4" s="134"/>
      <c r="CU4" s="120"/>
      <c r="CV4" s="202"/>
      <c r="CW4" s="202"/>
      <c r="CX4" s="120"/>
      <c r="CY4" s="202"/>
      <c r="CZ4" s="202"/>
      <c r="DA4" s="120"/>
      <c r="DB4" s="202"/>
      <c r="DC4" s="202"/>
      <c r="DD4" s="253"/>
      <c r="DE4" s="202"/>
      <c r="DF4" s="202"/>
      <c r="DG4" s="254"/>
      <c r="DH4" s="203"/>
      <c r="DI4" s="203"/>
      <c r="DJ4" s="259"/>
      <c r="DK4" s="136"/>
      <c r="DL4" s="136"/>
      <c r="DM4" s="120"/>
      <c r="DN4" s="233"/>
      <c r="DO4" s="233"/>
      <c r="DP4" s="120"/>
      <c r="DQ4" s="262"/>
      <c r="DR4" s="262"/>
      <c r="DS4" s="120"/>
      <c r="DT4" s="262"/>
      <c r="DU4" s="262"/>
      <c r="DV4" s="120"/>
      <c r="DW4" s="262"/>
      <c r="DX4" s="262"/>
      <c r="DY4" s="120"/>
      <c r="DZ4" s="262"/>
      <c r="EA4" s="262"/>
      <c r="EB4" s="265"/>
      <c r="EC4" s="262"/>
      <c r="ED4" s="262"/>
      <c r="EE4" s="254"/>
      <c r="EF4" s="233"/>
      <c r="EG4" s="233"/>
      <c r="EH4" s="120"/>
      <c r="EI4" s="262"/>
      <c r="EJ4" s="262"/>
      <c r="EK4" s="120"/>
      <c r="EL4" s="262"/>
      <c r="EM4" s="262"/>
      <c r="EN4" s="120"/>
      <c r="EO4" s="262"/>
      <c r="EP4" s="262"/>
      <c r="EQ4" s="120"/>
      <c r="ER4" s="262"/>
      <c r="ES4" s="262"/>
      <c r="ET4" s="120"/>
      <c r="EU4" s="262"/>
      <c r="EV4" s="262"/>
      <c r="EW4" s="120"/>
      <c r="EX4" s="262"/>
      <c r="EY4" s="262"/>
      <c r="EZ4" s="120"/>
      <c r="FA4" s="262"/>
      <c r="FB4" s="262"/>
      <c r="FC4" s="120"/>
      <c r="FD4" s="262"/>
      <c r="FE4" s="262"/>
      <c r="FF4" s="120"/>
      <c r="FG4" s="262"/>
      <c r="FH4" s="262"/>
      <c r="FI4" s="120"/>
      <c r="FJ4" s="262"/>
      <c r="FK4" s="262"/>
      <c r="FL4" s="120"/>
      <c r="FM4" s="262"/>
      <c r="FN4" s="262"/>
      <c r="FO4" s="120"/>
      <c r="FP4" s="262"/>
      <c r="FQ4" s="262"/>
      <c r="FR4" s="120"/>
      <c r="FS4" s="262"/>
      <c r="FT4" s="262"/>
      <c r="FU4" s="120"/>
      <c r="FV4" s="262"/>
      <c r="FW4" s="262"/>
      <c r="FX4" s="120"/>
      <c r="FY4" s="262"/>
      <c r="FZ4" s="262"/>
      <c r="GA4" s="256"/>
      <c r="GB4" s="233"/>
      <c r="GC4" s="233"/>
      <c r="GJ4" s="121">
        <f t="shared" ref="GJ4:GJ30" si="8">(GD4/4000)*L4*(C4+D4+E4+I4)</f>
        <v>0</v>
      </c>
      <c r="GK4" s="121">
        <f t="shared" ref="GK4:GK30" si="9">(GG4/4000)*L4*(C4+D4+E4+I4)</f>
        <v>0</v>
      </c>
    </row>
    <row r="5" spans="1:200" ht="38.25" customHeight="1" x14ac:dyDescent="0.55000000000000004">
      <c r="B5" s="303" t="s">
        <v>379</v>
      </c>
      <c r="C5" s="198"/>
      <c r="D5" s="198"/>
      <c r="E5" s="198"/>
      <c r="F5" s="198"/>
      <c r="G5" s="198"/>
      <c r="H5" s="198"/>
      <c r="I5" s="142"/>
      <c r="J5" s="122"/>
      <c r="K5" s="122"/>
      <c r="L5" s="249">
        <f t="shared" si="0"/>
        <v>7000</v>
      </c>
      <c r="M5" s="144">
        <f t="shared" si="1"/>
        <v>0</v>
      </c>
      <c r="N5" s="405"/>
      <c r="O5" s="145">
        <f t="shared" si="2"/>
        <v>0</v>
      </c>
      <c r="P5" s="145">
        <f t="shared" si="3"/>
        <v>0</v>
      </c>
      <c r="Q5" s="145">
        <f t="shared" si="4"/>
        <v>0</v>
      </c>
      <c r="R5" s="145">
        <f t="shared" si="5"/>
        <v>0</v>
      </c>
      <c r="S5" s="130">
        <f t="shared" si="7"/>
        <v>0</v>
      </c>
      <c r="T5" s="130">
        <f t="shared" si="6"/>
        <v>0</v>
      </c>
      <c r="U5" s="141"/>
      <c r="V5" s="123"/>
      <c r="W5" s="134"/>
      <c r="X5" s="124"/>
      <c r="Y5" s="134"/>
      <c r="Z5" s="200"/>
      <c r="AA5" s="120"/>
      <c r="AB5" s="134"/>
      <c r="AC5" s="200"/>
      <c r="AD5" s="125"/>
      <c r="AE5" s="134"/>
      <c r="AF5" s="200"/>
      <c r="AG5" s="120"/>
      <c r="AH5" s="262"/>
      <c r="AI5" s="262"/>
      <c r="AJ5" s="120"/>
      <c r="AK5" s="262"/>
      <c r="AL5" s="262"/>
      <c r="AM5" s="120"/>
      <c r="AN5" s="262"/>
      <c r="AO5" s="262"/>
      <c r="AP5" s="120"/>
      <c r="AQ5" s="262"/>
      <c r="AR5" s="262"/>
      <c r="AS5" s="120"/>
      <c r="AT5" s="262"/>
      <c r="AU5" s="262"/>
      <c r="AV5" s="120"/>
      <c r="AW5" s="262"/>
      <c r="AX5" s="262"/>
      <c r="AY5" s="120"/>
      <c r="AZ5" s="262"/>
      <c r="BA5" s="262"/>
      <c r="BB5" s="120"/>
      <c r="BC5" s="134"/>
      <c r="BD5" s="200"/>
      <c r="BE5" s="120"/>
      <c r="BF5" s="134"/>
      <c r="BG5" s="200"/>
      <c r="BH5" s="120"/>
      <c r="BI5" s="252"/>
      <c r="BJ5" s="252"/>
      <c r="BK5" s="120"/>
      <c r="BL5" s="134"/>
      <c r="BM5" s="134"/>
      <c r="BN5" s="120"/>
      <c r="BO5" s="252"/>
      <c r="BP5" s="252"/>
      <c r="BQ5" s="120"/>
      <c r="BR5" s="134"/>
      <c r="BS5" s="134"/>
      <c r="BT5" s="120"/>
      <c r="BU5" s="134"/>
      <c r="BV5" s="200"/>
      <c r="BW5" s="120"/>
      <c r="BX5" s="134"/>
      <c r="BY5" s="200"/>
      <c r="BZ5" s="120"/>
      <c r="CA5" s="126"/>
      <c r="CB5" s="126"/>
      <c r="CC5" s="120"/>
      <c r="CD5" s="126"/>
      <c r="CE5" s="126"/>
      <c r="CF5" s="120"/>
      <c r="CG5" s="134"/>
      <c r="CH5" s="134"/>
      <c r="CI5" s="120"/>
      <c r="CJ5" s="200"/>
      <c r="CK5" s="200"/>
      <c r="CL5" s="120"/>
      <c r="CM5" s="200"/>
      <c r="CN5" s="200"/>
      <c r="CO5" s="120"/>
      <c r="CP5" s="134"/>
      <c r="CQ5" s="134"/>
      <c r="CR5" s="120"/>
      <c r="CS5" s="134"/>
      <c r="CT5" s="134"/>
      <c r="CU5" s="120"/>
      <c r="CV5" s="202"/>
      <c r="CW5" s="202"/>
      <c r="CX5" s="120"/>
      <c r="CY5" s="202"/>
      <c r="CZ5" s="202"/>
      <c r="DA5" s="120"/>
      <c r="DB5" s="202"/>
      <c r="DC5" s="202"/>
      <c r="DD5" s="253"/>
      <c r="DE5" s="202"/>
      <c r="DF5" s="202"/>
      <c r="DG5" s="254"/>
      <c r="DH5" s="203"/>
      <c r="DI5" s="203"/>
      <c r="DJ5" s="259"/>
      <c r="DK5" s="136"/>
      <c r="DL5" s="136"/>
      <c r="DM5" s="120"/>
      <c r="DN5" s="233"/>
      <c r="DO5" s="233"/>
      <c r="DP5" s="120"/>
      <c r="DQ5" s="262"/>
      <c r="DR5" s="262"/>
      <c r="DS5" s="120"/>
      <c r="DT5" s="262"/>
      <c r="DU5" s="262"/>
      <c r="DV5" s="120"/>
      <c r="DW5" s="262"/>
      <c r="DX5" s="262"/>
      <c r="DY5" s="120"/>
      <c r="DZ5" s="262"/>
      <c r="EA5" s="262"/>
      <c r="EB5" s="265"/>
      <c r="EC5" s="262"/>
      <c r="ED5" s="262"/>
      <c r="EE5" s="254"/>
      <c r="EF5" s="233"/>
      <c r="EG5" s="233"/>
      <c r="EH5" s="120"/>
      <c r="EI5" s="262"/>
      <c r="EJ5" s="262"/>
      <c r="EK5" s="120"/>
      <c r="EL5" s="262"/>
      <c r="EM5" s="262"/>
      <c r="EN5" s="120"/>
      <c r="EO5" s="262"/>
      <c r="EP5" s="262"/>
      <c r="EQ5" s="120"/>
      <c r="ER5" s="262"/>
      <c r="ES5" s="262"/>
      <c r="ET5" s="120"/>
      <c r="EU5" s="262"/>
      <c r="EV5" s="262"/>
      <c r="EW5" s="120"/>
      <c r="EX5" s="262"/>
      <c r="EY5" s="262"/>
      <c r="EZ5" s="120"/>
      <c r="FA5" s="262"/>
      <c r="FB5" s="262"/>
      <c r="FC5" s="120"/>
      <c r="FD5" s="262"/>
      <c r="FE5" s="262"/>
      <c r="FF5" s="120"/>
      <c r="FG5" s="262"/>
      <c r="FH5" s="262"/>
      <c r="FI5" s="120"/>
      <c r="FJ5" s="262"/>
      <c r="FK5" s="262"/>
      <c r="FL5" s="120"/>
      <c r="FM5" s="262"/>
      <c r="FN5" s="262"/>
      <c r="FO5" s="120"/>
      <c r="FP5" s="262"/>
      <c r="FQ5" s="262"/>
      <c r="FR5" s="120"/>
      <c r="FS5" s="262"/>
      <c r="FT5" s="262"/>
      <c r="FU5" s="120"/>
      <c r="FV5" s="262"/>
      <c r="FW5" s="262"/>
      <c r="FX5" s="120"/>
      <c r="FY5" s="262"/>
      <c r="FZ5" s="262"/>
      <c r="GA5" s="256"/>
      <c r="GB5" s="233"/>
      <c r="GC5" s="233"/>
      <c r="GJ5" s="121">
        <f t="shared" si="8"/>
        <v>0</v>
      </c>
      <c r="GK5" s="121">
        <f t="shared" si="9"/>
        <v>0</v>
      </c>
    </row>
    <row r="6" spans="1:200" ht="38.25" customHeight="1" x14ac:dyDescent="0.55000000000000004">
      <c r="B6" s="303" t="s">
        <v>376</v>
      </c>
      <c r="C6" s="198"/>
      <c r="D6" s="198"/>
      <c r="E6" s="198"/>
      <c r="F6" s="198"/>
      <c r="G6" s="198"/>
      <c r="H6" s="198"/>
      <c r="I6" s="142"/>
      <c r="J6" s="122"/>
      <c r="K6" s="122"/>
      <c r="L6" s="249">
        <f t="shared" si="0"/>
        <v>7000</v>
      </c>
      <c r="M6" s="144">
        <f t="shared" si="1"/>
        <v>0</v>
      </c>
      <c r="N6" s="405"/>
      <c r="O6" s="145">
        <f t="shared" si="2"/>
        <v>0</v>
      </c>
      <c r="P6" s="145">
        <f t="shared" si="3"/>
        <v>0</v>
      </c>
      <c r="Q6" s="145">
        <f t="shared" si="4"/>
        <v>0</v>
      </c>
      <c r="R6" s="145">
        <f t="shared" si="5"/>
        <v>0</v>
      </c>
      <c r="S6" s="130">
        <f t="shared" si="7"/>
        <v>0</v>
      </c>
      <c r="T6" s="130">
        <f t="shared" si="6"/>
        <v>0</v>
      </c>
      <c r="U6" s="141"/>
      <c r="V6" s="123"/>
      <c r="W6" s="134"/>
      <c r="X6" s="124"/>
      <c r="Y6" s="134"/>
      <c r="Z6" s="200"/>
      <c r="AA6" s="120"/>
      <c r="AB6" s="134"/>
      <c r="AC6" s="200"/>
      <c r="AD6" s="125"/>
      <c r="AE6" s="134"/>
      <c r="AF6" s="200"/>
      <c r="AG6" s="120"/>
      <c r="AH6" s="262"/>
      <c r="AI6" s="262"/>
      <c r="AJ6" s="120"/>
      <c r="AK6" s="262"/>
      <c r="AL6" s="262"/>
      <c r="AM6" s="120"/>
      <c r="AN6" s="262"/>
      <c r="AO6" s="262"/>
      <c r="AP6" s="120"/>
      <c r="AQ6" s="262"/>
      <c r="AR6" s="262"/>
      <c r="AS6" s="120"/>
      <c r="AT6" s="262"/>
      <c r="AU6" s="262"/>
      <c r="AV6" s="120"/>
      <c r="AW6" s="262"/>
      <c r="AX6" s="262"/>
      <c r="AY6" s="120"/>
      <c r="AZ6" s="262"/>
      <c r="BA6" s="262"/>
      <c r="BB6" s="120"/>
      <c r="BC6" s="134"/>
      <c r="BD6" s="200"/>
      <c r="BE6" s="120"/>
      <c r="BF6" s="134"/>
      <c r="BG6" s="200"/>
      <c r="BH6" s="120"/>
      <c r="BI6" s="252"/>
      <c r="BJ6" s="252"/>
      <c r="BK6" s="120"/>
      <c r="BL6" s="134"/>
      <c r="BM6" s="134"/>
      <c r="BN6" s="120"/>
      <c r="BO6" s="252"/>
      <c r="BP6" s="252"/>
      <c r="BQ6" s="120"/>
      <c r="BR6" s="134"/>
      <c r="BS6" s="134"/>
      <c r="BT6" s="120"/>
      <c r="BU6" s="134"/>
      <c r="BV6" s="200"/>
      <c r="BW6" s="120"/>
      <c r="BX6" s="134"/>
      <c r="BY6" s="200"/>
      <c r="BZ6" s="120"/>
      <c r="CA6" s="126"/>
      <c r="CB6" s="126"/>
      <c r="CC6" s="120"/>
      <c r="CD6" s="126"/>
      <c r="CE6" s="126"/>
      <c r="CF6" s="120"/>
      <c r="CG6" s="134"/>
      <c r="CH6" s="134"/>
      <c r="CI6" s="120"/>
      <c r="CJ6" s="200"/>
      <c r="CK6" s="200"/>
      <c r="CL6" s="120"/>
      <c r="CM6" s="200"/>
      <c r="CN6" s="200"/>
      <c r="CO6" s="120"/>
      <c r="CP6" s="134"/>
      <c r="CQ6" s="134"/>
      <c r="CR6" s="120"/>
      <c r="CS6" s="134"/>
      <c r="CT6" s="134"/>
      <c r="CU6" s="120"/>
      <c r="CV6" s="202"/>
      <c r="CW6" s="202"/>
      <c r="CX6" s="120"/>
      <c r="CY6" s="202"/>
      <c r="CZ6" s="202"/>
      <c r="DA6" s="120"/>
      <c r="DB6" s="202"/>
      <c r="DC6" s="202"/>
      <c r="DD6" s="253"/>
      <c r="DE6" s="202"/>
      <c r="DF6" s="202"/>
      <c r="DG6" s="254"/>
      <c r="DH6" s="203"/>
      <c r="DI6" s="203"/>
      <c r="DJ6" s="259"/>
      <c r="DK6" s="136"/>
      <c r="DL6" s="136"/>
      <c r="DM6" s="120"/>
      <c r="DN6" s="233"/>
      <c r="DO6" s="233"/>
      <c r="DP6" s="120"/>
      <c r="DQ6" s="262"/>
      <c r="DR6" s="262"/>
      <c r="DS6" s="120"/>
      <c r="DT6" s="262"/>
      <c r="DU6" s="262"/>
      <c r="DV6" s="120"/>
      <c r="DW6" s="262"/>
      <c r="DX6" s="262"/>
      <c r="DY6" s="120"/>
      <c r="DZ6" s="262"/>
      <c r="EA6" s="262"/>
      <c r="EB6" s="265"/>
      <c r="EC6" s="262"/>
      <c r="ED6" s="262"/>
      <c r="EE6" s="254"/>
      <c r="EF6" s="233"/>
      <c r="EG6" s="233"/>
      <c r="EH6" s="120"/>
      <c r="EI6" s="262"/>
      <c r="EJ6" s="262"/>
      <c r="EK6" s="120"/>
      <c r="EL6" s="262"/>
      <c r="EM6" s="262"/>
      <c r="EN6" s="120"/>
      <c r="EO6" s="262"/>
      <c r="EP6" s="262"/>
      <c r="EQ6" s="120"/>
      <c r="ER6" s="262"/>
      <c r="ES6" s="262"/>
      <c r="ET6" s="120"/>
      <c r="EU6" s="262"/>
      <c r="EV6" s="262"/>
      <c r="EW6" s="120"/>
      <c r="EX6" s="262"/>
      <c r="EY6" s="262"/>
      <c r="EZ6" s="120"/>
      <c r="FA6" s="262"/>
      <c r="FB6" s="262"/>
      <c r="FC6" s="120"/>
      <c r="FD6" s="262"/>
      <c r="FE6" s="262"/>
      <c r="FF6" s="120"/>
      <c r="FG6" s="262"/>
      <c r="FH6" s="262"/>
      <c r="FI6" s="120"/>
      <c r="FJ6" s="262"/>
      <c r="FK6" s="262"/>
      <c r="FL6" s="120"/>
      <c r="FM6" s="262"/>
      <c r="FN6" s="262"/>
      <c r="FO6" s="120"/>
      <c r="FP6" s="262"/>
      <c r="FQ6" s="262"/>
      <c r="FR6" s="120"/>
      <c r="FS6" s="262"/>
      <c r="FT6" s="262"/>
      <c r="FU6" s="120"/>
      <c r="FV6" s="262"/>
      <c r="FW6" s="262"/>
      <c r="FX6" s="120"/>
      <c r="FY6" s="262"/>
      <c r="FZ6" s="262"/>
      <c r="GA6" s="256"/>
      <c r="GB6" s="233"/>
      <c r="GC6" s="233"/>
      <c r="GJ6" s="121">
        <f t="shared" si="8"/>
        <v>0</v>
      </c>
      <c r="GK6" s="121">
        <f t="shared" si="9"/>
        <v>0</v>
      </c>
    </row>
    <row r="7" spans="1:200" ht="38.25" customHeight="1" x14ac:dyDescent="0.55000000000000004">
      <c r="B7" s="303" t="s">
        <v>380</v>
      </c>
      <c r="C7" s="198"/>
      <c r="D7" s="198"/>
      <c r="E7" s="198"/>
      <c r="F7" s="198"/>
      <c r="G7" s="198"/>
      <c r="H7" s="198"/>
      <c r="I7" s="142"/>
      <c r="J7" s="122"/>
      <c r="K7" s="122"/>
      <c r="L7" s="249">
        <f t="shared" si="0"/>
        <v>7000</v>
      </c>
      <c r="M7" s="144">
        <f t="shared" si="1"/>
        <v>0</v>
      </c>
      <c r="N7" s="405"/>
      <c r="O7" s="145">
        <f t="shared" si="2"/>
        <v>0</v>
      </c>
      <c r="P7" s="145">
        <f t="shared" si="3"/>
        <v>0</v>
      </c>
      <c r="Q7" s="145">
        <f t="shared" si="4"/>
        <v>0</v>
      </c>
      <c r="R7" s="145">
        <f t="shared" si="5"/>
        <v>0</v>
      </c>
      <c r="S7" s="130">
        <f t="shared" si="7"/>
        <v>0</v>
      </c>
      <c r="T7" s="130">
        <f t="shared" si="6"/>
        <v>0</v>
      </c>
      <c r="U7" s="141"/>
      <c r="V7" s="123"/>
      <c r="W7" s="134"/>
      <c r="X7" s="124"/>
      <c r="Y7" s="134"/>
      <c r="Z7" s="200"/>
      <c r="AA7" s="120"/>
      <c r="AB7" s="134"/>
      <c r="AC7" s="200"/>
      <c r="AD7" s="125"/>
      <c r="AE7" s="134"/>
      <c r="AF7" s="200"/>
      <c r="AG7" s="120"/>
      <c r="AH7" s="262"/>
      <c r="AI7" s="262"/>
      <c r="AJ7" s="120"/>
      <c r="AK7" s="262"/>
      <c r="AL7" s="262"/>
      <c r="AM7" s="120"/>
      <c r="AN7" s="262"/>
      <c r="AO7" s="262"/>
      <c r="AP7" s="120"/>
      <c r="AQ7" s="262"/>
      <c r="AR7" s="262"/>
      <c r="AS7" s="120"/>
      <c r="AT7" s="262"/>
      <c r="AU7" s="262"/>
      <c r="AV7" s="120"/>
      <c r="AW7" s="262"/>
      <c r="AX7" s="262"/>
      <c r="AY7" s="120"/>
      <c r="AZ7" s="262"/>
      <c r="BA7" s="262"/>
      <c r="BB7" s="120"/>
      <c r="BC7" s="134"/>
      <c r="BD7" s="200"/>
      <c r="BE7" s="120"/>
      <c r="BF7" s="134"/>
      <c r="BG7" s="200"/>
      <c r="BH7" s="120"/>
      <c r="BI7" s="252"/>
      <c r="BJ7" s="252"/>
      <c r="BK7" s="120"/>
      <c r="BL7" s="134"/>
      <c r="BM7" s="134"/>
      <c r="BN7" s="120"/>
      <c r="BO7" s="252"/>
      <c r="BP7" s="252"/>
      <c r="BQ7" s="120"/>
      <c r="BR7" s="134"/>
      <c r="BS7" s="134"/>
      <c r="BT7" s="120"/>
      <c r="BU7" s="134"/>
      <c r="BV7" s="200"/>
      <c r="BW7" s="120"/>
      <c r="BX7" s="134"/>
      <c r="BY7" s="200"/>
      <c r="BZ7" s="120"/>
      <c r="CA7" s="126"/>
      <c r="CB7" s="126"/>
      <c r="CC7" s="120"/>
      <c r="CD7" s="126"/>
      <c r="CE7" s="126"/>
      <c r="CF7" s="120"/>
      <c r="CG7" s="134"/>
      <c r="CH7" s="134"/>
      <c r="CI7" s="120"/>
      <c r="CJ7" s="200"/>
      <c r="CK7" s="200"/>
      <c r="CL7" s="120"/>
      <c r="CM7" s="200"/>
      <c r="CN7" s="200"/>
      <c r="CO7" s="120"/>
      <c r="CP7" s="134"/>
      <c r="CQ7" s="134"/>
      <c r="CR7" s="120"/>
      <c r="CS7" s="134"/>
      <c r="CT7" s="134"/>
      <c r="CU7" s="120"/>
      <c r="CV7" s="202"/>
      <c r="CW7" s="202"/>
      <c r="CX7" s="120"/>
      <c r="CY7" s="202"/>
      <c r="CZ7" s="202"/>
      <c r="DA7" s="120"/>
      <c r="DB7" s="202"/>
      <c r="DC7" s="202"/>
      <c r="DD7" s="253"/>
      <c r="DE7" s="202"/>
      <c r="DF7" s="202"/>
      <c r="DG7" s="254"/>
      <c r="DH7" s="203"/>
      <c r="DI7" s="203"/>
      <c r="DJ7" s="259"/>
      <c r="DK7" s="136"/>
      <c r="DL7" s="136"/>
      <c r="DM7" s="120"/>
      <c r="DN7" s="233"/>
      <c r="DO7" s="233"/>
      <c r="DP7" s="120"/>
      <c r="DQ7" s="262"/>
      <c r="DR7" s="262"/>
      <c r="DS7" s="120"/>
      <c r="DT7" s="262"/>
      <c r="DU7" s="262"/>
      <c r="DV7" s="120"/>
      <c r="DW7" s="262"/>
      <c r="DX7" s="262"/>
      <c r="DY7" s="120"/>
      <c r="DZ7" s="262"/>
      <c r="EA7" s="262"/>
      <c r="EB7" s="265"/>
      <c r="EC7" s="262"/>
      <c r="ED7" s="262"/>
      <c r="EE7" s="254"/>
      <c r="EF7" s="233"/>
      <c r="EG7" s="233"/>
      <c r="EH7" s="120"/>
      <c r="EI7" s="262"/>
      <c r="EJ7" s="262"/>
      <c r="EK7" s="120"/>
      <c r="EL7" s="262"/>
      <c r="EM7" s="262"/>
      <c r="EN7" s="120"/>
      <c r="EO7" s="262"/>
      <c r="EP7" s="262"/>
      <c r="EQ7" s="120"/>
      <c r="ER7" s="262"/>
      <c r="ES7" s="262"/>
      <c r="ET7" s="120"/>
      <c r="EU7" s="262"/>
      <c r="EV7" s="262"/>
      <c r="EW7" s="120"/>
      <c r="EX7" s="262"/>
      <c r="EY7" s="262"/>
      <c r="EZ7" s="120"/>
      <c r="FA7" s="262"/>
      <c r="FB7" s="262"/>
      <c r="FC7" s="120"/>
      <c r="FD7" s="262"/>
      <c r="FE7" s="262"/>
      <c r="FF7" s="120"/>
      <c r="FG7" s="262"/>
      <c r="FH7" s="262"/>
      <c r="FI7" s="120"/>
      <c r="FJ7" s="262"/>
      <c r="FK7" s="262"/>
      <c r="FL7" s="120"/>
      <c r="FM7" s="262"/>
      <c r="FN7" s="262"/>
      <c r="FO7" s="120"/>
      <c r="FP7" s="262"/>
      <c r="FQ7" s="262"/>
      <c r="FR7" s="120"/>
      <c r="FS7" s="262"/>
      <c r="FT7" s="262"/>
      <c r="FU7" s="120"/>
      <c r="FV7" s="262"/>
      <c r="FW7" s="262"/>
      <c r="FX7" s="120"/>
      <c r="FY7" s="262"/>
      <c r="FZ7" s="262"/>
      <c r="GA7" s="256"/>
      <c r="GB7" s="233"/>
      <c r="GC7" s="233"/>
      <c r="GJ7" s="121">
        <f t="shared" si="8"/>
        <v>0</v>
      </c>
      <c r="GK7" s="121">
        <f t="shared" si="9"/>
        <v>0</v>
      </c>
    </row>
    <row r="8" spans="1:200" ht="38.25" customHeight="1" x14ac:dyDescent="0.55000000000000004">
      <c r="B8" s="303" t="s">
        <v>381</v>
      </c>
      <c r="C8" s="198"/>
      <c r="D8" s="198"/>
      <c r="E8" s="198"/>
      <c r="F8" s="198"/>
      <c r="G8" s="198"/>
      <c r="H8" s="198"/>
      <c r="I8" s="142"/>
      <c r="J8" s="122"/>
      <c r="K8" s="122"/>
      <c r="L8" s="249">
        <f t="shared" si="0"/>
        <v>7000</v>
      </c>
      <c r="M8" s="144">
        <f t="shared" si="1"/>
        <v>0</v>
      </c>
      <c r="N8" s="405"/>
      <c r="O8" s="145">
        <f t="shared" si="2"/>
        <v>0</v>
      </c>
      <c r="P8" s="145">
        <f t="shared" si="3"/>
        <v>0</v>
      </c>
      <c r="Q8" s="145">
        <f t="shared" si="4"/>
        <v>0</v>
      </c>
      <c r="R8" s="145">
        <f t="shared" si="5"/>
        <v>0</v>
      </c>
      <c r="S8" s="130">
        <f t="shared" si="7"/>
        <v>0</v>
      </c>
      <c r="T8" s="130">
        <f t="shared" si="6"/>
        <v>0</v>
      </c>
      <c r="U8" s="141"/>
      <c r="V8" s="123"/>
      <c r="W8" s="134"/>
      <c r="X8" s="124"/>
      <c r="Y8" s="134"/>
      <c r="Z8" s="200"/>
      <c r="AA8" s="120"/>
      <c r="AB8" s="134"/>
      <c r="AC8" s="200"/>
      <c r="AD8" s="125"/>
      <c r="AE8" s="134"/>
      <c r="AF8" s="200"/>
      <c r="AG8" s="120"/>
      <c r="AH8" s="262"/>
      <c r="AI8" s="262"/>
      <c r="AJ8" s="120"/>
      <c r="AK8" s="262"/>
      <c r="AL8" s="262"/>
      <c r="AM8" s="120"/>
      <c r="AN8" s="262"/>
      <c r="AO8" s="262"/>
      <c r="AP8" s="120"/>
      <c r="AQ8" s="262"/>
      <c r="AR8" s="262"/>
      <c r="AS8" s="120"/>
      <c r="AT8" s="262"/>
      <c r="AU8" s="262"/>
      <c r="AV8" s="120"/>
      <c r="AW8" s="262"/>
      <c r="AX8" s="262"/>
      <c r="AY8" s="120"/>
      <c r="AZ8" s="262"/>
      <c r="BA8" s="262"/>
      <c r="BB8" s="120"/>
      <c r="BC8" s="134"/>
      <c r="BD8" s="200"/>
      <c r="BE8" s="120"/>
      <c r="BF8" s="134"/>
      <c r="BG8" s="200"/>
      <c r="BH8" s="120"/>
      <c r="BI8" s="252"/>
      <c r="BJ8" s="252"/>
      <c r="BK8" s="120"/>
      <c r="BL8" s="134"/>
      <c r="BM8" s="134"/>
      <c r="BN8" s="120"/>
      <c r="BO8" s="252"/>
      <c r="BP8" s="252"/>
      <c r="BQ8" s="120"/>
      <c r="BR8" s="134"/>
      <c r="BS8" s="134"/>
      <c r="BT8" s="120"/>
      <c r="BU8" s="134"/>
      <c r="BV8" s="200"/>
      <c r="BW8" s="120"/>
      <c r="BX8" s="134"/>
      <c r="BY8" s="200"/>
      <c r="BZ8" s="120"/>
      <c r="CA8" s="126"/>
      <c r="CB8" s="126"/>
      <c r="CC8" s="120"/>
      <c r="CD8" s="126"/>
      <c r="CE8" s="126"/>
      <c r="CF8" s="120"/>
      <c r="CG8" s="134"/>
      <c r="CH8" s="134"/>
      <c r="CI8" s="120"/>
      <c r="CJ8" s="200"/>
      <c r="CK8" s="200"/>
      <c r="CL8" s="120"/>
      <c r="CM8" s="200"/>
      <c r="CN8" s="200"/>
      <c r="CO8" s="120"/>
      <c r="CP8" s="134"/>
      <c r="CQ8" s="134"/>
      <c r="CR8" s="120"/>
      <c r="CS8" s="134"/>
      <c r="CT8" s="134"/>
      <c r="CU8" s="120"/>
      <c r="CV8" s="202"/>
      <c r="CW8" s="202"/>
      <c r="CX8" s="120"/>
      <c r="CY8" s="202"/>
      <c r="CZ8" s="202"/>
      <c r="DA8" s="120"/>
      <c r="DB8" s="202"/>
      <c r="DC8" s="202"/>
      <c r="DD8" s="253"/>
      <c r="DE8" s="202"/>
      <c r="DF8" s="202"/>
      <c r="DG8" s="254"/>
      <c r="DH8" s="203"/>
      <c r="DI8" s="203"/>
      <c r="DJ8" s="259"/>
      <c r="DK8" s="136"/>
      <c r="DL8" s="136"/>
      <c r="DM8" s="120"/>
      <c r="DN8" s="233"/>
      <c r="DO8" s="233"/>
      <c r="DP8" s="120"/>
      <c r="DQ8" s="262"/>
      <c r="DR8" s="262"/>
      <c r="DS8" s="120"/>
      <c r="DT8" s="262"/>
      <c r="DU8" s="262"/>
      <c r="DV8" s="120"/>
      <c r="DW8" s="262"/>
      <c r="DX8" s="262"/>
      <c r="DY8" s="120"/>
      <c r="DZ8" s="262"/>
      <c r="EA8" s="262"/>
      <c r="EB8" s="265"/>
      <c r="EC8" s="262"/>
      <c r="ED8" s="262"/>
      <c r="EE8" s="254"/>
      <c r="EF8" s="233"/>
      <c r="EG8" s="233"/>
      <c r="EH8" s="120"/>
      <c r="EI8" s="262"/>
      <c r="EJ8" s="262"/>
      <c r="EK8" s="120"/>
      <c r="EL8" s="262"/>
      <c r="EM8" s="262"/>
      <c r="EN8" s="120"/>
      <c r="EO8" s="262"/>
      <c r="EP8" s="262"/>
      <c r="EQ8" s="120"/>
      <c r="ER8" s="262"/>
      <c r="ES8" s="262"/>
      <c r="ET8" s="120"/>
      <c r="EU8" s="262"/>
      <c r="EV8" s="262"/>
      <c r="EW8" s="120"/>
      <c r="EX8" s="262"/>
      <c r="EY8" s="262"/>
      <c r="EZ8" s="120"/>
      <c r="FA8" s="262"/>
      <c r="FB8" s="262"/>
      <c r="FC8" s="120"/>
      <c r="FD8" s="262"/>
      <c r="FE8" s="262"/>
      <c r="FF8" s="120"/>
      <c r="FG8" s="262"/>
      <c r="FH8" s="262"/>
      <c r="FI8" s="120"/>
      <c r="FJ8" s="262"/>
      <c r="FK8" s="262"/>
      <c r="FL8" s="120"/>
      <c r="FM8" s="262"/>
      <c r="FN8" s="262"/>
      <c r="FO8" s="120"/>
      <c r="FP8" s="262"/>
      <c r="FQ8" s="262"/>
      <c r="FR8" s="120"/>
      <c r="FS8" s="262"/>
      <c r="FT8" s="262"/>
      <c r="FU8" s="120"/>
      <c r="FV8" s="262"/>
      <c r="FW8" s="262"/>
      <c r="FX8" s="120"/>
      <c r="FY8" s="262"/>
      <c r="FZ8" s="262"/>
      <c r="GA8" s="256"/>
      <c r="GB8" s="233"/>
      <c r="GC8" s="233"/>
      <c r="GJ8" s="121">
        <f t="shared" si="8"/>
        <v>0</v>
      </c>
      <c r="GK8" s="121">
        <f t="shared" si="9"/>
        <v>0</v>
      </c>
    </row>
    <row r="9" spans="1:200" ht="38.25" customHeight="1" x14ac:dyDescent="0.55000000000000004">
      <c r="B9" s="303" t="s">
        <v>382</v>
      </c>
      <c r="C9" s="198"/>
      <c r="D9" s="198"/>
      <c r="E9" s="198"/>
      <c r="F9" s="198"/>
      <c r="G9" s="198"/>
      <c r="H9" s="198"/>
      <c r="I9" s="142"/>
      <c r="J9" s="122"/>
      <c r="K9" s="122"/>
      <c r="L9" s="249">
        <f t="shared" si="0"/>
        <v>7000</v>
      </c>
      <c r="M9" s="144">
        <f t="shared" si="1"/>
        <v>0</v>
      </c>
      <c r="N9" s="405"/>
      <c r="O9" s="145">
        <f t="shared" si="2"/>
        <v>0</v>
      </c>
      <c r="P9" s="145">
        <f t="shared" si="3"/>
        <v>0</v>
      </c>
      <c r="Q9" s="145">
        <f t="shared" si="4"/>
        <v>0</v>
      </c>
      <c r="R9" s="145">
        <f t="shared" si="5"/>
        <v>0</v>
      </c>
      <c r="S9" s="130">
        <f t="shared" si="7"/>
        <v>0</v>
      </c>
      <c r="T9" s="130">
        <f t="shared" si="6"/>
        <v>0</v>
      </c>
      <c r="U9" s="141"/>
      <c r="V9" s="123"/>
      <c r="W9" s="134"/>
      <c r="X9" s="124"/>
      <c r="Y9" s="134"/>
      <c r="Z9" s="200"/>
      <c r="AA9" s="120"/>
      <c r="AB9" s="134"/>
      <c r="AC9" s="200"/>
      <c r="AD9" s="125"/>
      <c r="AE9" s="134"/>
      <c r="AF9" s="200"/>
      <c r="AG9" s="120"/>
      <c r="AH9" s="262"/>
      <c r="AI9" s="262"/>
      <c r="AJ9" s="120"/>
      <c r="AK9" s="262"/>
      <c r="AL9" s="262"/>
      <c r="AM9" s="120"/>
      <c r="AN9" s="262"/>
      <c r="AO9" s="262"/>
      <c r="AP9" s="120"/>
      <c r="AQ9" s="262"/>
      <c r="AR9" s="262"/>
      <c r="AS9" s="120"/>
      <c r="AT9" s="262"/>
      <c r="AU9" s="262"/>
      <c r="AV9" s="120"/>
      <c r="AW9" s="262"/>
      <c r="AX9" s="262"/>
      <c r="AY9" s="120"/>
      <c r="AZ9" s="262"/>
      <c r="BA9" s="262"/>
      <c r="BB9" s="120"/>
      <c r="BC9" s="134"/>
      <c r="BD9" s="200"/>
      <c r="BE9" s="120"/>
      <c r="BF9" s="134"/>
      <c r="BG9" s="200"/>
      <c r="BH9" s="120"/>
      <c r="BI9" s="252"/>
      <c r="BJ9" s="252"/>
      <c r="BK9" s="120"/>
      <c r="BL9" s="134"/>
      <c r="BM9" s="134"/>
      <c r="BN9" s="120"/>
      <c r="BO9" s="252"/>
      <c r="BP9" s="252"/>
      <c r="BQ9" s="120"/>
      <c r="BR9" s="134"/>
      <c r="BS9" s="134"/>
      <c r="BT9" s="120"/>
      <c r="BU9" s="134"/>
      <c r="BV9" s="200"/>
      <c r="BW9" s="120"/>
      <c r="BX9" s="134"/>
      <c r="BY9" s="200"/>
      <c r="BZ9" s="120"/>
      <c r="CA9" s="126"/>
      <c r="CB9" s="126"/>
      <c r="CC9" s="120"/>
      <c r="CD9" s="126"/>
      <c r="CE9" s="126"/>
      <c r="CF9" s="120"/>
      <c r="CG9" s="134"/>
      <c r="CH9" s="134"/>
      <c r="CI9" s="120"/>
      <c r="CJ9" s="200"/>
      <c r="CK9" s="200"/>
      <c r="CL9" s="120"/>
      <c r="CM9" s="200"/>
      <c r="CN9" s="200"/>
      <c r="CO9" s="120"/>
      <c r="CP9" s="134"/>
      <c r="CQ9" s="134"/>
      <c r="CR9" s="120"/>
      <c r="CS9" s="134"/>
      <c r="CT9" s="134"/>
      <c r="CU9" s="120"/>
      <c r="CV9" s="202"/>
      <c r="CW9" s="202"/>
      <c r="CX9" s="120"/>
      <c r="CY9" s="202"/>
      <c r="CZ9" s="202"/>
      <c r="DA9" s="120"/>
      <c r="DB9" s="202"/>
      <c r="DC9" s="202"/>
      <c r="DD9" s="253"/>
      <c r="DE9" s="202"/>
      <c r="DF9" s="202"/>
      <c r="DG9" s="254"/>
      <c r="DH9" s="203"/>
      <c r="DI9" s="203"/>
      <c r="DJ9" s="259"/>
      <c r="DK9" s="136"/>
      <c r="DL9" s="136"/>
      <c r="DM9" s="120"/>
      <c r="DN9" s="233"/>
      <c r="DO9" s="233"/>
      <c r="DP9" s="120"/>
      <c r="DQ9" s="262"/>
      <c r="DR9" s="262"/>
      <c r="DS9" s="120"/>
      <c r="DT9" s="262"/>
      <c r="DU9" s="262"/>
      <c r="DV9" s="120"/>
      <c r="DW9" s="262"/>
      <c r="DX9" s="262"/>
      <c r="DY9" s="120"/>
      <c r="DZ9" s="262"/>
      <c r="EA9" s="262"/>
      <c r="EB9" s="265"/>
      <c r="EC9" s="262"/>
      <c r="ED9" s="262"/>
      <c r="EE9" s="254"/>
      <c r="EF9" s="233"/>
      <c r="EG9" s="233"/>
      <c r="EH9" s="120"/>
      <c r="EI9" s="262"/>
      <c r="EJ9" s="262"/>
      <c r="EK9" s="120"/>
      <c r="EL9" s="262"/>
      <c r="EM9" s="262"/>
      <c r="EN9" s="120"/>
      <c r="EO9" s="262"/>
      <c r="EP9" s="262"/>
      <c r="EQ9" s="120"/>
      <c r="ER9" s="262"/>
      <c r="ES9" s="262"/>
      <c r="ET9" s="120"/>
      <c r="EU9" s="262"/>
      <c r="EV9" s="262"/>
      <c r="EW9" s="120"/>
      <c r="EX9" s="262"/>
      <c r="EY9" s="262"/>
      <c r="EZ9" s="120"/>
      <c r="FA9" s="262"/>
      <c r="FB9" s="262"/>
      <c r="FC9" s="120"/>
      <c r="FD9" s="262"/>
      <c r="FE9" s="262"/>
      <c r="FF9" s="120"/>
      <c r="FG9" s="262"/>
      <c r="FH9" s="262"/>
      <c r="FI9" s="120"/>
      <c r="FJ9" s="262"/>
      <c r="FK9" s="262"/>
      <c r="FL9" s="120"/>
      <c r="FM9" s="262"/>
      <c r="FN9" s="262"/>
      <c r="FO9" s="120"/>
      <c r="FP9" s="262"/>
      <c r="FQ9" s="262"/>
      <c r="FR9" s="120"/>
      <c r="FS9" s="262"/>
      <c r="FT9" s="262"/>
      <c r="FU9" s="120"/>
      <c r="FV9" s="262"/>
      <c r="FW9" s="262"/>
      <c r="FX9" s="120"/>
      <c r="FY9" s="262"/>
      <c r="FZ9" s="262"/>
      <c r="GA9" s="256"/>
      <c r="GB9" s="233"/>
      <c r="GC9" s="233"/>
      <c r="GJ9" s="121">
        <f t="shared" si="8"/>
        <v>0</v>
      </c>
      <c r="GK9" s="121">
        <f t="shared" si="9"/>
        <v>0</v>
      </c>
    </row>
    <row r="10" spans="1:200" ht="38.25" customHeight="1" x14ac:dyDescent="0.55000000000000004">
      <c r="B10" s="303" t="s">
        <v>377</v>
      </c>
      <c r="C10" s="198"/>
      <c r="D10" s="198"/>
      <c r="E10" s="198"/>
      <c r="F10" s="198"/>
      <c r="G10" s="198"/>
      <c r="H10" s="198"/>
      <c r="I10" s="142"/>
      <c r="J10" s="122"/>
      <c r="K10" s="122"/>
      <c r="L10" s="249">
        <f t="shared" si="0"/>
        <v>7000</v>
      </c>
      <c r="M10" s="144">
        <f t="shared" si="1"/>
        <v>0</v>
      </c>
      <c r="N10" s="405"/>
      <c r="O10" s="145">
        <f t="shared" si="2"/>
        <v>0</v>
      </c>
      <c r="P10" s="145">
        <f t="shared" si="3"/>
        <v>0</v>
      </c>
      <c r="Q10" s="145">
        <f t="shared" si="4"/>
        <v>0</v>
      </c>
      <c r="R10" s="145">
        <f t="shared" si="5"/>
        <v>0</v>
      </c>
      <c r="S10" s="130">
        <f t="shared" si="7"/>
        <v>0</v>
      </c>
      <c r="T10" s="130">
        <f t="shared" si="6"/>
        <v>0</v>
      </c>
      <c r="U10" s="141"/>
      <c r="V10" s="123"/>
      <c r="W10" s="134"/>
      <c r="X10" s="124"/>
      <c r="Y10" s="134"/>
      <c r="Z10" s="200"/>
      <c r="AA10" s="120"/>
      <c r="AB10" s="134"/>
      <c r="AC10" s="200"/>
      <c r="AD10" s="125"/>
      <c r="AE10" s="134"/>
      <c r="AF10" s="200"/>
      <c r="AG10" s="120"/>
      <c r="AH10" s="262"/>
      <c r="AI10" s="262"/>
      <c r="AJ10" s="120"/>
      <c r="AK10" s="262"/>
      <c r="AL10" s="262"/>
      <c r="AM10" s="120"/>
      <c r="AN10" s="262"/>
      <c r="AO10" s="262"/>
      <c r="AP10" s="120"/>
      <c r="AQ10" s="262"/>
      <c r="AR10" s="262"/>
      <c r="AS10" s="120"/>
      <c r="AT10" s="262"/>
      <c r="AU10" s="262"/>
      <c r="AV10" s="120"/>
      <c r="AW10" s="262"/>
      <c r="AX10" s="262"/>
      <c r="AY10" s="120"/>
      <c r="AZ10" s="262"/>
      <c r="BA10" s="262"/>
      <c r="BB10" s="120"/>
      <c r="BC10" s="134"/>
      <c r="BD10" s="200"/>
      <c r="BE10" s="120"/>
      <c r="BF10" s="134"/>
      <c r="BG10" s="200"/>
      <c r="BH10" s="120"/>
      <c r="BI10" s="252"/>
      <c r="BJ10" s="252"/>
      <c r="BK10" s="120"/>
      <c r="BL10" s="134"/>
      <c r="BM10" s="134"/>
      <c r="BN10" s="120"/>
      <c r="BO10" s="252"/>
      <c r="BP10" s="252"/>
      <c r="BQ10" s="120"/>
      <c r="BR10" s="134"/>
      <c r="BS10" s="134"/>
      <c r="BT10" s="120"/>
      <c r="BU10" s="134"/>
      <c r="BV10" s="200"/>
      <c r="BW10" s="120"/>
      <c r="BX10" s="134"/>
      <c r="BY10" s="200"/>
      <c r="BZ10" s="120"/>
      <c r="CA10" s="126"/>
      <c r="CB10" s="126"/>
      <c r="CC10" s="120"/>
      <c r="CD10" s="126"/>
      <c r="CE10" s="126"/>
      <c r="CF10" s="120"/>
      <c r="CG10" s="134"/>
      <c r="CH10" s="134"/>
      <c r="CI10" s="120"/>
      <c r="CJ10" s="200"/>
      <c r="CK10" s="200"/>
      <c r="CL10" s="120"/>
      <c r="CM10" s="200"/>
      <c r="CN10" s="200"/>
      <c r="CO10" s="120"/>
      <c r="CP10" s="134"/>
      <c r="CQ10" s="134"/>
      <c r="CR10" s="120"/>
      <c r="CS10" s="134"/>
      <c r="CT10" s="134"/>
      <c r="CU10" s="120"/>
      <c r="CV10" s="202"/>
      <c r="CW10" s="202"/>
      <c r="CX10" s="120"/>
      <c r="CY10" s="202"/>
      <c r="CZ10" s="202"/>
      <c r="DA10" s="120"/>
      <c r="DB10" s="202"/>
      <c r="DC10" s="202"/>
      <c r="DD10" s="253"/>
      <c r="DE10" s="202"/>
      <c r="DF10" s="202"/>
      <c r="DG10" s="254"/>
      <c r="DH10" s="203"/>
      <c r="DI10" s="203"/>
      <c r="DJ10" s="259"/>
      <c r="DK10" s="136"/>
      <c r="DL10" s="136"/>
      <c r="DM10" s="120"/>
      <c r="DN10" s="233"/>
      <c r="DO10" s="233"/>
      <c r="DP10" s="120"/>
      <c r="DQ10" s="262"/>
      <c r="DR10" s="262"/>
      <c r="DS10" s="120"/>
      <c r="DT10" s="262"/>
      <c r="DU10" s="262"/>
      <c r="DV10" s="120"/>
      <c r="DW10" s="262"/>
      <c r="DX10" s="262"/>
      <c r="DY10" s="120"/>
      <c r="DZ10" s="262"/>
      <c r="EA10" s="262"/>
      <c r="EB10" s="265"/>
      <c r="EC10" s="262"/>
      <c r="ED10" s="262"/>
      <c r="EE10" s="254"/>
      <c r="EF10" s="233"/>
      <c r="EG10" s="233"/>
      <c r="EH10" s="120"/>
      <c r="EI10" s="262"/>
      <c r="EJ10" s="262"/>
      <c r="EK10" s="120"/>
      <c r="EL10" s="262"/>
      <c r="EM10" s="262"/>
      <c r="EN10" s="120"/>
      <c r="EO10" s="262"/>
      <c r="EP10" s="262"/>
      <c r="EQ10" s="120"/>
      <c r="ER10" s="262"/>
      <c r="ES10" s="262"/>
      <c r="ET10" s="120"/>
      <c r="EU10" s="262"/>
      <c r="EV10" s="262"/>
      <c r="EW10" s="120"/>
      <c r="EX10" s="262"/>
      <c r="EY10" s="262"/>
      <c r="EZ10" s="120"/>
      <c r="FA10" s="262"/>
      <c r="FB10" s="262"/>
      <c r="FC10" s="120"/>
      <c r="FD10" s="262"/>
      <c r="FE10" s="262"/>
      <c r="FF10" s="120"/>
      <c r="FG10" s="262"/>
      <c r="FH10" s="262"/>
      <c r="FI10" s="120"/>
      <c r="FJ10" s="262"/>
      <c r="FK10" s="262"/>
      <c r="FL10" s="120"/>
      <c r="FM10" s="262"/>
      <c r="FN10" s="262"/>
      <c r="FO10" s="120"/>
      <c r="FP10" s="262"/>
      <c r="FQ10" s="262"/>
      <c r="FR10" s="120"/>
      <c r="FS10" s="262"/>
      <c r="FT10" s="262"/>
      <c r="FU10" s="120"/>
      <c r="FV10" s="262"/>
      <c r="FW10" s="262"/>
      <c r="FX10" s="120"/>
      <c r="FY10" s="262"/>
      <c r="FZ10" s="262"/>
      <c r="GA10" s="256"/>
      <c r="GB10" s="233"/>
      <c r="GC10" s="233"/>
      <c r="GJ10" s="121">
        <f t="shared" si="8"/>
        <v>0</v>
      </c>
      <c r="GK10" s="121">
        <f t="shared" si="9"/>
        <v>0</v>
      </c>
    </row>
    <row r="11" spans="1:200" ht="38.25" customHeight="1" x14ac:dyDescent="0.55000000000000004">
      <c r="B11" s="303" t="s">
        <v>508</v>
      </c>
      <c r="C11" s="198"/>
      <c r="D11" s="198"/>
      <c r="E11" s="198"/>
      <c r="F11" s="198"/>
      <c r="G11" s="198"/>
      <c r="H11" s="198"/>
      <c r="I11" s="142"/>
      <c r="J11" s="122"/>
      <c r="K11" s="122"/>
      <c r="L11" s="249">
        <f t="shared" si="0"/>
        <v>7000</v>
      </c>
      <c r="M11" s="144">
        <f t="shared" si="1"/>
        <v>0</v>
      </c>
      <c r="N11" s="405"/>
      <c r="O11" s="145">
        <f t="shared" si="2"/>
        <v>0</v>
      </c>
      <c r="P11" s="145">
        <f t="shared" si="3"/>
        <v>0</v>
      </c>
      <c r="Q11" s="145">
        <f t="shared" si="4"/>
        <v>0</v>
      </c>
      <c r="R11" s="145">
        <f t="shared" si="5"/>
        <v>0</v>
      </c>
      <c r="S11" s="130">
        <f t="shared" si="7"/>
        <v>0</v>
      </c>
      <c r="T11" s="130">
        <f t="shared" si="6"/>
        <v>0</v>
      </c>
      <c r="U11" s="141"/>
      <c r="V11" s="123"/>
      <c r="W11" s="134"/>
      <c r="X11" s="335">
        <v>30</v>
      </c>
      <c r="Y11" s="336">
        <v>250</v>
      </c>
      <c r="Z11" s="337" t="s">
        <v>576</v>
      </c>
      <c r="AA11" s="120"/>
      <c r="AB11" s="134"/>
      <c r="AC11" s="200"/>
      <c r="AD11" s="125"/>
      <c r="AE11" s="134"/>
      <c r="AF11" s="200"/>
      <c r="AG11" s="120"/>
      <c r="AH11" s="262"/>
      <c r="AI11" s="262"/>
      <c r="AJ11" s="120"/>
      <c r="AK11" s="262"/>
      <c r="AL11" s="262"/>
      <c r="AM11" s="120"/>
      <c r="AN11" s="262"/>
      <c r="AO11" s="262"/>
      <c r="AP11" s="120"/>
      <c r="AQ11" s="262"/>
      <c r="AR11" s="262"/>
      <c r="AS11" s="120"/>
      <c r="AT11" s="262"/>
      <c r="AU11" s="262"/>
      <c r="AV11" s="120"/>
      <c r="AW11" s="262"/>
      <c r="AX11" s="262"/>
      <c r="AY11" s="120"/>
      <c r="AZ11" s="262"/>
      <c r="BA11" s="262"/>
      <c r="BB11" s="120"/>
      <c r="BC11" s="134"/>
      <c r="BD11" s="200"/>
      <c r="BE11" s="120"/>
      <c r="BF11" s="134"/>
      <c r="BG11" s="200"/>
      <c r="BH11" s="120"/>
      <c r="BI11" s="252"/>
      <c r="BJ11" s="252"/>
      <c r="BK11" s="120"/>
      <c r="BL11" s="134"/>
      <c r="BM11" s="134"/>
      <c r="BN11" s="120"/>
      <c r="BO11" s="252"/>
      <c r="BP11" s="252"/>
      <c r="BQ11" s="120"/>
      <c r="BR11" s="134"/>
      <c r="BS11" s="134"/>
      <c r="BT11" s="120"/>
      <c r="BU11" s="134"/>
      <c r="BV11" s="200"/>
      <c r="BW11" s="120"/>
      <c r="BX11" s="134"/>
      <c r="BY11" s="200"/>
      <c r="BZ11" s="120"/>
      <c r="CA11" s="126"/>
      <c r="CB11" s="126"/>
      <c r="CC11" s="120"/>
      <c r="CD11" s="126"/>
      <c r="CE11" s="126"/>
      <c r="CF11" s="120"/>
      <c r="CG11" s="134"/>
      <c r="CH11" s="134"/>
      <c r="CI11" s="120"/>
      <c r="CJ11" s="200"/>
      <c r="CK11" s="200"/>
      <c r="CL11" s="120"/>
      <c r="CM11" s="200"/>
      <c r="CN11" s="200"/>
      <c r="CO11" s="120"/>
      <c r="CP11" s="134"/>
      <c r="CQ11" s="134"/>
      <c r="CR11" s="120"/>
      <c r="CS11" s="134"/>
      <c r="CT11" s="134"/>
      <c r="CU11" s="120"/>
      <c r="CV11" s="202"/>
      <c r="CW11" s="202"/>
      <c r="CX11" s="120"/>
      <c r="CY11" s="202"/>
      <c r="CZ11" s="202"/>
      <c r="DA11" s="120"/>
      <c r="DB11" s="202"/>
      <c r="DC11" s="202"/>
      <c r="DD11" s="253"/>
      <c r="DE11" s="202"/>
      <c r="DF11" s="202"/>
      <c r="DG11" s="254"/>
      <c r="DH11" s="203"/>
      <c r="DI11" s="203"/>
      <c r="DJ11" s="259"/>
      <c r="DK11" s="136"/>
      <c r="DL11" s="136"/>
      <c r="DM11" s="120"/>
      <c r="DN11" s="233"/>
      <c r="DO11" s="233"/>
      <c r="DP11" s="120"/>
      <c r="DQ11" s="262"/>
      <c r="DR11" s="262"/>
      <c r="DS11" s="120"/>
      <c r="DT11" s="262"/>
      <c r="DU11" s="262"/>
      <c r="DV11" s="120"/>
      <c r="DW11" s="262"/>
      <c r="DX11" s="262"/>
      <c r="DY11" s="120"/>
      <c r="DZ11" s="262"/>
      <c r="EA11" s="262"/>
      <c r="EB11" s="265"/>
      <c r="EC11" s="262"/>
      <c r="ED11" s="262"/>
      <c r="EE11" s="254"/>
      <c r="EF11" s="233"/>
      <c r="EG11" s="233"/>
      <c r="EH11" s="120"/>
      <c r="EI11" s="262"/>
      <c r="EJ11" s="262"/>
      <c r="EK11" s="120"/>
      <c r="EL11" s="262"/>
      <c r="EM11" s="262"/>
      <c r="EN11" s="120"/>
      <c r="EO11" s="262"/>
      <c r="EP11" s="262"/>
      <c r="EQ11" s="120"/>
      <c r="ER11" s="262"/>
      <c r="ES11" s="262"/>
      <c r="ET11" s="120"/>
      <c r="EU11" s="262"/>
      <c r="EV11" s="262"/>
      <c r="EW11" s="120"/>
      <c r="EX11" s="262"/>
      <c r="EY11" s="262"/>
      <c r="EZ11" s="120"/>
      <c r="FA11" s="262"/>
      <c r="FB11" s="262"/>
      <c r="FC11" s="120"/>
      <c r="FD11" s="262"/>
      <c r="FE11" s="262"/>
      <c r="FF11" s="120"/>
      <c r="FG11" s="262"/>
      <c r="FH11" s="262"/>
      <c r="FI11" s="120"/>
      <c r="FJ11" s="262"/>
      <c r="FK11" s="262"/>
      <c r="FL11" s="120"/>
      <c r="FM11" s="262"/>
      <c r="FN11" s="262"/>
      <c r="FO11" s="120"/>
      <c r="FP11" s="262"/>
      <c r="FQ11" s="262"/>
      <c r="FR11" s="120"/>
      <c r="FS11" s="262"/>
      <c r="FT11" s="262"/>
      <c r="FU11" s="120"/>
      <c r="FV11" s="262"/>
      <c r="FW11" s="262"/>
      <c r="FX11" s="120"/>
      <c r="FY11" s="262"/>
      <c r="FZ11" s="262"/>
      <c r="GA11" s="256"/>
      <c r="GB11" s="233"/>
      <c r="GC11" s="233"/>
      <c r="GJ11" s="121">
        <f t="shared" si="8"/>
        <v>0</v>
      </c>
      <c r="GK11" s="121">
        <f t="shared" si="9"/>
        <v>0</v>
      </c>
    </row>
    <row r="12" spans="1:200" ht="38.25" customHeight="1" x14ac:dyDescent="0.55000000000000004">
      <c r="B12" s="303" t="s">
        <v>383</v>
      </c>
      <c r="C12" s="198"/>
      <c r="D12" s="198"/>
      <c r="E12" s="198"/>
      <c r="F12" s="198"/>
      <c r="G12" s="198"/>
      <c r="H12" s="198"/>
      <c r="I12" s="142"/>
      <c r="J12" s="122"/>
      <c r="K12" s="122"/>
      <c r="L12" s="249">
        <f t="shared" si="0"/>
        <v>7000</v>
      </c>
      <c r="M12" s="144">
        <f t="shared" si="1"/>
        <v>0</v>
      </c>
      <c r="N12" s="405"/>
      <c r="O12" s="145">
        <f t="shared" si="2"/>
        <v>0</v>
      </c>
      <c r="P12" s="145">
        <f t="shared" si="3"/>
        <v>0</v>
      </c>
      <c r="Q12" s="145">
        <f t="shared" si="4"/>
        <v>0</v>
      </c>
      <c r="R12" s="145">
        <f t="shared" si="5"/>
        <v>0</v>
      </c>
      <c r="S12" s="130">
        <f t="shared" si="7"/>
        <v>0</v>
      </c>
      <c r="T12" s="130">
        <f t="shared" si="6"/>
        <v>0</v>
      </c>
      <c r="U12" s="141"/>
      <c r="V12" s="123"/>
      <c r="W12" s="134"/>
      <c r="X12" s="124"/>
      <c r="Y12" s="134"/>
      <c r="Z12" s="200"/>
      <c r="AA12" s="120"/>
      <c r="AB12" s="134"/>
      <c r="AC12" s="200"/>
      <c r="AD12" s="125"/>
      <c r="AE12" s="134"/>
      <c r="AF12" s="200"/>
      <c r="AG12" s="120"/>
      <c r="AH12" s="262"/>
      <c r="AI12" s="262"/>
      <c r="AJ12" s="120"/>
      <c r="AK12" s="262"/>
      <c r="AL12" s="262"/>
      <c r="AM12" s="120"/>
      <c r="AN12" s="262"/>
      <c r="AO12" s="262"/>
      <c r="AP12" s="120"/>
      <c r="AQ12" s="262"/>
      <c r="AR12" s="262"/>
      <c r="AS12" s="120"/>
      <c r="AT12" s="262"/>
      <c r="AU12" s="262"/>
      <c r="AV12" s="120"/>
      <c r="AW12" s="262"/>
      <c r="AX12" s="262"/>
      <c r="AY12" s="120"/>
      <c r="AZ12" s="262"/>
      <c r="BA12" s="262"/>
      <c r="BB12" s="120"/>
      <c r="BC12" s="134"/>
      <c r="BD12" s="200"/>
      <c r="BE12" s="120"/>
      <c r="BF12" s="134"/>
      <c r="BG12" s="200"/>
      <c r="BH12" s="120"/>
      <c r="BI12" s="252"/>
      <c r="BJ12" s="252"/>
      <c r="BK12" s="120"/>
      <c r="BL12" s="134"/>
      <c r="BM12" s="134"/>
      <c r="BN12" s="120"/>
      <c r="BO12" s="252"/>
      <c r="BP12" s="252"/>
      <c r="BQ12" s="120"/>
      <c r="BR12" s="134"/>
      <c r="BS12" s="134"/>
      <c r="BT12" s="120"/>
      <c r="BU12" s="134"/>
      <c r="BV12" s="200"/>
      <c r="BW12" s="120"/>
      <c r="BX12" s="134"/>
      <c r="BY12" s="200"/>
      <c r="BZ12" s="120"/>
      <c r="CA12" s="126"/>
      <c r="CB12" s="126"/>
      <c r="CC12" s="120"/>
      <c r="CD12" s="126"/>
      <c r="CE12" s="126"/>
      <c r="CF12" s="120"/>
      <c r="CG12" s="134"/>
      <c r="CH12" s="134"/>
      <c r="CI12" s="120"/>
      <c r="CJ12" s="200"/>
      <c r="CK12" s="200"/>
      <c r="CL12" s="120"/>
      <c r="CM12" s="200"/>
      <c r="CN12" s="200"/>
      <c r="CO12" s="120"/>
      <c r="CP12" s="134"/>
      <c r="CQ12" s="134"/>
      <c r="CR12" s="120"/>
      <c r="CS12" s="134"/>
      <c r="CT12" s="134"/>
      <c r="CU12" s="120"/>
      <c r="CV12" s="202"/>
      <c r="CW12" s="202"/>
      <c r="CX12" s="120"/>
      <c r="CY12" s="202"/>
      <c r="CZ12" s="202"/>
      <c r="DA12" s="120"/>
      <c r="DB12" s="202"/>
      <c r="DC12" s="202"/>
      <c r="DD12" s="253"/>
      <c r="DE12" s="202"/>
      <c r="DF12" s="202"/>
      <c r="DG12" s="254"/>
      <c r="DH12" s="203"/>
      <c r="DI12" s="203"/>
      <c r="DJ12" s="259"/>
      <c r="DK12" s="136"/>
      <c r="DL12" s="136"/>
      <c r="DM12" s="120"/>
      <c r="DN12" s="233"/>
      <c r="DO12" s="233"/>
      <c r="DP12" s="120"/>
      <c r="DQ12" s="262"/>
      <c r="DR12" s="262"/>
      <c r="DS12" s="120"/>
      <c r="DT12" s="262"/>
      <c r="DU12" s="262"/>
      <c r="DV12" s="120"/>
      <c r="DW12" s="262"/>
      <c r="DX12" s="262"/>
      <c r="DY12" s="120"/>
      <c r="DZ12" s="262"/>
      <c r="EA12" s="262"/>
      <c r="EB12" s="265"/>
      <c r="EC12" s="262"/>
      <c r="ED12" s="262"/>
      <c r="EE12" s="254"/>
      <c r="EF12" s="233"/>
      <c r="EG12" s="233"/>
      <c r="EH12" s="120"/>
      <c r="EI12" s="262"/>
      <c r="EJ12" s="262"/>
      <c r="EK12" s="120"/>
      <c r="EL12" s="262"/>
      <c r="EM12" s="262"/>
      <c r="EN12" s="120"/>
      <c r="EO12" s="262"/>
      <c r="EP12" s="262"/>
      <c r="EQ12" s="120"/>
      <c r="ER12" s="262"/>
      <c r="ES12" s="262"/>
      <c r="ET12" s="120"/>
      <c r="EU12" s="262"/>
      <c r="EV12" s="262"/>
      <c r="EW12" s="120"/>
      <c r="EX12" s="262"/>
      <c r="EY12" s="262"/>
      <c r="EZ12" s="120"/>
      <c r="FA12" s="262"/>
      <c r="FB12" s="262"/>
      <c r="FC12" s="120"/>
      <c r="FD12" s="262"/>
      <c r="FE12" s="262"/>
      <c r="FF12" s="120"/>
      <c r="FG12" s="262"/>
      <c r="FH12" s="262"/>
      <c r="FI12" s="120"/>
      <c r="FJ12" s="262"/>
      <c r="FK12" s="262"/>
      <c r="FL12" s="120"/>
      <c r="FM12" s="262"/>
      <c r="FN12" s="262"/>
      <c r="FO12" s="120"/>
      <c r="FP12" s="262"/>
      <c r="FQ12" s="262"/>
      <c r="FR12" s="120"/>
      <c r="FS12" s="262"/>
      <c r="FT12" s="262"/>
      <c r="FU12" s="120"/>
      <c r="FV12" s="262"/>
      <c r="FW12" s="262"/>
      <c r="FX12" s="120"/>
      <c r="FY12" s="262"/>
      <c r="FZ12" s="262"/>
      <c r="GA12" s="256"/>
      <c r="GB12" s="233"/>
      <c r="GC12" s="233"/>
      <c r="GJ12" s="121">
        <f t="shared" si="8"/>
        <v>0</v>
      </c>
      <c r="GK12" s="121">
        <f t="shared" si="9"/>
        <v>0</v>
      </c>
    </row>
    <row r="13" spans="1:200" ht="38.25" customHeight="1" x14ac:dyDescent="0.55000000000000004">
      <c r="B13" s="303" t="s">
        <v>385</v>
      </c>
      <c r="C13" s="198"/>
      <c r="D13" s="198"/>
      <c r="E13" s="198"/>
      <c r="F13" s="198"/>
      <c r="G13" s="198"/>
      <c r="H13" s="198"/>
      <c r="I13" s="142"/>
      <c r="J13" s="122"/>
      <c r="K13" s="122"/>
      <c r="L13" s="249">
        <f t="shared" si="0"/>
        <v>7000</v>
      </c>
      <c r="M13" s="144">
        <f t="shared" si="1"/>
        <v>0</v>
      </c>
      <c r="N13" s="405"/>
      <c r="O13" s="145">
        <f t="shared" si="2"/>
        <v>0</v>
      </c>
      <c r="P13" s="145">
        <f t="shared" si="3"/>
        <v>0</v>
      </c>
      <c r="Q13" s="145">
        <f t="shared" si="4"/>
        <v>0</v>
      </c>
      <c r="R13" s="145">
        <f t="shared" si="5"/>
        <v>0</v>
      </c>
      <c r="S13" s="130">
        <f t="shared" si="7"/>
        <v>0</v>
      </c>
      <c r="T13" s="130">
        <f t="shared" si="6"/>
        <v>0</v>
      </c>
      <c r="U13" s="141"/>
      <c r="V13" s="123"/>
      <c r="W13" s="134"/>
      <c r="X13" s="124"/>
      <c r="Y13" s="134"/>
      <c r="Z13" s="200"/>
      <c r="AA13" s="120"/>
      <c r="AB13" s="134"/>
      <c r="AC13" s="200"/>
      <c r="AD13" s="125"/>
      <c r="AE13" s="134"/>
      <c r="AF13" s="200"/>
      <c r="AG13" s="120"/>
      <c r="AH13" s="262"/>
      <c r="AI13" s="262"/>
      <c r="AJ13" s="120"/>
      <c r="AK13" s="262"/>
      <c r="AL13" s="262"/>
      <c r="AM13" s="120"/>
      <c r="AN13" s="262"/>
      <c r="AO13" s="262"/>
      <c r="AP13" s="120"/>
      <c r="AQ13" s="262"/>
      <c r="AR13" s="262"/>
      <c r="AS13" s="120"/>
      <c r="AT13" s="262"/>
      <c r="AU13" s="262"/>
      <c r="AV13" s="120"/>
      <c r="AW13" s="262"/>
      <c r="AX13" s="262"/>
      <c r="AY13" s="120"/>
      <c r="AZ13" s="262"/>
      <c r="BA13" s="262"/>
      <c r="BB13" s="120"/>
      <c r="BC13" s="134"/>
      <c r="BD13" s="200"/>
      <c r="BE13" s="120"/>
      <c r="BF13" s="134"/>
      <c r="BG13" s="200"/>
      <c r="BH13" s="120"/>
      <c r="BI13" s="252"/>
      <c r="BJ13" s="252"/>
      <c r="BK13" s="120"/>
      <c r="BL13" s="134"/>
      <c r="BM13" s="134"/>
      <c r="BN13" s="120"/>
      <c r="BO13" s="252"/>
      <c r="BP13" s="252"/>
      <c r="BQ13" s="120"/>
      <c r="BR13" s="134"/>
      <c r="BS13" s="134"/>
      <c r="BT13" s="120"/>
      <c r="BU13" s="134"/>
      <c r="BV13" s="200"/>
      <c r="BW13" s="120"/>
      <c r="BX13" s="134"/>
      <c r="BY13" s="200"/>
      <c r="BZ13" s="120"/>
      <c r="CA13" s="126"/>
      <c r="CB13" s="126"/>
      <c r="CC13" s="120"/>
      <c r="CD13" s="126"/>
      <c r="CE13" s="126"/>
      <c r="CF13" s="120"/>
      <c r="CG13" s="134"/>
      <c r="CH13" s="134"/>
      <c r="CI13" s="120"/>
      <c r="CJ13" s="200"/>
      <c r="CK13" s="200"/>
      <c r="CL13" s="120"/>
      <c r="CM13" s="200"/>
      <c r="CN13" s="200"/>
      <c r="CO13" s="120"/>
      <c r="CP13" s="134"/>
      <c r="CQ13" s="134"/>
      <c r="CR13" s="120"/>
      <c r="CS13" s="134"/>
      <c r="CT13" s="134"/>
      <c r="CU13" s="120"/>
      <c r="CV13" s="202"/>
      <c r="CW13" s="202"/>
      <c r="CX13" s="120"/>
      <c r="CY13" s="202"/>
      <c r="CZ13" s="202"/>
      <c r="DA13" s="120"/>
      <c r="DB13" s="202"/>
      <c r="DC13" s="202"/>
      <c r="DD13" s="253"/>
      <c r="DE13" s="202"/>
      <c r="DF13" s="202"/>
      <c r="DG13" s="254"/>
      <c r="DH13" s="203"/>
      <c r="DI13" s="203"/>
      <c r="DJ13" s="259"/>
      <c r="DK13" s="136"/>
      <c r="DL13" s="136"/>
      <c r="DM13" s="120"/>
      <c r="DN13" s="233"/>
      <c r="DO13" s="233"/>
      <c r="DP13" s="120"/>
      <c r="DQ13" s="262"/>
      <c r="DR13" s="262"/>
      <c r="DS13" s="120"/>
      <c r="DT13" s="262"/>
      <c r="DU13" s="262"/>
      <c r="DV13" s="120"/>
      <c r="DW13" s="262"/>
      <c r="DX13" s="262"/>
      <c r="DY13" s="120"/>
      <c r="DZ13" s="262"/>
      <c r="EA13" s="262"/>
      <c r="EB13" s="265"/>
      <c r="EC13" s="262"/>
      <c r="ED13" s="262"/>
      <c r="EE13" s="254"/>
      <c r="EF13" s="233"/>
      <c r="EG13" s="233"/>
      <c r="EH13" s="120"/>
      <c r="EI13" s="262"/>
      <c r="EJ13" s="262"/>
      <c r="EK13" s="120"/>
      <c r="EL13" s="262"/>
      <c r="EM13" s="262"/>
      <c r="EN13" s="120"/>
      <c r="EO13" s="262"/>
      <c r="EP13" s="262"/>
      <c r="EQ13" s="120"/>
      <c r="ER13" s="262"/>
      <c r="ES13" s="262"/>
      <c r="ET13" s="120"/>
      <c r="EU13" s="262"/>
      <c r="EV13" s="262"/>
      <c r="EW13" s="120"/>
      <c r="EX13" s="262"/>
      <c r="EY13" s="262"/>
      <c r="EZ13" s="120"/>
      <c r="FA13" s="262"/>
      <c r="FB13" s="262"/>
      <c r="FC13" s="120"/>
      <c r="FD13" s="262"/>
      <c r="FE13" s="262"/>
      <c r="FF13" s="120"/>
      <c r="FG13" s="262"/>
      <c r="FH13" s="262"/>
      <c r="FI13" s="120"/>
      <c r="FJ13" s="262"/>
      <c r="FK13" s="262"/>
      <c r="FL13" s="120"/>
      <c r="FM13" s="262"/>
      <c r="FN13" s="262"/>
      <c r="FO13" s="120"/>
      <c r="FP13" s="262"/>
      <c r="FQ13" s="262"/>
      <c r="FR13" s="120"/>
      <c r="FS13" s="262"/>
      <c r="FT13" s="262"/>
      <c r="FU13" s="120"/>
      <c r="FV13" s="262"/>
      <c r="FW13" s="262"/>
      <c r="FX13" s="120"/>
      <c r="FY13" s="262"/>
      <c r="FZ13" s="262"/>
      <c r="GA13" s="256"/>
      <c r="GB13" s="233"/>
      <c r="GC13" s="233"/>
      <c r="GJ13" s="121">
        <f t="shared" si="8"/>
        <v>0</v>
      </c>
      <c r="GK13" s="121">
        <f t="shared" si="9"/>
        <v>0</v>
      </c>
    </row>
    <row r="14" spans="1:200" ht="38.25" customHeight="1" x14ac:dyDescent="0.55000000000000004">
      <c r="B14" s="303" t="s">
        <v>384</v>
      </c>
      <c r="C14" s="198"/>
      <c r="D14" s="198"/>
      <c r="E14" s="198"/>
      <c r="F14" s="198"/>
      <c r="G14" s="198"/>
      <c r="H14" s="198"/>
      <c r="I14" s="142"/>
      <c r="J14" s="122"/>
      <c r="K14" s="122"/>
      <c r="L14" s="249">
        <f t="shared" si="0"/>
        <v>7000</v>
      </c>
      <c r="M14" s="144">
        <f t="shared" si="1"/>
        <v>0</v>
      </c>
      <c r="N14" s="405"/>
      <c r="O14" s="145">
        <f t="shared" si="2"/>
        <v>0</v>
      </c>
      <c r="P14" s="145">
        <f t="shared" si="3"/>
        <v>0</v>
      </c>
      <c r="Q14" s="145">
        <f t="shared" si="4"/>
        <v>0</v>
      </c>
      <c r="R14" s="145">
        <f t="shared" si="5"/>
        <v>0</v>
      </c>
      <c r="S14" s="130">
        <f t="shared" si="7"/>
        <v>0</v>
      </c>
      <c r="T14" s="130">
        <f t="shared" si="6"/>
        <v>0</v>
      </c>
      <c r="U14" s="141"/>
      <c r="V14" s="123"/>
      <c r="W14" s="134"/>
      <c r="X14" s="124"/>
      <c r="Y14" s="134"/>
      <c r="Z14" s="200"/>
      <c r="AA14" s="120"/>
      <c r="AB14" s="134"/>
      <c r="AC14" s="200"/>
      <c r="AD14" s="125"/>
      <c r="AE14" s="134"/>
      <c r="AF14" s="200"/>
      <c r="AG14" s="120"/>
      <c r="AH14" s="262"/>
      <c r="AI14" s="262"/>
      <c r="AJ14" s="120"/>
      <c r="AK14" s="262"/>
      <c r="AL14" s="262"/>
      <c r="AM14" s="120"/>
      <c r="AN14" s="262"/>
      <c r="AO14" s="262"/>
      <c r="AP14" s="120"/>
      <c r="AQ14" s="262"/>
      <c r="AR14" s="262"/>
      <c r="AS14" s="120"/>
      <c r="AT14" s="262"/>
      <c r="AU14" s="262"/>
      <c r="AV14" s="120"/>
      <c r="AW14" s="262"/>
      <c r="AX14" s="262"/>
      <c r="AY14" s="120"/>
      <c r="AZ14" s="262"/>
      <c r="BA14" s="262"/>
      <c r="BB14" s="120"/>
      <c r="BC14" s="134"/>
      <c r="BD14" s="200"/>
      <c r="BE14" s="120"/>
      <c r="BF14" s="134"/>
      <c r="BG14" s="200"/>
      <c r="BH14" s="120"/>
      <c r="BI14" s="252"/>
      <c r="BJ14" s="252"/>
      <c r="BK14" s="120"/>
      <c r="BL14" s="134"/>
      <c r="BM14" s="134"/>
      <c r="BN14" s="120"/>
      <c r="BO14" s="252"/>
      <c r="BP14" s="252"/>
      <c r="BQ14" s="120"/>
      <c r="BR14" s="134"/>
      <c r="BS14" s="134"/>
      <c r="BT14" s="120"/>
      <c r="BU14" s="134"/>
      <c r="BV14" s="200"/>
      <c r="BW14" s="120"/>
      <c r="BX14" s="134"/>
      <c r="BY14" s="200"/>
      <c r="BZ14" s="120"/>
      <c r="CA14" s="126"/>
      <c r="CB14" s="126"/>
      <c r="CC14" s="120"/>
      <c r="CD14" s="126"/>
      <c r="CE14" s="126"/>
      <c r="CF14" s="120"/>
      <c r="CG14" s="134"/>
      <c r="CH14" s="134"/>
      <c r="CI14" s="120"/>
      <c r="CJ14" s="200"/>
      <c r="CK14" s="200"/>
      <c r="CL14" s="120"/>
      <c r="CM14" s="200"/>
      <c r="CN14" s="200"/>
      <c r="CO14" s="120"/>
      <c r="CP14" s="134"/>
      <c r="CQ14" s="134"/>
      <c r="CR14" s="120"/>
      <c r="CS14" s="134"/>
      <c r="CT14" s="134"/>
      <c r="CU14" s="120"/>
      <c r="CV14" s="202"/>
      <c r="CW14" s="202"/>
      <c r="CX14" s="120"/>
      <c r="CY14" s="202"/>
      <c r="CZ14" s="202"/>
      <c r="DA14" s="120"/>
      <c r="DB14" s="202"/>
      <c r="DC14" s="202"/>
      <c r="DD14" s="253"/>
      <c r="DE14" s="202"/>
      <c r="DF14" s="202"/>
      <c r="DG14" s="254"/>
      <c r="DH14" s="203"/>
      <c r="DI14" s="203"/>
      <c r="DJ14" s="259"/>
      <c r="DK14" s="136"/>
      <c r="DL14" s="136"/>
      <c r="DM14" s="120"/>
      <c r="DN14" s="233"/>
      <c r="DO14" s="233"/>
      <c r="DP14" s="120"/>
      <c r="DQ14" s="262"/>
      <c r="DR14" s="262"/>
      <c r="DS14" s="120"/>
      <c r="DT14" s="262"/>
      <c r="DU14" s="262"/>
      <c r="DV14" s="120"/>
      <c r="DW14" s="262"/>
      <c r="DX14" s="262"/>
      <c r="DY14" s="120"/>
      <c r="DZ14" s="262"/>
      <c r="EA14" s="262"/>
      <c r="EB14" s="265"/>
      <c r="EC14" s="262"/>
      <c r="ED14" s="262"/>
      <c r="EE14" s="254"/>
      <c r="EF14" s="233"/>
      <c r="EG14" s="233"/>
      <c r="EH14" s="120"/>
      <c r="EI14" s="262"/>
      <c r="EJ14" s="262"/>
      <c r="EK14" s="120"/>
      <c r="EL14" s="262"/>
      <c r="EM14" s="262"/>
      <c r="EN14" s="120"/>
      <c r="EO14" s="262"/>
      <c r="EP14" s="262"/>
      <c r="EQ14" s="120"/>
      <c r="ER14" s="262"/>
      <c r="ES14" s="262"/>
      <c r="ET14" s="120"/>
      <c r="EU14" s="262"/>
      <c r="EV14" s="262"/>
      <c r="EW14" s="120"/>
      <c r="EX14" s="262"/>
      <c r="EY14" s="262"/>
      <c r="EZ14" s="120"/>
      <c r="FA14" s="262"/>
      <c r="FB14" s="262"/>
      <c r="FC14" s="120"/>
      <c r="FD14" s="262"/>
      <c r="FE14" s="262"/>
      <c r="FF14" s="120"/>
      <c r="FG14" s="262"/>
      <c r="FH14" s="262"/>
      <c r="FI14" s="120"/>
      <c r="FJ14" s="262"/>
      <c r="FK14" s="262"/>
      <c r="FL14" s="120"/>
      <c r="FM14" s="262"/>
      <c r="FN14" s="262"/>
      <c r="FO14" s="120"/>
      <c r="FP14" s="262"/>
      <c r="FQ14" s="262"/>
      <c r="FR14" s="120"/>
      <c r="FS14" s="262"/>
      <c r="FT14" s="262"/>
      <c r="FU14" s="120"/>
      <c r="FV14" s="262"/>
      <c r="FW14" s="262"/>
      <c r="FX14" s="120"/>
      <c r="FY14" s="262"/>
      <c r="FZ14" s="262"/>
      <c r="GA14" s="256"/>
      <c r="GB14" s="233"/>
      <c r="GC14" s="233"/>
      <c r="GJ14" s="121">
        <f t="shared" si="8"/>
        <v>0</v>
      </c>
      <c r="GK14" s="121">
        <f t="shared" si="9"/>
        <v>0</v>
      </c>
    </row>
    <row r="15" spans="1:200" ht="38.25" customHeight="1" x14ac:dyDescent="0.55000000000000004">
      <c r="B15" s="303" t="s">
        <v>386</v>
      </c>
      <c r="C15" s="198"/>
      <c r="D15" s="198"/>
      <c r="E15" s="198"/>
      <c r="F15" s="198"/>
      <c r="G15" s="198"/>
      <c r="H15" s="198"/>
      <c r="I15" s="142"/>
      <c r="J15" s="122"/>
      <c r="K15" s="122"/>
      <c r="L15" s="249">
        <f t="shared" si="0"/>
        <v>7000</v>
      </c>
      <c r="M15" s="144">
        <f t="shared" si="1"/>
        <v>0</v>
      </c>
      <c r="N15" s="405"/>
      <c r="O15" s="145">
        <f t="shared" si="2"/>
        <v>0</v>
      </c>
      <c r="P15" s="145">
        <f t="shared" si="3"/>
        <v>0</v>
      </c>
      <c r="Q15" s="145">
        <f t="shared" si="4"/>
        <v>0</v>
      </c>
      <c r="R15" s="145">
        <f t="shared" si="5"/>
        <v>0</v>
      </c>
      <c r="S15" s="130">
        <f t="shared" si="7"/>
        <v>0</v>
      </c>
      <c r="T15" s="130">
        <f t="shared" si="6"/>
        <v>0</v>
      </c>
      <c r="U15" s="141"/>
      <c r="V15" s="123"/>
      <c r="W15" s="134"/>
      <c r="X15" s="124"/>
      <c r="Y15" s="134"/>
      <c r="Z15" s="200"/>
      <c r="AA15" s="120"/>
      <c r="AB15" s="134"/>
      <c r="AC15" s="200"/>
      <c r="AD15" s="125"/>
      <c r="AE15" s="134"/>
      <c r="AF15" s="200"/>
      <c r="AG15" s="120"/>
      <c r="AH15" s="262"/>
      <c r="AI15" s="262"/>
      <c r="AJ15" s="120"/>
      <c r="AK15" s="262"/>
      <c r="AL15" s="262"/>
      <c r="AM15" s="120"/>
      <c r="AN15" s="262"/>
      <c r="AO15" s="262"/>
      <c r="AP15" s="120"/>
      <c r="AQ15" s="262"/>
      <c r="AR15" s="262"/>
      <c r="AS15" s="120"/>
      <c r="AT15" s="262"/>
      <c r="AU15" s="262"/>
      <c r="AV15" s="120"/>
      <c r="AW15" s="262"/>
      <c r="AX15" s="262"/>
      <c r="AY15" s="120"/>
      <c r="AZ15" s="262"/>
      <c r="BA15" s="262"/>
      <c r="BB15" s="120"/>
      <c r="BC15" s="134"/>
      <c r="BD15" s="200"/>
      <c r="BE15" s="120"/>
      <c r="BF15" s="134"/>
      <c r="BG15" s="200"/>
      <c r="BH15" s="120"/>
      <c r="BI15" s="252"/>
      <c r="BJ15" s="252"/>
      <c r="BK15" s="120"/>
      <c r="BL15" s="134"/>
      <c r="BM15" s="134"/>
      <c r="BN15" s="120"/>
      <c r="BO15" s="252"/>
      <c r="BP15" s="252"/>
      <c r="BQ15" s="120"/>
      <c r="BR15" s="134"/>
      <c r="BS15" s="134"/>
      <c r="BT15" s="120"/>
      <c r="BU15" s="134"/>
      <c r="BV15" s="200"/>
      <c r="BW15" s="120"/>
      <c r="BX15" s="134"/>
      <c r="BY15" s="200"/>
      <c r="BZ15" s="120"/>
      <c r="CA15" s="126"/>
      <c r="CB15" s="126"/>
      <c r="CC15" s="120"/>
      <c r="CD15" s="126"/>
      <c r="CE15" s="126"/>
      <c r="CF15" s="120"/>
      <c r="CG15" s="134"/>
      <c r="CH15" s="134"/>
      <c r="CI15" s="120"/>
      <c r="CJ15" s="200"/>
      <c r="CK15" s="200"/>
      <c r="CL15" s="120"/>
      <c r="CM15" s="200"/>
      <c r="CN15" s="200"/>
      <c r="CO15" s="120"/>
      <c r="CP15" s="134"/>
      <c r="CQ15" s="134"/>
      <c r="CR15" s="120"/>
      <c r="CS15" s="134"/>
      <c r="CT15" s="134"/>
      <c r="CU15" s="120"/>
      <c r="CV15" s="202"/>
      <c r="CW15" s="202"/>
      <c r="CX15" s="120"/>
      <c r="CY15" s="202"/>
      <c r="CZ15" s="202"/>
      <c r="DA15" s="120"/>
      <c r="DB15" s="202"/>
      <c r="DC15" s="202"/>
      <c r="DD15" s="253"/>
      <c r="DE15" s="202"/>
      <c r="DF15" s="202"/>
      <c r="DG15" s="254"/>
      <c r="DH15" s="203"/>
      <c r="DI15" s="203"/>
      <c r="DJ15" s="259"/>
      <c r="DK15" s="136"/>
      <c r="DL15" s="136"/>
      <c r="DM15" s="120"/>
      <c r="DN15" s="233"/>
      <c r="DO15" s="233"/>
      <c r="DP15" s="120"/>
      <c r="DQ15" s="262"/>
      <c r="DR15" s="262"/>
      <c r="DS15" s="120"/>
      <c r="DT15" s="262"/>
      <c r="DU15" s="262"/>
      <c r="DV15" s="120"/>
      <c r="DW15" s="262"/>
      <c r="DX15" s="262"/>
      <c r="DY15" s="120"/>
      <c r="DZ15" s="262"/>
      <c r="EA15" s="262"/>
      <c r="EB15" s="265"/>
      <c r="EC15" s="262"/>
      <c r="ED15" s="262"/>
      <c r="EE15" s="254"/>
      <c r="EF15" s="233"/>
      <c r="EG15" s="233"/>
      <c r="EH15" s="120"/>
      <c r="EI15" s="262"/>
      <c r="EJ15" s="262"/>
      <c r="EK15" s="120"/>
      <c r="EL15" s="262"/>
      <c r="EM15" s="262"/>
      <c r="EN15" s="120"/>
      <c r="EO15" s="262"/>
      <c r="EP15" s="262"/>
      <c r="EQ15" s="120"/>
      <c r="ER15" s="262"/>
      <c r="ES15" s="262"/>
      <c r="ET15" s="120"/>
      <c r="EU15" s="262"/>
      <c r="EV15" s="262"/>
      <c r="EW15" s="120"/>
      <c r="EX15" s="262"/>
      <c r="EY15" s="262"/>
      <c r="EZ15" s="120"/>
      <c r="FA15" s="262"/>
      <c r="FB15" s="262"/>
      <c r="FC15" s="120"/>
      <c r="FD15" s="262"/>
      <c r="FE15" s="262"/>
      <c r="FF15" s="120"/>
      <c r="FG15" s="262"/>
      <c r="FH15" s="262"/>
      <c r="FI15" s="120"/>
      <c r="FJ15" s="262"/>
      <c r="FK15" s="262"/>
      <c r="FL15" s="120"/>
      <c r="FM15" s="262"/>
      <c r="FN15" s="262"/>
      <c r="FO15" s="120"/>
      <c r="FP15" s="262"/>
      <c r="FQ15" s="262"/>
      <c r="FR15" s="120"/>
      <c r="FS15" s="262"/>
      <c r="FT15" s="262"/>
      <c r="FU15" s="120"/>
      <c r="FV15" s="262"/>
      <c r="FW15" s="262"/>
      <c r="FX15" s="120"/>
      <c r="FY15" s="262"/>
      <c r="FZ15" s="262"/>
      <c r="GA15" s="256"/>
      <c r="GB15" s="233"/>
      <c r="GC15" s="233"/>
      <c r="GJ15" s="121">
        <f t="shared" si="8"/>
        <v>0</v>
      </c>
      <c r="GK15" s="121">
        <f t="shared" si="9"/>
        <v>0</v>
      </c>
    </row>
    <row r="16" spans="1:200" ht="38.25" customHeight="1" x14ac:dyDescent="0.55000000000000004">
      <c r="B16" s="303" t="s">
        <v>387</v>
      </c>
      <c r="C16" s="198"/>
      <c r="D16" s="198"/>
      <c r="E16" s="198"/>
      <c r="F16" s="198"/>
      <c r="G16" s="198"/>
      <c r="H16" s="198"/>
      <c r="I16" s="142"/>
      <c r="J16" s="122"/>
      <c r="K16" s="122"/>
      <c r="L16" s="249">
        <f t="shared" si="0"/>
        <v>7000</v>
      </c>
      <c r="M16" s="144">
        <f t="shared" si="1"/>
        <v>0</v>
      </c>
      <c r="N16" s="405"/>
      <c r="O16" s="145">
        <f t="shared" si="2"/>
        <v>0</v>
      </c>
      <c r="P16" s="145">
        <f t="shared" si="3"/>
        <v>0</v>
      </c>
      <c r="Q16" s="145">
        <f t="shared" si="4"/>
        <v>0</v>
      </c>
      <c r="R16" s="145">
        <f t="shared" si="5"/>
        <v>0</v>
      </c>
      <c r="S16" s="130">
        <f t="shared" si="7"/>
        <v>0</v>
      </c>
      <c r="T16" s="130">
        <f t="shared" si="6"/>
        <v>0</v>
      </c>
      <c r="U16" s="141"/>
      <c r="V16" s="123"/>
      <c r="W16" s="134"/>
      <c r="X16" s="124"/>
      <c r="Y16" s="134"/>
      <c r="Z16" s="200"/>
      <c r="AA16" s="120"/>
      <c r="AB16" s="134"/>
      <c r="AC16" s="200"/>
      <c r="AD16" s="125"/>
      <c r="AE16" s="134"/>
      <c r="AF16" s="200"/>
      <c r="AG16" s="120"/>
      <c r="AH16" s="262"/>
      <c r="AI16" s="262"/>
      <c r="AJ16" s="120"/>
      <c r="AK16" s="262"/>
      <c r="AL16" s="262"/>
      <c r="AM16" s="120"/>
      <c r="AN16" s="262"/>
      <c r="AO16" s="262"/>
      <c r="AP16" s="120"/>
      <c r="AQ16" s="262"/>
      <c r="AR16" s="262"/>
      <c r="AS16" s="120"/>
      <c r="AT16" s="262"/>
      <c r="AU16" s="262"/>
      <c r="AV16" s="120"/>
      <c r="AW16" s="262"/>
      <c r="AX16" s="262"/>
      <c r="AY16" s="120"/>
      <c r="AZ16" s="262"/>
      <c r="BA16" s="262"/>
      <c r="BB16" s="120"/>
      <c r="BC16" s="134"/>
      <c r="BD16" s="200"/>
      <c r="BE16" s="120"/>
      <c r="BF16" s="134"/>
      <c r="BG16" s="200"/>
      <c r="BH16" s="120"/>
      <c r="BI16" s="252"/>
      <c r="BJ16" s="252"/>
      <c r="BK16" s="120"/>
      <c r="BL16" s="134"/>
      <c r="BM16" s="134"/>
      <c r="BN16" s="120"/>
      <c r="BO16" s="252"/>
      <c r="BP16" s="252"/>
      <c r="BQ16" s="120"/>
      <c r="BR16" s="134"/>
      <c r="BS16" s="134"/>
      <c r="BT16" s="120"/>
      <c r="BU16" s="134"/>
      <c r="BV16" s="200"/>
      <c r="BW16" s="120"/>
      <c r="BX16" s="134"/>
      <c r="BY16" s="200"/>
      <c r="BZ16" s="120"/>
      <c r="CA16" s="126"/>
      <c r="CB16" s="126"/>
      <c r="CC16" s="120"/>
      <c r="CD16" s="126"/>
      <c r="CE16" s="126"/>
      <c r="CF16" s="120"/>
      <c r="CG16" s="134"/>
      <c r="CH16" s="134"/>
      <c r="CI16" s="120"/>
      <c r="CJ16" s="200"/>
      <c r="CK16" s="200"/>
      <c r="CL16" s="120"/>
      <c r="CM16" s="200"/>
      <c r="CN16" s="200"/>
      <c r="CO16" s="120"/>
      <c r="CP16" s="134"/>
      <c r="CQ16" s="134"/>
      <c r="CR16" s="120"/>
      <c r="CS16" s="134"/>
      <c r="CT16" s="134"/>
      <c r="CU16" s="120"/>
      <c r="CV16" s="202"/>
      <c r="CW16" s="202"/>
      <c r="CX16" s="120"/>
      <c r="CY16" s="202"/>
      <c r="CZ16" s="202"/>
      <c r="DA16" s="120"/>
      <c r="DB16" s="202"/>
      <c r="DC16" s="202"/>
      <c r="DD16" s="253"/>
      <c r="DE16" s="202"/>
      <c r="DF16" s="202"/>
      <c r="DG16" s="254"/>
      <c r="DH16" s="203"/>
      <c r="DI16" s="203"/>
      <c r="DJ16" s="259"/>
      <c r="DK16" s="136"/>
      <c r="DL16" s="136"/>
      <c r="DM16" s="120"/>
      <c r="DN16" s="233"/>
      <c r="DO16" s="233"/>
      <c r="DP16" s="120"/>
      <c r="DQ16" s="262"/>
      <c r="DR16" s="262"/>
      <c r="DS16" s="120"/>
      <c r="DT16" s="262"/>
      <c r="DU16" s="262"/>
      <c r="DV16" s="120"/>
      <c r="DW16" s="262"/>
      <c r="DX16" s="262"/>
      <c r="DY16" s="120"/>
      <c r="DZ16" s="262"/>
      <c r="EA16" s="262"/>
      <c r="EB16" s="265"/>
      <c r="EC16" s="262"/>
      <c r="ED16" s="262"/>
      <c r="EE16" s="254"/>
      <c r="EF16" s="233"/>
      <c r="EG16" s="233"/>
      <c r="EH16" s="120"/>
      <c r="EI16" s="262"/>
      <c r="EJ16" s="262"/>
      <c r="EK16" s="120"/>
      <c r="EL16" s="262"/>
      <c r="EM16" s="262"/>
      <c r="EN16" s="120"/>
      <c r="EO16" s="262"/>
      <c r="EP16" s="262"/>
      <c r="EQ16" s="120"/>
      <c r="ER16" s="262"/>
      <c r="ES16" s="262"/>
      <c r="ET16" s="120"/>
      <c r="EU16" s="262"/>
      <c r="EV16" s="262"/>
      <c r="EW16" s="120"/>
      <c r="EX16" s="262"/>
      <c r="EY16" s="262"/>
      <c r="EZ16" s="120"/>
      <c r="FA16" s="262"/>
      <c r="FB16" s="262"/>
      <c r="FC16" s="120"/>
      <c r="FD16" s="262"/>
      <c r="FE16" s="262"/>
      <c r="FF16" s="120"/>
      <c r="FG16" s="262"/>
      <c r="FH16" s="262"/>
      <c r="FI16" s="120"/>
      <c r="FJ16" s="262"/>
      <c r="FK16" s="262"/>
      <c r="FL16" s="120"/>
      <c r="FM16" s="262"/>
      <c r="FN16" s="262"/>
      <c r="FO16" s="120"/>
      <c r="FP16" s="262"/>
      <c r="FQ16" s="262"/>
      <c r="FR16" s="120"/>
      <c r="FS16" s="262"/>
      <c r="FT16" s="262"/>
      <c r="FU16" s="120"/>
      <c r="FV16" s="262"/>
      <c r="FW16" s="262"/>
      <c r="FX16" s="120"/>
      <c r="FY16" s="262"/>
      <c r="FZ16" s="262"/>
      <c r="GA16" s="256"/>
      <c r="GB16" s="233"/>
      <c r="GC16" s="233"/>
      <c r="GJ16" s="121">
        <f t="shared" si="8"/>
        <v>0</v>
      </c>
      <c r="GK16" s="121">
        <f t="shared" si="9"/>
        <v>0</v>
      </c>
    </row>
    <row r="17" spans="1:200" ht="38.25" customHeight="1" x14ac:dyDescent="0.55000000000000004">
      <c r="B17" s="303" t="s">
        <v>387</v>
      </c>
      <c r="C17" s="198"/>
      <c r="D17" s="198"/>
      <c r="E17" s="198"/>
      <c r="F17" s="198"/>
      <c r="G17" s="198"/>
      <c r="H17" s="198"/>
      <c r="I17" s="142"/>
      <c r="J17" s="122"/>
      <c r="K17" s="122"/>
      <c r="L17" s="249">
        <f t="shared" si="0"/>
        <v>7000</v>
      </c>
      <c r="M17" s="144">
        <f t="shared" si="1"/>
        <v>0</v>
      </c>
      <c r="N17" s="405"/>
      <c r="O17" s="145">
        <f t="shared" si="2"/>
        <v>0</v>
      </c>
      <c r="P17" s="145">
        <f t="shared" si="3"/>
        <v>0</v>
      </c>
      <c r="Q17" s="145">
        <f t="shared" si="4"/>
        <v>0</v>
      </c>
      <c r="R17" s="145">
        <f t="shared" si="5"/>
        <v>0</v>
      </c>
      <c r="S17" s="130">
        <f t="shared" si="7"/>
        <v>0</v>
      </c>
      <c r="T17" s="130">
        <f t="shared" si="6"/>
        <v>0</v>
      </c>
      <c r="U17" s="141"/>
      <c r="V17" s="123"/>
      <c r="W17" s="134"/>
      <c r="X17" s="124"/>
      <c r="Y17" s="134"/>
      <c r="Z17" s="200"/>
      <c r="AA17" s="120"/>
      <c r="AB17" s="134"/>
      <c r="AC17" s="200"/>
      <c r="AD17" s="125"/>
      <c r="AE17" s="134"/>
      <c r="AF17" s="200"/>
      <c r="AG17" s="120"/>
      <c r="AH17" s="262"/>
      <c r="AI17" s="262"/>
      <c r="AJ17" s="120"/>
      <c r="AK17" s="262"/>
      <c r="AL17" s="262"/>
      <c r="AM17" s="120"/>
      <c r="AN17" s="262"/>
      <c r="AO17" s="262"/>
      <c r="AP17" s="120"/>
      <c r="AQ17" s="262"/>
      <c r="AR17" s="262"/>
      <c r="AS17" s="120"/>
      <c r="AT17" s="262"/>
      <c r="AU17" s="262"/>
      <c r="AV17" s="120"/>
      <c r="AW17" s="262"/>
      <c r="AX17" s="262"/>
      <c r="AY17" s="120"/>
      <c r="AZ17" s="262"/>
      <c r="BA17" s="262"/>
      <c r="BB17" s="120"/>
      <c r="BC17" s="134"/>
      <c r="BD17" s="200"/>
      <c r="BE17" s="120"/>
      <c r="BF17" s="134"/>
      <c r="BG17" s="200"/>
      <c r="BH17" s="120"/>
      <c r="BI17" s="252"/>
      <c r="BJ17" s="252"/>
      <c r="BK17" s="120"/>
      <c r="BL17" s="134"/>
      <c r="BM17" s="134"/>
      <c r="BN17" s="120"/>
      <c r="BO17" s="252"/>
      <c r="BP17" s="252"/>
      <c r="BQ17" s="120"/>
      <c r="BR17" s="134"/>
      <c r="BS17" s="134"/>
      <c r="BT17" s="120"/>
      <c r="BU17" s="134"/>
      <c r="BV17" s="200"/>
      <c r="BW17" s="120"/>
      <c r="BX17" s="134"/>
      <c r="BY17" s="200"/>
      <c r="BZ17" s="120"/>
      <c r="CA17" s="126"/>
      <c r="CB17" s="126"/>
      <c r="CC17" s="120"/>
      <c r="CD17" s="126"/>
      <c r="CE17" s="126"/>
      <c r="CF17" s="120"/>
      <c r="CG17" s="134"/>
      <c r="CH17" s="134"/>
      <c r="CI17" s="120"/>
      <c r="CJ17" s="200"/>
      <c r="CK17" s="200"/>
      <c r="CL17" s="120"/>
      <c r="CM17" s="200"/>
      <c r="CN17" s="200"/>
      <c r="CO17" s="120"/>
      <c r="CP17" s="134"/>
      <c r="CQ17" s="134"/>
      <c r="CR17" s="120"/>
      <c r="CS17" s="134"/>
      <c r="CT17" s="134"/>
      <c r="CU17" s="120"/>
      <c r="CV17" s="202"/>
      <c r="CW17" s="202"/>
      <c r="CX17" s="120"/>
      <c r="CY17" s="202"/>
      <c r="CZ17" s="202"/>
      <c r="DA17" s="120"/>
      <c r="DB17" s="202"/>
      <c r="DC17" s="202"/>
      <c r="DD17" s="253"/>
      <c r="DE17" s="202"/>
      <c r="DF17" s="202"/>
      <c r="DG17" s="254"/>
      <c r="DH17" s="203"/>
      <c r="DI17" s="203"/>
      <c r="DJ17" s="259"/>
      <c r="DK17" s="136"/>
      <c r="DL17" s="136"/>
      <c r="DM17" s="120"/>
      <c r="DN17" s="233"/>
      <c r="DO17" s="233"/>
      <c r="DP17" s="120"/>
      <c r="DQ17" s="262"/>
      <c r="DR17" s="262"/>
      <c r="DS17" s="120"/>
      <c r="DT17" s="262"/>
      <c r="DU17" s="262"/>
      <c r="DV17" s="120"/>
      <c r="DW17" s="262"/>
      <c r="DX17" s="262"/>
      <c r="DY17" s="120"/>
      <c r="DZ17" s="262"/>
      <c r="EA17" s="262"/>
      <c r="EB17" s="265"/>
      <c r="EC17" s="262"/>
      <c r="ED17" s="262"/>
      <c r="EE17" s="254"/>
      <c r="EF17" s="233"/>
      <c r="EG17" s="233"/>
      <c r="EH17" s="120"/>
      <c r="EI17" s="262"/>
      <c r="EJ17" s="262"/>
      <c r="EK17" s="120"/>
      <c r="EL17" s="262"/>
      <c r="EM17" s="262"/>
      <c r="EN17" s="120"/>
      <c r="EO17" s="262"/>
      <c r="EP17" s="262"/>
      <c r="EQ17" s="120"/>
      <c r="ER17" s="262"/>
      <c r="ES17" s="262"/>
      <c r="ET17" s="120"/>
      <c r="EU17" s="262"/>
      <c r="EV17" s="262"/>
      <c r="EW17" s="120"/>
      <c r="EX17" s="262"/>
      <c r="EY17" s="262"/>
      <c r="EZ17" s="120"/>
      <c r="FA17" s="262"/>
      <c r="FB17" s="262"/>
      <c r="FC17" s="120"/>
      <c r="FD17" s="262"/>
      <c r="FE17" s="262"/>
      <c r="FF17" s="120"/>
      <c r="FG17" s="262"/>
      <c r="FH17" s="262"/>
      <c r="FI17" s="120"/>
      <c r="FJ17" s="262"/>
      <c r="FK17" s="262"/>
      <c r="FL17" s="120"/>
      <c r="FM17" s="262"/>
      <c r="FN17" s="262"/>
      <c r="FO17" s="120"/>
      <c r="FP17" s="262"/>
      <c r="FQ17" s="262"/>
      <c r="FR17" s="120"/>
      <c r="FS17" s="262"/>
      <c r="FT17" s="262"/>
      <c r="FU17" s="120"/>
      <c r="FV17" s="262"/>
      <c r="FW17" s="262"/>
      <c r="FX17" s="120"/>
      <c r="FY17" s="262"/>
      <c r="FZ17" s="262"/>
      <c r="GA17" s="256"/>
      <c r="GB17" s="233"/>
      <c r="GC17" s="233"/>
      <c r="GJ17" s="121">
        <f t="shared" si="8"/>
        <v>0</v>
      </c>
      <c r="GK17" s="121">
        <f t="shared" si="9"/>
        <v>0</v>
      </c>
    </row>
    <row r="18" spans="1:200" ht="38.25" customHeight="1" x14ac:dyDescent="0.55000000000000004">
      <c r="B18" s="303" t="s">
        <v>388</v>
      </c>
      <c r="C18" s="198"/>
      <c r="D18" s="198"/>
      <c r="E18" s="198"/>
      <c r="F18" s="198"/>
      <c r="G18" s="198"/>
      <c r="H18" s="198"/>
      <c r="I18" s="142"/>
      <c r="J18" s="122"/>
      <c r="K18" s="122"/>
      <c r="L18" s="249">
        <f t="shared" si="0"/>
        <v>7000</v>
      </c>
      <c r="M18" s="144">
        <f t="shared" si="1"/>
        <v>0</v>
      </c>
      <c r="N18" s="405"/>
      <c r="O18" s="145">
        <f t="shared" si="2"/>
        <v>0</v>
      </c>
      <c r="P18" s="145">
        <f t="shared" si="3"/>
        <v>0</v>
      </c>
      <c r="Q18" s="145">
        <f t="shared" si="4"/>
        <v>0</v>
      </c>
      <c r="R18" s="145">
        <f t="shared" si="5"/>
        <v>0</v>
      </c>
      <c r="S18" s="130">
        <f t="shared" si="7"/>
        <v>0</v>
      </c>
      <c r="T18" s="130">
        <f t="shared" si="6"/>
        <v>0</v>
      </c>
      <c r="U18" s="141"/>
      <c r="V18" s="123"/>
      <c r="W18" s="134"/>
      <c r="X18" s="124"/>
      <c r="Y18" s="134"/>
      <c r="Z18" s="200"/>
      <c r="AA18" s="120"/>
      <c r="AB18" s="134"/>
      <c r="AC18" s="200"/>
      <c r="AD18" s="125"/>
      <c r="AE18" s="134"/>
      <c r="AF18" s="200"/>
      <c r="AG18" s="120"/>
      <c r="AH18" s="262"/>
      <c r="AI18" s="262"/>
      <c r="AJ18" s="120"/>
      <c r="AK18" s="262"/>
      <c r="AL18" s="262"/>
      <c r="AM18" s="120"/>
      <c r="AN18" s="262"/>
      <c r="AO18" s="262"/>
      <c r="AP18" s="120"/>
      <c r="AQ18" s="262"/>
      <c r="AR18" s="262"/>
      <c r="AS18" s="120"/>
      <c r="AT18" s="262"/>
      <c r="AU18" s="262"/>
      <c r="AV18" s="120"/>
      <c r="AW18" s="262"/>
      <c r="AX18" s="262"/>
      <c r="AY18" s="120"/>
      <c r="AZ18" s="262"/>
      <c r="BA18" s="262"/>
      <c r="BB18" s="120"/>
      <c r="BC18" s="134"/>
      <c r="BD18" s="200"/>
      <c r="BE18" s="120"/>
      <c r="BF18" s="134"/>
      <c r="BG18" s="200"/>
      <c r="BH18" s="120"/>
      <c r="BI18" s="252"/>
      <c r="BJ18" s="252"/>
      <c r="BK18" s="120"/>
      <c r="BL18" s="134"/>
      <c r="BM18" s="134"/>
      <c r="BN18" s="120"/>
      <c r="BO18" s="252"/>
      <c r="BP18" s="252"/>
      <c r="BQ18" s="120"/>
      <c r="BR18" s="134"/>
      <c r="BS18" s="134"/>
      <c r="BT18" s="120"/>
      <c r="BU18" s="134"/>
      <c r="BV18" s="200"/>
      <c r="BW18" s="120"/>
      <c r="BX18" s="134"/>
      <c r="BY18" s="200"/>
      <c r="BZ18" s="120"/>
      <c r="CA18" s="126"/>
      <c r="CB18" s="126"/>
      <c r="CC18" s="120"/>
      <c r="CD18" s="126"/>
      <c r="CE18" s="126"/>
      <c r="CF18" s="120"/>
      <c r="CG18" s="134"/>
      <c r="CH18" s="134"/>
      <c r="CI18" s="120"/>
      <c r="CJ18" s="200"/>
      <c r="CK18" s="200"/>
      <c r="CL18" s="120"/>
      <c r="CM18" s="200"/>
      <c r="CN18" s="200"/>
      <c r="CO18" s="120"/>
      <c r="CP18" s="134"/>
      <c r="CQ18" s="134"/>
      <c r="CR18" s="120"/>
      <c r="CS18" s="134"/>
      <c r="CT18" s="134"/>
      <c r="CU18" s="120"/>
      <c r="CV18" s="202"/>
      <c r="CW18" s="202"/>
      <c r="CX18" s="120"/>
      <c r="CY18" s="202"/>
      <c r="CZ18" s="202"/>
      <c r="DA18" s="120"/>
      <c r="DB18" s="202"/>
      <c r="DC18" s="202"/>
      <c r="DD18" s="253"/>
      <c r="DE18" s="202"/>
      <c r="DF18" s="202"/>
      <c r="DG18" s="254"/>
      <c r="DH18" s="203"/>
      <c r="DI18" s="203"/>
      <c r="DJ18" s="259"/>
      <c r="DK18" s="136"/>
      <c r="DL18" s="136"/>
      <c r="DM18" s="120"/>
      <c r="DN18" s="233"/>
      <c r="DO18" s="233"/>
      <c r="DP18" s="120"/>
      <c r="DQ18" s="262"/>
      <c r="DR18" s="262"/>
      <c r="DS18" s="120"/>
      <c r="DT18" s="262"/>
      <c r="DU18" s="262"/>
      <c r="DV18" s="120"/>
      <c r="DW18" s="262"/>
      <c r="DX18" s="262"/>
      <c r="DY18" s="120"/>
      <c r="DZ18" s="262"/>
      <c r="EA18" s="262"/>
      <c r="EB18" s="265"/>
      <c r="EC18" s="262"/>
      <c r="ED18" s="262"/>
      <c r="EE18" s="254"/>
      <c r="EF18" s="233"/>
      <c r="EG18" s="233"/>
      <c r="EH18" s="120"/>
      <c r="EI18" s="262"/>
      <c r="EJ18" s="262"/>
      <c r="EK18" s="120"/>
      <c r="EL18" s="262"/>
      <c r="EM18" s="262"/>
      <c r="EN18" s="120"/>
      <c r="EO18" s="262"/>
      <c r="EP18" s="262"/>
      <c r="EQ18" s="120"/>
      <c r="ER18" s="262"/>
      <c r="ES18" s="262"/>
      <c r="ET18" s="120"/>
      <c r="EU18" s="262"/>
      <c r="EV18" s="262"/>
      <c r="EW18" s="120"/>
      <c r="EX18" s="262"/>
      <c r="EY18" s="262"/>
      <c r="EZ18" s="120"/>
      <c r="FA18" s="262"/>
      <c r="FB18" s="262"/>
      <c r="FC18" s="120"/>
      <c r="FD18" s="262"/>
      <c r="FE18" s="262"/>
      <c r="FF18" s="120"/>
      <c r="FG18" s="262"/>
      <c r="FH18" s="262"/>
      <c r="FI18" s="120"/>
      <c r="FJ18" s="262"/>
      <c r="FK18" s="262"/>
      <c r="FL18" s="120"/>
      <c r="FM18" s="262"/>
      <c r="FN18" s="262"/>
      <c r="FO18" s="120"/>
      <c r="FP18" s="262"/>
      <c r="FQ18" s="262"/>
      <c r="FR18" s="120"/>
      <c r="FS18" s="262"/>
      <c r="FT18" s="262"/>
      <c r="FU18" s="120"/>
      <c r="FV18" s="262"/>
      <c r="FW18" s="262"/>
      <c r="FX18" s="120"/>
      <c r="FY18" s="262"/>
      <c r="FZ18" s="262"/>
      <c r="GA18" s="256"/>
      <c r="GB18" s="233"/>
      <c r="GC18" s="233"/>
      <c r="GJ18" s="121">
        <f t="shared" si="8"/>
        <v>0</v>
      </c>
      <c r="GK18" s="121">
        <f t="shared" si="9"/>
        <v>0</v>
      </c>
    </row>
    <row r="19" spans="1:200" ht="38.25" customHeight="1" x14ac:dyDescent="0.55000000000000004">
      <c r="B19" s="303" t="s">
        <v>389</v>
      </c>
      <c r="C19" s="198"/>
      <c r="D19" s="198"/>
      <c r="E19" s="198"/>
      <c r="F19" s="198"/>
      <c r="G19" s="198"/>
      <c r="H19" s="198"/>
      <c r="I19" s="142"/>
      <c r="J19" s="122"/>
      <c r="K19" s="122"/>
      <c r="L19" s="249">
        <f t="shared" si="0"/>
        <v>7000</v>
      </c>
      <c r="M19" s="144">
        <f t="shared" si="1"/>
        <v>0</v>
      </c>
      <c r="N19" s="405"/>
      <c r="O19" s="145">
        <f t="shared" si="2"/>
        <v>0</v>
      </c>
      <c r="P19" s="145">
        <f t="shared" si="3"/>
        <v>0</v>
      </c>
      <c r="Q19" s="145">
        <f t="shared" si="4"/>
        <v>0</v>
      </c>
      <c r="R19" s="145">
        <f t="shared" si="5"/>
        <v>0</v>
      </c>
      <c r="S19" s="130">
        <f t="shared" si="7"/>
        <v>0</v>
      </c>
      <c r="T19" s="130">
        <f t="shared" si="6"/>
        <v>0</v>
      </c>
      <c r="U19" s="141"/>
      <c r="V19" s="123"/>
      <c r="W19" s="134"/>
      <c r="X19" s="124"/>
      <c r="Y19" s="134"/>
      <c r="Z19" s="200"/>
      <c r="AA19" s="120"/>
      <c r="AB19" s="134"/>
      <c r="AC19" s="200"/>
      <c r="AD19" s="125"/>
      <c r="AE19" s="134"/>
      <c r="AF19" s="200"/>
      <c r="AG19" s="120"/>
      <c r="AH19" s="262"/>
      <c r="AI19" s="262"/>
      <c r="AJ19" s="120"/>
      <c r="AK19" s="262"/>
      <c r="AL19" s="262"/>
      <c r="AM19" s="120"/>
      <c r="AN19" s="262"/>
      <c r="AO19" s="262"/>
      <c r="AP19" s="120"/>
      <c r="AQ19" s="262"/>
      <c r="AR19" s="262"/>
      <c r="AS19" s="120"/>
      <c r="AT19" s="262"/>
      <c r="AU19" s="262"/>
      <c r="AV19" s="120"/>
      <c r="AW19" s="262"/>
      <c r="AX19" s="262"/>
      <c r="AY19" s="120"/>
      <c r="AZ19" s="262"/>
      <c r="BA19" s="262"/>
      <c r="BB19" s="120"/>
      <c r="BC19" s="134"/>
      <c r="BD19" s="200"/>
      <c r="BE19" s="120"/>
      <c r="BF19" s="134"/>
      <c r="BG19" s="200"/>
      <c r="BH19" s="120"/>
      <c r="BI19" s="252"/>
      <c r="BJ19" s="252"/>
      <c r="BK19" s="120"/>
      <c r="BL19" s="134"/>
      <c r="BM19" s="134"/>
      <c r="BN19" s="120"/>
      <c r="BO19" s="252"/>
      <c r="BP19" s="252"/>
      <c r="BQ19" s="120"/>
      <c r="BR19" s="134"/>
      <c r="BS19" s="134"/>
      <c r="BT19" s="120"/>
      <c r="BU19" s="134"/>
      <c r="BV19" s="200"/>
      <c r="BW19" s="120"/>
      <c r="BX19" s="134"/>
      <c r="BY19" s="200"/>
      <c r="BZ19" s="120"/>
      <c r="CA19" s="126"/>
      <c r="CB19" s="126"/>
      <c r="CC19" s="120"/>
      <c r="CD19" s="126"/>
      <c r="CE19" s="126"/>
      <c r="CF19" s="120"/>
      <c r="CG19" s="134"/>
      <c r="CH19" s="134"/>
      <c r="CI19" s="120"/>
      <c r="CJ19" s="200"/>
      <c r="CK19" s="200"/>
      <c r="CL19" s="120"/>
      <c r="CM19" s="200"/>
      <c r="CN19" s="200"/>
      <c r="CO19" s="120"/>
      <c r="CP19" s="134"/>
      <c r="CQ19" s="134"/>
      <c r="CR19" s="120"/>
      <c r="CS19" s="134"/>
      <c r="CT19" s="134"/>
      <c r="CU19" s="120"/>
      <c r="CV19" s="202"/>
      <c r="CW19" s="202"/>
      <c r="CX19" s="120"/>
      <c r="CY19" s="202"/>
      <c r="CZ19" s="202"/>
      <c r="DA19" s="120"/>
      <c r="DB19" s="202"/>
      <c r="DC19" s="202"/>
      <c r="DD19" s="253"/>
      <c r="DE19" s="202"/>
      <c r="DF19" s="202"/>
      <c r="DG19" s="254"/>
      <c r="DH19" s="203"/>
      <c r="DI19" s="203"/>
      <c r="DJ19" s="259"/>
      <c r="DK19" s="136"/>
      <c r="DL19" s="136"/>
      <c r="DM19" s="120"/>
      <c r="DN19" s="233"/>
      <c r="DO19" s="233"/>
      <c r="DP19" s="120"/>
      <c r="DQ19" s="262"/>
      <c r="DR19" s="262"/>
      <c r="DS19" s="120"/>
      <c r="DT19" s="262"/>
      <c r="DU19" s="262"/>
      <c r="DV19" s="120"/>
      <c r="DW19" s="262"/>
      <c r="DX19" s="262"/>
      <c r="DY19" s="120"/>
      <c r="DZ19" s="262"/>
      <c r="EA19" s="262"/>
      <c r="EB19" s="265"/>
      <c r="EC19" s="262"/>
      <c r="ED19" s="262"/>
      <c r="EE19" s="254"/>
      <c r="EF19" s="233"/>
      <c r="EG19" s="233"/>
      <c r="EH19" s="120"/>
      <c r="EI19" s="262"/>
      <c r="EJ19" s="262"/>
      <c r="EK19" s="120"/>
      <c r="EL19" s="262"/>
      <c r="EM19" s="262"/>
      <c r="EN19" s="120"/>
      <c r="EO19" s="262"/>
      <c r="EP19" s="262"/>
      <c r="EQ19" s="120"/>
      <c r="ER19" s="262"/>
      <c r="ES19" s="262"/>
      <c r="ET19" s="120"/>
      <c r="EU19" s="262"/>
      <c r="EV19" s="262"/>
      <c r="EW19" s="120"/>
      <c r="EX19" s="262"/>
      <c r="EY19" s="262"/>
      <c r="EZ19" s="120"/>
      <c r="FA19" s="262"/>
      <c r="FB19" s="262"/>
      <c r="FC19" s="120"/>
      <c r="FD19" s="262"/>
      <c r="FE19" s="262"/>
      <c r="FF19" s="120"/>
      <c r="FG19" s="262"/>
      <c r="FH19" s="262"/>
      <c r="FI19" s="120"/>
      <c r="FJ19" s="262"/>
      <c r="FK19" s="262"/>
      <c r="FL19" s="120"/>
      <c r="FM19" s="262"/>
      <c r="FN19" s="262"/>
      <c r="FO19" s="120"/>
      <c r="FP19" s="262"/>
      <c r="FQ19" s="262"/>
      <c r="FR19" s="120"/>
      <c r="FS19" s="262"/>
      <c r="FT19" s="262"/>
      <c r="FU19" s="120"/>
      <c r="FV19" s="262"/>
      <c r="FW19" s="262"/>
      <c r="FX19" s="120"/>
      <c r="FY19" s="262"/>
      <c r="FZ19" s="262"/>
      <c r="GA19" s="256"/>
      <c r="GB19" s="233"/>
      <c r="GC19" s="233"/>
      <c r="GJ19" s="121">
        <f t="shared" si="8"/>
        <v>0</v>
      </c>
      <c r="GK19" s="121">
        <f t="shared" si="9"/>
        <v>0</v>
      </c>
    </row>
    <row r="20" spans="1:200" ht="38.25" customHeight="1" x14ac:dyDescent="0.55000000000000004">
      <c r="B20" s="303" t="s">
        <v>390</v>
      </c>
      <c r="C20" s="198"/>
      <c r="D20" s="198"/>
      <c r="E20" s="198"/>
      <c r="F20" s="198"/>
      <c r="G20" s="198"/>
      <c r="H20" s="198"/>
      <c r="I20" s="142"/>
      <c r="J20" s="122"/>
      <c r="K20" s="122"/>
      <c r="L20" s="249">
        <f t="shared" si="0"/>
        <v>7000</v>
      </c>
      <c r="M20" s="144">
        <f t="shared" si="1"/>
        <v>0</v>
      </c>
      <c r="N20" s="405"/>
      <c r="O20" s="145">
        <f t="shared" si="2"/>
        <v>0</v>
      </c>
      <c r="P20" s="145">
        <f t="shared" si="3"/>
        <v>0</v>
      </c>
      <c r="Q20" s="145">
        <f t="shared" si="4"/>
        <v>0</v>
      </c>
      <c r="R20" s="145">
        <f t="shared" si="5"/>
        <v>0</v>
      </c>
      <c r="S20" s="130">
        <f t="shared" si="7"/>
        <v>0</v>
      </c>
      <c r="T20" s="130">
        <f t="shared" si="6"/>
        <v>0</v>
      </c>
      <c r="U20" s="141"/>
      <c r="V20" s="123"/>
      <c r="W20" s="134"/>
      <c r="X20" s="124"/>
      <c r="Y20" s="134"/>
      <c r="Z20" s="200"/>
      <c r="AA20" s="120"/>
      <c r="AB20" s="134"/>
      <c r="AC20" s="200"/>
      <c r="AD20" s="125"/>
      <c r="AE20" s="134"/>
      <c r="AF20" s="200"/>
      <c r="AG20" s="120"/>
      <c r="AH20" s="262"/>
      <c r="AI20" s="262"/>
      <c r="AJ20" s="120"/>
      <c r="AK20" s="262"/>
      <c r="AL20" s="262"/>
      <c r="AM20" s="120"/>
      <c r="AN20" s="262"/>
      <c r="AO20" s="262"/>
      <c r="AP20" s="120"/>
      <c r="AQ20" s="262"/>
      <c r="AR20" s="262"/>
      <c r="AS20" s="120"/>
      <c r="AT20" s="262"/>
      <c r="AU20" s="262"/>
      <c r="AV20" s="120"/>
      <c r="AW20" s="262"/>
      <c r="AX20" s="262"/>
      <c r="AY20" s="120"/>
      <c r="AZ20" s="262"/>
      <c r="BA20" s="262"/>
      <c r="BB20" s="120"/>
      <c r="BC20" s="134"/>
      <c r="BD20" s="200"/>
      <c r="BE20" s="120"/>
      <c r="BF20" s="134"/>
      <c r="BG20" s="200"/>
      <c r="BH20" s="120"/>
      <c r="BI20" s="252"/>
      <c r="BJ20" s="252"/>
      <c r="BK20" s="120"/>
      <c r="BL20" s="134"/>
      <c r="BM20" s="134"/>
      <c r="BN20" s="120"/>
      <c r="BO20" s="252"/>
      <c r="BP20" s="252"/>
      <c r="BQ20" s="120"/>
      <c r="BR20" s="134"/>
      <c r="BS20" s="134"/>
      <c r="BT20" s="120"/>
      <c r="BU20" s="134"/>
      <c r="BV20" s="200"/>
      <c r="BW20" s="120"/>
      <c r="BX20" s="134"/>
      <c r="BY20" s="200"/>
      <c r="BZ20" s="120"/>
      <c r="CA20" s="126"/>
      <c r="CB20" s="126"/>
      <c r="CC20" s="120"/>
      <c r="CD20" s="126"/>
      <c r="CE20" s="126"/>
      <c r="CF20" s="120"/>
      <c r="CG20" s="134"/>
      <c r="CH20" s="134"/>
      <c r="CI20" s="120"/>
      <c r="CJ20" s="200"/>
      <c r="CK20" s="200"/>
      <c r="CL20" s="120"/>
      <c r="CM20" s="200"/>
      <c r="CN20" s="200"/>
      <c r="CO20" s="120"/>
      <c r="CP20" s="134"/>
      <c r="CQ20" s="134"/>
      <c r="CR20" s="120"/>
      <c r="CS20" s="134"/>
      <c r="CT20" s="134"/>
      <c r="CU20" s="120"/>
      <c r="CV20" s="202"/>
      <c r="CW20" s="202"/>
      <c r="CX20" s="120"/>
      <c r="CY20" s="202"/>
      <c r="CZ20" s="202"/>
      <c r="DA20" s="120"/>
      <c r="DB20" s="202"/>
      <c r="DC20" s="202"/>
      <c r="DD20" s="253"/>
      <c r="DE20" s="202"/>
      <c r="DF20" s="202"/>
      <c r="DG20" s="254"/>
      <c r="DH20" s="203"/>
      <c r="DI20" s="203"/>
      <c r="DJ20" s="259"/>
      <c r="DK20" s="136"/>
      <c r="DL20" s="136"/>
      <c r="DM20" s="120"/>
      <c r="DN20" s="233"/>
      <c r="DO20" s="233"/>
      <c r="DP20" s="120"/>
      <c r="DQ20" s="262"/>
      <c r="DR20" s="262"/>
      <c r="DS20" s="120"/>
      <c r="DT20" s="262"/>
      <c r="DU20" s="262"/>
      <c r="DV20" s="120"/>
      <c r="DW20" s="262"/>
      <c r="DX20" s="262"/>
      <c r="DY20" s="120"/>
      <c r="DZ20" s="262"/>
      <c r="EA20" s="262"/>
      <c r="EB20" s="265"/>
      <c r="EC20" s="262"/>
      <c r="ED20" s="262"/>
      <c r="EE20" s="254"/>
      <c r="EF20" s="233"/>
      <c r="EG20" s="233"/>
      <c r="EH20" s="120"/>
      <c r="EI20" s="262"/>
      <c r="EJ20" s="262"/>
      <c r="EK20" s="120"/>
      <c r="EL20" s="262"/>
      <c r="EM20" s="262"/>
      <c r="EN20" s="120"/>
      <c r="EO20" s="262"/>
      <c r="EP20" s="262"/>
      <c r="EQ20" s="120"/>
      <c r="ER20" s="262"/>
      <c r="ES20" s="262"/>
      <c r="ET20" s="120"/>
      <c r="EU20" s="262"/>
      <c r="EV20" s="262"/>
      <c r="EW20" s="120"/>
      <c r="EX20" s="262"/>
      <c r="EY20" s="262"/>
      <c r="EZ20" s="120"/>
      <c r="FA20" s="262"/>
      <c r="FB20" s="262"/>
      <c r="FC20" s="120"/>
      <c r="FD20" s="262"/>
      <c r="FE20" s="262"/>
      <c r="FF20" s="120"/>
      <c r="FG20" s="262"/>
      <c r="FH20" s="262"/>
      <c r="FI20" s="120"/>
      <c r="FJ20" s="262"/>
      <c r="FK20" s="262"/>
      <c r="FL20" s="120"/>
      <c r="FM20" s="262"/>
      <c r="FN20" s="262"/>
      <c r="FO20" s="120"/>
      <c r="FP20" s="262"/>
      <c r="FQ20" s="262"/>
      <c r="FR20" s="120"/>
      <c r="FS20" s="262"/>
      <c r="FT20" s="262"/>
      <c r="FU20" s="120"/>
      <c r="FV20" s="262"/>
      <c r="FW20" s="262"/>
      <c r="FX20" s="120"/>
      <c r="FY20" s="262"/>
      <c r="FZ20" s="262"/>
      <c r="GA20" s="256"/>
      <c r="GB20" s="233"/>
      <c r="GC20" s="233"/>
      <c r="GJ20" s="121">
        <f t="shared" si="8"/>
        <v>0</v>
      </c>
      <c r="GK20" s="121">
        <f t="shared" si="9"/>
        <v>0</v>
      </c>
    </row>
    <row r="21" spans="1:200" ht="38.25" customHeight="1" x14ac:dyDescent="0.55000000000000004">
      <c r="B21" s="303" t="s">
        <v>391</v>
      </c>
      <c r="C21" s="198"/>
      <c r="D21" s="198"/>
      <c r="E21" s="198"/>
      <c r="F21" s="198"/>
      <c r="G21" s="198"/>
      <c r="H21" s="198"/>
      <c r="I21" s="142"/>
      <c r="J21" s="122"/>
      <c r="K21" s="122"/>
      <c r="L21" s="249">
        <f t="shared" si="0"/>
        <v>7000</v>
      </c>
      <c r="M21" s="144">
        <f t="shared" si="1"/>
        <v>0</v>
      </c>
      <c r="N21" s="405"/>
      <c r="O21" s="145">
        <f t="shared" si="2"/>
        <v>0</v>
      </c>
      <c r="P21" s="145">
        <f t="shared" si="3"/>
        <v>0</v>
      </c>
      <c r="Q21" s="145">
        <f t="shared" si="4"/>
        <v>0</v>
      </c>
      <c r="R21" s="145">
        <f t="shared" si="5"/>
        <v>0</v>
      </c>
      <c r="S21" s="130">
        <f t="shared" si="7"/>
        <v>0</v>
      </c>
      <c r="T21" s="130">
        <f t="shared" si="6"/>
        <v>0</v>
      </c>
      <c r="U21" s="141"/>
      <c r="V21" s="123"/>
      <c r="W21" s="134"/>
      <c r="X21" s="124"/>
      <c r="Y21" s="134"/>
      <c r="Z21" s="200"/>
      <c r="AA21" s="120"/>
      <c r="AB21" s="134"/>
      <c r="AC21" s="200"/>
      <c r="AD21" s="125"/>
      <c r="AE21" s="134"/>
      <c r="AF21" s="200"/>
      <c r="AG21" s="120"/>
      <c r="AH21" s="262"/>
      <c r="AI21" s="262"/>
      <c r="AJ21" s="120"/>
      <c r="AK21" s="262"/>
      <c r="AL21" s="262"/>
      <c r="AM21" s="120"/>
      <c r="AN21" s="262"/>
      <c r="AO21" s="262"/>
      <c r="AP21" s="120"/>
      <c r="AQ21" s="262"/>
      <c r="AR21" s="262"/>
      <c r="AS21" s="120"/>
      <c r="AT21" s="262"/>
      <c r="AU21" s="262"/>
      <c r="AV21" s="120"/>
      <c r="AW21" s="262"/>
      <c r="AX21" s="262"/>
      <c r="AY21" s="120"/>
      <c r="AZ21" s="262"/>
      <c r="BA21" s="262"/>
      <c r="BB21" s="120"/>
      <c r="BC21" s="134"/>
      <c r="BD21" s="200"/>
      <c r="BE21" s="120"/>
      <c r="BF21" s="134"/>
      <c r="BG21" s="200"/>
      <c r="BH21" s="120"/>
      <c r="BI21" s="252"/>
      <c r="BJ21" s="252"/>
      <c r="BK21" s="120"/>
      <c r="BL21" s="134"/>
      <c r="BM21" s="134"/>
      <c r="BN21" s="120"/>
      <c r="BO21" s="252"/>
      <c r="BP21" s="252"/>
      <c r="BQ21" s="120"/>
      <c r="BR21" s="134"/>
      <c r="BS21" s="134"/>
      <c r="BT21" s="120"/>
      <c r="BU21" s="134"/>
      <c r="BV21" s="200"/>
      <c r="BW21" s="120"/>
      <c r="BX21" s="134"/>
      <c r="BY21" s="200"/>
      <c r="BZ21" s="120"/>
      <c r="CA21" s="126"/>
      <c r="CB21" s="126"/>
      <c r="CC21" s="120"/>
      <c r="CD21" s="126"/>
      <c r="CE21" s="126"/>
      <c r="CF21" s="120"/>
      <c r="CG21" s="134"/>
      <c r="CH21" s="134"/>
      <c r="CI21" s="120"/>
      <c r="CJ21" s="200"/>
      <c r="CK21" s="200"/>
      <c r="CL21" s="120"/>
      <c r="CM21" s="200"/>
      <c r="CN21" s="200"/>
      <c r="CO21" s="120"/>
      <c r="CP21" s="134"/>
      <c r="CQ21" s="134"/>
      <c r="CR21" s="120"/>
      <c r="CS21" s="134"/>
      <c r="CT21" s="134"/>
      <c r="CU21" s="120"/>
      <c r="CV21" s="202"/>
      <c r="CW21" s="202"/>
      <c r="CX21" s="120"/>
      <c r="CY21" s="202"/>
      <c r="CZ21" s="202"/>
      <c r="DA21" s="120"/>
      <c r="DB21" s="202"/>
      <c r="DC21" s="202"/>
      <c r="DD21" s="253"/>
      <c r="DE21" s="202"/>
      <c r="DF21" s="202"/>
      <c r="DG21" s="254"/>
      <c r="DH21" s="203"/>
      <c r="DI21" s="203"/>
      <c r="DJ21" s="259"/>
      <c r="DK21" s="136"/>
      <c r="DL21" s="136"/>
      <c r="DM21" s="120"/>
      <c r="DN21" s="233"/>
      <c r="DO21" s="233"/>
      <c r="DP21" s="120"/>
      <c r="DQ21" s="262"/>
      <c r="DR21" s="262"/>
      <c r="DS21" s="120"/>
      <c r="DT21" s="262"/>
      <c r="DU21" s="262"/>
      <c r="DV21" s="120"/>
      <c r="DW21" s="262"/>
      <c r="DX21" s="262"/>
      <c r="DY21" s="120"/>
      <c r="DZ21" s="262"/>
      <c r="EA21" s="262"/>
      <c r="EB21" s="265"/>
      <c r="EC21" s="262"/>
      <c r="ED21" s="262"/>
      <c r="EE21" s="254"/>
      <c r="EF21" s="233"/>
      <c r="EG21" s="233"/>
      <c r="EH21" s="120"/>
      <c r="EI21" s="262"/>
      <c r="EJ21" s="262"/>
      <c r="EK21" s="120"/>
      <c r="EL21" s="262"/>
      <c r="EM21" s="262"/>
      <c r="EN21" s="120"/>
      <c r="EO21" s="262"/>
      <c r="EP21" s="262"/>
      <c r="EQ21" s="120"/>
      <c r="ER21" s="262"/>
      <c r="ES21" s="262"/>
      <c r="ET21" s="120"/>
      <c r="EU21" s="262"/>
      <c r="EV21" s="262"/>
      <c r="EW21" s="120"/>
      <c r="EX21" s="262"/>
      <c r="EY21" s="262"/>
      <c r="EZ21" s="120"/>
      <c r="FA21" s="262"/>
      <c r="FB21" s="262"/>
      <c r="FC21" s="120"/>
      <c r="FD21" s="262"/>
      <c r="FE21" s="262"/>
      <c r="FF21" s="120"/>
      <c r="FG21" s="262"/>
      <c r="FH21" s="262"/>
      <c r="FI21" s="120"/>
      <c r="FJ21" s="262"/>
      <c r="FK21" s="262"/>
      <c r="FL21" s="120"/>
      <c r="FM21" s="262"/>
      <c r="FN21" s="262"/>
      <c r="FO21" s="120"/>
      <c r="FP21" s="262"/>
      <c r="FQ21" s="262"/>
      <c r="FR21" s="120"/>
      <c r="FS21" s="262"/>
      <c r="FT21" s="262"/>
      <c r="FU21" s="120"/>
      <c r="FV21" s="262"/>
      <c r="FW21" s="262"/>
      <c r="FX21" s="120"/>
      <c r="FY21" s="262"/>
      <c r="FZ21" s="262"/>
      <c r="GA21" s="256"/>
      <c r="GB21" s="233"/>
      <c r="GC21" s="233"/>
      <c r="GJ21" s="121">
        <f t="shared" si="8"/>
        <v>0</v>
      </c>
      <c r="GK21" s="121">
        <f t="shared" si="9"/>
        <v>0</v>
      </c>
    </row>
    <row r="22" spans="1:200" ht="38.25" customHeight="1" x14ac:dyDescent="0.55000000000000004">
      <c r="B22" s="303" t="s">
        <v>393</v>
      </c>
      <c r="C22" s="198"/>
      <c r="D22" s="198"/>
      <c r="E22" s="198"/>
      <c r="F22" s="198"/>
      <c r="G22" s="198"/>
      <c r="H22" s="198"/>
      <c r="I22" s="142"/>
      <c r="J22" s="122"/>
      <c r="K22" s="122"/>
      <c r="L22" s="249">
        <f t="shared" si="0"/>
        <v>7000</v>
      </c>
      <c r="M22" s="144">
        <f t="shared" si="1"/>
        <v>0</v>
      </c>
      <c r="N22" s="405"/>
      <c r="O22" s="145">
        <f t="shared" si="2"/>
        <v>0</v>
      </c>
      <c r="P22" s="145">
        <f t="shared" si="3"/>
        <v>0</v>
      </c>
      <c r="Q22" s="145">
        <f t="shared" si="4"/>
        <v>0</v>
      </c>
      <c r="R22" s="145">
        <f t="shared" si="5"/>
        <v>0</v>
      </c>
      <c r="S22" s="130">
        <f t="shared" si="7"/>
        <v>0</v>
      </c>
      <c r="T22" s="130">
        <f t="shared" si="6"/>
        <v>0</v>
      </c>
      <c r="U22" s="141"/>
      <c r="V22" s="123"/>
      <c r="W22" s="134"/>
      <c r="X22" s="124"/>
      <c r="Y22" s="134"/>
      <c r="Z22" s="200"/>
      <c r="AA22" s="120"/>
      <c r="AB22" s="134"/>
      <c r="AC22" s="200"/>
      <c r="AD22" s="125"/>
      <c r="AE22" s="134"/>
      <c r="AF22" s="200"/>
      <c r="AG22" s="120"/>
      <c r="AH22" s="262"/>
      <c r="AI22" s="262"/>
      <c r="AJ22" s="120"/>
      <c r="AK22" s="262"/>
      <c r="AL22" s="262"/>
      <c r="AM22" s="120"/>
      <c r="AN22" s="262"/>
      <c r="AO22" s="262"/>
      <c r="AP22" s="120"/>
      <c r="AQ22" s="262"/>
      <c r="AR22" s="262"/>
      <c r="AS22" s="120"/>
      <c r="AT22" s="262"/>
      <c r="AU22" s="262"/>
      <c r="AV22" s="120"/>
      <c r="AW22" s="262"/>
      <c r="AX22" s="262"/>
      <c r="AY22" s="120"/>
      <c r="AZ22" s="262"/>
      <c r="BA22" s="262"/>
      <c r="BB22" s="120"/>
      <c r="BC22" s="134"/>
      <c r="BD22" s="200"/>
      <c r="BE22" s="120"/>
      <c r="BF22" s="134"/>
      <c r="BG22" s="200"/>
      <c r="BH22" s="120"/>
      <c r="BI22" s="252"/>
      <c r="BJ22" s="252"/>
      <c r="BK22" s="120"/>
      <c r="BL22" s="134"/>
      <c r="BM22" s="134"/>
      <c r="BN22" s="120"/>
      <c r="BO22" s="252"/>
      <c r="BP22" s="252"/>
      <c r="BQ22" s="120"/>
      <c r="BR22" s="134"/>
      <c r="BS22" s="134"/>
      <c r="BT22" s="120"/>
      <c r="BU22" s="134"/>
      <c r="BV22" s="200"/>
      <c r="BW22" s="120"/>
      <c r="BX22" s="134"/>
      <c r="BY22" s="200"/>
      <c r="BZ22" s="120"/>
      <c r="CA22" s="126"/>
      <c r="CB22" s="126"/>
      <c r="CC22" s="120"/>
      <c r="CD22" s="126"/>
      <c r="CE22" s="126"/>
      <c r="CF22" s="120"/>
      <c r="CG22" s="134"/>
      <c r="CH22" s="134"/>
      <c r="CI22" s="120"/>
      <c r="CJ22" s="200"/>
      <c r="CK22" s="200"/>
      <c r="CL22" s="120"/>
      <c r="CM22" s="200"/>
      <c r="CN22" s="200"/>
      <c r="CO22" s="120"/>
      <c r="CP22" s="134"/>
      <c r="CQ22" s="134"/>
      <c r="CR22" s="120"/>
      <c r="CS22" s="134"/>
      <c r="CT22" s="134"/>
      <c r="CU22" s="120"/>
      <c r="CV22" s="202"/>
      <c r="CW22" s="202"/>
      <c r="CX22" s="120"/>
      <c r="CY22" s="202"/>
      <c r="CZ22" s="202"/>
      <c r="DA22" s="120"/>
      <c r="DB22" s="202"/>
      <c r="DC22" s="202"/>
      <c r="DD22" s="253"/>
      <c r="DE22" s="202"/>
      <c r="DF22" s="202"/>
      <c r="DG22" s="254"/>
      <c r="DH22" s="203"/>
      <c r="DI22" s="203"/>
      <c r="DJ22" s="259"/>
      <c r="DK22" s="136"/>
      <c r="DL22" s="136"/>
      <c r="DM22" s="120"/>
      <c r="DN22" s="233"/>
      <c r="DO22" s="233"/>
      <c r="DP22" s="120"/>
      <c r="DQ22" s="262"/>
      <c r="DR22" s="262"/>
      <c r="DS22" s="120"/>
      <c r="DT22" s="262"/>
      <c r="DU22" s="262"/>
      <c r="DV22" s="120"/>
      <c r="DW22" s="262"/>
      <c r="DX22" s="262"/>
      <c r="DY22" s="120"/>
      <c r="DZ22" s="262"/>
      <c r="EA22" s="262"/>
      <c r="EB22" s="265"/>
      <c r="EC22" s="262"/>
      <c r="ED22" s="262"/>
      <c r="EE22" s="254"/>
      <c r="EF22" s="233"/>
      <c r="EG22" s="233"/>
      <c r="EH22" s="120"/>
      <c r="EI22" s="262"/>
      <c r="EJ22" s="262"/>
      <c r="EK22" s="120"/>
      <c r="EL22" s="262"/>
      <c r="EM22" s="262"/>
      <c r="EN22" s="120"/>
      <c r="EO22" s="262"/>
      <c r="EP22" s="262"/>
      <c r="EQ22" s="120"/>
      <c r="ER22" s="262"/>
      <c r="ES22" s="262"/>
      <c r="ET22" s="120"/>
      <c r="EU22" s="262"/>
      <c r="EV22" s="262"/>
      <c r="EW22" s="120"/>
      <c r="EX22" s="262"/>
      <c r="EY22" s="262"/>
      <c r="EZ22" s="120"/>
      <c r="FA22" s="262"/>
      <c r="FB22" s="262"/>
      <c r="FC22" s="120"/>
      <c r="FD22" s="262"/>
      <c r="FE22" s="262"/>
      <c r="FF22" s="120"/>
      <c r="FG22" s="262"/>
      <c r="FH22" s="262"/>
      <c r="FI22" s="120"/>
      <c r="FJ22" s="262"/>
      <c r="FK22" s="262"/>
      <c r="FL22" s="120"/>
      <c r="FM22" s="262"/>
      <c r="FN22" s="262"/>
      <c r="FO22" s="120"/>
      <c r="FP22" s="262"/>
      <c r="FQ22" s="262"/>
      <c r="FR22" s="120"/>
      <c r="FS22" s="262"/>
      <c r="FT22" s="262"/>
      <c r="FU22" s="120"/>
      <c r="FV22" s="262"/>
      <c r="FW22" s="262"/>
      <c r="FX22" s="120"/>
      <c r="FY22" s="262"/>
      <c r="FZ22" s="262"/>
      <c r="GA22" s="256"/>
      <c r="GB22" s="233"/>
      <c r="GC22" s="233"/>
      <c r="GJ22" s="121">
        <f t="shared" si="8"/>
        <v>0</v>
      </c>
      <c r="GK22" s="121">
        <f t="shared" si="9"/>
        <v>0</v>
      </c>
    </row>
    <row r="23" spans="1:200" ht="38.25" customHeight="1" x14ac:dyDescent="0.55000000000000004">
      <c r="B23" s="303" t="s">
        <v>392</v>
      </c>
      <c r="C23" s="198"/>
      <c r="D23" s="198"/>
      <c r="E23" s="198"/>
      <c r="F23" s="198"/>
      <c r="G23" s="198"/>
      <c r="H23" s="198"/>
      <c r="I23" s="142"/>
      <c r="J23" s="122"/>
      <c r="K23" s="122"/>
      <c r="L23" s="249">
        <f t="shared" si="0"/>
        <v>7000</v>
      </c>
      <c r="M23" s="144">
        <f t="shared" si="1"/>
        <v>0</v>
      </c>
      <c r="N23" s="405"/>
      <c r="O23" s="145">
        <f t="shared" si="2"/>
        <v>0</v>
      </c>
      <c r="P23" s="145">
        <f t="shared" si="3"/>
        <v>0</v>
      </c>
      <c r="Q23" s="145">
        <f t="shared" si="4"/>
        <v>0</v>
      </c>
      <c r="R23" s="145">
        <f t="shared" si="5"/>
        <v>0</v>
      </c>
      <c r="S23" s="130">
        <f t="shared" si="7"/>
        <v>0</v>
      </c>
      <c r="T23" s="130">
        <f t="shared" si="6"/>
        <v>0</v>
      </c>
      <c r="U23" s="141"/>
      <c r="V23" s="123"/>
      <c r="W23" s="134"/>
      <c r="X23" s="124"/>
      <c r="Y23" s="134"/>
      <c r="Z23" s="200"/>
      <c r="AA23" s="120"/>
      <c r="AB23" s="134"/>
      <c r="AC23" s="200"/>
      <c r="AD23" s="125"/>
      <c r="AE23" s="134"/>
      <c r="AF23" s="200"/>
      <c r="AG23" s="120"/>
      <c r="AH23" s="262"/>
      <c r="AI23" s="262"/>
      <c r="AJ23" s="120"/>
      <c r="AK23" s="262"/>
      <c r="AL23" s="262"/>
      <c r="AM23" s="120"/>
      <c r="AN23" s="262"/>
      <c r="AO23" s="262"/>
      <c r="AP23" s="120"/>
      <c r="AQ23" s="262"/>
      <c r="AR23" s="262"/>
      <c r="AS23" s="120"/>
      <c r="AT23" s="262"/>
      <c r="AU23" s="262"/>
      <c r="AV23" s="120"/>
      <c r="AW23" s="262"/>
      <c r="AX23" s="262"/>
      <c r="AY23" s="120"/>
      <c r="AZ23" s="262"/>
      <c r="BA23" s="262"/>
      <c r="BB23" s="120"/>
      <c r="BC23" s="134"/>
      <c r="BD23" s="200"/>
      <c r="BE23" s="120"/>
      <c r="BF23" s="134"/>
      <c r="BG23" s="200"/>
      <c r="BH23" s="120"/>
      <c r="BI23" s="252"/>
      <c r="BJ23" s="252"/>
      <c r="BK23" s="120"/>
      <c r="BL23" s="134"/>
      <c r="BM23" s="134"/>
      <c r="BN23" s="120"/>
      <c r="BO23" s="252"/>
      <c r="BP23" s="252"/>
      <c r="BQ23" s="120"/>
      <c r="BR23" s="134"/>
      <c r="BS23" s="134"/>
      <c r="BT23" s="120"/>
      <c r="BU23" s="134"/>
      <c r="BV23" s="200"/>
      <c r="BW23" s="120"/>
      <c r="BX23" s="134"/>
      <c r="BY23" s="200"/>
      <c r="BZ23" s="120"/>
      <c r="CA23" s="126"/>
      <c r="CB23" s="126"/>
      <c r="CC23" s="120"/>
      <c r="CD23" s="126"/>
      <c r="CE23" s="126"/>
      <c r="CF23" s="120"/>
      <c r="CG23" s="134"/>
      <c r="CH23" s="134"/>
      <c r="CI23" s="120"/>
      <c r="CJ23" s="200"/>
      <c r="CK23" s="200"/>
      <c r="CL23" s="120"/>
      <c r="CM23" s="200"/>
      <c r="CN23" s="200"/>
      <c r="CO23" s="120"/>
      <c r="CP23" s="134"/>
      <c r="CQ23" s="134"/>
      <c r="CR23" s="120"/>
      <c r="CS23" s="134"/>
      <c r="CT23" s="134"/>
      <c r="CU23" s="120"/>
      <c r="CV23" s="202"/>
      <c r="CW23" s="202"/>
      <c r="CX23" s="120"/>
      <c r="CY23" s="202"/>
      <c r="CZ23" s="202"/>
      <c r="DA23" s="120"/>
      <c r="DB23" s="202"/>
      <c r="DC23" s="202"/>
      <c r="DD23" s="253"/>
      <c r="DE23" s="202"/>
      <c r="DF23" s="202"/>
      <c r="DG23" s="254"/>
      <c r="DH23" s="203"/>
      <c r="DI23" s="203"/>
      <c r="DJ23" s="259"/>
      <c r="DK23" s="136"/>
      <c r="DL23" s="136"/>
      <c r="DM23" s="120"/>
      <c r="DN23" s="233"/>
      <c r="DO23" s="233"/>
      <c r="DP23" s="120"/>
      <c r="DQ23" s="262"/>
      <c r="DR23" s="262"/>
      <c r="DS23" s="120"/>
      <c r="DT23" s="262"/>
      <c r="DU23" s="262"/>
      <c r="DV23" s="120"/>
      <c r="DW23" s="262"/>
      <c r="DX23" s="262"/>
      <c r="DY23" s="120"/>
      <c r="DZ23" s="262"/>
      <c r="EA23" s="262"/>
      <c r="EB23" s="265"/>
      <c r="EC23" s="262"/>
      <c r="ED23" s="262"/>
      <c r="EE23" s="254"/>
      <c r="EF23" s="233"/>
      <c r="EG23" s="233"/>
      <c r="EH23" s="120"/>
      <c r="EI23" s="262"/>
      <c r="EJ23" s="262"/>
      <c r="EK23" s="120"/>
      <c r="EL23" s="262"/>
      <c r="EM23" s="262"/>
      <c r="EN23" s="120"/>
      <c r="EO23" s="262"/>
      <c r="EP23" s="262"/>
      <c r="EQ23" s="120"/>
      <c r="ER23" s="262"/>
      <c r="ES23" s="262"/>
      <c r="ET23" s="120"/>
      <c r="EU23" s="262"/>
      <c r="EV23" s="262"/>
      <c r="EW23" s="120"/>
      <c r="EX23" s="262"/>
      <c r="EY23" s="262"/>
      <c r="EZ23" s="120"/>
      <c r="FA23" s="262"/>
      <c r="FB23" s="262"/>
      <c r="FC23" s="120"/>
      <c r="FD23" s="262"/>
      <c r="FE23" s="262"/>
      <c r="FF23" s="120"/>
      <c r="FG23" s="262"/>
      <c r="FH23" s="262"/>
      <c r="FI23" s="120"/>
      <c r="FJ23" s="262"/>
      <c r="FK23" s="262"/>
      <c r="FL23" s="120"/>
      <c r="FM23" s="262"/>
      <c r="FN23" s="262"/>
      <c r="FO23" s="120"/>
      <c r="FP23" s="262"/>
      <c r="FQ23" s="262"/>
      <c r="FR23" s="120"/>
      <c r="FS23" s="262"/>
      <c r="FT23" s="262"/>
      <c r="FU23" s="120"/>
      <c r="FV23" s="262"/>
      <c r="FW23" s="262"/>
      <c r="FX23" s="120"/>
      <c r="FY23" s="262"/>
      <c r="FZ23" s="262"/>
      <c r="GA23" s="256"/>
      <c r="GB23" s="233"/>
      <c r="GC23" s="233"/>
      <c r="GJ23" s="121">
        <f t="shared" si="8"/>
        <v>0</v>
      </c>
      <c r="GK23" s="121">
        <f t="shared" si="9"/>
        <v>0</v>
      </c>
    </row>
    <row r="24" spans="1:200" ht="38.25" customHeight="1" x14ac:dyDescent="0.55000000000000004">
      <c r="B24" s="303" t="s">
        <v>394</v>
      </c>
      <c r="C24" s="198"/>
      <c r="D24" s="198"/>
      <c r="E24" s="198"/>
      <c r="F24" s="198"/>
      <c r="G24" s="198"/>
      <c r="H24" s="198"/>
      <c r="I24" s="142"/>
      <c r="J24" s="122"/>
      <c r="K24" s="122"/>
      <c r="L24" s="249">
        <f t="shared" si="0"/>
        <v>7000</v>
      </c>
      <c r="M24" s="144">
        <f t="shared" si="1"/>
        <v>0</v>
      </c>
      <c r="N24" s="405"/>
      <c r="O24" s="145">
        <f t="shared" si="2"/>
        <v>0</v>
      </c>
      <c r="P24" s="145">
        <f t="shared" si="3"/>
        <v>0</v>
      </c>
      <c r="Q24" s="145">
        <f t="shared" si="4"/>
        <v>0</v>
      </c>
      <c r="R24" s="145">
        <f t="shared" si="5"/>
        <v>0</v>
      </c>
      <c r="S24" s="130">
        <f t="shared" si="7"/>
        <v>0</v>
      </c>
      <c r="T24" s="130">
        <f t="shared" si="6"/>
        <v>0</v>
      </c>
      <c r="U24" s="141"/>
      <c r="V24" s="123"/>
      <c r="W24" s="134"/>
      <c r="X24" s="335">
        <v>12</v>
      </c>
      <c r="Y24" s="336">
        <v>250</v>
      </c>
      <c r="Z24" s="337" t="s">
        <v>576</v>
      </c>
      <c r="AA24" s="120"/>
      <c r="AB24" s="134"/>
      <c r="AC24" s="200"/>
      <c r="AD24" s="125"/>
      <c r="AE24" s="134"/>
      <c r="AF24" s="200"/>
      <c r="AG24" s="120"/>
      <c r="AH24" s="262"/>
      <c r="AI24" s="262"/>
      <c r="AJ24" s="120"/>
      <c r="AK24" s="262"/>
      <c r="AL24" s="262"/>
      <c r="AM24" s="120"/>
      <c r="AN24" s="262"/>
      <c r="AO24" s="262"/>
      <c r="AP24" s="120"/>
      <c r="AQ24" s="262"/>
      <c r="AR24" s="262"/>
      <c r="AS24" s="120"/>
      <c r="AT24" s="262"/>
      <c r="AU24" s="262"/>
      <c r="AV24" s="120"/>
      <c r="AW24" s="262"/>
      <c r="AX24" s="262"/>
      <c r="AY24" s="120"/>
      <c r="AZ24" s="262"/>
      <c r="BA24" s="262"/>
      <c r="BB24" s="120"/>
      <c r="BC24" s="134"/>
      <c r="BD24" s="200"/>
      <c r="BE24" s="120"/>
      <c r="BF24" s="134"/>
      <c r="BG24" s="200"/>
      <c r="BH24" s="120"/>
      <c r="BI24" s="252"/>
      <c r="BJ24" s="252"/>
      <c r="BK24" s="120"/>
      <c r="BL24" s="134"/>
      <c r="BM24" s="134"/>
      <c r="BN24" s="120"/>
      <c r="BO24" s="252"/>
      <c r="BP24" s="252"/>
      <c r="BQ24" s="120"/>
      <c r="BR24" s="134"/>
      <c r="BS24" s="134"/>
      <c r="BT24" s="120"/>
      <c r="BU24" s="134"/>
      <c r="BV24" s="200"/>
      <c r="BW24" s="120"/>
      <c r="BX24" s="134"/>
      <c r="BY24" s="200"/>
      <c r="BZ24" s="120"/>
      <c r="CA24" s="126"/>
      <c r="CB24" s="126"/>
      <c r="CC24" s="120"/>
      <c r="CD24" s="126"/>
      <c r="CE24" s="126"/>
      <c r="CF24" s="120"/>
      <c r="CG24" s="134"/>
      <c r="CH24" s="134"/>
      <c r="CI24" s="120"/>
      <c r="CJ24" s="200"/>
      <c r="CK24" s="200"/>
      <c r="CL24" s="120"/>
      <c r="CM24" s="200"/>
      <c r="CN24" s="200"/>
      <c r="CO24" s="120"/>
      <c r="CP24" s="134"/>
      <c r="CQ24" s="134"/>
      <c r="CR24" s="120"/>
      <c r="CS24" s="134"/>
      <c r="CT24" s="134"/>
      <c r="CU24" s="120"/>
      <c r="CV24" s="202"/>
      <c r="CW24" s="202"/>
      <c r="CX24" s="120"/>
      <c r="CY24" s="202"/>
      <c r="CZ24" s="202"/>
      <c r="DA24" s="120"/>
      <c r="DB24" s="202"/>
      <c r="DC24" s="202"/>
      <c r="DD24" s="253"/>
      <c r="DE24" s="202"/>
      <c r="DF24" s="202"/>
      <c r="DG24" s="254"/>
      <c r="DH24" s="203"/>
      <c r="DI24" s="203"/>
      <c r="DJ24" s="259"/>
      <c r="DK24" s="136"/>
      <c r="DL24" s="136"/>
      <c r="DM24" s="120"/>
      <c r="DN24" s="233"/>
      <c r="DO24" s="233"/>
      <c r="DP24" s="120"/>
      <c r="DQ24" s="262"/>
      <c r="DR24" s="262"/>
      <c r="DS24" s="120"/>
      <c r="DT24" s="262"/>
      <c r="DU24" s="262"/>
      <c r="DV24" s="120"/>
      <c r="DW24" s="262"/>
      <c r="DX24" s="262"/>
      <c r="DY24" s="120"/>
      <c r="DZ24" s="262"/>
      <c r="EA24" s="262"/>
      <c r="EB24" s="265"/>
      <c r="EC24" s="262"/>
      <c r="ED24" s="262"/>
      <c r="EE24" s="254"/>
      <c r="EF24" s="233"/>
      <c r="EG24" s="233"/>
      <c r="EH24" s="120"/>
      <c r="EI24" s="262"/>
      <c r="EJ24" s="262"/>
      <c r="EK24" s="120"/>
      <c r="EL24" s="262"/>
      <c r="EM24" s="262"/>
      <c r="EN24" s="120"/>
      <c r="EO24" s="262"/>
      <c r="EP24" s="262"/>
      <c r="EQ24" s="120"/>
      <c r="ER24" s="262"/>
      <c r="ES24" s="262"/>
      <c r="ET24" s="120"/>
      <c r="EU24" s="262"/>
      <c r="EV24" s="262"/>
      <c r="EW24" s="120"/>
      <c r="EX24" s="262"/>
      <c r="EY24" s="262"/>
      <c r="EZ24" s="120"/>
      <c r="FA24" s="262"/>
      <c r="FB24" s="262"/>
      <c r="FC24" s="120"/>
      <c r="FD24" s="262"/>
      <c r="FE24" s="262"/>
      <c r="FF24" s="120"/>
      <c r="FG24" s="262"/>
      <c r="FH24" s="262"/>
      <c r="FI24" s="120"/>
      <c r="FJ24" s="262"/>
      <c r="FK24" s="262"/>
      <c r="FL24" s="120"/>
      <c r="FM24" s="262"/>
      <c r="FN24" s="262"/>
      <c r="FO24" s="120"/>
      <c r="FP24" s="262"/>
      <c r="FQ24" s="262"/>
      <c r="FR24" s="120"/>
      <c r="FS24" s="262"/>
      <c r="FT24" s="262"/>
      <c r="FU24" s="120"/>
      <c r="FV24" s="262"/>
      <c r="FW24" s="262"/>
      <c r="FX24" s="120"/>
      <c r="FY24" s="262"/>
      <c r="FZ24" s="262"/>
      <c r="GA24" s="256"/>
      <c r="GB24" s="233"/>
      <c r="GC24" s="233"/>
      <c r="GJ24" s="121">
        <f t="shared" si="8"/>
        <v>0</v>
      </c>
      <c r="GK24" s="121">
        <f t="shared" si="9"/>
        <v>0</v>
      </c>
    </row>
    <row r="25" spans="1:200" ht="38.25" customHeight="1" x14ac:dyDescent="0.55000000000000004">
      <c r="B25" s="303" t="s">
        <v>395</v>
      </c>
      <c r="C25" s="198"/>
      <c r="D25" s="198"/>
      <c r="E25" s="198"/>
      <c r="F25" s="198"/>
      <c r="G25" s="198"/>
      <c r="H25" s="198"/>
      <c r="I25" s="142"/>
      <c r="J25" s="122"/>
      <c r="K25" s="122"/>
      <c r="L25" s="249">
        <f t="shared" si="0"/>
        <v>7000</v>
      </c>
      <c r="M25" s="144">
        <f t="shared" si="1"/>
        <v>0</v>
      </c>
      <c r="N25" s="405"/>
      <c r="O25" s="145">
        <f t="shared" si="2"/>
        <v>0</v>
      </c>
      <c r="P25" s="145">
        <f t="shared" si="3"/>
        <v>0</v>
      </c>
      <c r="Q25" s="145">
        <f t="shared" si="4"/>
        <v>0</v>
      </c>
      <c r="R25" s="145">
        <f t="shared" si="5"/>
        <v>0</v>
      </c>
      <c r="S25" s="130">
        <f t="shared" si="7"/>
        <v>0</v>
      </c>
      <c r="T25" s="130">
        <f t="shared" si="6"/>
        <v>0</v>
      </c>
      <c r="U25" s="141"/>
      <c r="V25" s="123"/>
      <c r="W25" s="134"/>
      <c r="X25" s="335">
        <v>20</v>
      </c>
      <c r="Y25" s="336">
        <v>250</v>
      </c>
      <c r="Z25" s="337" t="s">
        <v>576</v>
      </c>
      <c r="AA25" s="120"/>
      <c r="AB25" s="134"/>
      <c r="AC25" s="200"/>
      <c r="AD25" s="125"/>
      <c r="AE25" s="134"/>
      <c r="AF25" s="200"/>
      <c r="AG25" s="120"/>
      <c r="AH25" s="262"/>
      <c r="AI25" s="262"/>
      <c r="AJ25" s="120"/>
      <c r="AK25" s="262"/>
      <c r="AL25" s="262"/>
      <c r="AM25" s="120"/>
      <c r="AN25" s="262"/>
      <c r="AO25" s="262"/>
      <c r="AP25" s="120"/>
      <c r="AQ25" s="262"/>
      <c r="AR25" s="262"/>
      <c r="AS25" s="120"/>
      <c r="AT25" s="262"/>
      <c r="AU25" s="262"/>
      <c r="AV25" s="120"/>
      <c r="AW25" s="262"/>
      <c r="AX25" s="262"/>
      <c r="AY25" s="120"/>
      <c r="AZ25" s="262"/>
      <c r="BA25" s="262"/>
      <c r="BB25" s="120"/>
      <c r="BC25" s="134"/>
      <c r="BD25" s="200"/>
      <c r="BE25" s="120"/>
      <c r="BF25" s="134"/>
      <c r="BG25" s="200"/>
      <c r="BH25" s="120"/>
      <c r="BI25" s="252"/>
      <c r="BJ25" s="252"/>
      <c r="BK25" s="120"/>
      <c r="BL25" s="134"/>
      <c r="BM25" s="134"/>
      <c r="BN25" s="120"/>
      <c r="BO25" s="252"/>
      <c r="BP25" s="252"/>
      <c r="BQ25" s="120"/>
      <c r="BR25" s="134"/>
      <c r="BS25" s="134"/>
      <c r="BT25" s="120"/>
      <c r="BU25" s="134"/>
      <c r="BV25" s="200"/>
      <c r="BW25" s="120"/>
      <c r="BX25" s="134"/>
      <c r="BY25" s="200"/>
      <c r="BZ25" s="120"/>
      <c r="CA25" s="126"/>
      <c r="CB25" s="126"/>
      <c r="CC25" s="120"/>
      <c r="CD25" s="126"/>
      <c r="CE25" s="126"/>
      <c r="CF25" s="120"/>
      <c r="CG25" s="134"/>
      <c r="CH25" s="134"/>
      <c r="CI25" s="120"/>
      <c r="CJ25" s="200"/>
      <c r="CK25" s="200"/>
      <c r="CL25" s="120"/>
      <c r="CM25" s="200"/>
      <c r="CN25" s="200"/>
      <c r="CO25" s="120"/>
      <c r="CP25" s="134"/>
      <c r="CQ25" s="134"/>
      <c r="CR25" s="120"/>
      <c r="CS25" s="134"/>
      <c r="CT25" s="134"/>
      <c r="CU25" s="120"/>
      <c r="CV25" s="202"/>
      <c r="CW25" s="202"/>
      <c r="CX25" s="120"/>
      <c r="CY25" s="202"/>
      <c r="CZ25" s="202"/>
      <c r="DA25" s="120"/>
      <c r="DB25" s="202"/>
      <c r="DC25" s="202"/>
      <c r="DD25" s="253"/>
      <c r="DE25" s="202"/>
      <c r="DF25" s="202"/>
      <c r="DG25" s="254"/>
      <c r="DH25" s="203"/>
      <c r="DI25" s="203"/>
      <c r="DJ25" s="259"/>
      <c r="DK25" s="136"/>
      <c r="DL25" s="136"/>
      <c r="DM25" s="120"/>
      <c r="DN25" s="233"/>
      <c r="DO25" s="233"/>
      <c r="DP25" s="120"/>
      <c r="DQ25" s="262"/>
      <c r="DR25" s="262"/>
      <c r="DS25" s="120"/>
      <c r="DT25" s="262"/>
      <c r="DU25" s="262"/>
      <c r="DV25" s="120"/>
      <c r="DW25" s="262"/>
      <c r="DX25" s="262"/>
      <c r="DY25" s="120"/>
      <c r="DZ25" s="262"/>
      <c r="EA25" s="262"/>
      <c r="EB25" s="265"/>
      <c r="EC25" s="262"/>
      <c r="ED25" s="262"/>
      <c r="EE25" s="254"/>
      <c r="EF25" s="233"/>
      <c r="EG25" s="233"/>
      <c r="EH25" s="120"/>
      <c r="EI25" s="262"/>
      <c r="EJ25" s="262"/>
      <c r="EK25" s="120"/>
      <c r="EL25" s="262"/>
      <c r="EM25" s="262"/>
      <c r="EN25" s="120"/>
      <c r="EO25" s="262"/>
      <c r="EP25" s="262"/>
      <c r="EQ25" s="120"/>
      <c r="ER25" s="262"/>
      <c r="ES25" s="262"/>
      <c r="ET25" s="120"/>
      <c r="EU25" s="262"/>
      <c r="EV25" s="262"/>
      <c r="EW25" s="120"/>
      <c r="EX25" s="262"/>
      <c r="EY25" s="262"/>
      <c r="EZ25" s="120"/>
      <c r="FA25" s="262"/>
      <c r="FB25" s="262"/>
      <c r="FC25" s="120"/>
      <c r="FD25" s="262"/>
      <c r="FE25" s="262"/>
      <c r="FF25" s="120"/>
      <c r="FG25" s="262"/>
      <c r="FH25" s="262"/>
      <c r="FI25" s="120"/>
      <c r="FJ25" s="262"/>
      <c r="FK25" s="262"/>
      <c r="FL25" s="120"/>
      <c r="FM25" s="262"/>
      <c r="FN25" s="262"/>
      <c r="FO25" s="120"/>
      <c r="FP25" s="262"/>
      <c r="FQ25" s="262"/>
      <c r="FR25" s="120"/>
      <c r="FS25" s="262"/>
      <c r="FT25" s="262"/>
      <c r="FU25" s="120"/>
      <c r="FV25" s="262"/>
      <c r="FW25" s="262"/>
      <c r="FX25" s="120"/>
      <c r="FY25" s="262"/>
      <c r="FZ25" s="262"/>
      <c r="GA25" s="256"/>
      <c r="GB25" s="233"/>
      <c r="GC25" s="233"/>
      <c r="GJ25" s="121">
        <f t="shared" si="8"/>
        <v>0</v>
      </c>
      <c r="GK25" s="121">
        <f t="shared" si="9"/>
        <v>0</v>
      </c>
    </row>
    <row r="26" spans="1:200" ht="38.25" customHeight="1" x14ac:dyDescent="0.55000000000000004">
      <c r="B26" s="303" t="s">
        <v>486</v>
      </c>
      <c r="C26" s="198"/>
      <c r="D26" s="198"/>
      <c r="E26" s="198"/>
      <c r="F26" s="198"/>
      <c r="G26" s="198"/>
      <c r="H26" s="198"/>
      <c r="I26" s="142"/>
      <c r="J26" s="122"/>
      <c r="K26" s="122"/>
      <c r="L26" s="249">
        <f t="shared" si="0"/>
        <v>7000</v>
      </c>
      <c r="M26" s="144">
        <f t="shared" si="1"/>
        <v>0</v>
      </c>
      <c r="N26" s="405"/>
      <c r="O26" s="145">
        <f t="shared" si="2"/>
        <v>0</v>
      </c>
      <c r="P26" s="145">
        <f t="shared" si="3"/>
        <v>0</v>
      </c>
      <c r="Q26" s="145">
        <f t="shared" si="4"/>
        <v>0</v>
      </c>
      <c r="R26" s="145">
        <f t="shared" si="5"/>
        <v>0</v>
      </c>
      <c r="S26" s="130">
        <f t="shared" si="7"/>
        <v>0</v>
      </c>
      <c r="T26" s="130">
        <f t="shared" si="6"/>
        <v>0</v>
      </c>
      <c r="U26" s="141"/>
      <c r="V26" s="123"/>
      <c r="W26" s="134"/>
      <c r="X26" s="335">
        <v>20</v>
      </c>
      <c r="Y26" s="336">
        <v>250</v>
      </c>
      <c r="Z26" s="337" t="s">
        <v>576</v>
      </c>
      <c r="AA26" s="120"/>
      <c r="AB26" s="134"/>
      <c r="AC26" s="200"/>
      <c r="AD26" s="125"/>
      <c r="AE26" s="134"/>
      <c r="AF26" s="200"/>
      <c r="AG26" s="120"/>
      <c r="AH26" s="262"/>
      <c r="AI26" s="262"/>
      <c r="AJ26" s="120"/>
      <c r="AK26" s="262"/>
      <c r="AL26" s="262"/>
      <c r="AM26" s="120"/>
      <c r="AN26" s="262"/>
      <c r="AO26" s="262"/>
      <c r="AP26" s="120"/>
      <c r="AQ26" s="262"/>
      <c r="AR26" s="262"/>
      <c r="AS26" s="120"/>
      <c r="AT26" s="262"/>
      <c r="AU26" s="262"/>
      <c r="AV26" s="120"/>
      <c r="AW26" s="262"/>
      <c r="AX26" s="262"/>
      <c r="AY26" s="120"/>
      <c r="AZ26" s="262"/>
      <c r="BA26" s="262"/>
      <c r="BB26" s="120"/>
      <c r="BC26" s="134"/>
      <c r="BD26" s="200"/>
      <c r="BE26" s="120"/>
      <c r="BF26" s="134"/>
      <c r="BG26" s="200"/>
      <c r="BH26" s="120"/>
      <c r="BI26" s="252"/>
      <c r="BJ26" s="252"/>
      <c r="BK26" s="120"/>
      <c r="BL26" s="134"/>
      <c r="BM26" s="134"/>
      <c r="BN26" s="120"/>
      <c r="BO26" s="252"/>
      <c r="BP26" s="252"/>
      <c r="BQ26" s="120"/>
      <c r="BR26" s="134"/>
      <c r="BS26" s="134"/>
      <c r="BT26" s="120"/>
      <c r="BU26" s="134"/>
      <c r="BV26" s="200"/>
      <c r="BW26" s="120"/>
      <c r="BX26" s="134"/>
      <c r="BY26" s="200"/>
      <c r="BZ26" s="120"/>
      <c r="CA26" s="126"/>
      <c r="CB26" s="126"/>
      <c r="CC26" s="120"/>
      <c r="CD26" s="126"/>
      <c r="CE26" s="126"/>
      <c r="CF26" s="120"/>
      <c r="CG26" s="134"/>
      <c r="CH26" s="134"/>
      <c r="CI26" s="120"/>
      <c r="CJ26" s="200"/>
      <c r="CK26" s="200"/>
      <c r="CL26" s="120"/>
      <c r="CM26" s="200"/>
      <c r="CN26" s="200"/>
      <c r="CO26" s="120"/>
      <c r="CP26" s="134"/>
      <c r="CQ26" s="134"/>
      <c r="CR26" s="120"/>
      <c r="CS26" s="134"/>
      <c r="CT26" s="134"/>
      <c r="CU26" s="120"/>
      <c r="CV26" s="202"/>
      <c r="CW26" s="202"/>
      <c r="CX26" s="120"/>
      <c r="CY26" s="202"/>
      <c r="CZ26" s="202"/>
      <c r="DA26" s="120"/>
      <c r="DB26" s="202"/>
      <c r="DC26" s="202"/>
      <c r="DD26" s="253"/>
      <c r="DE26" s="202"/>
      <c r="DF26" s="202"/>
      <c r="DG26" s="254"/>
      <c r="DH26" s="203"/>
      <c r="DI26" s="203"/>
      <c r="DJ26" s="259"/>
      <c r="DK26" s="136"/>
      <c r="DL26" s="136"/>
      <c r="DM26" s="120"/>
      <c r="DN26" s="233"/>
      <c r="DO26" s="233"/>
      <c r="DP26" s="120"/>
      <c r="DQ26" s="262"/>
      <c r="DR26" s="262"/>
      <c r="DS26" s="120"/>
      <c r="DT26" s="262"/>
      <c r="DU26" s="262"/>
      <c r="DV26" s="120"/>
      <c r="DW26" s="262"/>
      <c r="DX26" s="262"/>
      <c r="DY26" s="120"/>
      <c r="DZ26" s="262"/>
      <c r="EA26" s="262"/>
      <c r="EB26" s="265"/>
      <c r="EC26" s="262"/>
      <c r="ED26" s="262"/>
      <c r="EE26" s="254"/>
      <c r="EF26" s="233"/>
      <c r="EG26" s="233"/>
      <c r="EH26" s="120"/>
      <c r="EI26" s="262"/>
      <c r="EJ26" s="262"/>
      <c r="EK26" s="120"/>
      <c r="EL26" s="262"/>
      <c r="EM26" s="262"/>
      <c r="EN26" s="120"/>
      <c r="EO26" s="262"/>
      <c r="EP26" s="262"/>
      <c r="EQ26" s="120"/>
      <c r="ER26" s="262"/>
      <c r="ES26" s="262"/>
      <c r="ET26" s="120"/>
      <c r="EU26" s="262"/>
      <c r="EV26" s="262"/>
      <c r="EW26" s="120"/>
      <c r="EX26" s="262"/>
      <c r="EY26" s="262"/>
      <c r="EZ26" s="120"/>
      <c r="FA26" s="262"/>
      <c r="FB26" s="262"/>
      <c r="FC26" s="120"/>
      <c r="FD26" s="262"/>
      <c r="FE26" s="262"/>
      <c r="FF26" s="120"/>
      <c r="FG26" s="262"/>
      <c r="FH26" s="262"/>
      <c r="FI26" s="120"/>
      <c r="FJ26" s="262"/>
      <c r="FK26" s="262"/>
      <c r="FL26" s="120"/>
      <c r="FM26" s="262"/>
      <c r="FN26" s="262"/>
      <c r="FO26" s="120"/>
      <c r="FP26" s="262"/>
      <c r="FQ26" s="262"/>
      <c r="FR26" s="120"/>
      <c r="FS26" s="262"/>
      <c r="FT26" s="262"/>
      <c r="FU26" s="120"/>
      <c r="FV26" s="262"/>
      <c r="FW26" s="262"/>
      <c r="FX26" s="120"/>
      <c r="FY26" s="262"/>
      <c r="FZ26" s="262"/>
      <c r="GA26" s="256"/>
      <c r="GB26" s="233"/>
      <c r="GC26" s="233"/>
      <c r="GJ26" s="121">
        <f t="shared" si="8"/>
        <v>0</v>
      </c>
      <c r="GK26" s="121">
        <f t="shared" si="9"/>
        <v>0</v>
      </c>
    </row>
    <row r="27" spans="1:200" ht="38.25" customHeight="1" x14ac:dyDescent="0.55000000000000004">
      <c r="B27" s="303" t="s">
        <v>396</v>
      </c>
      <c r="C27" s="198"/>
      <c r="D27" s="198"/>
      <c r="E27" s="198"/>
      <c r="F27" s="198"/>
      <c r="G27" s="198"/>
      <c r="H27" s="198"/>
      <c r="I27" s="142"/>
      <c r="J27" s="122"/>
      <c r="K27" s="122"/>
      <c r="L27" s="249">
        <f t="shared" si="0"/>
        <v>7000</v>
      </c>
      <c r="M27" s="144">
        <f t="shared" si="1"/>
        <v>0</v>
      </c>
      <c r="N27" s="405"/>
      <c r="O27" s="145">
        <f t="shared" si="2"/>
        <v>0</v>
      </c>
      <c r="P27" s="145">
        <f t="shared" si="3"/>
        <v>0</v>
      </c>
      <c r="Q27" s="145">
        <f t="shared" si="4"/>
        <v>0</v>
      </c>
      <c r="R27" s="145">
        <f t="shared" si="5"/>
        <v>0</v>
      </c>
      <c r="S27" s="130">
        <f t="shared" si="7"/>
        <v>0</v>
      </c>
      <c r="T27" s="130">
        <f t="shared" si="6"/>
        <v>0</v>
      </c>
      <c r="U27" s="141"/>
      <c r="V27" s="123"/>
      <c r="W27" s="134"/>
      <c r="X27" s="335">
        <v>10</v>
      </c>
      <c r="Y27" s="336">
        <v>250</v>
      </c>
      <c r="Z27" s="337" t="s">
        <v>576</v>
      </c>
      <c r="AA27" s="120"/>
      <c r="AB27" s="134"/>
      <c r="AC27" s="200"/>
      <c r="AD27" s="125"/>
      <c r="AE27" s="134"/>
      <c r="AF27" s="200"/>
      <c r="AG27" s="120"/>
      <c r="AH27" s="262"/>
      <c r="AI27" s="262"/>
      <c r="AJ27" s="120"/>
      <c r="AK27" s="262"/>
      <c r="AL27" s="262"/>
      <c r="AM27" s="120"/>
      <c r="AN27" s="262"/>
      <c r="AO27" s="262"/>
      <c r="AP27" s="120"/>
      <c r="AQ27" s="262"/>
      <c r="AR27" s="262"/>
      <c r="AS27" s="120"/>
      <c r="AT27" s="262"/>
      <c r="AU27" s="262"/>
      <c r="AV27" s="120"/>
      <c r="AW27" s="262"/>
      <c r="AX27" s="262"/>
      <c r="AY27" s="120"/>
      <c r="AZ27" s="262"/>
      <c r="BA27" s="262"/>
      <c r="BB27" s="120"/>
      <c r="BC27" s="134"/>
      <c r="BD27" s="200"/>
      <c r="BE27" s="120"/>
      <c r="BF27" s="134"/>
      <c r="BG27" s="200"/>
      <c r="BH27" s="120"/>
      <c r="BI27" s="252"/>
      <c r="BJ27" s="252"/>
      <c r="BK27" s="120"/>
      <c r="BL27" s="134"/>
      <c r="BM27" s="134"/>
      <c r="BN27" s="120"/>
      <c r="BO27" s="252"/>
      <c r="BP27" s="252"/>
      <c r="BQ27" s="120"/>
      <c r="BR27" s="134"/>
      <c r="BS27" s="134"/>
      <c r="BT27" s="120"/>
      <c r="BU27" s="134"/>
      <c r="BV27" s="200"/>
      <c r="BW27" s="120"/>
      <c r="BX27" s="134"/>
      <c r="BY27" s="200"/>
      <c r="BZ27" s="120"/>
      <c r="CA27" s="126"/>
      <c r="CB27" s="126"/>
      <c r="CC27" s="120"/>
      <c r="CD27" s="126"/>
      <c r="CE27" s="126"/>
      <c r="CF27" s="120"/>
      <c r="CG27" s="134"/>
      <c r="CH27" s="134"/>
      <c r="CI27" s="120"/>
      <c r="CJ27" s="200"/>
      <c r="CK27" s="200"/>
      <c r="CL27" s="120"/>
      <c r="CM27" s="200"/>
      <c r="CN27" s="200"/>
      <c r="CO27" s="120"/>
      <c r="CP27" s="134"/>
      <c r="CQ27" s="134"/>
      <c r="CR27" s="120"/>
      <c r="CS27" s="134"/>
      <c r="CT27" s="134"/>
      <c r="CU27" s="120"/>
      <c r="CV27" s="202"/>
      <c r="CW27" s="202"/>
      <c r="CX27" s="120"/>
      <c r="CY27" s="202"/>
      <c r="CZ27" s="202"/>
      <c r="DA27" s="120"/>
      <c r="DB27" s="202"/>
      <c r="DC27" s="202"/>
      <c r="DD27" s="253"/>
      <c r="DE27" s="202"/>
      <c r="DF27" s="202"/>
      <c r="DG27" s="254"/>
      <c r="DH27" s="203"/>
      <c r="DI27" s="203"/>
      <c r="DJ27" s="259"/>
      <c r="DK27" s="136"/>
      <c r="DL27" s="136"/>
      <c r="DM27" s="120"/>
      <c r="DN27" s="233"/>
      <c r="DO27" s="233"/>
      <c r="DP27" s="120"/>
      <c r="DQ27" s="262"/>
      <c r="DR27" s="262"/>
      <c r="DS27" s="120"/>
      <c r="DT27" s="262"/>
      <c r="DU27" s="262"/>
      <c r="DV27" s="120"/>
      <c r="DW27" s="262"/>
      <c r="DX27" s="262"/>
      <c r="DY27" s="120"/>
      <c r="DZ27" s="262"/>
      <c r="EA27" s="262"/>
      <c r="EB27" s="265"/>
      <c r="EC27" s="262"/>
      <c r="ED27" s="262"/>
      <c r="EE27" s="254"/>
      <c r="EF27" s="233"/>
      <c r="EG27" s="233"/>
      <c r="EH27" s="120"/>
      <c r="EI27" s="262"/>
      <c r="EJ27" s="262"/>
      <c r="EK27" s="120"/>
      <c r="EL27" s="262"/>
      <c r="EM27" s="262"/>
      <c r="EN27" s="120"/>
      <c r="EO27" s="262"/>
      <c r="EP27" s="262"/>
      <c r="EQ27" s="120"/>
      <c r="ER27" s="262"/>
      <c r="ES27" s="262"/>
      <c r="ET27" s="120"/>
      <c r="EU27" s="262"/>
      <c r="EV27" s="262"/>
      <c r="EW27" s="120"/>
      <c r="EX27" s="262"/>
      <c r="EY27" s="262"/>
      <c r="EZ27" s="120"/>
      <c r="FA27" s="262"/>
      <c r="FB27" s="262"/>
      <c r="FC27" s="120"/>
      <c r="FD27" s="262"/>
      <c r="FE27" s="262"/>
      <c r="FF27" s="120"/>
      <c r="FG27" s="262"/>
      <c r="FH27" s="262"/>
      <c r="FI27" s="120"/>
      <c r="FJ27" s="262"/>
      <c r="FK27" s="262"/>
      <c r="FL27" s="120"/>
      <c r="FM27" s="262"/>
      <c r="FN27" s="262"/>
      <c r="FO27" s="120"/>
      <c r="FP27" s="262"/>
      <c r="FQ27" s="262"/>
      <c r="FR27" s="120"/>
      <c r="FS27" s="262"/>
      <c r="FT27" s="262"/>
      <c r="FU27" s="120"/>
      <c r="FV27" s="262"/>
      <c r="FW27" s="262"/>
      <c r="FX27" s="120"/>
      <c r="FY27" s="262"/>
      <c r="FZ27" s="262"/>
      <c r="GA27" s="256"/>
      <c r="GB27" s="233"/>
      <c r="GC27" s="233"/>
      <c r="GJ27" s="121">
        <f t="shared" si="8"/>
        <v>0</v>
      </c>
      <c r="GK27" s="121">
        <f t="shared" si="9"/>
        <v>0</v>
      </c>
    </row>
    <row r="28" spans="1:200" ht="38.25" customHeight="1" x14ac:dyDescent="0.55000000000000004">
      <c r="B28" s="303" t="s">
        <v>397</v>
      </c>
      <c r="C28" s="198"/>
      <c r="D28" s="198"/>
      <c r="E28" s="198"/>
      <c r="F28" s="198"/>
      <c r="G28" s="198"/>
      <c r="H28" s="198"/>
      <c r="I28" s="142"/>
      <c r="J28" s="122"/>
      <c r="K28" s="122"/>
      <c r="L28" s="249">
        <f t="shared" si="0"/>
        <v>7000</v>
      </c>
      <c r="M28" s="144">
        <f t="shared" si="1"/>
        <v>0</v>
      </c>
      <c r="N28" s="405"/>
      <c r="O28" s="145">
        <f t="shared" si="2"/>
        <v>0</v>
      </c>
      <c r="P28" s="145">
        <f t="shared" si="3"/>
        <v>0</v>
      </c>
      <c r="Q28" s="145">
        <f t="shared" si="4"/>
        <v>0</v>
      </c>
      <c r="R28" s="145">
        <f t="shared" si="5"/>
        <v>0</v>
      </c>
      <c r="S28" s="130">
        <f t="shared" si="7"/>
        <v>0</v>
      </c>
      <c r="T28" s="130">
        <f t="shared" si="6"/>
        <v>0</v>
      </c>
      <c r="U28" s="141"/>
      <c r="V28" s="123"/>
      <c r="W28" s="134"/>
      <c r="X28" s="335">
        <v>10</v>
      </c>
      <c r="Y28" s="336">
        <v>250</v>
      </c>
      <c r="Z28" s="337" t="s">
        <v>576</v>
      </c>
      <c r="AA28" s="120"/>
      <c r="AB28" s="134"/>
      <c r="AC28" s="200"/>
      <c r="AD28" s="125"/>
      <c r="AE28" s="134"/>
      <c r="AF28" s="200"/>
      <c r="AG28" s="120"/>
      <c r="AH28" s="262"/>
      <c r="AI28" s="262"/>
      <c r="AJ28" s="120"/>
      <c r="AK28" s="262"/>
      <c r="AL28" s="262"/>
      <c r="AM28" s="120"/>
      <c r="AN28" s="262"/>
      <c r="AO28" s="262"/>
      <c r="AP28" s="120"/>
      <c r="AQ28" s="262"/>
      <c r="AR28" s="262"/>
      <c r="AS28" s="120"/>
      <c r="AT28" s="262"/>
      <c r="AU28" s="262"/>
      <c r="AV28" s="120"/>
      <c r="AW28" s="262"/>
      <c r="AX28" s="262"/>
      <c r="AY28" s="120"/>
      <c r="AZ28" s="262"/>
      <c r="BA28" s="262"/>
      <c r="BB28" s="120"/>
      <c r="BC28" s="134"/>
      <c r="BD28" s="200"/>
      <c r="BE28" s="120"/>
      <c r="BF28" s="134"/>
      <c r="BG28" s="200"/>
      <c r="BH28" s="120"/>
      <c r="BI28" s="252"/>
      <c r="BJ28" s="252"/>
      <c r="BK28" s="120"/>
      <c r="BL28" s="134"/>
      <c r="BM28" s="134"/>
      <c r="BN28" s="120"/>
      <c r="BO28" s="252"/>
      <c r="BP28" s="252"/>
      <c r="BQ28" s="120"/>
      <c r="BR28" s="134"/>
      <c r="BS28" s="134"/>
      <c r="BT28" s="120"/>
      <c r="BU28" s="134"/>
      <c r="BV28" s="200"/>
      <c r="BW28" s="120"/>
      <c r="BX28" s="134"/>
      <c r="BY28" s="200"/>
      <c r="BZ28" s="120"/>
      <c r="CA28" s="126"/>
      <c r="CB28" s="126"/>
      <c r="CC28" s="120"/>
      <c r="CD28" s="126"/>
      <c r="CE28" s="126"/>
      <c r="CF28" s="120"/>
      <c r="CG28" s="134"/>
      <c r="CH28" s="134"/>
      <c r="CI28" s="120"/>
      <c r="CJ28" s="200"/>
      <c r="CK28" s="200"/>
      <c r="CL28" s="120"/>
      <c r="CM28" s="200"/>
      <c r="CN28" s="200"/>
      <c r="CO28" s="120"/>
      <c r="CP28" s="134"/>
      <c r="CQ28" s="134"/>
      <c r="CR28" s="120"/>
      <c r="CS28" s="134"/>
      <c r="CT28" s="134"/>
      <c r="CU28" s="120"/>
      <c r="CV28" s="202"/>
      <c r="CW28" s="202"/>
      <c r="CX28" s="120"/>
      <c r="CY28" s="202"/>
      <c r="CZ28" s="202"/>
      <c r="DA28" s="120"/>
      <c r="DB28" s="202"/>
      <c r="DC28" s="202"/>
      <c r="DD28" s="253"/>
      <c r="DE28" s="202"/>
      <c r="DF28" s="202"/>
      <c r="DG28" s="254"/>
      <c r="DH28" s="203"/>
      <c r="DI28" s="203"/>
      <c r="DJ28" s="259"/>
      <c r="DK28" s="136"/>
      <c r="DL28" s="136"/>
      <c r="DM28" s="120"/>
      <c r="DN28" s="233"/>
      <c r="DO28" s="233"/>
      <c r="DP28" s="120"/>
      <c r="DQ28" s="262"/>
      <c r="DR28" s="262"/>
      <c r="DS28" s="120"/>
      <c r="DT28" s="262"/>
      <c r="DU28" s="262"/>
      <c r="DV28" s="120"/>
      <c r="DW28" s="262"/>
      <c r="DX28" s="262"/>
      <c r="DY28" s="120"/>
      <c r="DZ28" s="262"/>
      <c r="EA28" s="262"/>
      <c r="EB28" s="265"/>
      <c r="EC28" s="262"/>
      <c r="ED28" s="262"/>
      <c r="EE28" s="254"/>
      <c r="EF28" s="233"/>
      <c r="EG28" s="233"/>
      <c r="EH28" s="120"/>
      <c r="EI28" s="262"/>
      <c r="EJ28" s="262"/>
      <c r="EK28" s="120"/>
      <c r="EL28" s="262"/>
      <c r="EM28" s="262"/>
      <c r="EN28" s="120"/>
      <c r="EO28" s="262"/>
      <c r="EP28" s="262"/>
      <c r="EQ28" s="120"/>
      <c r="ER28" s="262"/>
      <c r="ES28" s="262"/>
      <c r="ET28" s="120"/>
      <c r="EU28" s="262"/>
      <c r="EV28" s="262"/>
      <c r="EW28" s="120"/>
      <c r="EX28" s="262"/>
      <c r="EY28" s="262"/>
      <c r="EZ28" s="120"/>
      <c r="FA28" s="262"/>
      <c r="FB28" s="262"/>
      <c r="FC28" s="120"/>
      <c r="FD28" s="262"/>
      <c r="FE28" s="262"/>
      <c r="FF28" s="120"/>
      <c r="FG28" s="262"/>
      <c r="FH28" s="262"/>
      <c r="FI28" s="120"/>
      <c r="FJ28" s="262"/>
      <c r="FK28" s="262"/>
      <c r="FL28" s="120"/>
      <c r="FM28" s="262"/>
      <c r="FN28" s="262"/>
      <c r="FO28" s="120"/>
      <c r="FP28" s="262"/>
      <c r="FQ28" s="262"/>
      <c r="FR28" s="120"/>
      <c r="FS28" s="262"/>
      <c r="FT28" s="262"/>
      <c r="FU28" s="120"/>
      <c r="FV28" s="262"/>
      <c r="FW28" s="262"/>
      <c r="FX28" s="120"/>
      <c r="FY28" s="262"/>
      <c r="FZ28" s="262"/>
      <c r="GA28" s="256"/>
      <c r="GB28" s="233"/>
      <c r="GC28" s="233"/>
      <c r="GJ28" s="121">
        <f t="shared" si="8"/>
        <v>0</v>
      </c>
      <c r="GK28" s="121">
        <f t="shared" si="9"/>
        <v>0</v>
      </c>
    </row>
    <row r="29" spans="1:200" ht="38.25" customHeight="1" x14ac:dyDescent="0.55000000000000004">
      <c r="B29" s="303" t="s">
        <v>398</v>
      </c>
      <c r="C29" s="198"/>
      <c r="D29" s="198"/>
      <c r="E29" s="198"/>
      <c r="F29" s="198"/>
      <c r="G29" s="198"/>
      <c r="H29" s="198"/>
      <c r="I29" s="142"/>
      <c r="J29" s="122"/>
      <c r="K29" s="122"/>
      <c r="L29" s="249">
        <f t="shared" si="0"/>
        <v>7000</v>
      </c>
      <c r="M29" s="144">
        <f t="shared" si="1"/>
        <v>0</v>
      </c>
      <c r="N29" s="405"/>
      <c r="O29" s="145">
        <f t="shared" si="2"/>
        <v>0</v>
      </c>
      <c r="P29" s="145">
        <f t="shared" si="3"/>
        <v>0</v>
      </c>
      <c r="Q29" s="145">
        <f t="shared" si="4"/>
        <v>0</v>
      </c>
      <c r="R29" s="145">
        <f t="shared" si="5"/>
        <v>0</v>
      </c>
      <c r="S29" s="130">
        <f t="shared" si="7"/>
        <v>0</v>
      </c>
      <c r="T29" s="130">
        <f t="shared" si="6"/>
        <v>0</v>
      </c>
      <c r="U29" s="141">
        <v>145</v>
      </c>
      <c r="V29" s="123">
        <v>18</v>
      </c>
      <c r="W29" s="134"/>
      <c r="X29" s="124">
        <v>8</v>
      </c>
      <c r="Y29" s="134"/>
      <c r="Z29" s="200"/>
      <c r="AA29" s="120"/>
      <c r="AB29" s="134"/>
      <c r="AC29" s="200"/>
      <c r="AD29" s="125">
        <v>206</v>
      </c>
      <c r="AE29" s="134"/>
      <c r="AF29" s="200"/>
      <c r="AG29" s="120"/>
      <c r="AH29" s="262"/>
      <c r="AI29" s="262"/>
      <c r="AJ29" s="120"/>
      <c r="AK29" s="262"/>
      <c r="AL29" s="262"/>
      <c r="AM29" s="120"/>
      <c r="AN29" s="262"/>
      <c r="AO29" s="262"/>
      <c r="AP29" s="120"/>
      <c r="AQ29" s="262"/>
      <c r="AR29" s="262"/>
      <c r="AS29" s="120"/>
      <c r="AT29" s="262"/>
      <c r="AU29" s="262"/>
      <c r="AV29" s="120"/>
      <c r="AW29" s="262"/>
      <c r="AX29" s="262"/>
      <c r="AY29" s="120"/>
      <c r="AZ29" s="262"/>
      <c r="BA29" s="262"/>
      <c r="BB29" s="120"/>
      <c r="BC29" s="134"/>
      <c r="BD29" s="200"/>
      <c r="BE29" s="120"/>
      <c r="BF29" s="134"/>
      <c r="BG29" s="200"/>
      <c r="BH29" s="120"/>
      <c r="BI29" s="252"/>
      <c r="BJ29" s="252"/>
      <c r="BK29" s="120"/>
      <c r="BL29" s="134"/>
      <c r="BM29" s="134"/>
      <c r="BN29" s="120"/>
      <c r="BO29" s="252"/>
      <c r="BP29" s="252"/>
      <c r="BQ29" s="120"/>
      <c r="BR29" s="134"/>
      <c r="BS29" s="134"/>
      <c r="BT29" s="120"/>
      <c r="BU29" s="134"/>
      <c r="BV29" s="200"/>
      <c r="BW29" s="120"/>
      <c r="BX29" s="134"/>
      <c r="BY29" s="200"/>
      <c r="BZ29" s="120"/>
      <c r="CA29" s="126"/>
      <c r="CB29" s="126"/>
      <c r="CC29" s="120"/>
      <c r="CD29" s="126"/>
      <c r="CE29" s="126"/>
      <c r="CF29" s="120"/>
      <c r="CG29" s="134"/>
      <c r="CH29" s="134"/>
      <c r="CI29" s="120"/>
      <c r="CJ29" s="200"/>
      <c r="CK29" s="200"/>
      <c r="CL29" s="120"/>
      <c r="CM29" s="200"/>
      <c r="CN29" s="200"/>
      <c r="CO29" s="120"/>
      <c r="CP29" s="134"/>
      <c r="CQ29" s="134"/>
      <c r="CR29" s="120"/>
      <c r="CS29" s="134"/>
      <c r="CT29" s="134"/>
      <c r="CU29" s="120"/>
      <c r="CV29" s="202"/>
      <c r="CW29" s="202"/>
      <c r="CX29" s="120"/>
      <c r="CY29" s="202"/>
      <c r="CZ29" s="202"/>
      <c r="DA29" s="120"/>
      <c r="DB29" s="202"/>
      <c r="DC29" s="202"/>
      <c r="DD29" s="253"/>
      <c r="DE29" s="202"/>
      <c r="DF29" s="202"/>
      <c r="DG29" s="254"/>
      <c r="DH29" s="203"/>
      <c r="DI29" s="203"/>
      <c r="DJ29" s="259"/>
      <c r="DK29" s="136"/>
      <c r="DL29" s="136"/>
      <c r="DM29" s="120"/>
      <c r="DN29" s="233"/>
      <c r="DO29" s="233"/>
      <c r="DP29" s="120"/>
      <c r="DQ29" s="262"/>
      <c r="DR29" s="262"/>
      <c r="DS29" s="120"/>
      <c r="DT29" s="262"/>
      <c r="DU29" s="262"/>
      <c r="DV29" s="120"/>
      <c r="DW29" s="262"/>
      <c r="DX29" s="262"/>
      <c r="DY29" s="120"/>
      <c r="DZ29" s="262"/>
      <c r="EA29" s="262"/>
      <c r="EB29" s="265"/>
      <c r="EC29" s="262"/>
      <c r="ED29" s="262"/>
      <c r="EE29" s="254"/>
      <c r="EF29" s="233"/>
      <c r="EG29" s="233"/>
      <c r="EH29" s="120"/>
      <c r="EI29" s="262"/>
      <c r="EJ29" s="262"/>
      <c r="EK29" s="120"/>
      <c r="EL29" s="262"/>
      <c r="EM29" s="262"/>
      <c r="EN29" s="120"/>
      <c r="EO29" s="262"/>
      <c r="EP29" s="262"/>
      <c r="EQ29" s="120"/>
      <c r="ER29" s="262"/>
      <c r="ES29" s="262"/>
      <c r="ET29" s="120"/>
      <c r="EU29" s="262"/>
      <c r="EV29" s="262"/>
      <c r="EW29" s="120"/>
      <c r="EX29" s="262"/>
      <c r="EY29" s="262"/>
      <c r="EZ29" s="120"/>
      <c r="FA29" s="262"/>
      <c r="FB29" s="262"/>
      <c r="FC29" s="120"/>
      <c r="FD29" s="262"/>
      <c r="FE29" s="262"/>
      <c r="FF29" s="120"/>
      <c r="FG29" s="262"/>
      <c r="FH29" s="262"/>
      <c r="FI29" s="120"/>
      <c r="FJ29" s="262"/>
      <c r="FK29" s="262"/>
      <c r="FL29" s="120"/>
      <c r="FM29" s="262"/>
      <c r="FN29" s="262"/>
      <c r="FO29" s="120"/>
      <c r="FP29" s="262"/>
      <c r="FQ29" s="262"/>
      <c r="FR29" s="120"/>
      <c r="FS29" s="262"/>
      <c r="FT29" s="262"/>
      <c r="FU29" s="120"/>
      <c r="FV29" s="262"/>
      <c r="FW29" s="262"/>
      <c r="FX29" s="120"/>
      <c r="FY29" s="262"/>
      <c r="FZ29" s="262"/>
      <c r="GA29" s="256"/>
      <c r="GB29" s="233"/>
      <c r="GC29" s="233"/>
      <c r="GJ29" s="121">
        <f t="shared" si="8"/>
        <v>0</v>
      </c>
      <c r="GK29" s="121">
        <f t="shared" si="9"/>
        <v>0</v>
      </c>
    </row>
    <row r="30" spans="1:200" ht="38.25" customHeight="1" x14ac:dyDescent="0.55000000000000004">
      <c r="B30" s="303" t="s">
        <v>399</v>
      </c>
      <c r="C30" s="198"/>
      <c r="D30" s="198"/>
      <c r="E30" s="198"/>
      <c r="F30" s="198"/>
      <c r="G30" s="198"/>
      <c r="H30" s="198"/>
      <c r="I30" s="142"/>
      <c r="J30" s="122"/>
      <c r="K30" s="122"/>
      <c r="L30" s="249">
        <f t="shared" si="0"/>
        <v>7000</v>
      </c>
      <c r="M30" s="144">
        <f t="shared" si="1"/>
        <v>0</v>
      </c>
      <c r="N30" s="405"/>
      <c r="O30" s="145">
        <f t="shared" si="2"/>
        <v>0</v>
      </c>
      <c r="P30" s="145">
        <f t="shared" si="3"/>
        <v>0</v>
      </c>
      <c r="Q30" s="145">
        <f t="shared" si="4"/>
        <v>0</v>
      </c>
      <c r="R30" s="145">
        <f t="shared" si="5"/>
        <v>0</v>
      </c>
      <c r="S30" s="130">
        <f t="shared" si="7"/>
        <v>0</v>
      </c>
      <c r="T30" s="130">
        <f t="shared" si="6"/>
        <v>0</v>
      </c>
      <c r="U30" s="141"/>
      <c r="V30" s="123"/>
      <c r="W30" s="134"/>
      <c r="X30" s="335">
        <v>10</v>
      </c>
      <c r="Y30" s="336">
        <v>250</v>
      </c>
      <c r="Z30" s="337" t="s">
        <v>576</v>
      </c>
      <c r="AA30" s="120"/>
      <c r="AB30" s="134"/>
      <c r="AC30" s="200"/>
      <c r="AD30" s="125"/>
      <c r="AE30" s="134"/>
      <c r="AF30" s="200"/>
      <c r="AG30" s="120"/>
      <c r="AH30" s="262"/>
      <c r="AI30" s="262"/>
      <c r="AJ30" s="120"/>
      <c r="AK30" s="262"/>
      <c r="AL30" s="262"/>
      <c r="AM30" s="120"/>
      <c r="AN30" s="262"/>
      <c r="AO30" s="262"/>
      <c r="AP30" s="120"/>
      <c r="AQ30" s="262"/>
      <c r="AR30" s="262"/>
      <c r="AS30" s="120"/>
      <c r="AT30" s="262"/>
      <c r="AU30" s="262"/>
      <c r="AV30" s="120"/>
      <c r="AW30" s="262"/>
      <c r="AX30" s="262"/>
      <c r="AY30" s="120"/>
      <c r="AZ30" s="262"/>
      <c r="BA30" s="262"/>
      <c r="BB30" s="120"/>
      <c r="BC30" s="134"/>
      <c r="BD30" s="200"/>
      <c r="BE30" s="120"/>
      <c r="BF30" s="134"/>
      <c r="BG30" s="200"/>
      <c r="BH30" s="120"/>
      <c r="BI30" s="252"/>
      <c r="BJ30" s="252"/>
      <c r="BK30" s="120"/>
      <c r="BL30" s="134"/>
      <c r="BM30" s="134"/>
      <c r="BN30" s="120"/>
      <c r="BO30" s="252"/>
      <c r="BP30" s="252"/>
      <c r="BQ30" s="120"/>
      <c r="BR30" s="134"/>
      <c r="BS30" s="134"/>
      <c r="BT30" s="120"/>
      <c r="BU30" s="134"/>
      <c r="BV30" s="200"/>
      <c r="BW30" s="120"/>
      <c r="BX30" s="134"/>
      <c r="BY30" s="200"/>
      <c r="BZ30" s="120"/>
      <c r="CA30" s="126"/>
      <c r="CB30" s="126"/>
      <c r="CC30" s="120"/>
      <c r="CD30" s="126"/>
      <c r="CE30" s="126"/>
      <c r="CF30" s="120"/>
      <c r="CG30" s="134"/>
      <c r="CH30" s="134"/>
      <c r="CI30" s="120"/>
      <c r="CJ30" s="200"/>
      <c r="CK30" s="200"/>
      <c r="CL30" s="120"/>
      <c r="CM30" s="200"/>
      <c r="CN30" s="200"/>
      <c r="CO30" s="120"/>
      <c r="CP30" s="134"/>
      <c r="CQ30" s="134"/>
      <c r="CR30" s="120"/>
      <c r="CS30" s="134"/>
      <c r="CT30" s="134"/>
      <c r="CU30" s="120"/>
      <c r="CV30" s="202"/>
      <c r="CW30" s="202"/>
      <c r="CX30" s="120"/>
      <c r="CY30" s="202"/>
      <c r="CZ30" s="202"/>
      <c r="DA30" s="120"/>
      <c r="DB30" s="202"/>
      <c r="DC30" s="202"/>
      <c r="DD30" s="253"/>
      <c r="DE30" s="202"/>
      <c r="DF30" s="202"/>
      <c r="DG30" s="254"/>
      <c r="DH30" s="203"/>
      <c r="DI30" s="203"/>
      <c r="DJ30" s="259"/>
      <c r="DK30" s="136"/>
      <c r="DL30" s="136"/>
      <c r="DM30" s="120"/>
      <c r="DN30" s="233"/>
      <c r="DO30" s="233"/>
      <c r="DP30" s="120"/>
      <c r="DQ30" s="262"/>
      <c r="DR30" s="262"/>
      <c r="DS30" s="120"/>
      <c r="DT30" s="262"/>
      <c r="DU30" s="262"/>
      <c r="DV30" s="120"/>
      <c r="DW30" s="262"/>
      <c r="DX30" s="262"/>
      <c r="DY30" s="120"/>
      <c r="DZ30" s="262"/>
      <c r="EA30" s="262"/>
      <c r="EB30" s="265"/>
      <c r="EC30" s="262"/>
      <c r="ED30" s="262"/>
      <c r="EE30" s="254"/>
      <c r="EF30" s="233"/>
      <c r="EG30" s="233"/>
      <c r="EH30" s="120"/>
      <c r="EI30" s="262"/>
      <c r="EJ30" s="262"/>
      <c r="EK30" s="120"/>
      <c r="EL30" s="262"/>
      <c r="EM30" s="262"/>
      <c r="EN30" s="120"/>
      <c r="EO30" s="262"/>
      <c r="EP30" s="262"/>
      <c r="EQ30" s="120"/>
      <c r="ER30" s="262"/>
      <c r="ES30" s="262"/>
      <c r="ET30" s="120"/>
      <c r="EU30" s="262"/>
      <c r="EV30" s="262"/>
      <c r="EW30" s="120"/>
      <c r="EX30" s="262"/>
      <c r="EY30" s="262"/>
      <c r="EZ30" s="120"/>
      <c r="FA30" s="262"/>
      <c r="FB30" s="262"/>
      <c r="FC30" s="120"/>
      <c r="FD30" s="262"/>
      <c r="FE30" s="262"/>
      <c r="FF30" s="120"/>
      <c r="FG30" s="262"/>
      <c r="FH30" s="262"/>
      <c r="FI30" s="120"/>
      <c r="FJ30" s="262"/>
      <c r="FK30" s="262"/>
      <c r="FL30" s="120"/>
      <c r="FM30" s="262"/>
      <c r="FN30" s="262"/>
      <c r="FO30" s="120"/>
      <c r="FP30" s="262"/>
      <c r="FQ30" s="262"/>
      <c r="FR30" s="120"/>
      <c r="FS30" s="262"/>
      <c r="FT30" s="262"/>
      <c r="FU30" s="120"/>
      <c r="FV30" s="262"/>
      <c r="FW30" s="262"/>
      <c r="FX30" s="120"/>
      <c r="FY30" s="262"/>
      <c r="FZ30" s="262"/>
      <c r="GA30" s="256"/>
      <c r="GB30" s="233"/>
      <c r="GC30" s="233"/>
      <c r="GJ30" s="121">
        <f t="shared" si="8"/>
        <v>0</v>
      </c>
      <c r="GK30" s="121">
        <f t="shared" si="9"/>
        <v>0</v>
      </c>
    </row>
    <row r="31" spans="1:200" ht="38.25" customHeight="1" x14ac:dyDescent="0.55000000000000004">
      <c r="B31" s="304" t="s">
        <v>400</v>
      </c>
      <c r="C31" s="139"/>
      <c r="D31" s="139"/>
      <c r="E31" s="139"/>
      <c r="F31" s="139"/>
      <c r="G31" s="139"/>
      <c r="H31" s="139"/>
      <c r="I31" s="122" cm="1">
        <f t="array" ref="I31">SUMPRODUCT(($X$2:$GG$2&lt;&gt;"")*($X31:$GG31&lt;&gt;""))</f>
        <v>1</v>
      </c>
      <c r="J31" s="122">
        <f>I31*C31</f>
        <v>0</v>
      </c>
      <c r="K31" s="122">
        <f>($L$1/$K$2)*J31</f>
        <v>0</v>
      </c>
      <c r="L31" s="249">
        <f t="shared" si="0"/>
        <v>7000</v>
      </c>
      <c r="M31" s="144">
        <f>IFERROR(IF(N(Y31)=0,0,(X31/Y31)*L31*(C31+D31+E31+I31)),0)</f>
        <v>700</v>
      </c>
      <c r="N31" s="405"/>
      <c r="O31" s="145">
        <f>IFERROR(IF(N(AE31)=0,0,(AD31/AE31)*L31*(C31+D31+E31+I31)),0)</f>
        <v>0</v>
      </c>
      <c r="P31" s="145">
        <f>(IFERROR(AA31/AB31,0)+IFERROR(AG31/AH31,0)+IFERROR(AJ31/AK31,0)+IFERROR(AM31/AN31,0)+IFERROR(AP31/AQ31,0)+IFERROR(AS31/AT31,0)+IFERROR(AV31/AW31,0)+IFERROR(AY31/AZ31,0)+IFERROR(BB31/BC31,0)+IFERROR(BE31/BF31,0)+IFERROR(BH31/BI31,0)+IFERROR(BK31/BL31,0)+IFERROR(BN31/BO31,0)+IFERROR(BQ31/BR31,0)+IFERROR(BT31/BU31,0)+IFERROR(BW31/BX31,0)+IFERROR(BZ31/CA31,0)+IFERROR(CC31/CD31,0)+IFERROR(CF31/CG31,0)+IFERROR(CI31/CJ31,0)+IFERROR(CL31/CM31,0)+IFERROR(CO31/CP31,0)+IFERROR(CR31/CS31,0)+IFERROR(CU31/CV31,0)+IFERROR(CX31/CY31,0)+IFERROR(DA31/DB31,0)+IFERROR(DM31/DN31,0)+IFERROR(DP31/DQ31,0)+IFERROR(DS31/DT31,0)+IFERROR(DV31/DW31,0)+IFERROR(DY31/DZ31,0)+IFERROR(EH31/EI31,0)+IFERROR(EK31/EL31,0)+IFERROR(EN31/EO31,0)+IFERROR(EQ31/ER31,0)+IFERROR(ET31/EU31,0)+IFERROR(EW31/EX31,0)+IFERROR(EZ31/FA31,0)+IFERROR(FC31/FD31,0)+IFERROR(FF31/FG31,0)+IFERROR(FI31/FJ31,0)+IFERROR(FL31/FM31,0)+IFERROR(FO31/FP31,0)+IFERROR(FR31/FS31,0)+IFERROR(FU31/FV31,0)+IFERROR(FX31/FY31,0))*L31*(C31+D31+E31+I31)</f>
        <v>0</v>
      </c>
      <c r="Q31" s="145">
        <f>IFERROR(IF(N(EC31)=0,0,(EB31/EC31)*L31*(C31+D31+E31+I31)),0)</f>
        <v>0</v>
      </c>
      <c r="R31" s="145">
        <f>(IFERROR(DJ31/DK31,0)+IFERROR(DG31/DH31,0)+IFERROR(EE31/EF31,0)+IFERROR(GA31/GB31,0))*L31*(C31+D31+E31+I31)</f>
        <v>0</v>
      </c>
      <c r="S31" s="130">
        <f>IFERROR(IF(N(W31)=0,0,(V31/W31)*L31*(C31+D31+E31+I31)),0)</f>
        <v>0</v>
      </c>
      <c r="T31" s="130">
        <f>IFERROR(IF(N(DE31)=0,0,(DD31/DE31)*L31*(C31+D31+E31+I31)),0)</f>
        <v>0</v>
      </c>
      <c r="U31" s="141"/>
      <c r="V31" s="123"/>
      <c r="W31" s="134"/>
      <c r="X31" s="347">
        <v>25</v>
      </c>
      <c r="Y31" s="347">
        <v>250</v>
      </c>
      <c r="Z31" s="348" t="s">
        <v>576</v>
      </c>
      <c r="AA31" s="120"/>
      <c r="AB31" s="134"/>
      <c r="AC31" s="200"/>
      <c r="AD31" s="125"/>
      <c r="AE31" s="134"/>
      <c r="AF31" s="200"/>
      <c r="AG31" s="120"/>
      <c r="AH31" s="262"/>
      <c r="AI31" s="262"/>
      <c r="AJ31" s="120"/>
      <c r="AK31" s="262"/>
      <c r="AL31" s="262"/>
      <c r="AM31" s="120"/>
      <c r="AN31" s="262"/>
      <c r="AO31" s="262"/>
      <c r="AP31" s="120"/>
      <c r="AQ31" s="262"/>
      <c r="AR31" s="262"/>
      <c r="AS31" s="120"/>
      <c r="AT31" s="262"/>
      <c r="AU31" s="262"/>
      <c r="AV31" s="120"/>
      <c r="AW31" s="262"/>
      <c r="AX31" s="262"/>
      <c r="AY31" s="120"/>
      <c r="AZ31" s="262"/>
      <c r="BA31" s="262"/>
      <c r="BB31" s="120"/>
      <c r="BC31" s="134"/>
      <c r="BD31" s="200"/>
      <c r="BE31" s="120"/>
      <c r="BF31" s="134"/>
      <c r="BG31" s="200"/>
      <c r="BH31" s="120"/>
      <c r="BI31" s="252"/>
      <c r="BJ31" s="252"/>
      <c r="BK31" s="120"/>
      <c r="BL31" s="134"/>
      <c r="BM31" s="134"/>
      <c r="BN31" s="120"/>
      <c r="BO31" s="252"/>
      <c r="BP31" s="252"/>
      <c r="BQ31" s="120"/>
      <c r="BR31" s="134"/>
      <c r="BS31" s="134"/>
      <c r="BT31" s="120"/>
      <c r="BU31" s="134"/>
      <c r="BV31" s="200"/>
      <c r="BW31" s="120"/>
      <c r="BX31" s="134"/>
      <c r="BY31" s="200"/>
      <c r="BZ31" s="120"/>
      <c r="CA31" s="126"/>
      <c r="CB31" s="126"/>
      <c r="CC31" s="120"/>
      <c r="CD31" s="126"/>
      <c r="CE31" s="126"/>
      <c r="CF31" s="120"/>
      <c r="CG31" s="134"/>
      <c r="CH31" s="134"/>
      <c r="CI31" s="120"/>
      <c r="CJ31" s="200"/>
      <c r="CK31" s="200"/>
      <c r="CL31" s="120"/>
      <c r="CM31" s="200"/>
      <c r="CN31" s="200"/>
      <c r="CO31" s="120"/>
      <c r="CP31" s="134"/>
      <c r="CQ31" s="134"/>
      <c r="CR31" s="120"/>
      <c r="CS31" s="134"/>
      <c r="CT31" s="134"/>
      <c r="CU31" s="120"/>
      <c r="CV31" s="250"/>
      <c r="CW31" s="250"/>
      <c r="CX31" s="120"/>
      <c r="CY31" s="250"/>
      <c r="CZ31" s="250"/>
      <c r="DA31" s="120"/>
      <c r="DB31" s="202"/>
      <c r="DC31" s="202"/>
      <c r="DD31" s="349"/>
      <c r="DE31" s="202"/>
      <c r="DF31" s="202"/>
      <c r="DG31" s="254"/>
      <c r="DH31" s="203"/>
      <c r="DI31" s="203"/>
      <c r="DJ31" s="259"/>
      <c r="DK31" s="136"/>
      <c r="DL31" s="136"/>
      <c r="DM31" s="120"/>
      <c r="DN31" s="233"/>
      <c r="DO31" s="233"/>
      <c r="DP31" s="120"/>
      <c r="DQ31" s="262"/>
      <c r="DR31" s="262"/>
      <c r="DS31" s="120"/>
      <c r="DT31" s="262"/>
      <c r="DU31" s="262"/>
      <c r="DV31" s="120"/>
      <c r="DW31" s="262"/>
      <c r="DX31" s="262"/>
      <c r="DY31" s="120"/>
      <c r="DZ31" s="262"/>
      <c r="EA31" s="262"/>
      <c r="EB31" s="265"/>
      <c r="EC31" s="262"/>
      <c r="ED31" s="262"/>
      <c r="EE31" s="254"/>
      <c r="EF31" s="233"/>
      <c r="EG31" s="233"/>
      <c r="EH31" s="120"/>
      <c r="EI31" s="262"/>
      <c r="EJ31" s="262"/>
      <c r="EK31" s="120"/>
      <c r="EL31" s="262"/>
      <c r="EM31" s="262"/>
      <c r="EN31" s="120"/>
      <c r="EO31" s="262"/>
      <c r="EP31" s="262"/>
      <c r="EQ31" s="120"/>
      <c r="ER31" s="262"/>
      <c r="ES31" s="262"/>
      <c r="ET31" s="120"/>
      <c r="EU31" s="262"/>
      <c r="EV31" s="262"/>
      <c r="EW31" s="120"/>
      <c r="EX31" s="262"/>
      <c r="EY31" s="262"/>
      <c r="EZ31" s="120"/>
      <c r="FA31" s="262"/>
      <c r="FB31" s="262"/>
      <c r="FC31" s="120"/>
      <c r="FD31" s="262"/>
      <c r="FE31" s="262"/>
      <c r="FF31" s="120"/>
      <c r="FG31" s="262"/>
      <c r="FH31" s="262"/>
      <c r="FI31" s="120"/>
      <c r="FJ31" s="262"/>
      <c r="FK31" s="262"/>
      <c r="FL31" s="120"/>
      <c r="FM31" s="262"/>
      <c r="FN31" s="262"/>
      <c r="FO31" s="120"/>
      <c r="FP31" s="262"/>
      <c r="FQ31" s="262"/>
      <c r="FR31" s="120"/>
      <c r="FS31" s="262"/>
      <c r="FT31" s="262"/>
      <c r="FU31" s="120"/>
      <c r="FV31" s="262"/>
      <c r="FW31" s="262"/>
      <c r="FX31" s="120"/>
      <c r="FY31" s="262"/>
      <c r="FZ31" s="262"/>
      <c r="GA31" s="256"/>
      <c r="GB31" s="233"/>
      <c r="GC31" s="233"/>
      <c r="GJ31" s="121">
        <f>IFERROR(IF(N(GE31)=0,0,(GD31/GE31)*L31*(C31+D31+E31+I31)),0)</f>
        <v>0</v>
      </c>
      <c r="GK31" s="121">
        <f>IFERROR(IF(N(GH31)=0,0,(GG31/GH31)*L31*(C31+D31+E31+I31)),0)</f>
        <v>0</v>
      </c>
      <c r="GM31" s="121">
        <f>(N(X31)&gt;0)*(Z31&lt;&gt;"")</f>
        <v>1</v>
      </c>
      <c r="GN31" s="121">
        <f>(N(AA31)&gt;0)*(AC31&lt;&gt;"")</f>
        <v>0</v>
      </c>
      <c r="GO31" s="121">
        <f>(N(AD31)&gt;0)*(AF31&lt;&gt;"")</f>
        <v>0</v>
      </c>
      <c r="GP31" s="121">
        <f>((N(AG31)&gt;0)*(AI31&lt;&gt;"")+(N(AJ31)&gt;0)*(AL31&lt;&gt;"")+(N(AM31)&gt;0)*(AO31&lt;&gt;"")+(N(AP31)&gt;0)*(AR31&lt;&gt;"")+(N(AS31)&gt;0)*(AU31&lt;&gt;"")+(N(AV31)&gt;0)*(AX31&lt;&gt;"")+(N(AY31)&gt;0)*(BA31&lt;&gt;"")+(N(BB31)&gt;0)*(BD31&lt;&gt;"")+(N(BE31)&gt;0)*(BG31&lt;&gt;"")+(N(BH31)&gt;0)*(BJ31&lt;&gt;"")+(N(BK31)&gt;0)*(BM31&lt;&gt;"")+(N(BN31)&gt;0)*(BP31&lt;&gt;"")+(N(BQ31)&gt;0)*(BS31&lt;&gt;"")+(N(BT31)&gt;0)*(BV31&lt;&gt;"")+(N(BW31)&gt;0)*(BY31&lt;&gt;"")+(N(BZ31)&gt;0)*(CB31&lt;&gt;"")+(N(CC31)&gt;0)*(CE31&lt;&gt;"")+(N(CF31)&gt;0)*(CH31&lt;&gt;"")+(N(CI31)&gt;0)*(CK31&lt;&gt;"")+(N(CL31)&gt;0)*(CN31&lt;&gt;"")+(N(CO31)&gt;0)*(CQ31&lt;&gt;"")+(N(CR31)&gt;0)*(CT31&lt;&gt;"")+(N(CU31)&gt;0)*(CW31&lt;&gt;"")+(N(CX31)&gt;0)*(CZ31&lt;&gt;"")+(N(DA31)&gt;0)*(DC31&lt;&gt;"")+(N(DM31)&gt;0)*(DO31&lt;&gt;"")+(N(DP31)&gt;0)*(DR31&lt;&gt;"")+(N(DS31)&gt;0)*(DU31&lt;&gt;"")+(N(DV31)&gt;0)*(DX31&lt;&gt;"")+(N(DY31)&gt;0)*(EA31&lt;&gt;"")+(N(EH31)&gt;0)*(EJ31&lt;&gt;"")+(N(EK31)&gt;0)*(EM31&lt;&gt;"")+(N(EN31)&gt;0)*(EP31&lt;&gt;"")+(N(EQ31)&gt;0)*(ES31&lt;&gt;"")+(N(ET31)&gt;0)*(EV31&lt;&gt;"")+(N(EW31)&gt;0)*(EY31&lt;&gt;"")+(N(EZ31)&gt;0)*(FB31&lt;&gt;"")+(N(FC31)&gt;0)*(FE31&lt;&gt;"")+(N(FF31)&gt;0)*(FH31&lt;&gt;"")+(N(FI31)&gt;0)*(FK31&lt;&gt;"")+(N(FL31)&gt;0)*(FN31&lt;&gt;"")+(N(FO31)&gt;0)*(FQ31&lt;&gt;"")+(N(FR31)&gt;0)*(FT31&lt;&gt;"")+(N(FU31)&gt;0)*(FW31&lt;&gt;"")+(N(FX31)&gt;0)*(FZ31&lt;&gt;""))</f>
        <v>0</v>
      </c>
      <c r="GQ31" s="121">
        <f>(N(DD31)&gt;0)*(DF31&lt;&gt;"")</f>
        <v>0</v>
      </c>
      <c r="GR31" s="121">
        <f>(N(V31)&gt;0)*(N(W31)&gt;0)</f>
        <v>0</v>
      </c>
    </row>
    <row r="32" spans="1:200" ht="38.25" customHeight="1" x14ac:dyDescent="0.55000000000000004">
      <c r="A32" s="121" t="s">
        <v>195</v>
      </c>
      <c r="B32" s="303" t="s">
        <v>162</v>
      </c>
      <c r="C32" s="198">
        <v>3</v>
      </c>
      <c r="D32" s="404">
        <v>3</v>
      </c>
      <c r="E32" s="404">
        <v>3</v>
      </c>
      <c r="F32" s="198"/>
      <c r="G32" s="198"/>
      <c r="H32" s="198"/>
      <c r="I32" s="142" cm="1">
        <f t="array" ref="I32">SUMPRODUCT(($X$2:$GG$2&lt;&gt;"")*($X32:$GG32&lt;&gt;""))</f>
        <v>5</v>
      </c>
      <c r="J32" s="122">
        <f t="shared" ref="J32:J95" si="10">I32*C32</f>
        <v>15</v>
      </c>
      <c r="K32" s="122">
        <f t="shared" ref="K32:K95" si="11">($L$1/$K$2)*J32</f>
        <v>210</v>
      </c>
      <c r="L32" s="249">
        <f t="shared" si="0"/>
        <v>7000</v>
      </c>
      <c r="M32" s="144">
        <f t="shared" ref="M32:M95" si="12">IFERROR(IF(N(Y32)=0,0,(X32/Y32)*L32*(C32+D32+E32+I32)),0)</f>
        <v>11760</v>
      </c>
      <c r="N32" s="405"/>
      <c r="O32" s="145">
        <f t="shared" ref="O32:O95" si="13">IFERROR(IF(N(AE32)=0,0,(AD32/AE32)*L32*(C32+D32+E32+I32)),0)</f>
        <v>0</v>
      </c>
      <c r="P32" s="145">
        <f t="shared" ref="P32:P95" si="14">(IFERROR(AA32/AB32,0)+IFERROR(AG32/AH32,0)+IFERROR(AJ32/AK32,0)+IFERROR(AM32/AN32,0)+IFERROR(AP32/AQ32,0)+IFERROR(AS32/AT32,0)+IFERROR(AV32/AW32,0)+IFERROR(AY32/AZ32,0)+IFERROR(BB32/BC32,0)+IFERROR(BE32/BF32,0)+IFERROR(BH32/BI32,0)+IFERROR(BK32/BL32,0)+IFERROR(BN32/BO32,0)+IFERROR(BQ32/BR32,0)+IFERROR(BT32/BU32,0)+IFERROR(BW32/BX32,0)+IFERROR(BZ32/CA32,0)+IFERROR(CC32/CD32,0)+IFERROR(CF32/CG32,0)+IFERROR(CI32/CJ32,0)+IFERROR(CL32/CM32,0)+IFERROR(CO32/CP32,0)+IFERROR(CR32/CS32,0)+IFERROR(CU32/CV32,0)+IFERROR(CX32/CY32,0)+IFERROR(DA32/DB32,0)+IFERROR(DM32/DN32,0)+IFERROR(DP32/DQ32,0)+IFERROR(DS32/DT32,0)+IFERROR(DV32/DW32,0)+IFERROR(DY32/DZ32,0)+IFERROR(EH32/EI32,0)+IFERROR(EK32/EL32,0)+IFERROR(EN32/EO32,0)+IFERROR(EQ32/ER32,0)+IFERROR(ET32/EU32,0)+IFERROR(EW32/EX32,0)+IFERROR(EZ32/FA32,0)+IFERROR(FC32/FD32,0)+IFERROR(FF32/FG32,0)+IFERROR(FI32/FJ32,0)+IFERROR(FL32/FM32,0)+IFERROR(FO32/FP32,0)+IFERROR(FR32/FS32,0)+IFERROR(FU32/FV32,0)+IFERROR(FX32/FY32,0))*L32*(C32+D32+E32+I32)</f>
        <v>0</v>
      </c>
      <c r="Q32" s="145">
        <f t="shared" ref="Q32:Q95" si="15">IFERROR(IF(N(EC32)=0,0,(EB32/EC32)*L32*(C32+D32+E32+I32)),0)</f>
        <v>0</v>
      </c>
      <c r="R32" s="145">
        <f t="shared" ref="R32:R95" si="16">(IFERROR(DJ32/DK32,0)+IFERROR(DG32/DH32,0)+IFERROR(EE32/EF32,0)+IFERROR(GA32/GB32,0))*L32*(C32+D32+E32+I32)</f>
        <v>0</v>
      </c>
      <c r="S32" s="130">
        <f t="shared" ref="S32:S95" si="17">IFERROR(IF(N(W32)=0,0,(V32/W32)*L32*(C32+D32+E32+I32)),0)</f>
        <v>0</v>
      </c>
      <c r="T32" s="130">
        <f t="shared" ref="T32:T95" si="18">IFERROR(IF(N(DE32)=0,0,(DD32/DE32)*L32*(C32+D32+E32+I32)),0)</f>
        <v>0</v>
      </c>
      <c r="U32" s="141">
        <v>397</v>
      </c>
      <c r="V32" s="123">
        <v>57</v>
      </c>
      <c r="W32" s="134"/>
      <c r="X32" s="124">
        <v>30</v>
      </c>
      <c r="Y32" s="134">
        <v>250</v>
      </c>
      <c r="Z32" s="348" t="s">
        <v>576</v>
      </c>
      <c r="AA32" s="120">
        <v>70</v>
      </c>
      <c r="AB32" s="339"/>
      <c r="AC32" s="348" t="s">
        <v>806</v>
      </c>
      <c r="AD32" s="125">
        <v>100</v>
      </c>
      <c r="AE32" s="339"/>
      <c r="AF32" s="348" t="s">
        <v>807</v>
      </c>
      <c r="AG32" s="120"/>
      <c r="AH32" s="262"/>
      <c r="AI32" s="262"/>
      <c r="AJ32" s="120"/>
      <c r="AK32" s="262"/>
      <c r="AL32" s="262"/>
      <c r="AM32" s="120"/>
      <c r="AN32" s="262"/>
      <c r="AO32" s="262"/>
      <c r="AP32" s="120"/>
      <c r="AQ32" s="262"/>
      <c r="AR32" s="262"/>
      <c r="AS32" s="120"/>
      <c r="AT32" s="262"/>
      <c r="AU32" s="262"/>
      <c r="AV32" s="120"/>
      <c r="AW32" s="262"/>
      <c r="AX32" s="262"/>
      <c r="AY32" s="120"/>
      <c r="AZ32" s="262"/>
      <c r="BA32" s="262"/>
      <c r="BB32" s="120"/>
      <c r="BC32" s="134"/>
      <c r="BD32" s="200"/>
      <c r="BE32" s="120"/>
      <c r="BF32" s="134"/>
      <c r="BG32" s="200"/>
      <c r="BH32" s="120"/>
      <c r="BI32" s="252"/>
      <c r="BJ32" s="252"/>
      <c r="BK32" s="120"/>
      <c r="BL32" s="134"/>
      <c r="BM32" s="134"/>
      <c r="BN32" s="120"/>
      <c r="BO32" s="252"/>
      <c r="BP32" s="252"/>
      <c r="BQ32" s="120"/>
      <c r="BR32" s="134"/>
      <c r="BS32" s="134"/>
      <c r="BT32" s="120"/>
      <c r="BU32" s="134"/>
      <c r="BV32" s="200"/>
      <c r="BW32" s="120"/>
      <c r="BX32" s="134"/>
      <c r="BY32" s="200"/>
      <c r="BZ32" s="120">
        <v>76</v>
      </c>
      <c r="CA32" s="339"/>
      <c r="CB32" s="347" t="s">
        <v>806</v>
      </c>
      <c r="CC32" s="120">
        <v>76</v>
      </c>
      <c r="CD32" s="339"/>
      <c r="CE32" s="347" t="s">
        <v>806</v>
      </c>
      <c r="CF32" s="120"/>
      <c r="CG32" s="134"/>
      <c r="CH32" s="134"/>
      <c r="CI32" s="120"/>
      <c r="CJ32" s="200"/>
      <c r="CK32" s="200"/>
      <c r="CL32" s="120"/>
      <c r="CM32" s="200"/>
      <c r="CN32" s="200"/>
      <c r="CO32" s="120"/>
      <c r="CP32" s="134"/>
      <c r="CQ32" s="134"/>
      <c r="CR32" s="120"/>
      <c r="CS32" s="134"/>
      <c r="CT32" s="134"/>
      <c r="CU32" s="120"/>
      <c r="CV32" s="202"/>
      <c r="CW32" s="202"/>
      <c r="CX32" s="120"/>
      <c r="CY32" s="202"/>
      <c r="CZ32" s="202"/>
      <c r="DA32" s="120"/>
      <c r="DB32" s="202"/>
      <c r="DC32" s="202"/>
      <c r="DD32" s="349"/>
      <c r="DE32" s="202"/>
      <c r="DF32" s="202"/>
      <c r="DG32" s="254"/>
      <c r="DH32" s="203"/>
      <c r="DI32" s="203"/>
      <c r="DJ32" s="259"/>
      <c r="DK32" s="136"/>
      <c r="DL32" s="136"/>
      <c r="DM32" s="120"/>
      <c r="DN32" s="233"/>
      <c r="DO32" s="233"/>
      <c r="DP32" s="120"/>
      <c r="DQ32" s="262"/>
      <c r="DR32" s="262"/>
      <c r="DS32" s="120"/>
      <c r="DT32" s="262"/>
      <c r="DU32" s="262"/>
      <c r="DV32" s="120"/>
      <c r="DW32" s="262"/>
      <c r="DX32" s="262"/>
      <c r="DY32" s="120"/>
      <c r="DZ32" s="262"/>
      <c r="EA32" s="262"/>
      <c r="EB32" s="265"/>
      <c r="EC32" s="262"/>
      <c r="ED32" s="262"/>
      <c r="EE32" s="255"/>
      <c r="EF32" s="200"/>
      <c r="EG32" s="200"/>
      <c r="EH32" s="120"/>
      <c r="EI32" s="262"/>
      <c r="EJ32" s="262"/>
      <c r="EK32" s="120"/>
      <c r="EL32" s="262"/>
      <c r="EM32" s="262"/>
      <c r="EN32" s="120"/>
      <c r="EO32" s="262"/>
      <c r="EP32" s="262"/>
      <c r="EQ32" s="120"/>
      <c r="ER32" s="262"/>
      <c r="ES32" s="262"/>
      <c r="ET32" s="120"/>
      <c r="EU32" s="262"/>
      <c r="EV32" s="262"/>
      <c r="EW32" s="120"/>
      <c r="EX32" s="262"/>
      <c r="EY32" s="262"/>
      <c r="EZ32" s="120"/>
      <c r="FA32" s="262"/>
      <c r="FB32" s="262"/>
      <c r="FC32" s="120"/>
      <c r="FD32" s="262"/>
      <c r="FE32" s="262"/>
      <c r="FF32" s="120"/>
      <c r="FG32" s="262"/>
      <c r="FH32" s="262"/>
      <c r="FI32" s="120"/>
      <c r="FJ32" s="262"/>
      <c r="FK32" s="262"/>
      <c r="FL32" s="120"/>
      <c r="FM32" s="262"/>
      <c r="FN32" s="262"/>
      <c r="FO32" s="120"/>
      <c r="FP32" s="262"/>
      <c r="FQ32" s="262"/>
      <c r="FR32" s="120"/>
      <c r="FS32" s="262"/>
      <c r="FT32" s="262"/>
      <c r="FU32" s="120"/>
      <c r="FV32" s="262"/>
      <c r="FW32" s="262"/>
      <c r="FX32" s="120"/>
      <c r="FY32" s="262"/>
      <c r="FZ32" s="262"/>
      <c r="GA32" s="256"/>
      <c r="GB32" s="233"/>
      <c r="GC32" s="233"/>
      <c r="GJ32" s="121">
        <f t="shared" ref="GJ32:GJ95" si="19">IFERROR(IF(N(GE32)=0,0,(GD32/GE32)*L32*(C32+D32+E32+I32)),0)</f>
        <v>0</v>
      </c>
      <c r="GK32" s="121">
        <f t="shared" ref="GK32:GK95" si="20">IFERROR(IF(N(GH32)=0,0,(GG32/GH32)*L32*(C32+D32+E32+I32)),0)</f>
        <v>0</v>
      </c>
      <c r="GM32" s="121">
        <f t="shared" ref="GM32:GM95" si="21">(N(X32)&gt;0)*(Z32&lt;&gt;"")</f>
        <v>1</v>
      </c>
      <c r="GN32" s="121">
        <f t="shared" ref="GN32:GN95" si="22">(N(AA32)&gt;0)*(AC32&lt;&gt;"")</f>
        <v>1</v>
      </c>
      <c r="GO32" s="121">
        <f t="shared" ref="GO32:GO95" si="23">(N(AD32)&gt;0)*(AF32&lt;&gt;"")</f>
        <v>1</v>
      </c>
      <c r="GP32" s="121">
        <f t="shared" ref="GP32:GP95" si="24">((N(AG32)&gt;0)*(AI32&lt;&gt;"")+(N(AJ32)&gt;0)*(AL32&lt;&gt;"")+(N(AM32)&gt;0)*(AO32&lt;&gt;"")+(N(AP32)&gt;0)*(AR32&lt;&gt;"")+(N(AS32)&gt;0)*(AU32&lt;&gt;"")+(N(AV32)&gt;0)*(AX32&lt;&gt;"")+(N(AY32)&gt;0)*(BA32&lt;&gt;"")+(N(BB32)&gt;0)*(BD32&lt;&gt;"")+(N(BE32)&gt;0)*(BG32&lt;&gt;"")+(N(BH32)&gt;0)*(BJ32&lt;&gt;"")+(N(BK32)&gt;0)*(BM32&lt;&gt;"")+(N(BN32)&gt;0)*(BP32&lt;&gt;"")+(N(BQ32)&gt;0)*(BS32&lt;&gt;"")+(N(BT32)&gt;0)*(BV32&lt;&gt;"")+(N(BW32)&gt;0)*(BY32&lt;&gt;"")+(N(BZ32)&gt;0)*(CB32&lt;&gt;"")+(N(CC32)&gt;0)*(CE32&lt;&gt;"")+(N(CF32)&gt;0)*(CH32&lt;&gt;"")+(N(CI32)&gt;0)*(CK32&lt;&gt;"")+(N(CL32)&gt;0)*(CN32&lt;&gt;"")+(N(CO32)&gt;0)*(CQ32&lt;&gt;"")+(N(CR32)&gt;0)*(CT32&lt;&gt;"")+(N(CU32)&gt;0)*(CW32&lt;&gt;"")+(N(CX32)&gt;0)*(CZ32&lt;&gt;"")+(N(DA32)&gt;0)*(DC32&lt;&gt;"")+(N(DM32)&gt;0)*(DO32&lt;&gt;"")+(N(DP32)&gt;0)*(DR32&lt;&gt;"")+(N(DS32)&gt;0)*(DU32&lt;&gt;"")+(N(DV32)&gt;0)*(DX32&lt;&gt;"")+(N(DY32)&gt;0)*(EA32&lt;&gt;"")+(N(EH32)&gt;0)*(EJ32&lt;&gt;"")+(N(EK32)&gt;0)*(EM32&lt;&gt;"")+(N(EN32)&gt;0)*(EP32&lt;&gt;"")+(N(EQ32)&gt;0)*(ES32&lt;&gt;"")+(N(ET32)&gt;0)*(EV32&lt;&gt;"")+(N(EW32)&gt;0)*(EY32&lt;&gt;"")+(N(EZ32)&gt;0)*(FB32&lt;&gt;"")+(N(FC32)&gt;0)*(FE32&lt;&gt;"")+(N(FF32)&gt;0)*(FH32&lt;&gt;"")+(N(FI32)&gt;0)*(FK32&lt;&gt;"")+(N(FL32)&gt;0)*(FN32&lt;&gt;"")+(N(FO32)&gt;0)*(FQ32&lt;&gt;"")+(N(FR32)&gt;0)*(FT32&lt;&gt;"")+(N(FU32)&gt;0)*(FW32&lt;&gt;"")+(N(FX32)&gt;0)*(FZ32&lt;&gt;""))</f>
        <v>2</v>
      </c>
      <c r="GQ32" s="121">
        <f t="shared" ref="GQ32:GQ95" si="25">(N(DD32)&gt;0)*(DF32&lt;&gt;"")</f>
        <v>0</v>
      </c>
      <c r="GR32" s="121">
        <f t="shared" ref="GR32:GR95" si="26">(N(V32)&gt;0)*(N(W32)&gt;0)</f>
        <v>0</v>
      </c>
    </row>
    <row r="33" spans="1:200" ht="38.25" customHeight="1" x14ac:dyDescent="0.55000000000000004">
      <c r="B33" s="303" t="s">
        <v>401</v>
      </c>
      <c r="C33" s="198"/>
      <c r="D33" s="198"/>
      <c r="E33" s="198"/>
      <c r="F33" s="198"/>
      <c r="G33" s="198"/>
      <c r="H33" s="198"/>
      <c r="I33" s="142" cm="1">
        <f t="array" ref="I33">SUMPRODUCT(($X$2:$GG$2&lt;&gt;"")*($X33:$GG33&lt;&gt;""))</f>
        <v>1</v>
      </c>
      <c r="J33" s="122">
        <f t="shared" si="10"/>
        <v>0</v>
      </c>
      <c r="K33" s="122">
        <f t="shared" si="11"/>
        <v>0</v>
      </c>
      <c r="L33" s="249">
        <f t="shared" si="0"/>
        <v>7000</v>
      </c>
      <c r="M33" s="144">
        <f t="shared" si="12"/>
        <v>840</v>
      </c>
      <c r="N33" s="405"/>
      <c r="O33" s="145">
        <f t="shared" si="13"/>
        <v>0</v>
      </c>
      <c r="P33" s="145">
        <f t="shared" si="14"/>
        <v>0</v>
      </c>
      <c r="Q33" s="145">
        <f t="shared" si="15"/>
        <v>0</v>
      </c>
      <c r="R33" s="145">
        <f t="shared" si="16"/>
        <v>0</v>
      </c>
      <c r="S33" s="130">
        <f t="shared" si="17"/>
        <v>0</v>
      </c>
      <c r="T33" s="130">
        <f t="shared" si="18"/>
        <v>0</v>
      </c>
      <c r="U33" s="141"/>
      <c r="V33" s="123"/>
      <c r="W33" s="134"/>
      <c r="X33" s="347">
        <v>30</v>
      </c>
      <c r="Y33" s="347">
        <v>250</v>
      </c>
      <c r="Z33" s="348" t="s">
        <v>576</v>
      </c>
      <c r="AA33" s="120"/>
      <c r="AB33" s="134"/>
      <c r="AC33" s="200"/>
      <c r="AD33" s="125"/>
      <c r="AE33" s="134"/>
      <c r="AF33" s="200"/>
      <c r="AG33" s="120"/>
      <c r="AH33" s="262"/>
      <c r="AI33" s="262"/>
      <c r="AJ33" s="120"/>
      <c r="AK33" s="262"/>
      <c r="AL33" s="262"/>
      <c r="AM33" s="120"/>
      <c r="AN33" s="262"/>
      <c r="AO33" s="262"/>
      <c r="AP33" s="120"/>
      <c r="AQ33" s="262"/>
      <c r="AR33" s="262"/>
      <c r="AS33" s="120"/>
      <c r="AT33" s="262"/>
      <c r="AU33" s="262"/>
      <c r="AV33" s="120"/>
      <c r="AW33" s="262"/>
      <c r="AX33" s="262"/>
      <c r="AY33" s="120"/>
      <c r="AZ33" s="262"/>
      <c r="BA33" s="262"/>
      <c r="BB33" s="120"/>
      <c r="BC33" s="134"/>
      <c r="BD33" s="200"/>
      <c r="BE33" s="120"/>
      <c r="BF33" s="134"/>
      <c r="BG33" s="200"/>
      <c r="BH33" s="120"/>
      <c r="BI33" s="252"/>
      <c r="BJ33" s="252"/>
      <c r="BK33" s="120"/>
      <c r="BL33" s="134"/>
      <c r="BM33" s="134"/>
      <c r="BN33" s="120"/>
      <c r="BO33" s="252"/>
      <c r="BP33" s="252"/>
      <c r="BQ33" s="120"/>
      <c r="BR33" s="134"/>
      <c r="BS33" s="134"/>
      <c r="BT33" s="120"/>
      <c r="BU33" s="134"/>
      <c r="BV33" s="200"/>
      <c r="BW33" s="120"/>
      <c r="BX33" s="134"/>
      <c r="BY33" s="200"/>
      <c r="BZ33" s="120"/>
      <c r="CA33" s="126"/>
      <c r="CB33" s="126"/>
      <c r="CC33" s="120"/>
      <c r="CD33" s="126"/>
      <c r="CE33" s="126"/>
      <c r="CF33" s="120"/>
      <c r="CG33" s="134"/>
      <c r="CH33" s="134"/>
      <c r="CI33" s="120"/>
      <c r="CJ33" s="200"/>
      <c r="CK33" s="200"/>
      <c r="CL33" s="120"/>
      <c r="CM33" s="200"/>
      <c r="CN33" s="200"/>
      <c r="CO33" s="120"/>
      <c r="CP33" s="134"/>
      <c r="CQ33" s="134"/>
      <c r="CR33" s="120"/>
      <c r="CS33" s="134"/>
      <c r="CT33" s="134"/>
      <c r="CU33" s="120"/>
      <c r="CV33" s="202"/>
      <c r="CW33" s="202"/>
      <c r="CX33" s="120"/>
      <c r="CY33" s="202"/>
      <c r="CZ33" s="202"/>
      <c r="DA33" s="120"/>
      <c r="DB33" s="202"/>
      <c r="DC33" s="202"/>
      <c r="DD33" s="349"/>
      <c r="DE33" s="202"/>
      <c r="DF33" s="202"/>
      <c r="DG33" s="254"/>
      <c r="DH33" s="203"/>
      <c r="DI33" s="203"/>
      <c r="DJ33" s="259"/>
      <c r="DK33" s="136"/>
      <c r="DL33" s="136"/>
      <c r="DM33" s="120"/>
      <c r="DN33" s="233"/>
      <c r="DO33" s="233"/>
      <c r="DP33" s="120"/>
      <c r="DQ33" s="262"/>
      <c r="DR33" s="262"/>
      <c r="DS33" s="120"/>
      <c r="DT33" s="262"/>
      <c r="DU33" s="262"/>
      <c r="DV33" s="120"/>
      <c r="DW33" s="262"/>
      <c r="DX33" s="262"/>
      <c r="DY33" s="120"/>
      <c r="DZ33" s="262"/>
      <c r="EA33" s="262"/>
      <c r="EB33" s="265"/>
      <c r="EC33" s="262"/>
      <c r="ED33" s="262"/>
      <c r="EE33" s="254"/>
      <c r="EF33" s="233"/>
      <c r="EG33" s="233"/>
      <c r="EH33" s="120"/>
      <c r="EI33" s="262"/>
      <c r="EJ33" s="262"/>
      <c r="EK33" s="120"/>
      <c r="EL33" s="262"/>
      <c r="EM33" s="262"/>
      <c r="EN33" s="120"/>
      <c r="EO33" s="262"/>
      <c r="EP33" s="262"/>
      <c r="EQ33" s="120"/>
      <c r="ER33" s="262"/>
      <c r="ES33" s="262"/>
      <c r="ET33" s="120"/>
      <c r="EU33" s="262"/>
      <c r="EV33" s="262"/>
      <c r="EW33" s="120"/>
      <c r="EX33" s="262"/>
      <c r="EY33" s="262"/>
      <c r="EZ33" s="120"/>
      <c r="FA33" s="262"/>
      <c r="FB33" s="262"/>
      <c r="FC33" s="120"/>
      <c r="FD33" s="262"/>
      <c r="FE33" s="262"/>
      <c r="FF33" s="120"/>
      <c r="FG33" s="262"/>
      <c r="FH33" s="262"/>
      <c r="FI33" s="120"/>
      <c r="FJ33" s="262"/>
      <c r="FK33" s="262"/>
      <c r="FL33" s="120"/>
      <c r="FM33" s="262"/>
      <c r="FN33" s="262"/>
      <c r="FO33" s="120"/>
      <c r="FP33" s="262"/>
      <c r="FQ33" s="262"/>
      <c r="FR33" s="120"/>
      <c r="FS33" s="262"/>
      <c r="FT33" s="262"/>
      <c r="FU33" s="120"/>
      <c r="FV33" s="262"/>
      <c r="FW33" s="262"/>
      <c r="FX33" s="120"/>
      <c r="FY33" s="262"/>
      <c r="FZ33" s="262"/>
      <c r="GA33" s="256"/>
      <c r="GB33" s="233"/>
      <c r="GC33" s="233"/>
      <c r="GJ33" s="121">
        <f t="shared" si="19"/>
        <v>0</v>
      </c>
      <c r="GK33" s="121">
        <f t="shared" si="20"/>
        <v>0</v>
      </c>
      <c r="GM33" s="121">
        <f t="shared" si="21"/>
        <v>1</v>
      </c>
      <c r="GN33" s="121">
        <f t="shared" si="22"/>
        <v>0</v>
      </c>
      <c r="GO33" s="121">
        <f t="shared" si="23"/>
        <v>0</v>
      </c>
      <c r="GP33" s="121">
        <f t="shared" si="24"/>
        <v>0</v>
      </c>
      <c r="GQ33" s="121">
        <f t="shared" si="25"/>
        <v>0</v>
      </c>
      <c r="GR33" s="121">
        <f t="shared" si="26"/>
        <v>0</v>
      </c>
    </row>
    <row r="34" spans="1:200" ht="38.25" customHeight="1" x14ac:dyDescent="0.55000000000000004">
      <c r="B34" s="303" t="s">
        <v>402</v>
      </c>
      <c r="C34" s="198"/>
      <c r="D34" s="198"/>
      <c r="E34" s="198"/>
      <c r="F34" s="198"/>
      <c r="G34" s="198"/>
      <c r="H34" s="198"/>
      <c r="I34" s="142" cm="1">
        <f t="array" ref="I34">SUMPRODUCT(($X$2:$GG$2&lt;&gt;"")*($X34:$GG34&lt;&gt;""))</f>
        <v>0</v>
      </c>
      <c r="J34" s="122">
        <f t="shared" si="10"/>
        <v>0</v>
      </c>
      <c r="K34" s="122">
        <f t="shared" si="11"/>
        <v>0</v>
      </c>
      <c r="L34" s="249">
        <f t="shared" si="0"/>
        <v>7000</v>
      </c>
      <c r="M34" s="144">
        <f t="shared" si="12"/>
        <v>0</v>
      </c>
      <c r="N34" s="405"/>
      <c r="O34" s="145">
        <f t="shared" si="13"/>
        <v>0</v>
      </c>
      <c r="P34" s="145">
        <f t="shared" si="14"/>
        <v>0</v>
      </c>
      <c r="Q34" s="145">
        <f t="shared" si="15"/>
        <v>0</v>
      </c>
      <c r="R34" s="145">
        <f t="shared" si="16"/>
        <v>0</v>
      </c>
      <c r="S34" s="130">
        <f t="shared" si="17"/>
        <v>0</v>
      </c>
      <c r="T34" s="130">
        <f t="shared" si="18"/>
        <v>0</v>
      </c>
      <c r="U34" s="141"/>
      <c r="V34" s="123"/>
      <c r="W34" s="134"/>
      <c r="X34" s="124"/>
      <c r="Y34" s="134"/>
      <c r="Z34" s="200"/>
      <c r="AA34" s="120"/>
      <c r="AB34" s="134"/>
      <c r="AC34" s="200"/>
      <c r="AD34" s="125"/>
      <c r="AE34" s="134"/>
      <c r="AF34" s="200"/>
      <c r="AG34" s="120"/>
      <c r="AH34" s="262"/>
      <c r="AI34" s="262"/>
      <c r="AJ34" s="120"/>
      <c r="AK34" s="262"/>
      <c r="AL34" s="262"/>
      <c r="AM34" s="120"/>
      <c r="AN34" s="262"/>
      <c r="AO34" s="262"/>
      <c r="AP34" s="120"/>
      <c r="AQ34" s="262"/>
      <c r="AR34" s="262"/>
      <c r="AS34" s="120"/>
      <c r="AT34" s="262"/>
      <c r="AU34" s="262"/>
      <c r="AV34" s="120"/>
      <c r="AW34" s="262"/>
      <c r="AX34" s="262"/>
      <c r="AY34" s="120"/>
      <c r="AZ34" s="262"/>
      <c r="BA34" s="262"/>
      <c r="BB34" s="120"/>
      <c r="BC34" s="134"/>
      <c r="BD34" s="200"/>
      <c r="BE34" s="120"/>
      <c r="BF34" s="134"/>
      <c r="BG34" s="200"/>
      <c r="BH34" s="120"/>
      <c r="BI34" s="252"/>
      <c r="BJ34" s="252"/>
      <c r="BK34" s="120"/>
      <c r="BL34" s="134"/>
      <c r="BM34" s="134"/>
      <c r="BN34" s="120"/>
      <c r="BO34" s="252"/>
      <c r="BP34" s="252"/>
      <c r="BQ34" s="120"/>
      <c r="BR34" s="134"/>
      <c r="BS34" s="134"/>
      <c r="BT34" s="120"/>
      <c r="BU34" s="134"/>
      <c r="BV34" s="200"/>
      <c r="BW34" s="120"/>
      <c r="BX34" s="134"/>
      <c r="BY34" s="200"/>
      <c r="BZ34" s="120"/>
      <c r="CA34" s="126"/>
      <c r="CB34" s="126"/>
      <c r="CC34" s="120"/>
      <c r="CD34" s="126"/>
      <c r="CE34" s="126"/>
      <c r="CF34" s="120"/>
      <c r="CG34" s="134"/>
      <c r="CH34" s="134"/>
      <c r="CI34" s="120"/>
      <c r="CJ34" s="200"/>
      <c r="CK34" s="200"/>
      <c r="CL34" s="120"/>
      <c r="CM34" s="200"/>
      <c r="CN34" s="200"/>
      <c r="CO34" s="120"/>
      <c r="CP34" s="134"/>
      <c r="CQ34" s="134"/>
      <c r="CR34" s="120"/>
      <c r="CS34" s="134"/>
      <c r="CT34" s="134"/>
      <c r="CU34" s="120"/>
      <c r="CV34" s="202"/>
      <c r="CW34" s="202"/>
      <c r="CX34" s="120"/>
      <c r="CY34" s="202"/>
      <c r="CZ34" s="202"/>
      <c r="DA34" s="120"/>
      <c r="DB34" s="202"/>
      <c r="DC34" s="202"/>
      <c r="DD34" s="349"/>
      <c r="DE34" s="202"/>
      <c r="DF34" s="202"/>
      <c r="DG34" s="254"/>
      <c r="DH34" s="203"/>
      <c r="DI34" s="203"/>
      <c r="DJ34" s="259"/>
      <c r="DK34" s="136"/>
      <c r="DL34" s="136"/>
      <c r="DM34" s="120"/>
      <c r="DN34" s="233"/>
      <c r="DO34" s="233"/>
      <c r="DP34" s="120"/>
      <c r="DQ34" s="262"/>
      <c r="DR34" s="262"/>
      <c r="DS34" s="120"/>
      <c r="DT34" s="262"/>
      <c r="DU34" s="262"/>
      <c r="DV34" s="120"/>
      <c r="DW34" s="262"/>
      <c r="DX34" s="262"/>
      <c r="DY34" s="120"/>
      <c r="DZ34" s="262"/>
      <c r="EA34" s="262"/>
      <c r="EB34" s="265"/>
      <c r="EC34" s="262"/>
      <c r="ED34" s="262"/>
      <c r="EE34" s="254"/>
      <c r="EF34" s="233"/>
      <c r="EG34" s="233"/>
      <c r="EH34" s="120"/>
      <c r="EI34" s="262"/>
      <c r="EJ34" s="262"/>
      <c r="EK34" s="120"/>
      <c r="EL34" s="262"/>
      <c r="EM34" s="262"/>
      <c r="EN34" s="120"/>
      <c r="EO34" s="262"/>
      <c r="EP34" s="262"/>
      <c r="EQ34" s="120"/>
      <c r="ER34" s="262"/>
      <c r="ES34" s="262"/>
      <c r="ET34" s="120"/>
      <c r="EU34" s="262"/>
      <c r="EV34" s="262"/>
      <c r="EW34" s="120"/>
      <c r="EX34" s="262"/>
      <c r="EY34" s="262"/>
      <c r="EZ34" s="120"/>
      <c r="FA34" s="262"/>
      <c r="FB34" s="262"/>
      <c r="FC34" s="120"/>
      <c r="FD34" s="262"/>
      <c r="FE34" s="262"/>
      <c r="FF34" s="120"/>
      <c r="FG34" s="262"/>
      <c r="FH34" s="262"/>
      <c r="FI34" s="120"/>
      <c r="FJ34" s="262"/>
      <c r="FK34" s="262"/>
      <c r="FL34" s="120"/>
      <c r="FM34" s="262"/>
      <c r="FN34" s="262"/>
      <c r="FO34" s="120"/>
      <c r="FP34" s="262"/>
      <c r="FQ34" s="262"/>
      <c r="FR34" s="120"/>
      <c r="FS34" s="262"/>
      <c r="FT34" s="262"/>
      <c r="FU34" s="120"/>
      <c r="FV34" s="262"/>
      <c r="FW34" s="262"/>
      <c r="FX34" s="120"/>
      <c r="FY34" s="262"/>
      <c r="FZ34" s="262"/>
      <c r="GA34" s="256"/>
      <c r="GB34" s="233"/>
      <c r="GC34" s="233"/>
      <c r="GJ34" s="121">
        <f t="shared" si="19"/>
        <v>0</v>
      </c>
      <c r="GK34" s="121">
        <f t="shared" si="20"/>
        <v>0</v>
      </c>
      <c r="GM34" s="121">
        <f t="shared" si="21"/>
        <v>0</v>
      </c>
      <c r="GN34" s="121">
        <f t="shared" si="22"/>
        <v>0</v>
      </c>
      <c r="GO34" s="121">
        <f t="shared" si="23"/>
        <v>0</v>
      </c>
      <c r="GP34" s="121">
        <f t="shared" si="24"/>
        <v>0</v>
      </c>
      <c r="GQ34" s="121">
        <f t="shared" si="25"/>
        <v>0</v>
      </c>
      <c r="GR34" s="121">
        <f t="shared" si="26"/>
        <v>0</v>
      </c>
    </row>
    <row r="35" spans="1:200" ht="38.25" customHeight="1" x14ac:dyDescent="0.55000000000000004">
      <c r="B35" s="303" t="s">
        <v>403</v>
      </c>
      <c r="C35" s="198"/>
      <c r="D35" s="198"/>
      <c r="E35" s="198"/>
      <c r="F35" s="198"/>
      <c r="G35" s="198"/>
      <c r="H35" s="198"/>
      <c r="I35" s="142" cm="1">
        <f t="array" ref="I35">SUMPRODUCT(($X$2:$GG$2&lt;&gt;"")*($X35:$GG35&lt;&gt;""))</f>
        <v>0</v>
      </c>
      <c r="J35" s="122">
        <f t="shared" si="10"/>
        <v>0</v>
      </c>
      <c r="K35" s="122">
        <f t="shared" si="11"/>
        <v>0</v>
      </c>
      <c r="L35" s="249">
        <f t="shared" si="0"/>
        <v>7000</v>
      </c>
      <c r="M35" s="144">
        <f t="shared" si="12"/>
        <v>0</v>
      </c>
      <c r="N35" s="405"/>
      <c r="O35" s="145">
        <f t="shared" si="13"/>
        <v>0</v>
      </c>
      <c r="P35" s="145">
        <f t="shared" si="14"/>
        <v>0</v>
      </c>
      <c r="Q35" s="145">
        <f t="shared" si="15"/>
        <v>0</v>
      </c>
      <c r="R35" s="145">
        <f t="shared" si="16"/>
        <v>0</v>
      </c>
      <c r="S35" s="130">
        <f t="shared" si="17"/>
        <v>0</v>
      </c>
      <c r="T35" s="130">
        <f t="shared" si="18"/>
        <v>0</v>
      </c>
      <c r="U35" s="141"/>
      <c r="V35" s="123"/>
      <c r="W35" s="134"/>
      <c r="X35" s="124"/>
      <c r="Y35" s="134"/>
      <c r="Z35" s="200"/>
      <c r="AA35" s="120"/>
      <c r="AB35" s="134"/>
      <c r="AC35" s="200"/>
      <c r="AD35" s="125"/>
      <c r="AE35" s="134"/>
      <c r="AF35" s="200"/>
      <c r="AG35" s="120"/>
      <c r="AH35" s="262"/>
      <c r="AI35" s="262"/>
      <c r="AJ35" s="120"/>
      <c r="AK35" s="262"/>
      <c r="AL35" s="262"/>
      <c r="AM35" s="120"/>
      <c r="AN35" s="262"/>
      <c r="AO35" s="262"/>
      <c r="AP35" s="120"/>
      <c r="AQ35" s="262"/>
      <c r="AR35" s="262"/>
      <c r="AS35" s="120"/>
      <c r="AT35" s="262"/>
      <c r="AU35" s="262"/>
      <c r="AV35" s="120"/>
      <c r="AW35" s="262"/>
      <c r="AX35" s="262"/>
      <c r="AY35" s="120"/>
      <c r="AZ35" s="262"/>
      <c r="BA35" s="262"/>
      <c r="BB35" s="120"/>
      <c r="BC35" s="134"/>
      <c r="BD35" s="200"/>
      <c r="BE35" s="120"/>
      <c r="BF35" s="134"/>
      <c r="BG35" s="200"/>
      <c r="BH35" s="120"/>
      <c r="BI35" s="252"/>
      <c r="BJ35" s="252"/>
      <c r="BK35" s="120"/>
      <c r="BL35" s="134"/>
      <c r="BM35" s="134"/>
      <c r="BN35" s="120"/>
      <c r="BO35" s="252"/>
      <c r="BP35" s="252"/>
      <c r="BQ35" s="120"/>
      <c r="BR35" s="134"/>
      <c r="BS35" s="134"/>
      <c r="BT35" s="120"/>
      <c r="BU35" s="134"/>
      <c r="BV35" s="200"/>
      <c r="BW35" s="120"/>
      <c r="BX35" s="134"/>
      <c r="BY35" s="200"/>
      <c r="BZ35" s="120"/>
      <c r="CA35" s="126"/>
      <c r="CB35" s="126"/>
      <c r="CC35" s="120"/>
      <c r="CD35" s="126"/>
      <c r="CE35" s="126"/>
      <c r="CF35" s="120"/>
      <c r="CG35" s="134"/>
      <c r="CH35" s="134"/>
      <c r="CI35" s="120"/>
      <c r="CJ35" s="200"/>
      <c r="CK35" s="200"/>
      <c r="CL35" s="120"/>
      <c r="CM35" s="200"/>
      <c r="CN35" s="200"/>
      <c r="CO35" s="120"/>
      <c r="CP35" s="134"/>
      <c r="CQ35" s="134"/>
      <c r="CR35" s="120"/>
      <c r="CS35" s="134"/>
      <c r="CT35" s="134"/>
      <c r="CU35" s="120"/>
      <c r="CV35" s="202"/>
      <c r="CW35" s="202"/>
      <c r="CX35" s="120"/>
      <c r="CY35" s="202"/>
      <c r="CZ35" s="202"/>
      <c r="DA35" s="120"/>
      <c r="DB35" s="202"/>
      <c r="DC35" s="202"/>
      <c r="DD35" s="349"/>
      <c r="DE35" s="202"/>
      <c r="DF35" s="202"/>
      <c r="DG35" s="254"/>
      <c r="DH35" s="203"/>
      <c r="DI35" s="203"/>
      <c r="DJ35" s="259"/>
      <c r="DK35" s="136"/>
      <c r="DL35" s="136"/>
      <c r="DM35" s="120"/>
      <c r="DN35" s="233"/>
      <c r="DO35" s="233"/>
      <c r="DP35" s="120"/>
      <c r="DQ35" s="262"/>
      <c r="DR35" s="262"/>
      <c r="DS35" s="120"/>
      <c r="DT35" s="262"/>
      <c r="DU35" s="262"/>
      <c r="DV35" s="120"/>
      <c r="DW35" s="262"/>
      <c r="DX35" s="262"/>
      <c r="DY35" s="120"/>
      <c r="DZ35" s="262"/>
      <c r="EA35" s="262"/>
      <c r="EB35" s="265"/>
      <c r="EC35" s="262"/>
      <c r="ED35" s="262"/>
      <c r="EE35" s="254"/>
      <c r="EF35" s="233"/>
      <c r="EG35" s="233"/>
      <c r="EH35" s="120"/>
      <c r="EI35" s="262"/>
      <c r="EJ35" s="262"/>
      <c r="EK35" s="120"/>
      <c r="EL35" s="262"/>
      <c r="EM35" s="262"/>
      <c r="EN35" s="120"/>
      <c r="EO35" s="262"/>
      <c r="EP35" s="262"/>
      <c r="EQ35" s="120"/>
      <c r="ER35" s="262"/>
      <c r="ES35" s="262"/>
      <c r="ET35" s="120"/>
      <c r="EU35" s="262"/>
      <c r="EV35" s="262"/>
      <c r="EW35" s="120"/>
      <c r="EX35" s="262"/>
      <c r="EY35" s="262"/>
      <c r="EZ35" s="120"/>
      <c r="FA35" s="262"/>
      <c r="FB35" s="262"/>
      <c r="FC35" s="120"/>
      <c r="FD35" s="262"/>
      <c r="FE35" s="262"/>
      <c r="FF35" s="120"/>
      <c r="FG35" s="262"/>
      <c r="FH35" s="262"/>
      <c r="FI35" s="120"/>
      <c r="FJ35" s="262"/>
      <c r="FK35" s="262"/>
      <c r="FL35" s="120"/>
      <c r="FM35" s="262"/>
      <c r="FN35" s="262"/>
      <c r="FO35" s="120"/>
      <c r="FP35" s="262"/>
      <c r="FQ35" s="262"/>
      <c r="FR35" s="120"/>
      <c r="FS35" s="262"/>
      <c r="FT35" s="262"/>
      <c r="FU35" s="120"/>
      <c r="FV35" s="262"/>
      <c r="FW35" s="262"/>
      <c r="FX35" s="120"/>
      <c r="FY35" s="262"/>
      <c r="FZ35" s="262"/>
      <c r="GA35" s="256"/>
      <c r="GB35" s="233"/>
      <c r="GC35" s="233"/>
      <c r="GJ35" s="121">
        <f t="shared" si="19"/>
        <v>0</v>
      </c>
      <c r="GK35" s="121">
        <f t="shared" si="20"/>
        <v>0</v>
      </c>
      <c r="GM35" s="121">
        <f t="shared" si="21"/>
        <v>0</v>
      </c>
      <c r="GN35" s="121">
        <f t="shared" si="22"/>
        <v>0</v>
      </c>
      <c r="GO35" s="121">
        <f t="shared" si="23"/>
        <v>0</v>
      </c>
      <c r="GP35" s="121">
        <f t="shared" si="24"/>
        <v>0</v>
      </c>
      <c r="GQ35" s="121">
        <f t="shared" si="25"/>
        <v>0</v>
      </c>
      <c r="GR35" s="121">
        <f t="shared" si="26"/>
        <v>0</v>
      </c>
    </row>
    <row r="36" spans="1:200" ht="38.25" customHeight="1" x14ac:dyDescent="0.55000000000000004">
      <c r="B36" s="303" t="s">
        <v>404</v>
      </c>
      <c r="C36" s="198"/>
      <c r="D36" s="198"/>
      <c r="E36" s="198"/>
      <c r="F36" s="198"/>
      <c r="G36" s="198"/>
      <c r="H36" s="198"/>
      <c r="I36" s="142" cm="1">
        <f t="array" ref="I36">SUMPRODUCT(($X$2:$GG$2&lt;&gt;"")*($X36:$GG36&lt;&gt;""))</f>
        <v>1</v>
      </c>
      <c r="J36" s="122">
        <f t="shared" si="10"/>
        <v>0</v>
      </c>
      <c r="K36" s="122">
        <f t="shared" si="11"/>
        <v>0</v>
      </c>
      <c r="L36" s="249">
        <f t="shared" si="0"/>
        <v>7000</v>
      </c>
      <c r="M36" s="144">
        <f t="shared" si="12"/>
        <v>0</v>
      </c>
      <c r="N36" s="405"/>
      <c r="O36" s="145">
        <f t="shared" si="13"/>
        <v>0</v>
      </c>
      <c r="P36" s="145">
        <f t="shared" si="14"/>
        <v>0</v>
      </c>
      <c r="Q36" s="145">
        <f t="shared" si="15"/>
        <v>0</v>
      </c>
      <c r="R36" s="145">
        <f t="shared" si="16"/>
        <v>0</v>
      </c>
      <c r="S36" s="130">
        <f t="shared" si="17"/>
        <v>0</v>
      </c>
      <c r="T36" s="130">
        <f t="shared" si="18"/>
        <v>0</v>
      </c>
      <c r="U36" s="141"/>
      <c r="V36" s="123">
        <v>1274</v>
      </c>
      <c r="W36" s="134"/>
      <c r="X36" s="124">
        <v>757</v>
      </c>
      <c r="Y36" s="339"/>
      <c r="Z36" s="348" t="s">
        <v>576</v>
      </c>
      <c r="AA36" s="120"/>
      <c r="AB36" s="134"/>
      <c r="AC36" s="200"/>
      <c r="AD36" s="125"/>
      <c r="AE36" s="134"/>
      <c r="AF36" s="200"/>
      <c r="AG36" s="120"/>
      <c r="AH36" s="262"/>
      <c r="AI36" s="262"/>
      <c r="AJ36" s="120"/>
      <c r="AK36" s="262"/>
      <c r="AL36" s="262"/>
      <c r="AM36" s="120"/>
      <c r="AN36" s="262"/>
      <c r="AO36" s="262"/>
      <c r="AP36" s="120"/>
      <c r="AQ36" s="262"/>
      <c r="AR36" s="262"/>
      <c r="AS36" s="120"/>
      <c r="AT36" s="262"/>
      <c r="AU36" s="262"/>
      <c r="AV36" s="120"/>
      <c r="AW36" s="262"/>
      <c r="AX36" s="262"/>
      <c r="AY36" s="120"/>
      <c r="AZ36" s="262"/>
      <c r="BA36" s="262"/>
      <c r="BB36" s="120"/>
      <c r="BC36" s="134"/>
      <c r="BD36" s="200"/>
      <c r="BE36" s="120"/>
      <c r="BF36" s="134"/>
      <c r="BG36" s="200"/>
      <c r="BH36" s="120"/>
      <c r="BI36" s="252"/>
      <c r="BJ36" s="252"/>
      <c r="BK36" s="120"/>
      <c r="BL36" s="134"/>
      <c r="BM36" s="134"/>
      <c r="BN36" s="120"/>
      <c r="BO36" s="252"/>
      <c r="BP36" s="252"/>
      <c r="BQ36" s="120"/>
      <c r="BR36" s="134"/>
      <c r="BS36" s="134"/>
      <c r="BT36" s="120"/>
      <c r="BU36" s="134"/>
      <c r="BV36" s="200"/>
      <c r="BW36" s="120"/>
      <c r="BX36" s="134"/>
      <c r="BY36" s="200"/>
      <c r="BZ36" s="120"/>
      <c r="CA36" s="126"/>
      <c r="CB36" s="126"/>
      <c r="CC36" s="120"/>
      <c r="CD36" s="126"/>
      <c r="CE36" s="126"/>
      <c r="CF36" s="120"/>
      <c r="CG36" s="134"/>
      <c r="CH36" s="134"/>
      <c r="CI36" s="120"/>
      <c r="CJ36" s="200"/>
      <c r="CK36" s="200"/>
      <c r="CL36" s="120"/>
      <c r="CM36" s="200"/>
      <c r="CN36" s="200"/>
      <c r="CO36" s="120"/>
      <c r="CP36" s="134"/>
      <c r="CQ36" s="134"/>
      <c r="CR36" s="120"/>
      <c r="CS36" s="134"/>
      <c r="CT36" s="134"/>
      <c r="CU36" s="120"/>
      <c r="CV36" s="202"/>
      <c r="CW36" s="202"/>
      <c r="CX36" s="120"/>
      <c r="CY36" s="202"/>
      <c r="CZ36" s="202"/>
      <c r="DA36" s="120"/>
      <c r="DB36" s="202"/>
      <c r="DC36" s="202"/>
      <c r="DD36" s="349"/>
      <c r="DE36" s="202"/>
      <c r="DF36" s="202"/>
      <c r="DG36" s="254"/>
      <c r="DH36" s="203"/>
      <c r="DI36" s="203"/>
      <c r="DJ36" s="259"/>
      <c r="DK36" s="136"/>
      <c r="DL36" s="136"/>
      <c r="DM36" s="120"/>
      <c r="DN36" s="233"/>
      <c r="DO36" s="233"/>
      <c r="DP36" s="120"/>
      <c r="DQ36" s="262"/>
      <c r="DR36" s="262"/>
      <c r="DS36" s="120"/>
      <c r="DT36" s="262"/>
      <c r="DU36" s="262"/>
      <c r="DV36" s="120"/>
      <c r="DW36" s="262"/>
      <c r="DX36" s="262"/>
      <c r="DY36" s="120"/>
      <c r="DZ36" s="262"/>
      <c r="EA36" s="262"/>
      <c r="EB36" s="265"/>
      <c r="EC36" s="262"/>
      <c r="ED36" s="262"/>
      <c r="EE36" s="254"/>
      <c r="EF36" s="233"/>
      <c r="EG36" s="233"/>
      <c r="EH36" s="120"/>
      <c r="EI36" s="262"/>
      <c r="EJ36" s="262"/>
      <c r="EK36" s="120"/>
      <c r="EL36" s="262"/>
      <c r="EM36" s="262"/>
      <c r="EN36" s="120"/>
      <c r="EO36" s="262"/>
      <c r="EP36" s="262"/>
      <c r="EQ36" s="120"/>
      <c r="ER36" s="262"/>
      <c r="ES36" s="262"/>
      <c r="ET36" s="120"/>
      <c r="EU36" s="262"/>
      <c r="EV36" s="262"/>
      <c r="EW36" s="120"/>
      <c r="EX36" s="262"/>
      <c r="EY36" s="262"/>
      <c r="EZ36" s="120"/>
      <c r="FA36" s="262"/>
      <c r="FB36" s="262"/>
      <c r="FC36" s="120"/>
      <c r="FD36" s="262"/>
      <c r="FE36" s="262"/>
      <c r="FF36" s="120"/>
      <c r="FG36" s="262"/>
      <c r="FH36" s="262"/>
      <c r="FI36" s="120"/>
      <c r="FJ36" s="262"/>
      <c r="FK36" s="262"/>
      <c r="FL36" s="120"/>
      <c r="FM36" s="262"/>
      <c r="FN36" s="262"/>
      <c r="FO36" s="120"/>
      <c r="FP36" s="262"/>
      <c r="FQ36" s="262"/>
      <c r="FR36" s="120"/>
      <c r="FS36" s="262"/>
      <c r="FT36" s="262"/>
      <c r="FU36" s="120"/>
      <c r="FV36" s="262"/>
      <c r="FW36" s="262"/>
      <c r="FX36" s="120"/>
      <c r="FY36" s="262"/>
      <c r="FZ36" s="262"/>
      <c r="GA36" s="256"/>
      <c r="GB36" s="233"/>
      <c r="GC36" s="233"/>
      <c r="GJ36" s="121">
        <f t="shared" si="19"/>
        <v>0</v>
      </c>
      <c r="GK36" s="121">
        <f t="shared" si="20"/>
        <v>0</v>
      </c>
      <c r="GM36" s="121">
        <f t="shared" si="21"/>
        <v>1</v>
      </c>
      <c r="GN36" s="121">
        <f t="shared" si="22"/>
        <v>0</v>
      </c>
      <c r="GO36" s="121">
        <f t="shared" si="23"/>
        <v>0</v>
      </c>
      <c r="GP36" s="121">
        <f t="shared" si="24"/>
        <v>0</v>
      </c>
      <c r="GQ36" s="121">
        <f t="shared" si="25"/>
        <v>0</v>
      </c>
      <c r="GR36" s="121">
        <f t="shared" si="26"/>
        <v>0</v>
      </c>
    </row>
    <row r="37" spans="1:200" ht="38.25" customHeight="1" x14ac:dyDescent="0.55000000000000004">
      <c r="B37" s="303" t="s">
        <v>406</v>
      </c>
      <c r="C37" s="198"/>
      <c r="D37" s="198"/>
      <c r="E37" s="198"/>
      <c r="F37" s="198"/>
      <c r="G37" s="198"/>
      <c r="H37" s="198"/>
      <c r="I37" s="142" cm="1">
        <f t="array" ref="I37">SUMPRODUCT(($X$2:$GG$2&lt;&gt;"")*($X37:$GG37&lt;&gt;""))</f>
        <v>0</v>
      </c>
      <c r="J37" s="122">
        <f t="shared" si="10"/>
        <v>0</v>
      </c>
      <c r="K37" s="122">
        <f t="shared" si="11"/>
        <v>0</v>
      </c>
      <c r="L37" s="249">
        <f t="shared" si="0"/>
        <v>7000</v>
      </c>
      <c r="M37" s="144">
        <f t="shared" si="12"/>
        <v>0</v>
      </c>
      <c r="N37" s="405"/>
      <c r="O37" s="145">
        <f t="shared" si="13"/>
        <v>0</v>
      </c>
      <c r="P37" s="145">
        <f t="shared" si="14"/>
        <v>0</v>
      </c>
      <c r="Q37" s="145">
        <f t="shared" si="15"/>
        <v>0</v>
      </c>
      <c r="R37" s="145">
        <f t="shared" si="16"/>
        <v>0</v>
      </c>
      <c r="S37" s="130">
        <f t="shared" si="17"/>
        <v>0</v>
      </c>
      <c r="T37" s="130">
        <f t="shared" si="18"/>
        <v>0</v>
      </c>
      <c r="U37" s="141"/>
      <c r="V37" s="123"/>
      <c r="W37" s="134"/>
      <c r="X37" s="124"/>
      <c r="Y37" s="134"/>
      <c r="Z37" s="200"/>
      <c r="AA37" s="120"/>
      <c r="AB37" s="134"/>
      <c r="AC37" s="200"/>
      <c r="AD37" s="125"/>
      <c r="AE37" s="134"/>
      <c r="AF37" s="200"/>
      <c r="AG37" s="120"/>
      <c r="AH37" s="262"/>
      <c r="AI37" s="262"/>
      <c r="AJ37" s="120"/>
      <c r="AK37" s="262"/>
      <c r="AL37" s="262"/>
      <c r="AM37" s="120"/>
      <c r="AN37" s="262"/>
      <c r="AO37" s="262"/>
      <c r="AP37" s="120"/>
      <c r="AQ37" s="262"/>
      <c r="AR37" s="262"/>
      <c r="AS37" s="120"/>
      <c r="AT37" s="262"/>
      <c r="AU37" s="262"/>
      <c r="AV37" s="120"/>
      <c r="AW37" s="262"/>
      <c r="AX37" s="262"/>
      <c r="AY37" s="120"/>
      <c r="AZ37" s="262"/>
      <c r="BA37" s="262"/>
      <c r="BB37" s="120"/>
      <c r="BC37" s="134"/>
      <c r="BD37" s="200"/>
      <c r="BE37" s="120"/>
      <c r="BF37" s="134"/>
      <c r="BG37" s="200"/>
      <c r="BH37" s="120"/>
      <c r="BI37" s="252"/>
      <c r="BJ37" s="252"/>
      <c r="BK37" s="120"/>
      <c r="BL37" s="134"/>
      <c r="BM37" s="134"/>
      <c r="BN37" s="120"/>
      <c r="BO37" s="252"/>
      <c r="BP37" s="252"/>
      <c r="BQ37" s="120"/>
      <c r="BR37" s="134"/>
      <c r="BS37" s="134"/>
      <c r="BT37" s="120"/>
      <c r="BU37" s="134"/>
      <c r="BV37" s="200"/>
      <c r="BW37" s="120"/>
      <c r="BX37" s="134"/>
      <c r="BY37" s="200"/>
      <c r="BZ37" s="120"/>
      <c r="CA37" s="126"/>
      <c r="CB37" s="126"/>
      <c r="CC37" s="120"/>
      <c r="CD37" s="126"/>
      <c r="CE37" s="126"/>
      <c r="CF37" s="120"/>
      <c r="CG37" s="134"/>
      <c r="CH37" s="134"/>
      <c r="CI37" s="120"/>
      <c r="CJ37" s="200"/>
      <c r="CK37" s="200"/>
      <c r="CL37" s="120"/>
      <c r="CM37" s="200"/>
      <c r="CN37" s="200"/>
      <c r="CO37" s="120"/>
      <c r="CP37" s="134"/>
      <c r="CQ37" s="134"/>
      <c r="CR37" s="120"/>
      <c r="CS37" s="134"/>
      <c r="CT37" s="134"/>
      <c r="CU37" s="120"/>
      <c r="CV37" s="202"/>
      <c r="CW37" s="202"/>
      <c r="CX37" s="120"/>
      <c r="CY37" s="202"/>
      <c r="CZ37" s="202"/>
      <c r="DA37" s="120"/>
      <c r="DB37" s="202"/>
      <c r="DC37" s="202"/>
      <c r="DD37" s="349"/>
      <c r="DE37" s="202"/>
      <c r="DF37" s="202"/>
      <c r="DG37" s="254"/>
      <c r="DH37" s="203"/>
      <c r="DI37" s="203"/>
      <c r="DJ37" s="259"/>
      <c r="DK37" s="136"/>
      <c r="DL37" s="136"/>
      <c r="DM37" s="120"/>
      <c r="DN37" s="233"/>
      <c r="DO37" s="233"/>
      <c r="DP37" s="120"/>
      <c r="DQ37" s="262"/>
      <c r="DR37" s="262"/>
      <c r="DS37" s="120"/>
      <c r="DT37" s="262"/>
      <c r="DU37" s="262"/>
      <c r="DV37" s="120"/>
      <c r="DW37" s="262"/>
      <c r="DX37" s="262"/>
      <c r="DY37" s="120"/>
      <c r="DZ37" s="262"/>
      <c r="EA37" s="262"/>
      <c r="EB37" s="265"/>
      <c r="EC37" s="262"/>
      <c r="ED37" s="262"/>
      <c r="EE37" s="254"/>
      <c r="EF37" s="233"/>
      <c r="EG37" s="233"/>
      <c r="EH37" s="120"/>
      <c r="EI37" s="262"/>
      <c r="EJ37" s="262"/>
      <c r="EK37" s="120"/>
      <c r="EL37" s="262"/>
      <c r="EM37" s="262"/>
      <c r="EN37" s="120"/>
      <c r="EO37" s="262"/>
      <c r="EP37" s="262"/>
      <c r="EQ37" s="120"/>
      <c r="ER37" s="262"/>
      <c r="ES37" s="262"/>
      <c r="ET37" s="120"/>
      <c r="EU37" s="262"/>
      <c r="EV37" s="262"/>
      <c r="EW37" s="120"/>
      <c r="EX37" s="262"/>
      <c r="EY37" s="262"/>
      <c r="EZ37" s="120"/>
      <c r="FA37" s="262"/>
      <c r="FB37" s="262"/>
      <c r="FC37" s="120"/>
      <c r="FD37" s="262"/>
      <c r="FE37" s="262"/>
      <c r="FF37" s="120"/>
      <c r="FG37" s="262"/>
      <c r="FH37" s="262"/>
      <c r="FI37" s="120"/>
      <c r="FJ37" s="262"/>
      <c r="FK37" s="262"/>
      <c r="FL37" s="120"/>
      <c r="FM37" s="262"/>
      <c r="FN37" s="262"/>
      <c r="FO37" s="120"/>
      <c r="FP37" s="262"/>
      <c r="FQ37" s="262"/>
      <c r="FR37" s="120"/>
      <c r="FS37" s="262"/>
      <c r="FT37" s="262"/>
      <c r="FU37" s="120"/>
      <c r="FV37" s="262"/>
      <c r="FW37" s="262"/>
      <c r="FX37" s="120"/>
      <c r="FY37" s="262"/>
      <c r="FZ37" s="262"/>
      <c r="GA37" s="256"/>
      <c r="GB37" s="233"/>
      <c r="GC37" s="233"/>
      <c r="GJ37" s="121">
        <f t="shared" si="19"/>
        <v>0</v>
      </c>
      <c r="GK37" s="121">
        <f t="shared" si="20"/>
        <v>0</v>
      </c>
      <c r="GM37" s="121">
        <f t="shared" si="21"/>
        <v>0</v>
      </c>
      <c r="GN37" s="121">
        <f t="shared" si="22"/>
        <v>0</v>
      </c>
      <c r="GO37" s="121">
        <f t="shared" si="23"/>
        <v>0</v>
      </c>
      <c r="GP37" s="121">
        <f t="shared" si="24"/>
        <v>0</v>
      </c>
      <c r="GQ37" s="121">
        <f t="shared" si="25"/>
        <v>0</v>
      </c>
      <c r="GR37" s="121">
        <f t="shared" si="26"/>
        <v>0</v>
      </c>
    </row>
    <row r="38" spans="1:200" ht="38.25" customHeight="1" x14ac:dyDescent="0.55000000000000004">
      <c r="A38" s="121" t="s">
        <v>129</v>
      </c>
      <c r="B38" s="305" t="s">
        <v>130</v>
      </c>
      <c r="C38" s="142">
        <v>2</v>
      </c>
      <c r="D38" s="142">
        <v>2</v>
      </c>
      <c r="E38" s="142">
        <v>2</v>
      </c>
      <c r="F38" s="142">
        <f>($X$38/$Y$38)*$L$38*C38</f>
        <v>2548</v>
      </c>
      <c r="G38" s="142">
        <f>($X$38/$Y$38)*$L$38*D38</f>
        <v>2548</v>
      </c>
      <c r="H38" s="142">
        <f>($X$38/$Y$38)*$L$38*E38</f>
        <v>2548</v>
      </c>
      <c r="I38" s="142" cm="1">
        <f t="array" ref="I38">SUMPRODUCT(($X$2:$GG$2&lt;&gt;"")*($X38:$GG38&lt;&gt;""))</f>
        <v>8</v>
      </c>
      <c r="J38" s="122">
        <f t="shared" si="10"/>
        <v>16</v>
      </c>
      <c r="K38" s="122">
        <f t="shared" si="11"/>
        <v>224</v>
      </c>
      <c r="L38" s="249">
        <f t="shared" si="0"/>
        <v>7000</v>
      </c>
      <c r="M38" s="144">
        <f t="shared" si="12"/>
        <v>17836</v>
      </c>
      <c r="N38" s="405"/>
      <c r="O38" s="145">
        <f t="shared" si="13"/>
        <v>3782.7999999999997</v>
      </c>
      <c r="P38" s="145">
        <f t="shared" si="14"/>
        <v>30772</v>
      </c>
      <c r="Q38" s="145">
        <f t="shared" si="15"/>
        <v>0</v>
      </c>
      <c r="R38" s="145">
        <f t="shared" si="16"/>
        <v>0</v>
      </c>
      <c r="S38" s="130">
        <f t="shared" si="17"/>
        <v>2286.666666666667</v>
      </c>
      <c r="T38" s="130">
        <f t="shared" si="18"/>
        <v>0</v>
      </c>
      <c r="U38" s="141">
        <v>910</v>
      </c>
      <c r="V38" s="123">
        <v>140</v>
      </c>
      <c r="W38" s="134">
        <v>6000</v>
      </c>
      <c r="X38" s="124">
        <v>45.5</v>
      </c>
      <c r="Y38" s="134">
        <v>250</v>
      </c>
      <c r="Z38" s="200" t="s">
        <v>16</v>
      </c>
      <c r="AA38" s="120">
        <v>164</v>
      </c>
      <c r="AB38" s="134">
        <v>1000</v>
      </c>
      <c r="AC38" s="200" t="s">
        <v>530</v>
      </c>
      <c r="AD38" s="125">
        <v>77.2</v>
      </c>
      <c r="AE38" s="134">
        <v>2000</v>
      </c>
      <c r="AF38" s="348" t="s">
        <v>805</v>
      </c>
      <c r="AG38" s="120"/>
      <c r="AH38" s="262"/>
      <c r="AI38" s="262"/>
      <c r="AJ38" s="120"/>
      <c r="AK38" s="262"/>
      <c r="AL38" s="262"/>
      <c r="AM38" s="120"/>
      <c r="AN38" s="262"/>
      <c r="AO38" s="262"/>
      <c r="AP38" s="120"/>
      <c r="AQ38" s="262"/>
      <c r="AR38" s="262"/>
      <c r="AS38" s="120"/>
      <c r="AT38" s="262"/>
      <c r="AU38" s="262"/>
      <c r="AV38" s="120"/>
      <c r="AW38" s="262"/>
      <c r="AX38" s="262"/>
      <c r="AY38" s="120"/>
      <c r="AZ38" s="262"/>
      <c r="BA38" s="262"/>
      <c r="BB38" s="120">
        <v>15</v>
      </c>
      <c r="BC38" s="134">
        <v>1000</v>
      </c>
      <c r="BD38" s="348" t="s">
        <v>806</v>
      </c>
      <c r="BE38" s="120">
        <v>15</v>
      </c>
      <c r="BF38" s="134">
        <v>1000</v>
      </c>
      <c r="BG38" s="348" t="s">
        <v>806</v>
      </c>
      <c r="BH38" s="120"/>
      <c r="BI38" s="134"/>
      <c r="BJ38" s="134"/>
      <c r="BK38" s="120"/>
      <c r="BL38" s="134"/>
      <c r="BM38" s="134"/>
      <c r="BN38" s="120"/>
      <c r="BO38" s="126"/>
      <c r="BP38" s="126"/>
      <c r="BQ38" s="120"/>
      <c r="BR38" s="134"/>
      <c r="BS38" s="134"/>
      <c r="BT38" s="120"/>
      <c r="BU38" s="200"/>
      <c r="BV38" s="200"/>
      <c r="BW38" s="120"/>
      <c r="BX38" s="200"/>
      <c r="BY38" s="200"/>
      <c r="BZ38" s="120"/>
      <c r="CA38" s="127"/>
      <c r="CB38" s="127"/>
      <c r="CC38" s="120"/>
      <c r="CD38" s="127"/>
      <c r="CE38" s="127"/>
      <c r="CF38" s="120"/>
      <c r="CG38" s="134"/>
      <c r="CH38" s="134"/>
      <c r="CI38" s="120"/>
      <c r="CJ38" s="200"/>
      <c r="CK38" s="200"/>
      <c r="CL38" s="120"/>
      <c r="CM38" s="127"/>
      <c r="CN38" s="127"/>
      <c r="CO38" s="120"/>
      <c r="CP38" s="200"/>
      <c r="CQ38" s="200"/>
      <c r="CR38" s="120"/>
      <c r="CS38" s="202"/>
      <c r="CT38" s="202"/>
      <c r="CU38" s="120"/>
      <c r="CV38" s="128"/>
      <c r="CW38" s="128"/>
      <c r="CX38" s="120"/>
      <c r="CY38" s="126"/>
      <c r="CZ38" s="126"/>
      <c r="DA38" s="120"/>
      <c r="DB38" s="128"/>
      <c r="DC38" s="128"/>
      <c r="DD38" s="349"/>
      <c r="DE38" s="128"/>
      <c r="DF38" s="128"/>
      <c r="DG38" s="254"/>
      <c r="DH38" s="129"/>
      <c r="DI38" s="129"/>
      <c r="DJ38" s="259"/>
      <c r="DK38" s="136"/>
      <c r="DL38" s="136"/>
      <c r="DM38" s="120"/>
      <c r="DN38" s="233"/>
      <c r="DO38" s="233"/>
      <c r="DP38" s="120"/>
      <c r="DQ38" s="262"/>
      <c r="DR38" s="262"/>
      <c r="DS38" s="120"/>
      <c r="DT38" s="262"/>
      <c r="DU38" s="262"/>
      <c r="DV38" s="120"/>
      <c r="DW38" s="262"/>
      <c r="DX38" s="262"/>
      <c r="DY38" s="120"/>
      <c r="DZ38" s="262"/>
      <c r="EA38" s="262"/>
      <c r="EB38" s="265"/>
      <c r="EC38" s="262"/>
      <c r="ED38" s="262"/>
      <c r="EE38" s="256"/>
      <c r="EF38" s="233"/>
      <c r="EG38" s="233"/>
      <c r="EH38" s="120"/>
      <c r="EI38" s="262"/>
      <c r="EJ38" s="262"/>
      <c r="EK38" s="120">
        <v>30</v>
      </c>
      <c r="EL38" s="262">
        <v>1000</v>
      </c>
      <c r="EM38" s="350" t="s">
        <v>806</v>
      </c>
      <c r="EN38" s="120"/>
      <c r="EO38" s="262"/>
      <c r="EP38" s="262"/>
      <c r="EQ38" s="120"/>
      <c r="ER38" s="262"/>
      <c r="ES38" s="262"/>
      <c r="ET38" s="120">
        <v>90</v>
      </c>
      <c r="EU38" s="262">
        <v>1000</v>
      </c>
      <c r="EV38" s="350" t="s">
        <v>806</v>
      </c>
      <c r="EW38" s="120"/>
      <c r="EX38" s="262"/>
      <c r="EY38" s="262"/>
      <c r="EZ38" s="120"/>
      <c r="FA38" s="262"/>
      <c r="FB38" s="262"/>
      <c r="FC38" s="120"/>
      <c r="FD38" s="262"/>
      <c r="FE38" s="262"/>
      <c r="FF38" s="120"/>
      <c r="FG38" s="262"/>
      <c r="FH38" s="262"/>
      <c r="FI38" s="120"/>
      <c r="FJ38" s="262"/>
      <c r="FK38" s="262"/>
      <c r="FL38" s="120">
        <v>15.1</v>
      </c>
      <c r="FM38" s="341"/>
      <c r="FN38" s="350" t="s">
        <v>806</v>
      </c>
      <c r="FO38" s="120"/>
      <c r="FP38" s="262"/>
      <c r="FQ38" s="262"/>
      <c r="FR38" s="120"/>
      <c r="FS38" s="262"/>
      <c r="FT38" s="262"/>
      <c r="FU38" s="120"/>
      <c r="FV38" s="262"/>
      <c r="FW38" s="262"/>
      <c r="FX38" s="120"/>
      <c r="FY38" s="262"/>
      <c r="FZ38" s="262"/>
      <c r="GA38" s="256"/>
      <c r="GB38" s="233"/>
      <c r="GC38" s="233"/>
      <c r="GJ38" s="121">
        <f t="shared" si="19"/>
        <v>0</v>
      </c>
      <c r="GK38" s="121">
        <f t="shared" si="20"/>
        <v>0</v>
      </c>
      <c r="GM38" s="121">
        <f t="shared" si="21"/>
        <v>1</v>
      </c>
      <c r="GN38" s="121">
        <f t="shared" si="22"/>
        <v>1</v>
      </c>
      <c r="GO38" s="121">
        <f t="shared" si="23"/>
        <v>1</v>
      </c>
      <c r="GP38" s="121">
        <f t="shared" si="24"/>
        <v>5</v>
      </c>
      <c r="GQ38" s="121">
        <f t="shared" si="25"/>
        <v>0</v>
      </c>
      <c r="GR38" s="121">
        <f t="shared" si="26"/>
        <v>1</v>
      </c>
    </row>
    <row r="39" spans="1:200" ht="38.25" customHeight="1" x14ac:dyDescent="0.55000000000000004">
      <c r="B39" s="303" t="s">
        <v>405</v>
      </c>
      <c r="C39" s="198"/>
      <c r="D39" s="198"/>
      <c r="E39" s="198"/>
      <c r="F39" s="198"/>
      <c r="G39" s="198"/>
      <c r="H39" s="198"/>
      <c r="I39" s="142" cm="1">
        <f t="array" ref="I39">SUMPRODUCT(($X$2:$GG$2&lt;&gt;"")*($X39:$GG39&lt;&gt;""))</f>
        <v>0</v>
      </c>
      <c r="J39" s="122">
        <f t="shared" si="10"/>
        <v>0</v>
      </c>
      <c r="K39" s="122">
        <f t="shared" si="11"/>
        <v>0</v>
      </c>
      <c r="L39" s="249">
        <f t="shared" si="0"/>
        <v>7000</v>
      </c>
      <c r="M39" s="144">
        <f t="shared" si="12"/>
        <v>0</v>
      </c>
      <c r="N39" s="405"/>
      <c r="O39" s="145">
        <f t="shared" si="13"/>
        <v>0</v>
      </c>
      <c r="P39" s="145">
        <f t="shared" si="14"/>
        <v>0</v>
      </c>
      <c r="Q39" s="145">
        <f t="shared" si="15"/>
        <v>0</v>
      </c>
      <c r="R39" s="145">
        <f t="shared" si="16"/>
        <v>0</v>
      </c>
      <c r="S39" s="130">
        <f t="shared" si="17"/>
        <v>0</v>
      </c>
      <c r="T39" s="130">
        <f t="shared" si="18"/>
        <v>0</v>
      </c>
      <c r="U39" s="141"/>
      <c r="V39" s="123"/>
      <c r="W39" s="134"/>
      <c r="X39" s="124"/>
      <c r="Y39" s="134"/>
      <c r="Z39" s="200"/>
      <c r="AA39" s="120"/>
      <c r="AB39" s="134"/>
      <c r="AC39" s="200"/>
      <c r="AD39" s="125"/>
      <c r="AE39" s="134"/>
      <c r="AF39" s="200"/>
      <c r="AG39" s="120"/>
      <c r="AH39" s="262"/>
      <c r="AI39" s="262"/>
      <c r="AJ39" s="120"/>
      <c r="AK39" s="262"/>
      <c r="AL39" s="262"/>
      <c r="AM39" s="120"/>
      <c r="AN39" s="262"/>
      <c r="AO39" s="262"/>
      <c r="AP39" s="120"/>
      <c r="AQ39" s="262"/>
      <c r="AR39" s="262"/>
      <c r="AS39" s="120"/>
      <c r="AT39" s="262"/>
      <c r="AU39" s="262"/>
      <c r="AV39" s="120"/>
      <c r="AW39" s="262"/>
      <c r="AX39" s="262"/>
      <c r="AY39" s="120"/>
      <c r="AZ39" s="262"/>
      <c r="BA39" s="262"/>
      <c r="BB39" s="120"/>
      <c r="BC39" s="134"/>
      <c r="BD39" s="200"/>
      <c r="BE39" s="120"/>
      <c r="BF39" s="134"/>
      <c r="BG39" s="200"/>
      <c r="BH39" s="120"/>
      <c r="BI39" s="252"/>
      <c r="BJ39" s="252"/>
      <c r="BK39" s="120"/>
      <c r="BL39" s="134"/>
      <c r="BM39" s="134"/>
      <c r="BN39" s="120"/>
      <c r="BO39" s="252"/>
      <c r="BP39" s="252"/>
      <c r="BQ39" s="120"/>
      <c r="BR39" s="134"/>
      <c r="BS39" s="134"/>
      <c r="BT39" s="120"/>
      <c r="BU39" s="134"/>
      <c r="BV39" s="200"/>
      <c r="BW39" s="120"/>
      <c r="BX39" s="134"/>
      <c r="BY39" s="200"/>
      <c r="BZ39" s="120"/>
      <c r="CA39" s="126"/>
      <c r="CB39" s="126"/>
      <c r="CC39" s="120"/>
      <c r="CD39" s="126"/>
      <c r="CE39" s="126"/>
      <c r="CF39" s="120"/>
      <c r="CG39" s="134"/>
      <c r="CH39" s="134"/>
      <c r="CI39" s="120"/>
      <c r="CJ39" s="200"/>
      <c r="CK39" s="200"/>
      <c r="CL39" s="120"/>
      <c r="CM39" s="200"/>
      <c r="CN39" s="200"/>
      <c r="CO39" s="120"/>
      <c r="CP39" s="134"/>
      <c r="CQ39" s="134"/>
      <c r="CR39" s="120"/>
      <c r="CS39" s="134"/>
      <c r="CT39" s="134"/>
      <c r="CU39" s="120"/>
      <c r="CV39" s="202"/>
      <c r="CW39" s="202"/>
      <c r="CX39" s="120"/>
      <c r="CY39" s="202"/>
      <c r="CZ39" s="202"/>
      <c r="DA39" s="120"/>
      <c r="DB39" s="202"/>
      <c r="DC39" s="202"/>
      <c r="DD39" s="349"/>
      <c r="DE39" s="202"/>
      <c r="DF39" s="202"/>
      <c r="DG39" s="254"/>
      <c r="DH39" s="203"/>
      <c r="DI39" s="203"/>
      <c r="DJ39" s="259"/>
      <c r="DK39" s="136"/>
      <c r="DL39" s="136"/>
      <c r="DM39" s="120"/>
      <c r="DN39" s="233"/>
      <c r="DO39" s="233"/>
      <c r="DP39" s="120"/>
      <c r="DQ39" s="262"/>
      <c r="DR39" s="262"/>
      <c r="DS39" s="120"/>
      <c r="DT39" s="262"/>
      <c r="DU39" s="262"/>
      <c r="DV39" s="120"/>
      <c r="DW39" s="262"/>
      <c r="DX39" s="262"/>
      <c r="DY39" s="120"/>
      <c r="DZ39" s="262"/>
      <c r="EA39" s="262"/>
      <c r="EB39" s="265"/>
      <c r="EC39" s="262"/>
      <c r="ED39" s="262"/>
      <c r="EE39" s="256"/>
      <c r="EF39" s="233"/>
      <c r="EG39" s="233"/>
      <c r="EH39" s="120"/>
      <c r="EI39" s="262"/>
      <c r="EJ39" s="262"/>
      <c r="EK39" s="120"/>
      <c r="EL39" s="262"/>
      <c r="EM39" s="262"/>
      <c r="EN39" s="120"/>
      <c r="EO39" s="262"/>
      <c r="EP39" s="262"/>
      <c r="EQ39" s="120"/>
      <c r="ER39" s="262"/>
      <c r="ES39" s="262"/>
      <c r="ET39" s="120"/>
      <c r="EU39" s="262"/>
      <c r="EV39" s="262"/>
      <c r="EW39" s="120"/>
      <c r="EX39" s="262"/>
      <c r="EY39" s="262"/>
      <c r="EZ39" s="120"/>
      <c r="FA39" s="262"/>
      <c r="FB39" s="262"/>
      <c r="FC39" s="120"/>
      <c r="FD39" s="262"/>
      <c r="FE39" s="262"/>
      <c r="FF39" s="120"/>
      <c r="FG39" s="262"/>
      <c r="FH39" s="262"/>
      <c r="FI39" s="120"/>
      <c r="FJ39" s="262"/>
      <c r="FK39" s="262"/>
      <c r="FL39" s="120"/>
      <c r="FM39" s="262"/>
      <c r="FN39" s="262"/>
      <c r="FO39" s="120"/>
      <c r="FP39" s="262"/>
      <c r="FQ39" s="262"/>
      <c r="FR39" s="120"/>
      <c r="FS39" s="262"/>
      <c r="FT39" s="262"/>
      <c r="FU39" s="120"/>
      <c r="FV39" s="262"/>
      <c r="FW39" s="262"/>
      <c r="FX39" s="120"/>
      <c r="FY39" s="262"/>
      <c r="FZ39" s="262"/>
      <c r="GA39" s="256"/>
      <c r="GB39" s="233"/>
      <c r="GC39" s="233"/>
      <c r="GJ39" s="121">
        <f t="shared" si="19"/>
        <v>0</v>
      </c>
      <c r="GK39" s="121">
        <f t="shared" si="20"/>
        <v>0</v>
      </c>
      <c r="GM39" s="121">
        <f t="shared" si="21"/>
        <v>0</v>
      </c>
      <c r="GN39" s="121">
        <f t="shared" si="22"/>
        <v>0</v>
      </c>
      <c r="GO39" s="121">
        <f t="shared" si="23"/>
        <v>0</v>
      </c>
      <c r="GP39" s="121">
        <f t="shared" si="24"/>
        <v>0</v>
      </c>
      <c r="GQ39" s="121">
        <f t="shared" si="25"/>
        <v>0</v>
      </c>
      <c r="GR39" s="121">
        <f t="shared" si="26"/>
        <v>0</v>
      </c>
    </row>
    <row r="40" spans="1:200" ht="38.25" customHeight="1" x14ac:dyDescent="0.55000000000000004">
      <c r="B40" s="303" t="s">
        <v>407</v>
      </c>
      <c r="C40" s="198"/>
      <c r="D40" s="198"/>
      <c r="E40" s="198"/>
      <c r="F40" s="198"/>
      <c r="G40" s="198"/>
      <c r="H40" s="198"/>
      <c r="I40" s="142" cm="1">
        <f t="array" ref="I40">SUMPRODUCT(($X$2:$GG$2&lt;&gt;"")*($X40:$GG40&lt;&gt;""))</f>
        <v>0</v>
      </c>
      <c r="J40" s="122">
        <f t="shared" si="10"/>
        <v>0</v>
      </c>
      <c r="K40" s="122">
        <f t="shared" si="11"/>
        <v>0</v>
      </c>
      <c r="L40" s="249">
        <f t="shared" si="0"/>
        <v>7000</v>
      </c>
      <c r="M40" s="144">
        <f t="shared" si="12"/>
        <v>0</v>
      </c>
      <c r="N40" s="405"/>
      <c r="O40" s="145">
        <f t="shared" si="13"/>
        <v>0</v>
      </c>
      <c r="P40" s="145">
        <f t="shared" si="14"/>
        <v>0</v>
      </c>
      <c r="Q40" s="145">
        <f t="shared" si="15"/>
        <v>0</v>
      </c>
      <c r="R40" s="145">
        <f t="shared" si="16"/>
        <v>0</v>
      </c>
      <c r="S40" s="130">
        <f t="shared" si="17"/>
        <v>0</v>
      </c>
      <c r="T40" s="130">
        <f t="shared" si="18"/>
        <v>0</v>
      </c>
      <c r="U40" s="141"/>
      <c r="V40" s="123"/>
      <c r="W40" s="134"/>
      <c r="X40" s="124"/>
      <c r="Y40" s="134"/>
      <c r="Z40" s="200"/>
      <c r="AA40" s="120"/>
      <c r="AB40" s="134"/>
      <c r="AC40" s="200"/>
      <c r="AD40" s="125"/>
      <c r="AE40" s="134"/>
      <c r="AF40" s="200"/>
      <c r="AG40" s="120"/>
      <c r="AH40" s="262"/>
      <c r="AI40" s="262"/>
      <c r="AJ40" s="120"/>
      <c r="AK40" s="262"/>
      <c r="AL40" s="262"/>
      <c r="AM40" s="120"/>
      <c r="AN40" s="262"/>
      <c r="AO40" s="262"/>
      <c r="AP40" s="120"/>
      <c r="AQ40" s="262"/>
      <c r="AR40" s="262"/>
      <c r="AS40" s="120"/>
      <c r="AT40" s="262"/>
      <c r="AU40" s="262"/>
      <c r="AV40" s="120"/>
      <c r="AW40" s="262"/>
      <c r="AX40" s="262"/>
      <c r="AY40" s="120"/>
      <c r="AZ40" s="262"/>
      <c r="BA40" s="262"/>
      <c r="BB40" s="120"/>
      <c r="BC40" s="134"/>
      <c r="BD40" s="200"/>
      <c r="BE40" s="120"/>
      <c r="BF40" s="134"/>
      <c r="BG40" s="200"/>
      <c r="BH40" s="120"/>
      <c r="BI40" s="252"/>
      <c r="BJ40" s="252"/>
      <c r="BK40" s="120"/>
      <c r="BL40" s="134"/>
      <c r="BM40" s="134"/>
      <c r="BN40" s="120"/>
      <c r="BO40" s="252"/>
      <c r="BP40" s="252"/>
      <c r="BQ40" s="120"/>
      <c r="BR40" s="134"/>
      <c r="BS40" s="134"/>
      <c r="BT40" s="120"/>
      <c r="BU40" s="134"/>
      <c r="BV40" s="200"/>
      <c r="BW40" s="120"/>
      <c r="BX40" s="134"/>
      <c r="BY40" s="200"/>
      <c r="BZ40" s="120"/>
      <c r="CA40" s="126"/>
      <c r="CB40" s="126"/>
      <c r="CC40" s="120"/>
      <c r="CD40" s="126"/>
      <c r="CE40" s="126"/>
      <c r="CF40" s="120"/>
      <c r="CG40" s="134"/>
      <c r="CH40" s="134"/>
      <c r="CI40" s="120"/>
      <c r="CJ40" s="200"/>
      <c r="CK40" s="200"/>
      <c r="CL40" s="120"/>
      <c r="CM40" s="200"/>
      <c r="CN40" s="200"/>
      <c r="CO40" s="120"/>
      <c r="CP40" s="134"/>
      <c r="CQ40" s="134"/>
      <c r="CR40" s="120"/>
      <c r="CS40" s="134"/>
      <c r="CT40" s="134"/>
      <c r="CU40" s="120"/>
      <c r="CV40" s="202"/>
      <c r="CW40" s="202"/>
      <c r="CX40" s="120"/>
      <c r="CY40" s="202"/>
      <c r="CZ40" s="202"/>
      <c r="DA40" s="120"/>
      <c r="DB40" s="202"/>
      <c r="DC40" s="202"/>
      <c r="DD40" s="349"/>
      <c r="DE40" s="202"/>
      <c r="DF40" s="202"/>
      <c r="DG40" s="254"/>
      <c r="DH40" s="203"/>
      <c r="DI40" s="203"/>
      <c r="DJ40" s="259"/>
      <c r="DK40" s="136"/>
      <c r="DL40" s="136"/>
      <c r="DM40" s="120"/>
      <c r="DN40" s="233"/>
      <c r="DO40" s="233"/>
      <c r="DP40" s="120"/>
      <c r="DQ40" s="262"/>
      <c r="DR40" s="262"/>
      <c r="DS40" s="120"/>
      <c r="DT40" s="262"/>
      <c r="DU40" s="262"/>
      <c r="DV40" s="120"/>
      <c r="DW40" s="262"/>
      <c r="DX40" s="262"/>
      <c r="DY40" s="120"/>
      <c r="DZ40" s="262"/>
      <c r="EA40" s="262"/>
      <c r="EB40" s="265"/>
      <c r="EC40" s="262"/>
      <c r="ED40" s="262"/>
      <c r="EE40" s="256"/>
      <c r="EF40" s="233"/>
      <c r="EG40" s="233"/>
      <c r="EH40" s="120"/>
      <c r="EI40" s="262"/>
      <c r="EJ40" s="262"/>
      <c r="EK40" s="120"/>
      <c r="EL40" s="262"/>
      <c r="EM40" s="262"/>
      <c r="EN40" s="120"/>
      <c r="EO40" s="262"/>
      <c r="EP40" s="262"/>
      <c r="EQ40" s="120"/>
      <c r="ER40" s="262"/>
      <c r="ES40" s="262"/>
      <c r="ET40" s="120"/>
      <c r="EU40" s="262"/>
      <c r="EV40" s="262"/>
      <c r="EW40" s="120"/>
      <c r="EX40" s="262"/>
      <c r="EY40" s="262"/>
      <c r="EZ40" s="120"/>
      <c r="FA40" s="262"/>
      <c r="FB40" s="262"/>
      <c r="FC40" s="120"/>
      <c r="FD40" s="262"/>
      <c r="FE40" s="262"/>
      <c r="FF40" s="120"/>
      <c r="FG40" s="262"/>
      <c r="FH40" s="262"/>
      <c r="FI40" s="120"/>
      <c r="FJ40" s="262"/>
      <c r="FK40" s="262"/>
      <c r="FL40" s="120"/>
      <c r="FM40" s="262"/>
      <c r="FN40" s="262"/>
      <c r="FO40" s="120"/>
      <c r="FP40" s="262"/>
      <c r="FQ40" s="262"/>
      <c r="FR40" s="120"/>
      <c r="FS40" s="262"/>
      <c r="FT40" s="262"/>
      <c r="FU40" s="120"/>
      <c r="FV40" s="262"/>
      <c r="FW40" s="262"/>
      <c r="FX40" s="120"/>
      <c r="FY40" s="262"/>
      <c r="FZ40" s="262"/>
      <c r="GA40" s="256"/>
      <c r="GB40" s="233"/>
      <c r="GC40" s="233"/>
      <c r="GJ40" s="121">
        <f t="shared" si="19"/>
        <v>0</v>
      </c>
      <c r="GK40" s="121">
        <f t="shared" si="20"/>
        <v>0</v>
      </c>
      <c r="GM40" s="121">
        <f t="shared" si="21"/>
        <v>0</v>
      </c>
      <c r="GN40" s="121">
        <f t="shared" si="22"/>
        <v>0</v>
      </c>
      <c r="GO40" s="121">
        <f t="shared" si="23"/>
        <v>0</v>
      </c>
      <c r="GP40" s="121">
        <f t="shared" si="24"/>
        <v>0</v>
      </c>
      <c r="GQ40" s="121">
        <f t="shared" si="25"/>
        <v>0</v>
      </c>
      <c r="GR40" s="121">
        <f t="shared" si="26"/>
        <v>0</v>
      </c>
    </row>
    <row r="41" spans="1:200" ht="38.25" customHeight="1" x14ac:dyDescent="0.55000000000000004">
      <c r="B41" s="303" t="s">
        <v>509</v>
      </c>
      <c r="C41" s="198"/>
      <c r="D41" s="198"/>
      <c r="E41" s="198"/>
      <c r="F41" s="198"/>
      <c r="G41" s="198"/>
      <c r="H41" s="198"/>
      <c r="I41" s="142" cm="1">
        <f t="array" ref="I41">SUMPRODUCT(($X$2:$GG$2&lt;&gt;"")*($X41:$GG41&lt;&gt;""))</f>
        <v>7</v>
      </c>
      <c r="J41" s="122">
        <f t="shared" si="10"/>
        <v>0</v>
      </c>
      <c r="K41" s="122">
        <f t="shared" si="11"/>
        <v>0</v>
      </c>
      <c r="L41" s="249">
        <f t="shared" si="0"/>
        <v>7000</v>
      </c>
      <c r="M41" s="144">
        <f t="shared" si="12"/>
        <v>0</v>
      </c>
      <c r="N41" s="405"/>
      <c r="O41" s="145">
        <f t="shared" si="13"/>
        <v>0</v>
      </c>
      <c r="P41" s="145">
        <f t="shared" si="14"/>
        <v>0</v>
      </c>
      <c r="Q41" s="145">
        <f t="shared" si="15"/>
        <v>0</v>
      </c>
      <c r="R41" s="145">
        <f t="shared" si="16"/>
        <v>0</v>
      </c>
      <c r="S41" s="130">
        <f t="shared" si="17"/>
        <v>0</v>
      </c>
      <c r="T41" s="130">
        <f t="shared" si="18"/>
        <v>0</v>
      </c>
      <c r="U41" s="141">
        <v>700</v>
      </c>
      <c r="V41" s="123">
        <v>44</v>
      </c>
      <c r="W41" s="134"/>
      <c r="X41" s="124">
        <v>23</v>
      </c>
      <c r="Y41" s="339"/>
      <c r="Z41" s="200" t="s">
        <v>517</v>
      </c>
      <c r="AA41" s="120"/>
      <c r="AB41" s="134"/>
      <c r="AC41" s="200"/>
      <c r="AD41" s="125">
        <v>700</v>
      </c>
      <c r="AE41" s="339"/>
      <c r="AF41" s="200" t="s">
        <v>516</v>
      </c>
      <c r="AG41" s="120"/>
      <c r="AH41" s="262"/>
      <c r="AI41" s="262"/>
      <c r="AJ41" s="120"/>
      <c r="AK41" s="262"/>
      <c r="AL41" s="262"/>
      <c r="AM41" s="120"/>
      <c r="AN41" s="262"/>
      <c r="AO41" s="262"/>
      <c r="AP41" s="120"/>
      <c r="AQ41" s="262"/>
      <c r="AR41" s="262"/>
      <c r="AS41" s="120"/>
      <c r="AT41" s="262"/>
      <c r="AU41" s="262"/>
      <c r="AV41" s="120"/>
      <c r="AW41" s="262"/>
      <c r="AX41" s="262"/>
      <c r="AY41" s="120"/>
      <c r="AZ41" s="262"/>
      <c r="BA41" s="262"/>
      <c r="BB41" s="120"/>
      <c r="BC41" s="134"/>
      <c r="BD41" s="200" t="s">
        <v>516</v>
      </c>
      <c r="BE41" s="120"/>
      <c r="BF41" s="134"/>
      <c r="BG41" s="200" t="s">
        <v>516</v>
      </c>
      <c r="BH41" s="120"/>
      <c r="BI41" s="252"/>
      <c r="BJ41" s="252"/>
      <c r="BK41" s="120"/>
      <c r="BL41" s="134"/>
      <c r="BM41" s="134"/>
      <c r="BN41" s="120"/>
      <c r="BO41" s="252"/>
      <c r="BP41" s="252"/>
      <c r="BQ41" s="120"/>
      <c r="BR41" s="134"/>
      <c r="BS41" s="134"/>
      <c r="BT41" s="120"/>
      <c r="BU41" s="134"/>
      <c r="BV41" s="200" t="s">
        <v>516</v>
      </c>
      <c r="BW41" s="120"/>
      <c r="BX41" s="134"/>
      <c r="BY41" s="200" t="s">
        <v>516</v>
      </c>
      <c r="BZ41" s="120"/>
      <c r="CA41" s="126"/>
      <c r="CB41" s="126"/>
      <c r="CC41" s="120"/>
      <c r="CD41" s="126"/>
      <c r="CE41" s="126"/>
      <c r="CF41" s="120"/>
      <c r="CG41" s="134"/>
      <c r="CH41" s="134"/>
      <c r="CI41" s="120"/>
      <c r="CJ41" s="200"/>
      <c r="CK41" s="200"/>
      <c r="CL41" s="120"/>
      <c r="CM41" s="200"/>
      <c r="CN41" s="200"/>
      <c r="CO41" s="120"/>
      <c r="CP41" s="134"/>
      <c r="CQ41" s="134"/>
      <c r="CR41" s="120"/>
      <c r="CS41" s="134"/>
      <c r="CT41" s="134"/>
      <c r="CU41" s="120"/>
      <c r="CV41" s="202"/>
      <c r="CW41" s="202"/>
      <c r="CX41" s="120"/>
      <c r="CY41" s="202"/>
      <c r="CZ41" s="202"/>
      <c r="DA41" s="120"/>
      <c r="DB41" s="202"/>
      <c r="DC41" s="202"/>
      <c r="DD41" s="349"/>
      <c r="DE41" s="202"/>
      <c r="DF41" s="202"/>
      <c r="DG41" s="254"/>
      <c r="DH41" s="203"/>
      <c r="DI41" s="203"/>
      <c r="DJ41" s="259"/>
      <c r="DK41" s="136"/>
      <c r="DL41" s="136"/>
      <c r="DM41" s="120"/>
      <c r="DN41" s="233"/>
      <c r="DO41" s="233"/>
      <c r="DP41" s="120"/>
      <c r="DQ41" s="262"/>
      <c r="DR41" s="262"/>
      <c r="DS41" s="120"/>
      <c r="DT41" s="262"/>
      <c r="DU41" s="262"/>
      <c r="DV41" s="120"/>
      <c r="DW41" s="262"/>
      <c r="DX41" s="262"/>
      <c r="DY41" s="120"/>
      <c r="DZ41" s="262"/>
      <c r="EA41" s="262"/>
      <c r="EB41" s="265"/>
      <c r="EC41" s="262"/>
      <c r="ED41" s="262"/>
      <c r="EE41" s="256"/>
      <c r="EF41" s="233"/>
      <c r="EG41" s="233"/>
      <c r="EH41" s="120"/>
      <c r="EI41" s="262"/>
      <c r="EJ41" s="262"/>
      <c r="EK41" s="120"/>
      <c r="EL41" s="262"/>
      <c r="EM41" s="262"/>
      <c r="EN41" s="120"/>
      <c r="EO41" s="262"/>
      <c r="EP41" s="262"/>
      <c r="EQ41" s="120"/>
      <c r="ER41" s="262"/>
      <c r="ES41" s="262"/>
      <c r="ET41" s="120"/>
      <c r="EU41" s="262"/>
      <c r="EV41" s="262"/>
      <c r="EW41" s="120"/>
      <c r="EX41" s="262"/>
      <c r="EY41" s="262"/>
      <c r="EZ41" s="120"/>
      <c r="FA41" s="262"/>
      <c r="FB41" s="262"/>
      <c r="FC41" s="120"/>
      <c r="FD41" s="262"/>
      <c r="FE41" s="262"/>
      <c r="FF41" s="120"/>
      <c r="FG41" s="262"/>
      <c r="FH41" s="262"/>
      <c r="FI41" s="120"/>
      <c r="FJ41" s="262"/>
      <c r="FK41" s="262"/>
      <c r="FL41" s="120">
        <v>18</v>
      </c>
      <c r="FM41" s="341"/>
      <c r="FN41" s="262" t="s">
        <v>515</v>
      </c>
      <c r="FO41" s="120">
        <v>8.5</v>
      </c>
      <c r="FP41" s="341"/>
      <c r="FQ41" s="350" t="s">
        <v>806</v>
      </c>
      <c r="FR41" s="120">
        <v>12</v>
      </c>
      <c r="FS41" s="341" t="s">
        <v>515</v>
      </c>
      <c r="FT41" s="350" t="s">
        <v>806</v>
      </c>
      <c r="FU41" s="120">
        <v>90</v>
      </c>
      <c r="FV41" s="341" t="s">
        <v>515</v>
      </c>
      <c r="FW41" s="350" t="s">
        <v>806</v>
      </c>
      <c r="FX41" s="120"/>
      <c r="FY41" s="262"/>
      <c r="FZ41" s="262"/>
      <c r="GA41" s="256"/>
      <c r="GB41" s="233"/>
      <c r="GC41" s="233"/>
      <c r="GD41" s="351">
        <v>40</v>
      </c>
      <c r="GE41" s="351">
        <v>1000</v>
      </c>
      <c r="GF41" s="351" t="s">
        <v>800</v>
      </c>
      <c r="GJ41" s="121">
        <f t="shared" si="19"/>
        <v>1960</v>
      </c>
      <c r="GK41" s="121">
        <f t="shared" si="20"/>
        <v>0</v>
      </c>
      <c r="GM41" s="121">
        <f t="shared" si="21"/>
        <v>1</v>
      </c>
      <c r="GN41" s="121">
        <f t="shared" si="22"/>
        <v>0</v>
      </c>
      <c r="GO41" s="121">
        <f t="shared" si="23"/>
        <v>1</v>
      </c>
      <c r="GP41" s="121">
        <f t="shared" si="24"/>
        <v>4</v>
      </c>
      <c r="GQ41" s="121">
        <f t="shared" si="25"/>
        <v>0</v>
      </c>
      <c r="GR41" s="121">
        <f t="shared" si="26"/>
        <v>0</v>
      </c>
    </row>
    <row r="42" spans="1:200" ht="38.25" customHeight="1" x14ac:dyDescent="0.55000000000000004">
      <c r="B42" s="303" t="s">
        <v>518</v>
      </c>
      <c r="C42" s="198"/>
      <c r="D42" s="198"/>
      <c r="E42" s="198"/>
      <c r="F42" s="198"/>
      <c r="G42" s="198"/>
      <c r="H42" s="198"/>
      <c r="I42" s="142" cm="1">
        <f t="array" ref="I42">SUMPRODUCT(($X$2:$GG$2&lt;&gt;"")*($X42:$GG42&lt;&gt;""))</f>
        <v>0</v>
      </c>
      <c r="J42" s="122">
        <f t="shared" si="10"/>
        <v>0</v>
      </c>
      <c r="K42" s="122">
        <f t="shared" si="11"/>
        <v>0</v>
      </c>
      <c r="L42" s="249">
        <f t="shared" si="0"/>
        <v>7000</v>
      </c>
      <c r="M42" s="144">
        <f t="shared" si="12"/>
        <v>0</v>
      </c>
      <c r="N42" s="405"/>
      <c r="O42" s="145">
        <f t="shared" si="13"/>
        <v>0</v>
      </c>
      <c r="P42" s="145">
        <f t="shared" si="14"/>
        <v>0</v>
      </c>
      <c r="Q42" s="145">
        <f t="shared" si="15"/>
        <v>0</v>
      </c>
      <c r="R42" s="145">
        <f t="shared" si="16"/>
        <v>0</v>
      </c>
      <c r="S42" s="130">
        <f t="shared" si="17"/>
        <v>0</v>
      </c>
      <c r="T42" s="130">
        <f t="shared" si="18"/>
        <v>0</v>
      </c>
      <c r="U42" s="141"/>
      <c r="V42" s="123"/>
      <c r="W42" s="134"/>
      <c r="X42" s="124"/>
      <c r="Y42" s="134"/>
      <c r="Z42" s="200"/>
      <c r="AA42" s="120"/>
      <c r="AB42" s="134"/>
      <c r="AC42" s="200"/>
      <c r="AD42" s="125"/>
      <c r="AE42" s="134"/>
      <c r="AF42" s="200"/>
      <c r="AG42" s="120"/>
      <c r="AH42" s="262"/>
      <c r="AI42" s="262"/>
      <c r="AJ42" s="120"/>
      <c r="AK42" s="262"/>
      <c r="AL42" s="262"/>
      <c r="AM42" s="120"/>
      <c r="AN42" s="262"/>
      <c r="AO42" s="262"/>
      <c r="AP42" s="120"/>
      <c r="AQ42" s="262"/>
      <c r="AR42" s="262"/>
      <c r="AS42" s="120"/>
      <c r="AT42" s="262"/>
      <c r="AU42" s="262"/>
      <c r="AV42" s="120"/>
      <c r="AW42" s="262"/>
      <c r="AX42" s="262"/>
      <c r="AY42" s="120"/>
      <c r="AZ42" s="262"/>
      <c r="BA42" s="262"/>
      <c r="BB42" s="120"/>
      <c r="BC42" s="134"/>
      <c r="BD42" s="200"/>
      <c r="BE42" s="120"/>
      <c r="BF42" s="134"/>
      <c r="BG42" s="200"/>
      <c r="BH42" s="120"/>
      <c r="BI42" s="252"/>
      <c r="BJ42" s="252"/>
      <c r="BK42" s="120"/>
      <c r="BL42" s="134"/>
      <c r="BM42" s="134"/>
      <c r="BN42" s="120"/>
      <c r="BO42" s="252"/>
      <c r="BP42" s="252"/>
      <c r="BQ42" s="120"/>
      <c r="BR42" s="134"/>
      <c r="BS42" s="134"/>
      <c r="BT42" s="120"/>
      <c r="BU42" s="134"/>
      <c r="BV42" s="200"/>
      <c r="BW42" s="120"/>
      <c r="BX42" s="134"/>
      <c r="BY42" s="200"/>
      <c r="BZ42" s="120"/>
      <c r="CA42" s="126"/>
      <c r="CB42" s="126"/>
      <c r="CC42" s="120"/>
      <c r="CD42" s="126"/>
      <c r="CE42" s="126"/>
      <c r="CF42" s="120"/>
      <c r="CG42" s="134"/>
      <c r="CH42" s="134"/>
      <c r="CI42" s="120"/>
      <c r="CJ42" s="200"/>
      <c r="CK42" s="200"/>
      <c r="CL42" s="120"/>
      <c r="CM42" s="200"/>
      <c r="CN42" s="200"/>
      <c r="CO42" s="120"/>
      <c r="CP42" s="134"/>
      <c r="CQ42" s="134"/>
      <c r="CR42" s="120"/>
      <c r="CS42" s="134"/>
      <c r="CT42" s="134"/>
      <c r="CU42" s="120"/>
      <c r="CV42" s="202"/>
      <c r="CW42" s="202"/>
      <c r="CX42" s="120"/>
      <c r="CY42" s="202"/>
      <c r="CZ42" s="202"/>
      <c r="DA42" s="120"/>
      <c r="DB42" s="202"/>
      <c r="DC42" s="202"/>
      <c r="DD42" s="349"/>
      <c r="DE42" s="202"/>
      <c r="DF42" s="202"/>
      <c r="DG42" s="254"/>
      <c r="DH42" s="203"/>
      <c r="DI42" s="203"/>
      <c r="DJ42" s="259"/>
      <c r="DK42" s="136"/>
      <c r="DL42" s="136"/>
      <c r="DM42" s="120"/>
      <c r="DN42" s="233"/>
      <c r="DO42" s="233"/>
      <c r="DP42" s="120"/>
      <c r="DQ42" s="262"/>
      <c r="DR42" s="262"/>
      <c r="DS42" s="120"/>
      <c r="DT42" s="262"/>
      <c r="DU42" s="262"/>
      <c r="DV42" s="120"/>
      <c r="DW42" s="262"/>
      <c r="DX42" s="262"/>
      <c r="DY42" s="120"/>
      <c r="DZ42" s="262"/>
      <c r="EA42" s="262"/>
      <c r="EB42" s="265"/>
      <c r="EC42" s="262"/>
      <c r="ED42" s="262"/>
      <c r="EE42" s="256"/>
      <c r="EF42" s="233"/>
      <c r="EG42" s="233"/>
      <c r="EH42" s="120"/>
      <c r="EI42" s="262"/>
      <c r="EJ42" s="262"/>
      <c r="EK42" s="120"/>
      <c r="EL42" s="262"/>
      <c r="EM42" s="262"/>
      <c r="EN42" s="120"/>
      <c r="EO42" s="262"/>
      <c r="EP42" s="262"/>
      <c r="EQ42" s="120"/>
      <c r="ER42" s="262"/>
      <c r="ES42" s="262"/>
      <c r="ET42" s="120"/>
      <c r="EU42" s="262"/>
      <c r="EV42" s="262"/>
      <c r="EW42" s="120"/>
      <c r="EX42" s="262"/>
      <c r="EY42" s="262"/>
      <c r="EZ42" s="120"/>
      <c r="FA42" s="262"/>
      <c r="FB42" s="262"/>
      <c r="FC42" s="120"/>
      <c r="FD42" s="262"/>
      <c r="FE42" s="262"/>
      <c r="FF42" s="120"/>
      <c r="FG42" s="262"/>
      <c r="FH42" s="262"/>
      <c r="FI42" s="120"/>
      <c r="FJ42" s="262"/>
      <c r="FK42" s="262"/>
      <c r="FL42" s="120"/>
      <c r="FM42" s="262"/>
      <c r="FN42" s="262"/>
      <c r="FO42" s="120"/>
      <c r="FP42" s="262"/>
      <c r="FQ42" s="262"/>
      <c r="FR42" s="120"/>
      <c r="FS42" s="262"/>
      <c r="FT42" s="262"/>
      <c r="FU42" s="120"/>
      <c r="FV42" s="262"/>
      <c r="FW42" s="262"/>
      <c r="FX42" s="120"/>
      <c r="FY42" s="262"/>
      <c r="FZ42" s="262"/>
      <c r="GA42" s="256"/>
      <c r="GB42" s="233"/>
      <c r="GC42" s="233"/>
      <c r="GJ42" s="121">
        <f t="shared" si="19"/>
        <v>0</v>
      </c>
      <c r="GK42" s="121">
        <f t="shared" si="20"/>
        <v>0</v>
      </c>
      <c r="GM42" s="121">
        <f t="shared" si="21"/>
        <v>0</v>
      </c>
      <c r="GN42" s="121">
        <f t="shared" si="22"/>
        <v>0</v>
      </c>
      <c r="GO42" s="121">
        <f t="shared" si="23"/>
        <v>0</v>
      </c>
      <c r="GP42" s="121">
        <f t="shared" si="24"/>
        <v>0</v>
      </c>
      <c r="GQ42" s="121">
        <f t="shared" si="25"/>
        <v>0</v>
      </c>
      <c r="GR42" s="121">
        <f t="shared" si="26"/>
        <v>0</v>
      </c>
    </row>
    <row r="43" spans="1:200" ht="38.25" customHeight="1" x14ac:dyDescent="0.55000000000000004">
      <c r="B43" s="303" t="s">
        <v>519</v>
      </c>
      <c r="C43" s="198"/>
      <c r="D43" s="198"/>
      <c r="E43" s="198"/>
      <c r="F43" s="198"/>
      <c r="G43" s="198"/>
      <c r="H43" s="198"/>
      <c r="I43" s="142" cm="1">
        <f t="array" ref="I43">SUMPRODUCT(($X$2:$GG$2&lt;&gt;"")*($X43:$GG43&lt;&gt;""))</f>
        <v>0</v>
      </c>
      <c r="J43" s="122">
        <f t="shared" si="10"/>
        <v>0</v>
      </c>
      <c r="K43" s="122">
        <f t="shared" si="11"/>
        <v>0</v>
      </c>
      <c r="L43" s="249">
        <f t="shared" si="0"/>
        <v>7000</v>
      </c>
      <c r="M43" s="144">
        <f t="shared" si="12"/>
        <v>0</v>
      </c>
      <c r="N43" s="405"/>
      <c r="O43" s="145">
        <f t="shared" si="13"/>
        <v>0</v>
      </c>
      <c r="P43" s="145">
        <f t="shared" si="14"/>
        <v>0</v>
      </c>
      <c r="Q43" s="145">
        <f t="shared" si="15"/>
        <v>0</v>
      </c>
      <c r="R43" s="145">
        <f t="shared" si="16"/>
        <v>0</v>
      </c>
      <c r="S43" s="130">
        <f t="shared" si="17"/>
        <v>0</v>
      </c>
      <c r="T43" s="130">
        <f t="shared" si="18"/>
        <v>0</v>
      </c>
      <c r="U43" s="141"/>
      <c r="V43" s="123"/>
      <c r="W43" s="134"/>
      <c r="X43" s="124"/>
      <c r="Y43" s="134"/>
      <c r="Z43" s="200"/>
      <c r="AA43" s="120"/>
      <c r="AB43" s="134"/>
      <c r="AC43" s="200"/>
      <c r="AD43" s="125"/>
      <c r="AE43" s="134"/>
      <c r="AF43" s="200"/>
      <c r="AG43" s="120"/>
      <c r="AH43" s="262"/>
      <c r="AI43" s="262"/>
      <c r="AJ43" s="120"/>
      <c r="AK43" s="262"/>
      <c r="AL43" s="262"/>
      <c r="AM43" s="120"/>
      <c r="AN43" s="262"/>
      <c r="AO43" s="262"/>
      <c r="AP43" s="120"/>
      <c r="AQ43" s="262"/>
      <c r="AR43" s="262"/>
      <c r="AS43" s="120"/>
      <c r="AT43" s="262"/>
      <c r="AU43" s="262"/>
      <c r="AV43" s="120"/>
      <c r="AW43" s="262"/>
      <c r="AX43" s="262"/>
      <c r="AY43" s="120"/>
      <c r="AZ43" s="262"/>
      <c r="BA43" s="262"/>
      <c r="BB43" s="120"/>
      <c r="BC43" s="134"/>
      <c r="BD43" s="200"/>
      <c r="BE43" s="120"/>
      <c r="BF43" s="134"/>
      <c r="BG43" s="200"/>
      <c r="BH43" s="120"/>
      <c r="BI43" s="252"/>
      <c r="BJ43" s="252"/>
      <c r="BK43" s="120"/>
      <c r="BL43" s="134"/>
      <c r="BM43" s="134"/>
      <c r="BN43" s="120"/>
      <c r="BO43" s="252"/>
      <c r="BP43" s="252"/>
      <c r="BQ43" s="120"/>
      <c r="BR43" s="134"/>
      <c r="BS43" s="134"/>
      <c r="BT43" s="120"/>
      <c r="BU43" s="134"/>
      <c r="BV43" s="200"/>
      <c r="BW43" s="120"/>
      <c r="BX43" s="134"/>
      <c r="BY43" s="200"/>
      <c r="BZ43" s="120"/>
      <c r="CA43" s="126"/>
      <c r="CB43" s="126"/>
      <c r="CC43" s="120"/>
      <c r="CD43" s="126"/>
      <c r="CE43" s="126"/>
      <c r="CF43" s="120"/>
      <c r="CG43" s="134"/>
      <c r="CH43" s="134"/>
      <c r="CI43" s="120"/>
      <c r="CJ43" s="200"/>
      <c r="CK43" s="200"/>
      <c r="CL43" s="120"/>
      <c r="CM43" s="200"/>
      <c r="CN43" s="200"/>
      <c r="CO43" s="120"/>
      <c r="CP43" s="134"/>
      <c r="CQ43" s="134"/>
      <c r="CR43" s="120"/>
      <c r="CS43" s="134"/>
      <c r="CT43" s="134"/>
      <c r="CU43" s="120"/>
      <c r="CV43" s="202"/>
      <c r="CW43" s="202"/>
      <c r="CX43" s="120"/>
      <c r="CY43" s="202"/>
      <c r="CZ43" s="202"/>
      <c r="DA43" s="120"/>
      <c r="DB43" s="202"/>
      <c r="DC43" s="202"/>
      <c r="DD43" s="349"/>
      <c r="DE43" s="202"/>
      <c r="DF43" s="202"/>
      <c r="DG43" s="254"/>
      <c r="DH43" s="203"/>
      <c r="DI43" s="203"/>
      <c r="DJ43" s="259"/>
      <c r="DK43" s="136"/>
      <c r="DL43" s="136"/>
      <c r="DM43" s="120"/>
      <c r="DN43" s="233"/>
      <c r="DO43" s="233"/>
      <c r="DP43" s="120"/>
      <c r="DQ43" s="262"/>
      <c r="DR43" s="262"/>
      <c r="DS43" s="120"/>
      <c r="DT43" s="262"/>
      <c r="DU43" s="262"/>
      <c r="DV43" s="120"/>
      <c r="DW43" s="262"/>
      <c r="DX43" s="262"/>
      <c r="DY43" s="120"/>
      <c r="DZ43" s="262"/>
      <c r="EA43" s="262"/>
      <c r="EB43" s="265"/>
      <c r="EC43" s="262"/>
      <c r="ED43" s="262"/>
      <c r="EE43" s="256"/>
      <c r="EF43" s="233"/>
      <c r="EG43" s="233"/>
      <c r="EH43" s="120"/>
      <c r="EI43" s="262"/>
      <c r="EJ43" s="262"/>
      <c r="EK43" s="120"/>
      <c r="EL43" s="262"/>
      <c r="EM43" s="262"/>
      <c r="EN43" s="120"/>
      <c r="EO43" s="262"/>
      <c r="EP43" s="262"/>
      <c r="EQ43" s="120"/>
      <c r="ER43" s="262"/>
      <c r="ES43" s="262"/>
      <c r="ET43" s="120"/>
      <c r="EU43" s="262"/>
      <c r="EV43" s="262"/>
      <c r="EW43" s="120"/>
      <c r="EX43" s="262"/>
      <c r="EY43" s="262"/>
      <c r="EZ43" s="120"/>
      <c r="FA43" s="262"/>
      <c r="FB43" s="262"/>
      <c r="FC43" s="120"/>
      <c r="FD43" s="262"/>
      <c r="FE43" s="262"/>
      <c r="FF43" s="120"/>
      <c r="FG43" s="262"/>
      <c r="FH43" s="262"/>
      <c r="FI43" s="120"/>
      <c r="FJ43" s="262"/>
      <c r="FK43" s="262"/>
      <c r="FL43" s="120"/>
      <c r="FM43" s="262"/>
      <c r="FN43" s="262"/>
      <c r="FO43" s="120"/>
      <c r="FP43" s="262"/>
      <c r="FQ43" s="262"/>
      <c r="FR43" s="120"/>
      <c r="FS43" s="262"/>
      <c r="FT43" s="262"/>
      <c r="FU43" s="120"/>
      <c r="FV43" s="262"/>
      <c r="FW43" s="262"/>
      <c r="FX43" s="120"/>
      <c r="FY43" s="262"/>
      <c r="FZ43" s="262"/>
      <c r="GA43" s="256"/>
      <c r="GB43" s="233"/>
      <c r="GC43" s="233"/>
      <c r="GJ43" s="121">
        <f t="shared" si="19"/>
        <v>0</v>
      </c>
      <c r="GK43" s="121">
        <f t="shared" si="20"/>
        <v>0</v>
      </c>
      <c r="GM43" s="121">
        <f t="shared" si="21"/>
        <v>0</v>
      </c>
      <c r="GN43" s="121">
        <f t="shared" si="22"/>
        <v>0</v>
      </c>
      <c r="GO43" s="121">
        <f t="shared" si="23"/>
        <v>0</v>
      </c>
      <c r="GP43" s="121">
        <f t="shared" si="24"/>
        <v>0</v>
      </c>
      <c r="GQ43" s="121">
        <f t="shared" si="25"/>
        <v>0</v>
      </c>
      <c r="GR43" s="121">
        <f t="shared" si="26"/>
        <v>0</v>
      </c>
    </row>
    <row r="44" spans="1:200" ht="38.25" customHeight="1" x14ac:dyDescent="0.55000000000000004">
      <c r="B44" s="303" t="s">
        <v>408</v>
      </c>
      <c r="C44" s="198"/>
      <c r="D44" s="198"/>
      <c r="E44" s="198"/>
      <c r="F44" s="198"/>
      <c r="G44" s="198"/>
      <c r="H44" s="198"/>
      <c r="I44" s="142" cm="1">
        <f t="array" ref="I44">SUMPRODUCT(($X$2:$GG$2&lt;&gt;"")*($X44:$GG44&lt;&gt;""))</f>
        <v>0</v>
      </c>
      <c r="J44" s="122">
        <f t="shared" si="10"/>
        <v>0</v>
      </c>
      <c r="K44" s="122">
        <f t="shared" si="11"/>
        <v>0</v>
      </c>
      <c r="L44" s="249">
        <f t="shared" si="0"/>
        <v>7000</v>
      </c>
      <c r="M44" s="144">
        <f t="shared" si="12"/>
        <v>0</v>
      </c>
      <c r="N44" s="405"/>
      <c r="O44" s="145">
        <f t="shared" si="13"/>
        <v>0</v>
      </c>
      <c r="P44" s="145">
        <f t="shared" si="14"/>
        <v>0</v>
      </c>
      <c r="Q44" s="145">
        <f t="shared" si="15"/>
        <v>0</v>
      </c>
      <c r="R44" s="145">
        <f t="shared" si="16"/>
        <v>0</v>
      </c>
      <c r="S44" s="130">
        <f t="shared" si="17"/>
        <v>0</v>
      </c>
      <c r="T44" s="130">
        <f t="shared" si="18"/>
        <v>0</v>
      </c>
      <c r="U44" s="141"/>
      <c r="V44" s="123"/>
      <c r="W44" s="134"/>
      <c r="X44" s="124"/>
      <c r="Y44" s="134"/>
      <c r="Z44" s="200"/>
      <c r="AA44" s="120"/>
      <c r="AB44" s="134"/>
      <c r="AC44" s="200"/>
      <c r="AD44" s="125"/>
      <c r="AE44" s="134"/>
      <c r="AF44" s="200"/>
      <c r="AG44" s="120"/>
      <c r="AH44" s="262"/>
      <c r="AI44" s="262"/>
      <c r="AJ44" s="120"/>
      <c r="AK44" s="262"/>
      <c r="AL44" s="262"/>
      <c r="AM44" s="120"/>
      <c r="AN44" s="262"/>
      <c r="AO44" s="262"/>
      <c r="AP44" s="120"/>
      <c r="AQ44" s="262"/>
      <c r="AR44" s="262"/>
      <c r="AS44" s="120"/>
      <c r="AT44" s="262"/>
      <c r="AU44" s="262"/>
      <c r="AV44" s="120"/>
      <c r="AW44" s="262"/>
      <c r="AX44" s="262"/>
      <c r="AY44" s="120"/>
      <c r="AZ44" s="262"/>
      <c r="BA44" s="262"/>
      <c r="BB44" s="120"/>
      <c r="BC44" s="134"/>
      <c r="BD44" s="200"/>
      <c r="BE44" s="120"/>
      <c r="BF44" s="134"/>
      <c r="BG44" s="200"/>
      <c r="BH44" s="120"/>
      <c r="BI44" s="252"/>
      <c r="BJ44" s="252"/>
      <c r="BK44" s="120"/>
      <c r="BL44" s="134"/>
      <c r="BM44" s="134"/>
      <c r="BN44" s="120"/>
      <c r="BO44" s="252"/>
      <c r="BP44" s="252"/>
      <c r="BQ44" s="120"/>
      <c r="BR44" s="134"/>
      <c r="BS44" s="134"/>
      <c r="BT44" s="120"/>
      <c r="BU44" s="134"/>
      <c r="BV44" s="200"/>
      <c r="BW44" s="120"/>
      <c r="BX44" s="134"/>
      <c r="BY44" s="200"/>
      <c r="BZ44" s="120"/>
      <c r="CA44" s="126"/>
      <c r="CB44" s="126"/>
      <c r="CC44" s="120"/>
      <c r="CD44" s="126"/>
      <c r="CE44" s="126"/>
      <c r="CF44" s="120"/>
      <c r="CG44" s="134"/>
      <c r="CH44" s="134"/>
      <c r="CI44" s="120"/>
      <c r="CJ44" s="200"/>
      <c r="CK44" s="200"/>
      <c r="CL44" s="120"/>
      <c r="CM44" s="200"/>
      <c r="CN44" s="200"/>
      <c r="CO44" s="120"/>
      <c r="CP44" s="134"/>
      <c r="CQ44" s="134"/>
      <c r="CR44" s="120"/>
      <c r="CS44" s="134"/>
      <c r="CT44" s="134"/>
      <c r="CU44" s="120"/>
      <c r="CV44" s="202"/>
      <c r="CW44" s="202"/>
      <c r="CX44" s="120"/>
      <c r="CY44" s="202"/>
      <c r="CZ44" s="202"/>
      <c r="DA44" s="120"/>
      <c r="DB44" s="202"/>
      <c r="DC44" s="202"/>
      <c r="DD44" s="349"/>
      <c r="DE44" s="202"/>
      <c r="DF44" s="202"/>
      <c r="DG44" s="254"/>
      <c r="DH44" s="203"/>
      <c r="DI44" s="203"/>
      <c r="DJ44" s="259"/>
      <c r="DK44" s="136"/>
      <c r="DL44" s="136"/>
      <c r="DM44" s="120"/>
      <c r="DN44" s="233"/>
      <c r="DO44" s="233"/>
      <c r="DP44" s="120"/>
      <c r="DQ44" s="262"/>
      <c r="DR44" s="262"/>
      <c r="DS44" s="120"/>
      <c r="DT44" s="262"/>
      <c r="DU44" s="262"/>
      <c r="DV44" s="120"/>
      <c r="DW44" s="262"/>
      <c r="DX44" s="262"/>
      <c r="DY44" s="120"/>
      <c r="DZ44" s="262"/>
      <c r="EA44" s="262"/>
      <c r="EB44" s="265"/>
      <c r="EC44" s="262"/>
      <c r="ED44" s="262"/>
      <c r="EE44" s="256"/>
      <c r="EF44" s="233"/>
      <c r="EG44" s="233"/>
      <c r="EH44" s="120"/>
      <c r="EI44" s="262"/>
      <c r="EJ44" s="262"/>
      <c r="EK44" s="120"/>
      <c r="EL44" s="262"/>
      <c r="EM44" s="262"/>
      <c r="EN44" s="120"/>
      <c r="EO44" s="262"/>
      <c r="EP44" s="262"/>
      <c r="EQ44" s="120"/>
      <c r="ER44" s="262"/>
      <c r="ES44" s="262"/>
      <c r="ET44" s="120"/>
      <c r="EU44" s="262"/>
      <c r="EV44" s="262"/>
      <c r="EW44" s="120"/>
      <c r="EX44" s="262"/>
      <c r="EY44" s="262"/>
      <c r="EZ44" s="120"/>
      <c r="FA44" s="262"/>
      <c r="FB44" s="262"/>
      <c r="FC44" s="120"/>
      <c r="FD44" s="262"/>
      <c r="FE44" s="262"/>
      <c r="FF44" s="120"/>
      <c r="FG44" s="262"/>
      <c r="FH44" s="262"/>
      <c r="FI44" s="120"/>
      <c r="FJ44" s="262"/>
      <c r="FK44" s="262"/>
      <c r="FL44" s="120"/>
      <c r="FM44" s="262"/>
      <c r="FN44" s="262"/>
      <c r="FO44" s="120"/>
      <c r="FP44" s="262"/>
      <c r="FQ44" s="262"/>
      <c r="FR44" s="120"/>
      <c r="FS44" s="262"/>
      <c r="FT44" s="262"/>
      <c r="FU44" s="120"/>
      <c r="FV44" s="262"/>
      <c r="FW44" s="262"/>
      <c r="FX44" s="120"/>
      <c r="FY44" s="262"/>
      <c r="FZ44" s="262"/>
      <c r="GA44" s="256"/>
      <c r="GB44" s="233"/>
      <c r="GC44" s="233"/>
      <c r="GJ44" s="121">
        <f t="shared" si="19"/>
        <v>0</v>
      </c>
      <c r="GK44" s="121">
        <f t="shared" si="20"/>
        <v>0</v>
      </c>
      <c r="GM44" s="121">
        <f t="shared" si="21"/>
        <v>0</v>
      </c>
      <c r="GN44" s="121">
        <f t="shared" si="22"/>
        <v>0</v>
      </c>
      <c r="GO44" s="121">
        <f t="shared" si="23"/>
        <v>0</v>
      </c>
      <c r="GP44" s="121">
        <f t="shared" si="24"/>
        <v>0</v>
      </c>
      <c r="GQ44" s="121">
        <f t="shared" si="25"/>
        <v>0</v>
      </c>
      <c r="GR44" s="121">
        <f t="shared" si="26"/>
        <v>0</v>
      </c>
    </row>
    <row r="45" spans="1:200" ht="38.25" customHeight="1" x14ac:dyDescent="0.55000000000000004">
      <c r="B45" s="303" t="s">
        <v>411</v>
      </c>
      <c r="C45" s="198"/>
      <c r="D45" s="198"/>
      <c r="E45" s="198"/>
      <c r="F45" s="198"/>
      <c r="G45" s="198"/>
      <c r="H45" s="198"/>
      <c r="I45" s="142" cm="1">
        <f t="array" ref="I45">SUMPRODUCT(($X$2:$GG$2&lt;&gt;"")*($X45:$GG45&lt;&gt;""))</f>
        <v>0</v>
      </c>
      <c r="J45" s="122">
        <f t="shared" si="10"/>
        <v>0</v>
      </c>
      <c r="K45" s="122">
        <f t="shared" si="11"/>
        <v>0</v>
      </c>
      <c r="L45" s="249">
        <f t="shared" si="0"/>
        <v>7000</v>
      </c>
      <c r="M45" s="144">
        <f t="shared" si="12"/>
        <v>0</v>
      </c>
      <c r="N45" s="405"/>
      <c r="O45" s="145">
        <f t="shared" si="13"/>
        <v>0</v>
      </c>
      <c r="P45" s="145">
        <f t="shared" si="14"/>
        <v>0</v>
      </c>
      <c r="Q45" s="145">
        <f t="shared" si="15"/>
        <v>0</v>
      </c>
      <c r="R45" s="145">
        <f t="shared" si="16"/>
        <v>0</v>
      </c>
      <c r="S45" s="130">
        <f t="shared" si="17"/>
        <v>0</v>
      </c>
      <c r="T45" s="130">
        <f t="shared" si="18"/>
        <v>0</v>
      </c>
      <c r="U45" s="141"/>
      <c r="V45" s="123"/>
      <c r="W45" s="134"/>
      <c r="X45" s="124"/>
      <c r="Y45" s="134"/>
      <c r="Z45" s="200"/>
      <c r="AA45" s="120"/>
      <c r="AB45" s="134"/>
      <c r="AC45" s="200"/>
      <c r="AD45" s="125"/>
      <c r="AE45" s="134"/>
      <c r="AF45" s="200"/>
      <c r="AG45" s="120"/>
      <c r="AH45" s="262"/>
      <c r="AI45" s="262"/>
      <c r="AJ45" s="120"/>
      <c r="AK45" s="262"/>
      <c r="AL45" s="262"/>
      <c r="AM45" s="120"/>
      <c r="AN45" s="262"/>
      <c r="AO45" s="262"/>
      <c r="AP45" s="120"/>
      <c r="AQ45" s="262"/>
      <c r="AR45" s="262"/>
      <c r="AS45" s="120"/>
      <c r="AT45" s="262"/>
      <c r="AU45" s="262"/>
      <c r="AV45" s="120"/>
      <c r="AW45" s="262"/>
      <c r="AX45" s="262"/>
      <c r="AY45" s="120"/>
      <c r="AZ45" s="262"/>
      <c r="BA45" s="262"/>
      <c r="BB45" s="120"/>
      <c r="BC45" s="134"/>
      <c r="BD45" s="200"/>
      <c r="BE45" s="120"/>
      <c r="BF45" s="134"/>
      <c r="BG45" s="200"/>
      <c r="BH45" s="120"/>
      <c r="BI45" s="252"/>
      <c r="BJ45" s="252"/>
      <c r="BK45" s="120"/>
      <c r="BL45" s="134"/>
      <c r="BM45" s="134"/>
      <c r="BN45" s="120"/>
      <c r="BO45" s="252"/>
      <c r="BP45" s="252"/>
      <c r="BQ45" s="120"/>
      <c r="BR45" s="134"/>
      <c r="BS45" s="134"/>
      <c r="BT45" s="120"/>
      <c r="BU45" s="134"/>
      <c r="BV45" s="200"/>
      <c r="BW45" s="120"/>
      <c r="BX45" s="134"/>
      <c r="BY45" s="200"/>
      <c r="BZ45" s="120"/>
      <c r="CA45" s="126"/>
      <c r="CB45" s="126"/>
      <c r="CC45" s="120"/>
      <c r="CD45" s="126"/>
      <c r="CE45" s="126"/>
      <c r="CF45" s="120"/>
      <c r="CG45" s="134"/>
      <c r="CH45" s="134"/>
      <c r="CI45" s="120"/>
      <c r="CJ45" s="200"/>
      <c r="CK45" s="200"/>
      <c r="CL45" s="120"/>
      <c r="CM45" s="200"/>
      <c r="CN45" s="200"/>
      <c r="CO45" s="120"/>
      <c r="CP45" s="134"/>
      <c r="CQ45" s="134"/>
      <c r="CR45" s="120"/>
      <c r="CS45" s="134"/>
      <c r="CT45" s="134"/>
      <c r="CU45" s="120"/>
      <c r="CV45" s="202"/>
      <c r="CW45" s="202"/>
      <c r="CX45" s="120"/>
      <c r="CY45" s="202"/>
      <c r="CZ45" s="202"/>
      <c r="DA45" s="120"/>
      <c r="DB45" s="202"/>
      <c r="DC45" s="202"/>
      <c r="DD45" s="349"/>
      <c r="DE45" s="202"/>
      <c r="DF45" s="202"/>
      <c r="DG45" s="254"/>
      <c r="DH45" s="203"/>
      <c r="DI45" s="203"/>
      <c r="DJ45" s="259"/>
      <c r="DK45" s="136"/>
      <c r="DL45" s="136"/>
      <c r="DM45" s="120"/>
      <c r="DN45" s="233"/>
      <c r="DO45" s="233"/>
      <c r="DP45" s="120"/>
      <c r="DQ45" s="262"/>
      <c r="DR45" s="262"/>
      <c r="DS45" s="120"/>
      <c r="DT45" s="262"/>
      <c r="DU45" s="262"/>
      <c r="DV45" s="120"/>
      <c r="DW45" s="262"/>
      <c r="DX45" s="262"/>
      <c r="DY45" s="120"/>
      <c r="DZ45" s="262"/>
      <c r="EA45" s="262"/>
      <c r="EB45" s="265"/>
      <c r="EC45" s="262"/>
      <c r="ED45" s="262"/>
      <c r="EE45" s="256"/>
      <c r="EF45" s="233"/>
      <c r="EG45" s="233"/>
      <c r="EH45" s="120"/>
      <c r="EI45" s="262"/>
      <c r="EJ45" s="262"/>
      <c r="EK45" s="120"/>
      <c r="EL45" s="262"/>
      <c r="EM45" s="262"/>
      <c r="EN45" s="120"/>
      <c r="EO45" s="262"/>
      <c r="EP45" s="262"/>
      <c r="EQ45" s="120"/>
      <c r="ER45" s="262"/>
      <c r="ES45" s="262"/>
      <c r="ET45" s="120"/>
      <c r="EU45" s="262"/>
      <c r="EV45" s="262"/>
      <c r="EW45" s="120"/>
      <c r="EX45" s="262"/>
      <c r="EY45" s="262"/>
      <c r="EZ45" s="120"/>
      <c r="FA45" s="262"/>
      <c r="FB45" s="262"/>
      <c r="FC45" s="120"/>
      <c r="FD45" s="262"/>
      <c r="FE45" s="262"/>
      <c r="FF45" s="120"/>
      <c r="FG45" s="262"/>
      <c r="FH45" s="262"/>
      <c r="FI45" s="120"/>
      <c r="FJ45" s="262"/>
      <c r="FK45" s="262"/>
      <c r="FL45" s="120"/>
      <c r="FM45" s="262"/>
      <c r="FN45" s="262"/>
      <c r="FO45" s="120"/>
      <c r="FP45" s="262"/>
      <c r="FQ45" s="262"/>
      <c r="FR45" s="120"/>
      <c r="FS45" s="262"/>
      <c r="FT45" s="262"/>
      <c r="FU45" s="120"/>
      <c r="FV45" s="262"/>
      <c r="FW45" s="262"/>
      <c r="FX45" s="120"/>
      <c r="FY45" s="262"/>
      <c r="FZ45" s="262"/>
      <c r="GA45" s="256"/>
      <c r="GB45" s="233"/>
      <c r="GC45" s="233"/>
      <c r="GJ45" s="121">
        <f t="shared" si="19"/>
        <v>0</v>
      </c>
      <c r="GK45" s="121">
        <f t="shared" si="20"/>
        <v>0</v>
      </c>
      <c r="GM45" s="121">
        <f t="shared" si="21"/>
        <v>0</v>
      </c>
      <c r="GN45" s="121">
        <f t="shared" si="22"/>
        <v>0</v>
      </c>
      <c r="GO45" s="121">
        <f t="shared" si="23"/>
        <v>0</v>
      </c>
      <c r="GP45" s="121">
        <f t="shared" si="24"/>
        <v>0</v>
      </c>
      <c r="GQ45" s="121">
        <f t="shared" si="25"/>
        <v>0</v>
      </c>
      <c r="GR45" s="121">
        <f t="shared" si="26"/>
        <v>0</v>
      </c>
    </row>
    <row r="46" spans="1:200" ht="38.25" customHeight="1" x14ac:dyDescent="0.55000000000000004">
      <c r="B46" s="303" t="s">
        <v>412</v>
      </c>
      <c r="C46" s="198"/>
      <c r="D46" s="198"/>
      <c r="E46" s="198"/>
      <c r="F46" s="198"/>
      <c r="G46" s="198"/>
      <c r="H46" s="198"/>
      <c r="I46" s="142" cm="1">
        <f t="array" ref="I46">SUMPRODUCT(($X$2:$GG$2&lt;&gt;"")*($X46:$GG46&lt;&gt;""))</f>
        <v>0</v>
      </c>
      <c r="J46" s="122">
        <f t="shared" si="10"/>
        <v>0</v>
      </c>
      <c r="K46" s="122">
        <f t="shared" si="11"/>
        <v>0</v>
      </c>
      <c r="L46" s="249">
        <f t="shared" si="0"/>
        <v>7000</v>
      </c>
      <c r="M46" s="144">
        <f t="shared" si="12"/>
        <v>0</v>
      </c>
      <c r="N46" s="405"/>
      <c r="O46" s="145">
        <f t="shared" si="13"/>
        <v>0</v>
      </c>
      <c r="P46" s="145">
        <f t="shared" si="14"/>
        <v>0</v>
      </c>
      <c r="Q46" s="145">
        <f t="shared" si="15"/>
        <v>0</v>
      </c>
      <c r="R46" s="145">
        <f t="shared" si="16"/>
        <v>0</v>
      </c>
      <c r="S46" s="130">
        <f t="shared" si="17"/>
        <v>0</v>
      </c>
      <c r="T46" s="130">
        <f t="shared" si="18"/>
        <v>0</v>
      </c>
      <c r="U46" s="141"/>
      <c r="V46" s="123"/>
      <c r="W46" s="134"/>
      <c r="X46" s="124"/>
      <c r="Y46" s="134"/>
      <c r="Z46" s="200"/>
      <c r="AA46" s="120"/>
      <c r="AB46" s="134"/>
      <c r="AC46" s="200"/>
      <c r="AD46" s="125"/>
      <c r="AE46" s="134"/>
      <c r="AF46" s="200"/>
      <c r="AG46" s="120"/>
      <c r="AH46" s="262"/>
      <c r="AI46" s="262"/>
      <c r="AJ46" s="120"/>
      <c r="AK46" s="262"/>
      <c r="AL46" s="262"/>
      <c r="AM46" s="120"/>
      <c r="AN46" s="262"/>
      <c r="AO46" s="262"/>
      <c r="AP46" s="120"/>
      <c r="AQ46" s="262"/>
      <c r="AR46" s="262"/>
      <c r="AS46" s="120"/>
      <c r="AT46" s="262"/>
      <c r="AU46" s="262"/>
      <c r="AV46" s="120"/>
      <c r="AW46" s="262"/>
      <c r="AX46" s="262"/>
      <c r="AY46" s="120"/>
      <c r="AZ46" s="262"/>
      <c r="BA46" s="262"/>
      <c r="BB46" s="120"/>
      <c r="BC46" s="134"/>
      <c r="BD46" s="200"/>
      <c r="BE46" s="120"/>
      <c r="BF46" s="134"/>
      <c r="BG46" s="200"/>
      <c r="BH46" s="120"/>
      <c r="BI46" s="252"/>
      <c r="BJ46" s="252"/>
      <c r="BK46" s="120"/>
      <c r="BL46" s="134"/>
      <c r="BM46" s="134"/>
      <c r="BN46" s="120"/>
      <c r="BO46" s="252"/>
      <c r="BP46" s="252"/>
      <c r="BQ46" s="120"/>
      <c r="BR46" s="134"/>
      <c r="BS46" s="134"/>
      <c r="BT46" s="120"/>
      <c r="BU46" s="134"/>
      <c r="BV46" s="200"/>
      <c r="BW46" s="120"/>
      <c r="BX46" s="134"/>
      <c r="BY46" s="200"/>
      <c r="BZ46" s="120"/>
      <c r="CA46" s="126"/>
      <c r="CB46" s="126"/>
      <c r="CC46" s="120"/>
      <c r="CD46" s="126"/>
      <c r="CE46" s="126"/>
      <c r="CF46" s="120"/>
      <c r="CG46" s="134"/>
      <c r="CH46" s="134"/>
      <c r="CI46" s="120"/>
      <c r="CJ46" s="200"/>
      <c r="CK46" s="200"/>
      <c r="CL46" s="120"/>
      <c r="CM46" s="200"/>
      <c r="CN46" s="200"/>
      <c r="CO46" s="120"/>
      <c r="CP46" s="134"/>
      <c r="CQ46" s="134"/>
      <c r="CR46" s="120"/>
      <c r="CS46" s="134"/>
      <c r="CT46" s="134"/>
      <c r="CU46" s="120"/>
      <c r="CV46" s="202"/>
      <c r="CW46" s="202"/>
      <c r="CX46" s="120"/>
      <c r="CY46" s="202"/>
      <c r="CZ46" s="202"/>
      <c r="DA46" s="120"/>
      <c r="DB46" s="202"/>
      <c r="DC46" s="202"/>
      <c r="DD46" s="349"/>
      <c r="DE46" s="202"/>
      <c r="DF46" s="202"/>
      <c r="DG46" s="254"/>
      <c r="DH46" s="203"/>
      <c r="DI46" s="203"/>
      <c r="DJ46" s="259"/>
      <c r="DK46" s="136"/>
      <c r="DL46" s="136"/>
      <c r="DM46" s="120"/>
      <c r="DN46" s="233"/>
      <c r="DO46" s="233"/>
      <c r="DP46" s="120"/>
      <c r="DQ46" s="262"/>
      <c r="DR46" s="262"/>
      <c r="DS46" s="120"/>
      <c r="DT46" s="262"/>
      <c r="DU46" s="262"/>
      <c r="DV46" s="120"/>
      <c r="DW46" s="262"/>
      <c r="DX46" s="262"/>
      <c r="DY46" s="120"/>
      <c r="DZ46" s="262"/>
      <c r="EA46" s="262"/>
      <c r="EB46" s="265"/>
      <c r="EC46" s="262"/>
      <c r="ED46" s="262"/>
      <c r="EE46" s="256"/>
      <c r="EF46" s="233"/>
      <c r="EG46" s="233"/>
      <c r="EH46" s="120"/>
      <c r="EI46" s="262"/>
      <c r="EJ46" s="262"/>
      <c r="EK46" s="120"/>
      <c r="EL46" s="262"/>
      <c r="EM46" s="262"/>
      <c r="EN46" s="120"/>
      <c r="EO46" s="262"/>
      <c r="EP46" s="262"/>
      <c r="EQ46" s="120"/>
      <c r="ER46" s="262"/>
      <c r="ES46" s="262"/>
      <c r="ET46" s="120"/>
      <c r="EU46" s="262"/>
      <c r="EV46" s="262"/>
      <c r="EW46" s="120"/>
      <c r="EX46" s="262"/>
      <c r="EY46" s="262"/>
      <c r="EZ46" s="120"/>
      <c r="FA46" s="262"/>
      <c r="FB46" s="262"/>
      <c r="FC46" s="120"/>
      <c r="FD46" s="262"/>
      <c r="FE46" s="262"/>
      <c r="FF46" s="120"/>
      <c r="FG46" s="262"/>
      <c r="FH46" s="262"/>
      <c r="FI46" s="120"/>
      <c r="FJ46" s="262"/>
      <c r="FK46" s="262"/>
      <c r="FL46" s="120"/>
      <c r="FM46" s="262"/>
      <c r="FN46" s="262"/>
      <c r="FO46" s="120"/>
      <c r="FP46" s="262"/>
      <c r="FQ46" s="262"/>
      <c r="FR46" s="120"/>
      <c r="FS46" s="262"/>
      <c r="FT46" s="262"/>
      <c r="FU46" s="120"/>
      <c r="FV46" s="262"/>
      <c r="FW46" s="262"/>
      <c r="FX46" s="120"/>
      <c r="FY46" s="262"/>
      <c r="FZ46" s="262"/>
      <c r="GA46" s="256"/>
      <c r="GB46" s="233"/>
      <c r="GC46" s="233"/>
      <c r="GJ46" s="121">
        <f t="shared" si="19"/>
        <v>0</v>
      </c>
      <c r="GK46" s="121">
        <f t="shared" si="20"/>
        <v>0</v>
      </c>
      <c r="GM46" s="121">
        <f t="shared" si="21"/>
        <v>0</v>
      </c>
      <c r="GN46" s="121">
        <f t="shared" si="22"/>
        <v>0</v>
      </c>
      <c r="GO46" s="121">
        <f t="shared" si="23"/>
        <v>0</v>
      </c>
      <c r="GP46" s="121">
        <f t="shared" si="24"/>
        <v>0</v>
      </c>
      <c r="GQ46" s="121">
        <f t="shared" si="25"/>
        <v>0</v>
      </c>
      <c r="GR46" s="121">
        <f t="shared" si="26"/>
        <v>0</v>
      </c>
    </row>
    <row r="47" spans="1:200" ht="38.25" customHeight="1" x14ac:dyDescent="0.55000000000000004">
      <c r="B47" s="303" t="s">
        <v>409</v>
      </c>
      <c r="C47" s="198"/>
      <c r="D47" s="198"/>
      <c r="E47" s="198"/>
      <c r="F47" s="198"/>
      <c r="G47" s="198"/>
      <c r="H47" s="198"/>
      <c r="I47" s="142" cm="1">
        <f t="array" ref="I47">SUMPRODUCT(($X$2:$GG$2&lt;&gt;"")*($X47:$GG47&lt;&gt;""))</f>
        <v>1</v>
      </c>
      <c r="J47" s="122">
        <f t="shared" si="10"/>
        <v>0</v>
      </c>
      <c r="K47" s="122">
        <f t="shared" si="11"/>
        <v>0</v>
      </c>
      <c r="L47" s="249">
        <f t="shared" si="0"/>
        <v>7000</v>
      </c>
      <c r="M47" s="144">
        <f t="shared" si="12"/>
        <v>0</v>
      </c>
      <c r="N47" s="405"/>
      <c r="O47" s="145">
        <f t="shared" si="13"/>
        <v>0</v>
      </c>
      <c r="P47" s="145">
        <f t="shared" si="14"/>
        <v>0</v>
      </c>
      <c r="Q47" s="145">
        <f t="shared" si="15"/>
        <v>0</v>
      </c>
      <c r="R47" s="145">
        <f t="shared" si="16"/>
        <v>0</v>
      </c>
      <c r="S47" s="130">
        <f t="shared" si="17"/>
        <v>0</v>
      </c>
      <c r="T47" s="130">
        <f t="shared" si="18"/>
        <v>0</v>
      </c>
      <c r="U47" s="141">
        <v>42</v>
      </c>
      <c r="V47" s="123">
        <v>4.7</v>
      </c>
      <c r="W47" s="134"/>
      <c r="X47" s="124">
        <v>5.0999999999999996</v>
      </c>
      <c r="Y47" s="339"/>
      <c r="Z47" s="348" t="s">
        <v>576</v>
      </c>
      <c r="AA47" s="120"/>
      <c r="AB47" s="134"/>
      <c r="AC47" s="200"/>
      <c r="AD47" s="125"/>
      <c r="AE47" s="134"/>
      <c r="AF47" s="200"/>
      <c r="AG47" s="120"/>
      <c r="AH47" s="262"/>
      <c r="AI47" s="262"/>
      <c r="AJ47" s="120"/>
      <c r="AK47" s="262"/>
      <c r="AL47" s="262"/>
      <c r="AM47" s="120"/>
      <c r="AN47" s="262"/>
      <c r="AO47" s="262"/>
      <c r="AP47" s="120"/>
      <c r="AQ47" s="262"/>
      <c r="AR47" s="262"/>
      <c r="AS47" s="120"/>
      <c r="AT47" s="262"/>
      <c r="AU47" s="262"/>
      <c r="AV47" s="120"/>
      <c r="AW47" s="262"/>
      <c r="AX47" s="262"/>
      <c r="AY47" s="120"/>
      <c r="AZ47" s="262"/>
      <c r="BA47" s="262"/>
      <c r="BB47" s="120"/>
      <c r="BC47" s="134"/>
      <c r="BD47" s="200"/>
      <c r="BE47" s="120"/>
      <c r="BF47" s="134"/>
      <c r="BG47" s="200"/>
      <c r="BH47" s="120"/>
      <c r="BI47" s="252"/>
      <c r="BJ47" s="252"/>
      <c r="BK47" s="120"/>
      <c r="BL47" s="134"/>
      <c r="BM47" s="134"/>
      <c r="BN47" s="120"/>
      <c r="BO47" s="252"/>
      <c r="BP47" s="252"/>
      <c r="BQ47" s="120"/>
      <c r="BR47" s="134"/>
      <c r="BS47" s="134"/>
      <c r="BT47" s="120"/>
      <c r="BU47" s="134"/>
      <c r="BV47" s="200"/>
      <c r="BW47" s="120"/>
      <c r="BX47" s="134"/>
      <c r="BY47" s="200"/>
      <c r="BZ47" s="120"/>
      <c r="CA47" s="126"/>
      <c r="CB47" s="126"/>
      <c r="CC47" s="120"/>
      <c r="CD47" s="126"/>
      <c r="CE47" s="126"/>
      <c r="CF47" s="120"/>
      <c r="CG47" s="134"/>
      <c r="CH47" s="134"/>
      <c r="CI47" s="120"/>
      <c r="CJ47" s="200"/>
      <c r="CK47" s="200"/>
      <c r="CL47" s="120"/>
      <c r="CM47" s="200"/>
      <c r="CN47" s="200"/>
      <c r="CO47" s="120"/>
      <c r="CP47" s="134"/>
      <c r="CQ47" s="134"/>
      <c r="CR47" s="120"/>
      <c r="CS47" s="134"/>
      <c r="CT47" s="134"/>
      <c r="CU47" s="120"/>
      <c r="CV47" s="202"/>
      <c r="CW47" s="202"/>
      <c r="CX47" s="120"/>
      <c r="CY47" s="202"/>
      <c r="CZ47" s="202"/>
      <c r="DA47" s="120"/>
      <c r="DB47" s="202"/>
      <c r="DC47" s="202"/>
      <c r="DD47" s="349"/>
      <c r="DE47" s="202"/>
      <c r="DF47" s="202"/>
      <c r="DG47" s="254"/>
      <c r="DH47" s="203"/>
      <c r="DI47" s="203"/>
      <c r="DJ47" s="259"/>
      <c r="DK47" s="136"/>
      <c r="DL47" s="136"/>
      <c r="DM47" s="120"/>
      <c r="DN47" s="233"/>
      <c r="DO47" s="233"/>
      <c r="DP47" s="120"/>
      <c r="DQ47" s="262"/>
      <c r="DR47" s="262"/>
      <c r="DS47" s="120"/>
      <c r="DT47" s="262"/>
      <c r="DU47" s="262"/>
      <c r="DV47" s="120"/>
      <c r="DW47" s="262"/>
      <c r="DX47" s="262"/>
      <c r="DY47" s="120"/>
      <c r="DZ47" s="262"/>
      <c r="EA47" s="262"/>
      <c r="EB47" s="265"/>
      <c r="EC47" s="262"/>
      <c r="ED47" s="262"/>
      <c r="EE47" s="256"/>
      <c r="EF47" s="233"/>
      <c r="EG47" s="233"/>
      <c r="EH47" s="120"/>
      <c r="EI47" s="262"/>
      <c r="EJ47" s="262"/>
      <c r="EK47" s="120"/>
      <c r="EL47" s="262"/>
      <c r="EM47" s="262"/>
      <c r="EN47" s="120"/>
      <c r="EO47" s="262"/>
      <c r="EP47" s="262"/>
      <c r="EQ47" s="120"/>
      <c r="ER47" s="262"/>
      <c r="ES47" s="262"/>
      <c r="ET47" s="120"/>
      <c r="EU47" s="262"/>
      <c r="EV47" s="262"/>
      <c r="EW47" s="120"/>
      <c r="EX47" s="262"/>
      <c r="EY47" s="262"/>
      <c r="EZ47" s="120"/>
      <c r="FA47" s="262"/>
      <c r="FB47" s="262"/>
      <c r="FC47" s="120"/>
      <c r="FD47" s="262"/>
      <c r="FE47" s="262"/>
      <c r="FF47" s="120"/>
      <c r="FG47" s="262"/>
      <c r="FH47" s="262"/>
      <c r="FI47" s="120"/>
      <c r="FJ47" s="262"/>
      <c r="FK47" s="262"/>
      <c r="FL47" s="120"/>
      <c r="FM47" s="262"/>
      <c r="FN47" s="262"/>
      <c r="FO47" s="120"/>
      <c r="FP47" s="262"/>
      <c r="FQ47" s="262"/>
      <c r="FR47" s="120"/>
      <c r="FS47" s="262"/>
      <c r="FT47" s="262"/>
      <c r="FU47" s="120"/>
      <c r="FV47" s="262"/>
      <c r="FW47" s="262"/>
      <c r="FX47" s="120"/>
      <c r="FY47" s="262"/>
      <c r="FZ47" s="262"/>
      <c r="GA47" s="256"/>
      <c r="GB47" s="233"/>
      <c r="GC47" s="233"/>
      <c r="GJ47" s="121">
        <f t="shared" si="19"/>
        <v>0</v>
      </c>
      <c r="GK47" s="121">
        <f t="shared" si="20"/>
        <v>0</v>
      </c>
      <c r="GM47" s="121">
        <f t="shared" si="21"/>
        <v>1</v>
      </c>
      <c r="GN47" s="121">
        <f t="shared" si="22"/>
        <v>0</v>
      </c>
      <c r="GO47" s="121">
        <f t="shared" si="23"/>
        <v>0</v>
      </c>
      <c r="GP47" s="121">
        <f t="shared" si="24"/>
        <v>0</v>
      </c>
      <c r="GQ47" s="121">
        <f t="shared" si="25"/>
        <v>0</v>
      </c>
      <c r="GR47" s="121">
        <f t="shared" si="26"/>
        <v>0</v>
      </c>
    </row>
    <row r="48" spans="1:200" ht="38.25" customHeight="1" x14ac:dyDescent="0.55000000000000004">
      <c r="B48" s="303" t="s">
        <v>410</v>
      </c>
      <c r="C48" s="198"/>
      <c r="D48" s="198"/>
      <c r="E48" s="198"/>
      <c r="F48" s="198"/>
      <c r="G48" s="198"/>
      <c r="H48" s="198"/>
      <c r="I48" s="142" cm="1">
        <f t="array" ref="I48">SUMPRODUCT(($X$2:$GG$2&lt;&gt;"")*($X48:$GG48&lt;&gt;""))</f>
        <v>0</v>
      </c>
      <c r="J48" s="122">
        <f t="shared" si="10"/>
        <v>0</v>
      </c>
      <c r="K48" s="122">
        <f t="shared" si="11"/>
        <v>0</v>
      </c>
      <c r="L48" s="249">
        <f t="shared" si="0"/>
        <v>7000</v>
      </c>
      <c r="M48" s="144">
        <f t="shared" si="12"/>
        <v>0</v>
      </c>
      <c r="N48" s="405"/>
      <c r="O48" s="145">
        <f t="shared" si="13"/>
        <v>0</v>
      </c>
      <c r="P48" s="145">
        <f t="shared" si="14"/>
        <v>0</v>
      </c>
      <c r="Q48" s="145">
        <f t="shared" si="15"/>
        <v>0</v>
      </c>
      <c r="R48" s="145">
        <f t="shared" si="16"/>
        <v>0</v>
      </c>
      <c r="S48" s="130">
        <f t="shared" si="17"/>
        <v>0</v>
      </c>
      <c r="T48" s="130">
        <f t="shared" si="18"/>
        <v>0</v>
      </c>
      <c r="U48" s="141"/>
      <c r="V48" s="123"/>
      <c r="W48" s="134"/>
      <c r="X48" s="124"/>
      <c r="Y48" s="134"/>
      <c r="Z48" s="200"/>
      <c r="AA48" s="120"/>
      <c r="AB48" s="134"/>
      <c r="AC48" s="200"/>
      <c r="AD48" s="125"/>
      <c r="AE48" s="134"/>
      <c r="AF48" s="200"/>
      <c r="AG48" s="120"/>
      <c r="AH48" s="262"/>
      <c r="AI48" s="262"/>
      <c r="AJ48" s="120"/>
      <c r="AK48" s="262"/>
      <c r="AL48" s="262"/>
      <c r="AM48" s="120"/>
      <c r="AN48" s="262"/>
      <c r="AO48" s="262"/>
      <c r="AP48" s="120"/>
      <c r="AQ48" s="262"/>
      <c r="AR48" s="262"/>
      <c r="AS48" s="120"/>
      <c r="AT48" s="262"/>
      <c r="AU48" s="262"/>
      <c r="AV48" s="120"/>
      <c r="AW48" s="262"/>
      <c r="AX48" s="262"/>
      <c r="AY48" s="120"/>
      <c r="AZ48" s="262"/>
      <c r="BA48" s="262"/>
      <c r="BB48" s="120"/>
      <c r="BC48" s="134"/>
      <c r="BD48" s="200"/>
      <c r="BE48" s="120"/>
      <c r="BF48" s="134"/>
      <c r="BG48" s="200"/>
      <c r="BH48" s="120"/>
      <c r="BI48" s="252"/>
      <c r="BJ48" s="252"/>
      <c r="BK48" s="120"/>
      <c r="BL48" s="134"/>
      <c r="BM48" s="134"/>
      <c r="BN48" s="120"/>
      <c r="BO48" s="252"/>
      <c r="BP48" s="252"/>
      <c r="BQ48" s="120"/>
      <c r="BR48" s="134"/>
      <c r="BS48" s="134"/>
      <c r="BT48" s="120"/>
      <c r="BU48" s="134"/>
      <c r="BV48" s="200"/>
      <c r="BW48" s="120"/>
      <c r="BX48" s="134"/>
      <c r="BY48" s="200"/>
      <c r="BZ48" s="120"/>
      <c r="CA48" s="126"/>
      <c r="CB48" s="126"/>
      <c r="CC48" s="120"/>
      <c r="CD48" s="126"/>
      <c r="CE48" s="126"/>
      <c r="CF48" s="120"/>
      <c r="CG48" s="134"/>
      <c r="CH48" s="134"/>
      <c r="CI48" s="120"/>
      <c r="CJ48" s="200"/>
      <c r="CK48" s="200"/>
      <c r="CL48" s="120"/>
      <c r="CM48" s="200"/>
      <c r="CN48" s="200"/>
      <c r="CO48" s="120"/>
      <c r="CP48" s="134"/>
      <c r="CQ48" s="134"/>
      <c r="CR48" s="120"/>
      <c r="CS48" s="134"/>
      <c r="CT48" s="134"/>
      <c r="CU48" s="120"/>
      <c r="CV48" s="202"/>
      <c r="CW48" s="202"/>
      <c r="CX48" s="120"/>
      <c r="CY48" s="202"/>
      <c r="CZ48" s="202"/>
      <c r="DA48" s="120"/>
      <c r="DB48" s="202"/>
      <c r="DC48" s="202"/>
      <c r="DD48" s="349"/>
      <c r="DE48" s="202"/>
      <c r="DF48" s="202"/>
      <c r="DG48" s="254"/>
      <c r="DH48" s="203"/>
      <c r="DI48" s="203"/>
      <c r="DJ48" s="259"/>
      <c r="DK48" s="136"/>
      <c r="DL48" s="136"/>
      <c r="DM48" s="120"/>
      <c r="DN48" s="233"/>
      <c r="DO48" s="233"/>
      <c r="DP48" s="120"/>
      <c r="DQ48" s="262"/>
      <c r="DR48" s="262"/>
      <c r="DS48" s="120"/>
      <c r="DT48" s="262"/>
      <c r="DU48" s="262"/>
      <c r="DV48" s="120"/>
      <c r="DW48" s="262"/>
      <c r="DX48" s="262"/>
      <c r="DY48" s="120"/>
      <c r="DZ48" s="262"/>
      <c r="EA48" s="262"/>
      <c r="EB48" s="265"/>
      <c r="EC48" s="262"/>
      <c r="ED48" s="262"/>
      <c r="EE48" s="256"/>
      <c r="EF48" s="233"/>
      <c r="EG48" s="233"/>
      <c r="EH48" s="120"/>
      <c r="EI48" s="262"/>
      <c r="EJ48" s="262"/>
      <c r="EK48" s="120"/>
      <c r="EL48" s="262"/>
      <c r="EM48" s="262"/>
      <c r="EN48" s="120"/>
      <c r="EO48" s="262"/>
      <c r="EP48" s="262"/>
      <c r="EQ48" s="120"/>
      <c r="ER48" s="262"/>
      <c r="ES48" s="262"/>
      <c r="ET48" s="120"/>
      <c r="EU48" s="262"/>
      <c r="EV48" s="262"/>
      <c r="EW48" s="120"/>
      <c r="EX48" s="262"/>
      <c r="EY48" s="262"/>
      <c r="EZ48" s="120"/>
      <c r="FA48" s="262"/>
      <c r="FB48" s="262"/>
      <c r="FC48" s="120"/>
      <c r="FD48" s="262"/>
      <c r="FE48" s="262"/>
      <c r="FF48" s="120"/>
      <c r="FG48" s="262"/>
      <c r="FH48" s="262"/>
      <c r="FI48" s="120"/>
      <c r="FJ48" s="262"/>
      <c r="FK48" s="262"/>
      <c r="FL48" s="120"/>
      <c r="FM48" s="262"/>
      <c r="FN48" s="262"/>
      <c r="FO48" s="120"/>
      <c r="FP48" s="262"/>
      <c r="FQ48" s="262"/>
      <c r="FR48" s="120"/>
      <c r="FS48" s="262"/>
      <c r="FT48" s="262"/>
      <c r="FU48" s="120"/>
      <c r="FV48" s="262"/>
      <c r="FW48" s="262"/>
      <c r="FX48" s="120"/>
      <c r="FY48" s="262"/>
      <c r="FZ48" s="262"/>
      <c r="GA48" s="256"/>
      <c r="GB48" s="233"/>
      <c r="GC48" s="233"/>
      <c r="GJ48" s="121">
        <f t="shared" si="19"/>
        <v>0</v>
      </c>
      <c r="GK48" s="121">
        <f t="shared" si="20"/>
        <v>0</v>
      </c>
      <c r="GM48" s="121">
        <f t="shared" si="21"/>
        <v>0</v>
      </c>
      <c r="GN48" s="121">
        <f t="shared" si="22"/>
        <v>0</v>
      </c>
      <c r="GO48" s="121">
        <f t="shared" si="23"/>
        <v>0</v>
      </c>
      <c r="GP48" s="121">
        <f t="shared" si="24"/>
        <v>0</v>
      </c>
      <c r="GQ48" s="121">
        <f t="shared" si="25"/>
        <v>0</v>
      </c>
      <c r="GR48" s="121">
        <f t="shared" si="26"/>
        <v>0</v>
      </c>
    </row>
    <row r="49" spans="2:200" ht="38.25" customHeight="1" x14ac:dyDescent="0.55000000000000004">
      <c r="B49" s="303" t="s">
        <v>413</v>
      </c>
      <c r="C49" s="198"/>
      <c r="D49" s="198"/>
      <c r="E49" s="198"/>
      <c r="F49" s="198"/>
      <c r="G49" s="198"/>
      <c r="H49" s="198"/>
      <c r="I49" s="142" cm="1">
        <f t="array" ref="I49">SUMPRODUCT(($X$2:$GG$2&lt;&gt;"")*($X49:$GG49&lt;&gt;""))</f>
        <v>0</v>
      </c>
      <c r="J49" s="122">
        <f t="shared" si="10"/>
        <v>0</v>
      </c>
      <c r="K49" s="122">
        <f t="shared" si="11"/>
        <v>0</v>
      </c>
      <c r="L49" s="249">
        <f t="shared" si="0"/>
        <v>7000</v>
      </c>
      <c r="M49" s="144">
        <f t="shared" si="12"/>
        <v>0</v>
      </c>
      <c r="N49" s="405"/>
      <c r="O49" s="145">
        <f t="shared" si="13"/>
        <v>0</v>
      </c>
      <c r="P49" s="145">
        <f t="shared" si="14"/>
        <v>0</v>
      </c>
      <c r="Q49" s="145">
        <f t="shared" si="15"/>
        <v>0</v>
      </c>
      <c r="R49" s="145">
        <f t="shared" si="16"/>
        <v>0</v>
      </c>
      <c r="S49" s="130">
        <f t="shared" si="17"/>
        <v>0</v>
      </c>
      <c r="T49" s="130">
        <f t="shared" si="18"/>
        <v>0</v>
      </c>
      <c r="U49" s="141"/>
      <c r="V49" s="123"/>
      <c r="W49" s="134"/>
      <c r="X49" s="124"/>
      <c r="Y49" s="134"/>
      <c r="Z49" s="200"/>
      <c r="AA49" s="120"/>
      <c r="AB49" s="134"/>
      <c r="AC49" s="200"/>
      <c r="AD49" s="125"/>
      <c r="AE49" s="134"/>
      <c r="AF49" s="200"/>
      <c r="AG49" s="120"/>
      <c r="AH49" s="262"/>
      <c r="AI49" s="262"/>
      <c r="AJ49" s="120"/>
      <c r="AK49" s="262"/>
      <c r="AL49" s="262"/>
      <c r="AM49" s="120"/>
      <c r="AN49" s="262"/>
      <c r="AO49" s="262"/>
      <c r="AP49" s="120"/>
      <c r="AQ49" s="262"/>
      <c r="AR49" s="262"/>
      <c r="AS49" s="120"/>
      <c r="AT49" s="262"/>
      <c r="AU49" s="262"/>
      <c r="AV49" s="120"/>
      <c r="AW49" s="262"/>
      <c r="AX49" s="262"/>
      <c r="AY49" s="120"/>
      <c r="AZ49" s="262"/>
      <c r="BA49" s="262"/>
      <c r="BB49" s="120"/>
      <c r="BC49" s="134"/>
      <c r="BD49" s="200"/>
      <c r="BE49" s="120"/>
      <c r="BF49" s="134"/>
      <c r="BG49" s="200"/>
      <c r="BH49" s="120"/>
      <c r="BI49" s="252"/>
      <c r="BJ49" s="252"/>
      <c r="BK49" s="120"/>
      <c r="BL49" s="134"/>
      <c r="BM49" s="134"/>
      <c r="BN49" s="120"/>
      <c r="BO49" s="252"/>
      <c r="BP49" s="252"/>
      <c r="BQ49" s="120"/>
      <c r="BR49" s="134"/>
      <c r="BS49" s="134"/>
      <c r="BT49" s="120"/>
      <c r="BU49" s="134"/>
      <c r="BV49" s="200"/>
      <c r="BW49" s="120"/>
      <c r="BX49" s="134"/>
      <c r="BY49" s="200"/>
      <c r="BZ49" s="120"/>
      <c r="CA49" s="126"/>
      <c r="CB49" s="126"/>
      <c r="CC49" s="120"/>
      <c r="CD49" s="126"/>
      <c r="CE49" s="126"/>
      <c r="CF49" s="120"/>
      <c r="CG49" s="134"/>
      <c r="CH49" s="134"/>
      <c r="CI49" s="120"/>
      <c r="CJ49" s="200"/>
      <c r="CK49" s="200"/>
      <c r="CL49" s="120"/>
      <c r="CM49" s="200"/>
      <c r="CN49" s="200"/>
      <c r="CO49" s="120"/>
      <c r="CP49" s="134"/>
      <c r="CQ49" s="134"/>
      <c r="CR49" s="120"/>
      <c r="CS49" s="134"/>
      <c r="CT49" s="134"/>
      <c r="CU49" s="120"/>
      <c r="CV49" s="202"/>
      <c r="CW49" s="202"/>
      <c r="CX49" s="120"/>
      <c r="CY49" s="202"/>
      <c r="CZ49" s="202"/>
      <c r="DA49" s="120"/>
      <c r="DB49" s="202"/>
      <c r="DC49" s="202"/>
      <c r="DD49" s="349"/>
      <c r="DE49" s="202"/>
      <c r="DF49" s="202"/>
      <c r="DG49" s="254"/>
      <c r="DH49" s="203"/>
      <c r="DI49" s="203"/>
      <c r="DJ49" s="259"/>
      <c r="DK49" s="136"/>
      <c r="DL49" s="136"/>
      <c r="DM49" s="120"/>
      <c r="DN49" s="233"/>
      <c r="DO49" s="233"/>
      <c r="DP49" s="120"/>
      <c r="DQ49" s="262"/>
      <c r="DR49" s="262"/>
      <c r="DS49" s="120"/>
      <c r="DT49" s="262"/>
      <c r="DU49" s="262"/>
      <c r="DV49" s="120"/>
      <c r="DW49" s="262"/>
      <c r="DX49" s="262"/>
      <c r="DY49" s="120"/>
      <c r="DZ49" s="262"/>
      <c r="EA49" s="262"/>
      <c r="EB49" s="265"/>
      <c r="EC49" s="262"/>
      <c r="ED49" s="262"/>
      <c r="EE49" s="256"/>
      <c r="EF49" s="233"/>
      <c r="EG49" s="233"/>
      <c r="EH49" s="120"/>
      <c r="EI49" s="262"/>
      <c r="EJ49" s="262"/>
      <c r="EK49" s="120"/>
      <c r="EL49" s="262"/>
      <c r="EM49" s="262"/>
      <c r="EN49" s="120"/>
      <c r="EO49" s="262"/>
      <c r="EP49" s="262"/>
      <c r="EQ49" s="120"/>
      <c r="ER49" s="262"/>
      <c r="ES49" s="262"/>
      <c r="ET49" s="120"/>
      <c r="EU49" s="262"/>
      <c r="EV49" s="262"/>
      <c r="EW49" s="120"/>
      <c r="EX49" s="262"/>
      <c r="EY49" s="262"/>
      <c r="EZ49" s="120"/>
      <c r="FA49" s="262"/>
      <c r="FB49" s="262"/>
      <c r="FC49" s="120"/>
      <c r="FD49" s="262"/>
      <c r="FE49" s="262"/>
      <c r="FF49" s="120"/>
      <c r="FG49" s="262"/>
      <c r="FH49" s="262"/>
      <c r="FI49" s="120"/>
      <c r="FJ49" s="262"/>
      <c r="FK49" s="262"/>
      <c r="FL49" s="120"/>
      <c r="FM49" s="262"/>
      <c r="FN49" s="262"/>
      <c r="FO49" s="120"/>
      <c r="FP49" s="262"/>
      <c r="FQ49" s="262"/>
      <c r="FR49" s="120"/>
      <c r="FS49" s="262"/>
      <c r="FT49" s="262"/>
      <c r="FU49" s="120"/>
      <c r="FV49" s="262"/>
      <c r="FW49" s="262"/>
      <c r="FX49" s="120"/>
      <c r="FY49" s="262"/>
      <c r="FZ49" s="262"/>
      <c r="GA49" s="256"/>
      <c r="GB49" s="233"/>
      <c r="GC49" s="233"/>
      <c r="GJ49" s="121">
        <f t="shared" si="19"/>
        <v>0</v>
      </c>
      <c r="GK49" s="121">
        <f t="shared" si="20"/>
        <v>0</v>
      </c>
      <c r="GM49" s="121">
        <f t="shared" si="21"/>
        <v>0</v>
      </c>
      <c r="GN49" s="121">
        <f t="shared" si="22"/>
        <v>0</v>
      </c>
      <c r="GO49" s="121">
        <f t="shared" si="23"/>
        <v>0</v>
      </c>
      <c r="GP49" s="121">
        <f t="shared" si="24"/>
        <v>0</v>
      </c>
      <c r="GQ49" s="121">
        <f t="shared" si="25"/>
        <v>0</v>
      </c>
      <c r="GR49" s="121">
        <f t="shared" si="26"/>
        <v>0</v>
      </c>
    </row>
    <row r="50" spans="2:200" ht="38.25" customHeight="1" x14ac:dyDescent="0.55000000000000004">
      <c r="B50" s="303" t="s">
        <v>414</v>
      </c>
      <c r="C50" s="198"/>
      <c r="D50" s="198"/>
      <c r="E50" s="198"/>
      <c r="F50" s="198"/>
      <c r="G50" s="198"/>
      <c r="H50" s="198"/>
      <c r="I50" s="142" cm="1">
        <f t="array" ref="I50">SUMPRODUCT(($X$2:$GG$2&lt;&gt;"")*($X50:$GG50&lt;&gt;""))</f>
        <v>0</v>
      </c>
      <c r="J50" s="122">
        <f t="shared" si="10"/>
        <v>0</v>
      </c>
      <c r="K50" s="122">
        <f t="shared" si="11"/>
        <v>0</v>
      </c>
      <c r="L50" s="249">
        <f t="shared" si="0"/>
        <v>7000</v>
      </c>
      <c r="M50" s="144">
        <f t="shared" si="12"/>
        <v>0</v>
      </c>
      <c r="N50" s="405"/>
      <c r="O50" s="145">
        <f t="shared" si="13"/>
        <v>0</v>
      </c>
      <c r="P50" s="145">
        <f t="shared" si="14"/>
        <v>0</v>
      </c>
      <c r="Q50" s="145">
        <f t="shared" si="15"/>
        <v>0</v>
      </c>
      <c r="R50" s="145">
        <f t="shared" si="16"/>
        <v>0</v>
      </c>
      <c r="S50" s="130">
        <f t="shared" si="17"/>
        <v>0</v>
      </c>
      <c r="T50" s="130">
        <f t="shared" si="18"/>
        <v>0</v>
      </c>
      <c r="U50" s="141"/>
      <c r="V50" s="123"/>
      <c r="W50" s="134"/>
      <c r="X50" s="124"/>
      <c r="Y50" s="134"/>
      <c r="Z50" s="200"/>
      <c r="AA50" s="120"/>
      <c r="AB50" s="134"/>
      <c r="AC50" s="200"/>
      <c r="AD50" s="125"/>
      <c r="AE50" s="134"/>
      <c r="AF50" s="200"/>
      <c r="AG50" s="120"/>
      <c r="AH50" s="262"/>
      <c r="AI50" s="262"/>
      <c r="AJ50" s="120"/>
      <c r="AK50" s="262"/>
      <c r="AL50" s="262"/>
      <c r="AM50" s="120"/>
      <c r="AN50" s="262"/>
      <c r="AO50" s="262"/>
      <c r="AP50" s="120"/>
      <c r="AQ50" s="262"/>
      <c r="AR50" s="262"/>
      <c r="AS50" s="120"/>
      <c r="AT50" s="262"/>
      <c r="AU50" s="262"/>
      <c r="AV50" s="120"/>
      <c r="AW50" s="262"/>
      <c r="AX50" s="262"/>
      <c r="AY50" s="120"/>
      <c r="AZ50" s="262"/>
      <c r="BA50" s="262"/>
      <c r="BB50" s="120"/>
      <c r="BC50" s="134"/>
      <c r="BD50" s="200"/>
      <c r="BE50" s="120"/>
      <c r="BF50" s="134"/>
      <c r="BG50" s="200"/>
      <c r="BH50" s="120"/>
      <c r="BI50" s="252"/>
      <c r="BJ50" s="252"/>
      <c r="BK50" s="120"/>
      <c r="BL50" s="134"/>
      <c r="BM50" s="134"/>
      <c r="BN50" s="120"/>
      <c r="BO50" s="252"/>
      <c r="BP50" s="252"/>
      <c r="BQ50" s="120"/>
      <c r="BR50" s="134"/>
      <c r="BS50" s="134"/>
      <c r="BT50" s="120"/>
      <c r="BU50" s="134"/>
      <c r="BV50" s="200"/>
      <c r="BW50" s="120"/>
      <c r="BX50" s="134"/>
      <c r="BY50" s="200"/>
      <c r="BZ50" s="120"/>
      <c r="CA50" s="126"/>
      <c r="CB50" s="126"/>
      <c r="CC50" s="120"/>
      <c r="CD50" s="126"/>
      <c r="CE50" s="126"/>
      <c r="CF50" s="120"/>
      <c r="CG50" s="134"/>
      <c r="CH50" s="134"/>
      <c r="CI50" s="120"/>
      <c r="CJ50" s="200"/>
      <c r="CK50" s="200"/>
      <c r="CL50" s="120"/>
      <c r="CM50" s="200"/>
      <c r="CN50" s="200"/>
      <c r="CO50" s="120"/>
      <c r="CP50" s="134"/>
      <c r="CQ50" s="134"/>
      <c r="CR50" s="120"/>
      <c r="CS50" s="134"/>
      <c r="CT50" s="134"/>
      <c r="CU50" s="120"/>
      <c r="CV50" s="202"/>
      <c r="CW50" s="202"/>
      <c r="CX50" s="120"/>
      <c r="CY50" s="202"/>
      <c r="CZ50" s="202"/>
      <c r="DA50" s="120"/>
      <c r="DB50" s="202"/>
      <c r="DC50" s="202"/>
      <c r="DD50" s="349"/>
      <c r="DE50" s="202"/>
      <c r="DF50" s="202"/>
      <c r="DG50" s="254"/>
      <c r="DH50" s="203"/>
      <c r="DI50" s="203"/>
      <c r="DJ50" s="259"/>
      <c r="DK50" s="136"/>
      <c r="DL50" s="136"/>
      <c r="DM50" s="120"/>
      <c r="DN50" s="233"/>
      <c r="DO50" s="233"/>
      <c r="DP50" s="120"/>
      <c r="DQ50" s="262"/>
      <c r="DR50" s="262"/>
      <c r="DS50" s="120"/>
      <c r="DT50" s="262"/>
      <c r="DU50" s="262"/>
      <c r="DV50" s="120"/>
      <c r="DW50" s="262"/>
      <c r="DX50" s="262"/>
      <c r="DY50" s="120"/>
      <c r="DZ50" s="262"/>
      <c r="EA50" s="262"/>
      <c r="EB50" s="265"/>
      <c r="EC50" s="262"/>
      <c r="ED50" s="262"/>
      <c r="EE50" s="256"/>
      <c r="EF50" s="233"/>
      <c r="EG50" s="233"/>
      <c r="EH50" s="120"/>
      <c r="EI50" s="262"/>
      <c r="EJ50" s="262"/>
      <c r="EK50" s="120"/>
      <c r="EL50" s="262"/>
      <c r="EM50" s="262"/>
      <c r="EN50" s="120"/>
      <c r="EO50" s="262"/>
      <c r="EP50" s="262"/>
      <c r="EQ50" s="120"/>
      <c r="ER50" s="262"/>
      <c r="ES50" s="262"/>
      <c r="ET50" s="120"/>
      <c r="EU50" s="262"/>
      <c r="EV50" s="262"/>
      <c r="EW50" s="120"/>
      <c r="EX50" s="262"/>
      <c r="EY50" s="262"/>
      <c r="EZ50" s="120"/>
      <c r="FA50" s="262"/>
      <c r="FB50" s="262"/>
      <c r="FC50" s="120"/>
      <c r="FD50" s="262"/>
      <c r="FE50" s="262"/>
      <c r="FF50" s="120"/>
      <c r="FG50" s="262"/>
      <c r="FH50" s="262"/>
      <c r="FI50" s="120"/>
      <c r="FJ50" s="262"/>
      <c r="FK50" s="262"/>
      <c r="FL50" s="120"/>
      <c r="FM50" s="262"/>
      <c r="FN50" s="262"/>
      <c r="FO50" s="120"/>
      <c r="FP50" s="262"/>
      <c r="FQ50" s="262"/>
      <c r="FR50" s="120"/>
      <c r="FS50" s="262"/>
      <c r="FT50" s="262"/>
      <c r="FU50" s="120"/>
      <c r="FV50" s="262"/>
      <c r="FW50" s="262"/>
      <c r="FX50" s="120"/>
      <c r="FY50" s="262"/>
      <c r="FZ50" s="262"/>
      <c r="GA50" s="256"/>
      <c r="GB50" s="233"/>
      <c r="GC50" s="233"/>
      <c r="GJ50" s="121">
        <f t="shared" si="19"/>
        <v>0</v>
      </c>
      <c r="GK50" s="121">
        <f t="shared" si="20"/>
        <v>0</v>
      </c>
      <c r="GM50" s="121">
        <f t="shared" si="21"/>
        <v>0</v>
      </c>
      <c r="GN50" s="121">
        <f t="shared" si="22"/>
        <v>0</v>
      </c>
      <c r="GO50" s="121">
        <f t="shared" si="23"/>
        <v>0</v>
      </c>
      <c r="GP50" s="121">
        <f t="shared" si="24"/>
        <v>0</v>
      </c>
      <c r="GQ50" s="121">
        <f t="shared" si="25"/>
        <v>0</v>
      </c>
      <c r="GR50" s="121">
        <f t="shared" si="26"/>
        <v>0</v>
      </c>
    </row>
    <row r="51" spans="2:200" ht="38.25" customHeight="1" x14ac:dyDescent="0.55000000000000004">
      <c r="B51" s="303" t="s">
        <v>415</v>
      </c>
      <c r="C51" s="198"/>
      <c r="D51" s="198"/>
      <c r="E51" s="198"/>
      <c r="F51" s="198"/>
      <c r="G51" s="198"/>
      <c r="H51" s="198"/>
      <c r="I51" s="142" cm="1">
        <f t="array" ref="I51">SUMPRODUCT(($X$2:$GG$2&lt;&gt;"")*($X51:$GG51&lt;&gt;""))</f>
        <v>0</v>
      </c>
      <c r="J51" s="122">
        <f t="shared" si="10"/>
        <v>0</v>
      </c>
      <c r="K51" s="122">
        <f t="shared" si="11"/>
        <v>0</v>
      </c>
      <c r="L51" s="249">
        <f t="shared" si="0"/>
        <v>7000</v>
      </c>
      <c r="M51" s="144">
        <f t="shared" si="12"/>
        <v>0</v>
      </c>
      <c r="N51" s="405"/>
      <c r="O51" s="145">
        <f t="shared" si="13"/>
        <v>0</v>
      </c>
      <c r="P51" s="145">
        <f t="shared" si="14"/>
        <v>0</v>
      </c>
      <c r="Q51" s="145">
        <f t="shared" si="15"/>
        <v>0</v>
      </c>
      <c r="R51" s="145">
        <f t="shared" si="16"/>
        <v>0</v>
      </c>
      <c r="S51" s="130">
        <f t="shared" si="17"/>
        <v>0</v>
      </c>
      <c r="T51" s="130">
        <f t="shared" si="18"/>
        <v>0</v>
      </c>
      <c r="U51" s="141"/>
      <c r="V51" s="123"/>
      <c r="W51" s="134"/>
      <c r="X51" s="124"/>
      <c r="Y51" s="134"/>
      <c r="Z51" s="200"/>
      <c r="AA51" s="120"/>
      <c r="AB51" s="134"/>
      <c r="AC51" s="200"/>
      <c r="AD51" s="125"/>
      <c r="AE51" s="134"/>
      <c r="AF51" s="200"/>
      <c r="AG51" s="120"/>
      <c r="AH51" s="262"/>
      <c r="AI51" s="262"/>
      <c r="AJ51" s="120"/>
      <c r="AK51" s="262"/>
      <c r="AL51" s="262"/>
      <c r="AM51" s="120"/>
      <c r="AN51" s="262"/>
      <c r="AO51" s="262"/>
      <c r="AP51" s="120"/>
      <c r="AQ51" s="262"/>
      <c r="AR51" s="262"/>
      <c r="AS51" s="120"/>
      <c r="AT51" s="262"/>
      <c r="AU51" s="262"/>
      <c r="AV51" s="120"/>
      <c r="AW51" s="262"/>
      <c r="AX51" s="262"/>
      <c r="AY51" s="120"/>
      <c r="AZ51" s="262"/>
      <c r="BA51" s="262"/>
      <c r="BB51" s="120"/>
      <c r="BC51" s="134"/>
      <c r="BD51" s="200"/>
      <c r="BE51" s="120"/>
      <c r="BF51" s="134"/>
      <c r="BG51" s="200"/>
      <c r="BH51" s="120"/>
      <c r="BI51" s="252"/>
      <c r="BJ51" s="252"/>
      <c r="BK51" s="120"/>
      <c r="BL51" s="134"/>
      <c r="BM51" s="134"/>
      <c r="BN51" s="120"/>
      <c r="BO51" s="252"/>
      <c r="BP51" s="252"/>
      <c r="BQ51" s="120"/>
      <c r="BR51" s="134"/>
      <c r="BS51" s="134"/>
      <c r="BT51" s="120"/>
      <c r="BU51" s="134"/>
      <c r="BV51" s="200"/>
      <c r="BW51" s="120"/>
      <c r="BX51" s="134"/>
      <c r="BY51" s="200"/>
      <c r="BZ51" s="120"/>
      <c r="CA51" s="126"/>
      <c r="CB51" s="126"/>
      <c r="CC51" s="120"/>
      <c r="CD51" s="126"/>
      <c r="CE51" s="126"/>
      <c r="CF51" s="120"/>
      <c r="CG51" s="134"/>
      <c r="CH51" s="134"/>
      <c r="CI51" s="120"/>
      <c r="CJ51" s="200"/>
      <c r="CK51" s="200"/>
      <c r="CL51" s="120"/>
      <c r="CM51" s="200"/>
      <c r="CN51" s="200"/>
      <c r="CO51" s="120"/>
      <c r="CP51" s="134"/>
      <c r="CQ51" s="134"/>
      <c r="CR51" s="120"/>
      <c r="CS51" s="134"/>
      <c r="CT51" s="134"/>
      <c r="CU51" s="120"/>
      <c r="CV51" s="202"/>
      <c r="CW51" s="202"/>
      <c r="CX51" s="120"/>
      <c r="CY51" s="202"/>
      <c r="CZ51" s="202"/>
      <c r="DA51" s="120"/>
      <c r="DB51" s="202"/>
      <c r="DC51" s="202"/>
      <c r="DD51" s="349"/>
      <c r="DE51" s="202"/>
      <c r="DF51" s="202"/>
      <c r="DG51" s="254"/>
      <c r="DH51" s="203"/>
      <c r="DI51" s="203"/>
      <c r="DJ51" s="259"/>
      <c r="DK51" s="136"/>
      <c r="DL51" s="136"/>
      <c r="DM51" s="120"/>
      <c r="DN51" s="233"/>
      <c r="DO51" s="233"/>
      <c r="DP51" s="120"/>
      <c r="DQ51" s="262"/>
      <c r="DR51" s="262"/>
      <c r="DS51" s="120"/>
      <c r="DT51" s="262"/>
      <c r="DU51" s="262"/>
      <c r="DV51" s="120"/>
      <c r="DW51" s="262"/>
      <c r="DX51" s="262"/>
      <c r="DY51" s="120"/>
      <c r="DZ51" s="262"/>
      <c r="EA51" s="262"/>
      <c r="EB51" s="265"/>
      <c r="EC51" s="262"/>
      <c r="ED51" s="262"/>
      <c r="EE51" s="256"/>
      <c r="EF51" s="233"/>
      <c r="EG51" s="233"/>
      <c r="EH51" s="120"/>
      <c r="EI51" s="262"/>
      <c r="EJ51" s="262"/>
      <c r="EK51" s="120"/>
      <c r="EL51" s="262"/>
      <c r="EM51" s="262"/>
      <c r="EN51" s="120"/>
      <c r="EO51" s="262"/>
      <c r="EP51" s="262"/>
      <c r="EQ51" s="120"/>
      <c r="ER51" s="262"/>
      <c r="ES51" s="262"/>
      <c r="ET51" s="120"/>
      <c r="EU51" s="262"/>
      <c r="EV51" s="262"/>
      <c r="EW51" s="120"/>
      <c r="EX51" s="262"/>
      <c r="EY51" s="262"/>
      <c r="EZ51" s="120"/>
      <c r="FA51" s="262"/>
      <c r="FB51" s="262"/>
      <c r="FC51" s="120"/>
      <c r="FD51" s="262"/>
      <c r="FE51" s="262"/>
      <c r="FF51" s="120"/>
      <c r="FG51" s="262"/>
      <c r="FH51" s="262"/>
      <c r="FI51" s="120"/>
      <c r="FJ51" s="262"/>
      <c r="FK51" s="262"/>
      <c r="FL51" s="120"/>
      <c r="FM51" s="262"/>
      <c r="FN51" s="262"/>
      <c r="FO51" s="120"/>
      <c r="FP51" s="262"/>
      <c r="FQ51" s="262"/>
      <c r="FR51" s="120"/>
      <c r="FS51" s="262"/>
      <c r="FT51" s="262"/>
      <c r="FU51" s="120"/>
      <c r="FV51" s="262"/>
      <c r="FW51" s="262"/>
      <c r="FX51" s="120"/>
      <c r="FY51" s="262"/>
      <c r="FZ51" s="262"/>
      <c r="GA51" s="256"/>
      <c r="GB51" s="233"/>
      <c r="GC51" s="233"/>
      <c r="GJ51" s="121">
        <f t="shared" si="19"/>
        <v>0</v>
      </c>
      <c r="GK51" s="121">
        <f t="shared" si="20"/>
        <v>0</v>
      </c>
      <c r="GM51" s="121">
        <f t="shared" si="21"/>
        <v>0</v>
      </c>
      <c r="GN51" s="121">
        <f t="shared" si="22"/>
        <v>0</v>
      </c>
      <c r="GO51" s="121">
        <f t="shared" si="23"/>
        <v>0</v>
      </c>
      <c r="GP51" s="121">
        <f t="shared" si="24"/>
        <v>0</v>
      </c>
      <c r="GQ51" s="121">
        <f t="shared" si="25"/>
        <v>0</v>
      </c>
      <c r="GR51" s="121">
        <f t="shared" si="26"/>
        <v>0</v>
      </c>
    </row>
    <row r="52" spans="2:200" ht="38.25" customHeight="1" x14ac:dyDescent="0.55000000000000004">
      <c r="B52" s="306" t="s">
        <v>417</v>
      </c>
      <c r="C52" s="198"/>
      <c r="D52" s="198"/>
      <c r="E52" s="198"/>
      <c r="F52" s="198"/>
      <c r="G52" s="198"/>
      <c r="H52" s="198"/>
      <c r="I52" s="142" cm="1">
        <f t="array" ref="I52">SUMPRODUCT(($X$2:$GG$2&lt;&gt;"")*($X52:$GG52&lt;&gt;""))</f>
        <v>0</v>
      </c>
      <c r="J52" s="122">
        <f t="shared" si="10"/>
        <v>0</v>
      </c>
      <c r="K52" s="122">
        <f t="shared" si="11"/>
        <v>0</v>
      </c>
      <c r="L52" s="249">
        <f t="shared" si="0"/>
        <v>7000</v>
      </c>
      <c r="M52" s="144">
        <f t="shared" si="12"/>
        <v>0</v>
      </c>
      <c r="N52" s="405"/>
      <c r="O52" s="145">
        <f t="shared" si="13"/>
        <v>0</v>
      </c>
      <c r="P52" s="145">
        <f t="shared" si="14"/>
        <v>0</v>
      </c>
      <c r="Q52" s="145">
        <f t="shared" si="15"/>
        <v>0</v>
      </c>
      <c r="R52" s="145">
        <f t="shared" si="16"/>
        <v>0</v>
      </c>
      <c r="S52" s="130">
        <f t="shared" si="17"/>
        <v>0</v>
      </c>
      <c r="T52" s="130">
        <f t="shared" si="18"/>
        <v>0</v>
      </c>
      <c r="U52" s="141"/>
      <c r="V52" s="123"/>
      <c r="W52" s="134"/>
      <c r="X52" s="124"/>
      <c r="Y52" s="134"/>
      <c r="Z52" s="200"/>
      <c r="AA52" s="120"/>
      <c r="AB52" s="134"/>
      <c r="AC52" s="200"/>
      <c r="AD52" s="125"/>
      <c r="AE52" s="134"/>
      <c r="AF52" s="200"/>
      <c r="AG52" s="120"/>
      <c r="AH52" s="262"/>
      <c r="AI52" s="262"/>
      <c r="AJ52" s="120"/>
      <c r="AK52" s="262"/>
      <c r="AL52" s="262"/>
      <c r="AM52" s="120"/>
      <c r="AN52" s="262"/>
      <c r="AO52" s="262"/>
      <c r="AP52" s="120"/>
      <c r="AQ52" s="262"/>
      <c r="AR52" s="262"/>
      <c r="AS52" s="120"/>
      <c r="AT52" s="262"/>
      <c r="AU52" s="262"/>
      <c r="AV52" s="120"/>
      <c r="AW52" s="262"/>
      <c r="AX52" s="262"/>
      <c r="AY52" s="120"/>
      <c r="AZ52" s="262"/>
      <c r="BA52" s="262"/>
      <c r="BB52" s="120"/>
      <c r="BC52" s="134"/>
      <c r="BD52" s="200"/>
      <c r="BE52" s="120"/>
      <c r="BF52" s="134"/>
      <c r="BG52" s="200"/>
      <c r="BH52" s="120"/>
      <c r="BI52" s="252"/>
      <c r="BJ52" s="252"/>
      <c r="BK52" s="120"/>
      <c r="BL52" s="134"/>
      <c r="BM52" s="134"/>
      <c r="BN52" s="120"/>
      <c r="BO52" s="252"/>
      <c r="BP52" s="252"/>
      <c r="BQ52" s="120"/>
      <c r="BR52" s="134"/>
      <c r="BS52" s="134"/>
      <c r="BT52" s="120"/>
      <c r="BU52" s="134"/>
      <c r="BV52" s="200"/>
      <c r="BW52" s="120"/>
      <c r="BX52" s="134"/>
      <c r="BY52" s="200"/>
      <c r="BZ52" s="120"/>
      <c r="CA52" s="126"/>
      <c r="CB52" s="126"/>
      <c r="CC52" s="120"/>
      <c r="CD52" s="126"/>
      <c r="CE52" s="126"/>
      <c r="CF52" s="120"/>
      <c r="CG52" s="134"/>
      <c r="CH52" s="134"/>
      <c r="CI52" s="120"/>
      <c r="CJ52" s="200"/>
      <c r="CK52" s="200"/>
      <c r="CL52" s="120"/>
      <c r="CM52" s="200"/>
      <c r="CN52" s="200"/>
      <c r="CO52" s="120"/>
      <c r="CP52" s="134"/>
      <c r="CQ52" s="134"/>
      <c r="CR52" s="120"/>
      <c r="CS52" s="134"/>
      <c r="CT52" s="134"/>
      <c r="CU52" s="120"/>
      <c r="CV52" s="202"/>
      <c r="CW52" s="202"/>
      <c r="CX52" s="120"/>
      <c r="CY52" s="202"/>
      <c r="CZ52" s="202"/>
      <c r="DA52" s="120"/>
      <c r="DB52" s="202"/>
      <c r="DC52" s="202"/>
      <c r="DD52" s="349"/>
      <c r="DE52" s="202"/>
      <c r="DF52" s="202"/>
      <c r="DG52" s="254"/>
      <c r="DH52" s="203"/>
      <c r="DI52" s="203"/>
      <c r="DJ52" s="259"/>
      <c r="DK52" s="136"/>
      <c r="DL52" s="136"/>
      <c r="DM52" s="120"/>
      <c r="DN52" s="233"/>
      <c r="DO52" s="233"/>
      <c r="DP52" s="120"/>
      <c r="DQ52" s="262"/>
      <c r="DR52" s="262"/>
      <c r="DS52" s="120"/>
      <c r="DT52" s="262"/>
      <c r="DU52" s="262"/>
      <c r="DV52" s="120"/>
      <c r="DW52" s="262"/>
      <c r="DX52" s="262"/>
      <c r="DY52" s="120"/>
      <c r="DZ52" s="262"/>
      <c r="EA52" s="262"/>
      <c r="EB52" s="265"/>
      <c r="EC52" s="262"/>
      <c r="ED52" s="262"/>
      <c r="EE52" s="256"/>
      <c r="EF52" s="233"/>
      <c r="EG52" s="233"/>
      <c r="EH52" s="120"/>
      <c r="EI52" s="262"/>
      <c r="EJ52" s="262"/>
      <c r="EK52" s="120"/>
      <c r="EL52" s="262"/>
      <c r="EM52" s="262"/>
      <c r="EN52" s="120"/>
      <c r="EO52" s="262"/>
      <c r="EP52" s="262"/>
      <c r="EQ52" s="120"/>
      <c r="ER52" s="262"/>
      <c r="ES52" s="262"/>
      <c r="ET52" s="120"/>
      <c r="EU52" s="262"/>
      <c r="EV52" s="262"/>
      <c r="EW52" s="120"/>
      <c r="EX52" s="262"/>
      <c r="EY52" s="262"/>
      <c r="EZ52" s="120"/>
      <c r="FA52" s="262"/>
      <c r="FB52" s="262"/>
      <c r="FC52" s="120"/>
      <c r="FD52" s="262"/>
      <c r="FE52" s="262"/>
      <c r="FF52" s="120"/>
      <c r="FG52" s="262"/>
      <c r="FH52" s="262"/>
      <c r="FI52" s="120"/>
      <c r="FJ52" s="262"/>
      <c r="FK52" s="262"/>
      <c r="FL52" s="120"/>
      <c r="FM52" s="262"/>
      <c r="FN52" s="262"/>
      <c r="FO52" s="120"/>
      <c r="FP52" s="262"/>
      <c r="FQ52" s="262"/>
      <c r="FR52" s="120"/>
      <c r="FS52" s="262"/>
      <c r="FT52" s="262"/>
      <c r="FU52" s="120"/>
      <c r="FV52" s="262"/>
      <c r="FW52" s="262"/>
      <c r="FX52" s="120"/>
      <c r="FY52" s="262"/>
      <c r="FZ52" s="262"/>
      <c r="GA52" s="256"/>
      <c r="GB52" s="233"/>
      <c r="GC52" s="233"/>
      <c r="GJ52" s="121">
        <f t="shared" si="19"/>
        <v>0</v>
      </c>
      <c r="GK52" s="121">
        <f t="shared" si="20"/>
        <v>0</v>
      </c>
      <c r="GM52" s="121">
        <f t="shared" si="21"/>
        <v>0</v>
      </c>
      <c r="GN52" s="121">
        <f t="shared" si="22"/>
        <v>0</v>
      </c>
      <c r="GO52" s="121">
        <f t="shared" si="23"/>
        <v>0</v>
      </c>
      <c r="GP52" s="121">
        <f t="shared" si="24"/>
        <v>0</v>
      </c>
      <c r="GQ52" s="121">
        <f t="shared" si="25"/>
        <v>0</v>
      </c>
      <c r="GR52" s="121">
        <f t="shared" si="26"/>
        <v>0</v>
      </c>
    </row>
    <row r="53" spans="2:200" ht="38.25" customHeight="1" x14ac:dyDescent="0.55000000000000004">
      <c r="B53" s="303" t="s">
        <v>461</v>
      </c>
      <c r="C53" s="198">
        <v>50</v>
      </c>
      <c r="D53" s="198">
        <v>50</v>
      </c>
      <c r="E53" s="198">
        <v>50</v>
      </c>
      <c r="F53" s="198"/>
      <c r="G53" s="198"/>
      <c r="H53" s="198"/>
      <c r="I53" s="142" cm="1">
        <f t="array" ref="I53">SUMPRODUCT(($X$2:$GG$2&lt;&gt;"")*($X53:$GG53&lt;&gt;""))</f>
        <v>1</v>
      </c>
      <c r="J53" s="122">
        <f t="shared" si="10"/>
        <v>50</v>
      </c>
      <c r="K53" s="122">
        <f t="shared" si="11"/>
        <v>700</v>
      </c>
      <c r="L53" s="249">
        <f t="shared" si="0"/>
        <v>7000</v>
      </c>
      <c r="M53" s="144">
        <f t="shared" si="12"/>
        <v>0</v>
      </c>
      <c r="N53" s="405"/>
      <c r="O53" s="145">
        <f t="shared" si="13"/>
        <v>0</v>
      </c>
      <c r="P53" s="145">
        <f t="shared" si="14"/>
        <v>0</v>
      </c>
      <c r="Q53" s="145">
        <f t="shared" si="15"/>
        <v>0</v>
      </c>
      <c r="R53" s="145">
        <f t="shared" si="16"/>
        <v>0</v>
      </c>
      <c r="S53" s="130">
        <f t="shared" si="17"/>
        <v>0</v>
      </c>
      <c r="T53" s="130">
        <f t="shared" si="18"/>
        <v>0</v>
      </c>
      <c r="U53" s="141">
        <v>73</v>
      </c>
      <c r="V53" s="123"/>
      <c r="W53" s="134"/>
      <c r="X53" s="124">
        <v>2.298</v>
      </c>
      <c r="Y53" s="339"/>
      <c r="Z53" s="348" t="s">
        <v>576</v>
      </c>
      <c r="AA53" s="120"/>
      <c r="AB53" s="134"/>
      <c r="AC53" s="200"/>
      <c r="AD53" s="125"/>
      <c r="AE53" s="134"/>
      <c r="AF53" s="200"/>
      <c r="AG53" s="120"/>
      <c r="AH53" s="262"/>
      <c r="AI53" s="262"/>
      <c r="AJ53" s="120"/>
      <c r="AK53" s="262"/>
      <c r="AL53" s="262"/>
      <c r="AM53" s="120"/>
      <c r="AN53" s="262"/>
      <c r="AO53" s="262"/>
      <c r="AP53" s="120"/>
      <c r="AQ53" s="262"/>
      <c r="AR53" s="262"/>
      <c r="AS53" s="120"/>
      <c r="AT53" s="262"/>
      <c r="AU53" s="262"/>
      <c r="AV53" s="120"/>
      <c r="AW53" s="262"/>
      <c r="AX53" s="262"/>
      <c r="AY53" s="120"/>
      <c r="AZ53" s="262"/>
      <c r="BA53" s="262"/>
      <c r="BB53" s="120"/>
      <c r="BC53" s="134"/>
      <c r="BD53" s="200"/>
      <c r="BE53" s="120"/>
      <c r="BF53" s="134"/>
      <c r="BG53" s="200"/>
      <c r="BH53" s="120"/>
      <c r="BI53" s="252"/>
      <c r="BJ53" s="252"/>
      <c r="BK53" s="120"/>
      <c r="BL53" s="134"/>
      <c r="BM53" s="134"/>
      <c r="BN53" s="120"/>
      <c r="BO53" s="252"/>
      <c r="BP53" s="252"/>
      <c r="BQ53" s="120"/>
      <c r="BR53" s="134"/>
      <c r="BS53" s="134"/>
      <c r="BT53" s="120"/>
      <c r="BU53" s="134"/>
      <c r="BV53" s="200"/>
      <c r="BW53" s="120"/>
      <c r="BX53" s="134"/>
      <c r="BY53" s="200"/>
      <c r="BZ53" s="120"/>
      <c r="CA53" s="126"/>
      <c r="CB53" s="126"/>
      <c r="CC53" s="120"/>
      <c r="CD53" s="126"/>
      <c r="CE53" s="126"/>
      <c r="CF53" s="120"/>
      <c r="CG53" s="134"/>
      <c r="CH53" s="134"/>
      <c r="CI53" s="120"/>
      <c r="CJ53" s="200"/>
      <c r="CK53" s="200"/>
      <c r="CL53" s="120"/>
      <c r="CM53" s="200"/>
      <c r="CN53" s="200"/>
      <c r="CO53" s="120"/>
      <c r="CP53" s="134"/>
      <c r="CQ53" s="134"/>
      <c r="CR53" s="120"/>
      <c r="CS53" s="134"/>
      <c r="CT53" s="134"/>
      <c r="CU53" s="120"/>
      <c r="CV53" s="202"/>
      <c r="CW53" s="202"/>
      <c r="CX53" s="120"/>
      <c r="CY53" s="202"/>
      <c r="CZ53" s="202"/>
      <c r="DA53" s="120"/>
      <c r="DB53" s="202"/>
      <c r="DC53" s="202"/>
      <c r="DD53" s="349"/>
      <c r="DE53" s="202"/>
      <c r="DF53" s="202"/>
      <c r="DG53" s="254"/>
      <c r="DH53" s="203"/>
      <c r="DI53" s="203"/>
      <c r="DJ53" s="259"/>
      <c r="DK53" s="136"/>
      <c r="DL53" s="136"/>
      <c r="DM53" s="120"/>
      <c r="DN53" s="233"/>
      <c r="DO53" s="233"/>
      <c r="DP53" s="120"/>
      <c r="DQ53" s="262"/>
      <c r="DR53" s="262"/>
      <c r="DS53" s="120"/>
      <c r="DT53" s="262"/>
      <c r="DU53" s="262"/>
      <c r="DV53" s="120"/>
      <c r="DW53" s="262"/>
      <c r="DX53" s="262"/>
      <c r="DY53" s="120"/>
      <c r="DZ53" s="262"/>
      <c r="EA53" s="262"/>
      <c r="EB53" s="265"/>
      <c r="EC53" s="262"/>
      <c r="ED53" s="262"/>
      <c r="EE53" s="256"/>
      <c r="EF53" s="233"/>
      <c r="EG53" s="233"/>
      <c r="EH53" s="120"/>
      <c r="EI53" s="262"/>
      <c r="EJ53" s="262"/>
      <c r="EK53" s="120"/>
      <c r="EL53" s="262"/>
      <c r="EM53" s="262"/>
      <c r="EN53" s="120"/>
      <c r="EO53" s="262"/>
      <c r="EP53" s="262"/>
      <c r="EQ53" s="120"/>
      <c r="ER53" s="262"/>
      <c r="ES53" s="262"/>
      <c r="ET53" s="120"/>
      <c r="EU53" s="262"/>
      <c r="EV53" s="262"/>
      <c r="EW53" s="120"/>
      <c r="EX53" s="262"/>
      <c r="EY53" s="262"/>
      <c r="EZ53" s="120"/>
      <c r="FA53" s="262"/>
      <c r="FB53" s="262"/>
      <c r="FC53" s="120"/>
      <c r="FD53" s="262"/>
      <c r="FE53" s="262"/>
      <c r="FF53" s="120"/>
      <c r="FG53" s="262"/>
      <c r="FH53" s="262"/>
      <c r="FI53" s="120"/>
      <c r="FJ53" s="262"/>
      <c r="FK53" s="262"/>
      <c r="FL53" s="120"/>
      <c r="FM53" s="262"/>
      <c r="FN53" s="262"/>
      <c r="FO53" s="120"/>
      <c r="FP53" s="262"/>
      <c r="FQ53" s="262"/>
      <c r="FR53" s="120"/>
      <c r="FS53" s="262"/>
      <c r="FT53" s="262"/>
      <c r="FU53" s="120"/>
      <c r="FV53" s="262"/>
      <c r="FW53" s="262"/>
      <c r="FX53" s="120"/>
      <c r="FY53" s="262"/>
      <c r="FZ53" s="262"/>
      <c r="GA53" s="256"/>
      <c r="GB53" s="233"/>
      <c r="GC53" s="233"/>
      <c r="GJ53" s="121">
        <f t="shared" si="19"/>
        <v>0</v>
      </c>
      <c r="GK53" s="121">
        <f t="shared" si="20"/>
        <v>0</v>
      </c>
      <c r="GM53" s="121">
        <f t="shared" si="21"/>
        <v>1</v>
      </c>
      <c r="GN53" s="121">
        <f t="shared" si="22"/>
        <v>0</v>
      </c>
      <c r="GO53" s="121">
        <f t="shared" si="23"/>
        <v>0</v>
      </c>
      <c r="GP53" s="121">
        <f t="shared" si="24"/>
        <v>0</v>
      </c>
      <c r="GQ53" s="121">
        <f t="shared" si="25"/>
        <v>0</v>
      </c>
      <c r="GR53" s="121">
        <f t="shared" si="26"/>
        <v>0</v>
      </c>
    </row>
    <row r="54" spans="2:200" ht="38.25" customHeight="1" x14ac:dyDescent="0.55000000000000004">
      <c r="B54" s="303" t="s">
        <v>418</v>
      </c>
      <c r="C54" s="198"/>
      <c r="D54" s="198"/>
      <c r="E54" s="198"/>
      <c r="F54" s="198"/>
      <c r="G54" s="198"/>
      <c r="H54" s="198"/>
      <c r="I54" s="142" cm="1">
        <f t="array" ref="I54">SUMPRODUCT(($X$2:$GG$2&lt;&gt;"")*($X54:$GG54&lt;&gt;""))</f>
        <v>0</v>
      </c>
      <c r="J54" s="122">
        <f t="shared" si="10"/>
        <v>0</v>
      </c>
      <c r="K54" s="122">
        <f t="shared" si="11"/>
        <v>0</v>
      </c>
      <c r="L54" s="249">
        <f t="shared" si="0"/>
        <v>7000</v>
      </c>
      <c r="M54" s="144">
        <f t="shared" si="12"/>
        <v>0</v>
      </c>
      <c r="N54" s="405"/>
      <c r="O54" s="145">
        <f t="shared" si="13"/>
        <v>0</v>
      </c>
      <c r="P54" s="145">
        <f t="shared" si="14"/>
        <v>0</v>
      </c>
      <c r="Q54" s="145">
        <f t="shared" si="15"/>
        <v>0</v>
      </c>
      <c r="R54" s="145">
        <f t="shared" si="16"/>
        <v>0</v>
      </c>
      <c r="S54" s="130">
        <f t="shared" si="17"/>
        <v>0</v>
      </c>
      <c r="T54" s="130">
        <f t="shared" si="18"/>
        <v>0</v>
      </c>
      <c r="U54" s="141"/>
      <c r="V54" s="123"/>
      <c r="W54" s="134"/>
      <c r="X54" s="124"/>
      <c r="Y54" s="134"/>
      <c r="Z54" s="200"/>
      <c r="AA54" s="120"/>
      <c r="AB54" s="134"/>
      <c r="AC54" s="200"/>
      <c r="AD54" s="125"/>
      <c r="AE54" s="134"/>
      <c r="AF54" s="200"/>
      <c r="AG54" s="120"/>
      <c r="AH54" s="262"/>
      <c r="AI54" s="262"/>
      <c r="AJ54" s="120"/>
      <c r="AK54" s="262"/>
      <c r="AL54" s="262"/>
      <c r="AM54" s="120"/>
      <c r="AN54" s="262"/>
      <c r="AO54" s="262"/>
      <c r="AP54" s="120"/>
      <c r="AQ54" s="262"/>
      <c r="AR54" s="262"/>
      <c r="AS54" s="120"/>
      <c r="AT54" s="262"/>
      <c r="AU54" s="262"/>
      <c r="AV54" s="120"/>
      <c r="AW54" s="262"/>
      <c r="AX54" s="262"/>
      <c r="AY54" s="120"/>
      <c r="AZ54" s="262"/>
      <c r="BA54" s="262"/>
      <c r="BB54" s="120"/>
      <c r="BC54" s="134"/>
      <c r="BD54" s="200"/>
      <c r="BE54" s="120"/>
      <c r="BF54" s="134"/>
      <c r="BG54" s="200"/>
      <c r="BH54" s="120"/>
      <c r="BI54" s="252"/>
      <c r="BJ54" s="252"/>
      <c r="BK54" s="120"/>
      <c r="BL54" s="134"/>
      <c r="BM54" s="134"/>
      <c r="BN54" s="120"/>
      <c r="BO54" s="252"/>
      <c r="BP54" s="252"/>
      <c r="BQ54" s="120"/>
      <c r="BR54" s="134"/>
      <c r="BS54" s="134"/>
      <c r="BT54" s="120"/>
      <c r="BU54" s="134"/>
      <c r="BV54" s="200"/>
      <c r="BW54" s="120"/>
      <c r="BX54" s="134"/>
      <c r="BY54" s="200"/>
      <c r="BZ54" s="120"/>
      <c r="CA54" s="126"/>
      <c r="CB54" s="126"/>
      <c r="CC54" s="120"/>
      <c r="CD54" s="126"/>
      <c r="CE54" s="126"/>
      <c r="CF54" s="120"/>
      <c r="CG54" s="134"/>
      <c r="CH54" s="134"/>
      <c r="CI54" s="120"/>
      <c r="CJ54" s="200"/>
      <c r="CK54" s="200"/>
      <c r="CL54" s="120"/>
      <c r="CM54" s="200"/>
      <c r="CN54" s="200"/>
      <c r="CO54" s="120"/>
      <c r="CP54" s="134"/>
      <c r="CQ54" s="134"/>
      <c r="CR54" s="120"/>
      <c r="CS54" s="134"/>
      <c r="CT54" s="134"/>
      <c r="CU54" s="120"/>
      <c r="CV54" s="202"/>
      <c r="CW54" s="202"/>
      <c r="CX54" s="120"/>
      <c r="CY54" s="202"/>
      <c r="CZ54" s="202"/>
      <c r="DA54" s="120"/>
      <c r="DB54" s="202"/>
      <c r="DC54" s="202"/>
      <c r="DD54" s="349"/>
      <c r="DE54" s="202"/>
      <c r="DF54" s="202"/>
      <c r="DG54" s="254"/>
      <c r="DH54" s="203"/>
      <c r="DI54" s="203"/>
      <c r="DJ54" s="259"/>
      <c r="DK54" s="136"/>
      <c r="DL54" s="136"/>
      <c r="DM54" s="120"/>
      <c r="DN54" s="233"/>
      <c r="DO54" s="233"/>
      <c r="DP54" s="120"/>
      <c r="DQ54" s="262"/>
      <c r="DR54" s="262"/>
      <c r="DS54" s="120"/>
      <c r="DT54" s="262"/>
      <c r="DU54" s="262"/>
      <c r="DV54" s="120"/>
      <c r="DW54" s="262"/>
      <c r="DX54" s="262"/>
      <c r="DY54" s="120"/>
      <c r="DZ54" s="262"/>
      <c r="EA54" s="262"/>
      <c r="EB54" s="265"/>
      <c r="EC54" s="262"/>
      <c r="ED54" s="262"/>
      <c r="EE54" s="256"/>
      <c r="EF54" s="233"/>
      <c r="EG54" s="233"/>
      <c r="EH54" s="120"/>
      <c r="EI54" s="262"/>
      <c r="EJ54" s="262"/>
      <c r="EK54" s="120"/>
      <c r="EL54" s="262"/>
      <c r="EM54" s="262"/>
      <c r="EN54" s="120"/>
      <c r="EO54" s="262"/>
      <c r="EP54" s="262"/>
      <c r="EQ54" s="120"/>
      <c r="ER54" s="262"/>
      <c r="ES54" s="262"/>
      <c r="ET54" s="120"/>
      <c r="EU54" s="262"/>
      <c r="EV54" s="262"/>
      <c r="EW54" s="120"/>
      <c r="EX54" s="262"/>
      <c r="EY54" s="262"/>
      <c r="EZ54" s="120"/>
      <c r="FA54" s="262"/>
      <c r="FB54" s="262"/>
      <c r="FC54" s="120"/>
      <c r="FD54" s="262"/>
      <c r="FE54" s="262"/>
      <c r="FF54" s="120"/>
      <c r="FG54" s="262"/>
      <c r="FH54" s="262"/>
      <c r="FI54" s="120"/>
      <c r="FJ54" s="262"/>
      <c r="FK54" s="262"/>
      <c r="FL54" s="120"/>
      <c r="FM54" s="262"/>
      <c r="FN54" s="262"/>
      <c r="FO54" s="120"/>
      <c r="FP54" s="262"/>
      <c r="FQ54" s="262"/>
      <c r="FR54" s="120"/>
      <c r="FS54" s="262"/>
      <c r="FT54" s="262"/>
      <c r="FU54" s="120"/>
      <c r="FV54" s="262"/>
      <c r="FW54" s="262"/>
      <c r="FX54" s="120"/>
      <c r="FY54" s="262"/>
      <c r="FZ54" s="262"/>
      <c r="GA54" s="256"/>
      <c r="GB54" s="233"/>
      <c r="GC54" s="233"/>
      <c r="GJ54" s="121">
        <f t="shared" si="19"/>
        <v>0</v>
      </c>
      <c r="GK54" s="121">
        <f t="shared" si="20"/>
        <v>0</v>
      </c>
      <c r="GM54" s="121">
        <f t="shared" si="21"/>
        <v>0</v>
      </c>
      <c r="GN54" s="121">
        <f t="shared" si="22"/>
        <v>0</v>
      </c>
      <c r="GO54" s="121">
        <f t="shared" si="23"/>
        <v>0</v>
      </c>
      <c r="GP54" s="121">
        <f t="shared" si="24"/>
        <v>0</v>
      </c>
      <c r="GQ54" s="121">
        <f t="shared" si="25"/>
        <v>0</v>
      </c>
      <c r="GR54" s="121">
        <f t="shared" si="26"/>
        <v>0</v>
      </c>
    </row>
    <row r="55" spans="2:200" ht="38.25" customHeight="1" x14ac:dyDescent="0.55000000000000004">
      <c r="B55" s="303" t="s">
        <v>428</v>
      </c>
      <c r="C55" s="198"/>
      <c r="D55" s="198"/>
      <c r="E55" s="198"/>
      <c r="F55" s="198"/>
      <c r="G55" s="198"/>
      <c r="H55" s="198"/>
      <c r="I55" s="142" cm="1">
        <f t="array" ref="I55">SUMPRODUCT(($X$2:$GG$2&lt;&gt;"")*($X55:$GG55&lt;&gt;""))</f>
        <v>5</v>
      </c>
      <c r="J55" s="122">
        <f t="shared" si="10"/>
        <v>0</v>
      </c>
      <c r="K55" s="122">
        <f t="shared" si="11"/>
        <v>0</v>
      </c>
      <c r="L55" s="249">
        <f t="shared" si="0"/>
        <v>7000</v>
      </c>
      <c r="M55" s="144">
        <f t="shared" si="12"/>
        <v>0</v>
      </c>
      <c r="N55" s="405"/>
      <c r="O55" s="145">
        <f t="shared" si="13"/>
        <v>0</v>
      </c>
      <c r="P55" s="145">
        <f t="shared" si="14"/>
        <v>0</v>
      </c>
      <c r="Q55" s="145">
        <f t="shared" si="15"/>
        <v>0</v>
      </c>
      <c r="R55" s="145">
        <f t="shared" si="16"/>
        <v>0</v>
      </c>
      <c r="S55" s="130">
        <f t="shared" si="17"/>
        <v>0</v>
      </c>
      <c r="T55" s="130">
        <f t="shared" si="18"/>
        <v>0</v>
      </c>
      <c r="U55" s="141">
        <v>120</v>
      </c>
      <c r="V55" s="123">
        <v>25</v>
      </c>
      <c r="W55" s="134"/>
      <c r="X55" s="124">
        <v>8.4</v>
      </c>
      <c r="Y55" s="339"/>
      <c r="Z55" s="200" t="s">
        <v>522</v>
      </c>
      <c r="AA55" s="120">
        <v>16</v>
      </c>
      <c r="AB55" s="339"/>
      <c r="AC55" s="200" t="s">
        <v>520</v>
      </c>
      <c r="AD55" s="125">
        <v>85</v>
      </c>
      <c r="AE55" s="339"/>
      <c r="AF55" s="200" t="s">
        <v>521</v>
      </c>
      <c r="AG55" s="120"/>
      <c r="AH55" s="262"/>
      <c r="AI55" s="262"/>
      <c r="AJ55" s="120"/>
      <c r="AK55" s="262"/>
      <c r="AL55" s="262"/>
      <c r="AM55" s="120"/>
      <c r="AN55" s="262"/>
      <c r="AO55" s="262"/>
      <c r="AP55" s="120"/>
      <c r="AQ55" s="262"/>
      <c r="AR55" s="262"/>
      <c r="AS55" s="120"/>
      <c r="AT55" s="262"/>
      <c r="AU55" s="262"/>
      <c r="AV55" s="120"/>
      <c r="AW55" s="262"/>
      <c r="AX55" s="262"/>
      <c r="AY55" s="120"/>
      <c r="AZ55" s="262"/>
      <c r="BA55" s="262"/>
      <c r="BB55" s="120"/>
      <c r="BC55" s="134"/>
      <c r="BD55" s="200" t="s">
        <v>521</v>
      </c>
      <c r="BE55" s="120"/>
      <c r="BF55" s="134"/>
      <c r="BG55" s="200" t="s">
        <v>521</v>
      </c>
      <c r="BH55" s="120"/>
      <c r="BI55" s="252"/>
      <c r="BJ55" s="252"/>
      <c r="BK55" s="120"/>
      <c r="BL55" s="134"/>
      <c r="BM55" s="134"/>
      <c r="BN55" s="120"/>
      <c r="BO55" s="252"/>
      <c r="BP55" s="252"/>
      <c r="BQ55" s="120"/>
      <c r="BR55" s="134"/>
      <c r="BS55" s="134"/>
      <c r="BT55" s="120">
        <v>9.1</v>
      </c>
      <c r="BU55" s="339"/>
      <c r="BV55" s="200" t="s">
        <v>520</v>
      </c>
      <c r="BW55" s="120">
        <v>17</v>
      </c>
      <c r="BX55" s="339"/>
      <c r="BY55" s="200" t="s">
        <v>520</v>
      </c>
      <c r="BZ55" s="120"/>
      <c r="CA55" s="126"/>
      <c r="CB55" s="126"/>
      <c r="CC55" s="120"/>
      <c r="CD55" s="126"/>
      <c r="CE55" s="126"/>
      <c r="CF55" s="120"/>
      <c r="CG55" s="134"/>
      <c r="CH55" s="134"/>
      <c r="CI55" s="120"/>
      <c r="CJ55" s="200"/>
      <c r="CK55" s="200"/>
      <c r="CL55" s="120"/>
      <c r="CM55" s="200"/>
      <c r="CN55" s="200"/>
      <c r="CO55" s="120"/>
      <c r="CP55" s="134"/>
      <c r="CQ55" s="134"/>
      <c r="CR55" s="120"/>
      <c r="CS55" s="134"/>
      <c r="CT55" s="134"/>
      <c r="CU55" s="120"/>
      <c r="CV55" s="202"/>
      <c r="CW55" s="202"/>
      <c r="CX55" s="120"/>
      <c r="CY55" s="202"/>
      <c r="CZ55" s="202"/>
      <c r="DA55" s="120"/>
      <c r="DB55" s="202"/>
      <c r="DC55" s="202"/>
      <c r="DD55" s="349"/>
      <c r="DE55" s="202"/>
      <c r="DF55" s="202"/>
      <c r="DG55" s="254"/>
      <c r="DH55" s="203"/>
      <c r="DI55" s="203"/>
      <c r="DJ55" s="259"/>
      <c r="DK55" s="136"/>
      <c r="DL55" s="136"/>
      <c r="DM55" s="120"/>
      <c r="DN55" s="233"/>
      <c r="DO55" s="233"/>
      <c r="DP55" s="120"/>
      <c r="DQ55" s="262"/>
      <c r="DR55" s="262"/>
      <c r="DS55" s="120"/>
      <c r="DT55" s="262"/>
      <c r="DU55" s="262"/>
      <c r="DV55" s="120"/>
      <c r="DW55" s="262"/>
      <c r="DX55" s="262"/>
      <c r="DY55" s="120"/>
      <c r="DZ55" s="262"/>
      <c r="EA55" s="262"/>
      <c r="EB55" s="265"/>
      <c r="EC55" s="262"/>
      <c r="ED55" s="262"/>
      <c r="EE55" s="256"/>
      <c r="EF55" s="233"/>
      <c r="EG55" s="233"/>
      <c r="EH55" s="120"/>
      <c r="EI55" s="262"/>
      <c r="EJ55" s="262"/>
      <c r="EK55" s="120"/>
      <c r="EL55" s="262"/>
      <c r="EM55" s="262"/>
      <c r="EN55" s="120"/>
      <c r="EO55" s="262"/>
      <c r="EP55" s="262"/>
      <c r="EQ55" s="120"/>
      <c r="ER55" s="262"/>
      <c r="ES55" s="262"/>
      <c r="ET55" s="120"/>
      <c r="EU55" s="262"/>
      <c r="EV55" s="262"/>
      <c r="EW55" s="120"/>
      <c r="EX55" s="262"/>
      <c r="EY55" s="262"/>
      <c r="EZ55" s="120"/>
      <c r="FA55" s="262"/>
      <c r="FB55" s="262"/>
      <c r="FC55" s="120"/>
      <c r="FD55" s="262"/>
      <c r="FE55" s="262"/>
      <c r="FF55" s="120"/>
      <c r="FG55" s="262"/>
      <c r="FH55" s="262"/>
      <c r="FI55" s="120"/>
      <c r="FJ55" s="262"/>
      <c r="FK55" s="262"/>
      <c r="FL55" s="120"/>
      <c r="FM55" s="262"/>
      <c r="FN55" s="262"/>
      <c r="FO55" s="120"/>
      <c r="FP55" s="262"/>
      <c r="FQ55" s="262"/>
      <c r="FR55" s="120"/>
      <c r="FS55" s="262"/>
      <c r="FT55" s="262"/>
      <c r="FU55" s="120"/>
      <c r="FV55" s="262"/>
      <c r="FW55" s="262"/>
      <c r="FX55" s="120"/>
      <c r="FY55" s="262"/>
      <c r="FZ55" s="262"/>
      <c r="GA55" s="256"/>
      <c r="GB55" s="233"/>
      <c r="GC55" s="233"/>
      <c r="GJ55" s="121">
        <f t="shared" si="19"/>
        <v>0</v>
      </c>
      <c r="GK55" s="121">
        <f t="shared" si="20"/>
        <v>0</v>
      </c>
      <c r="GM55" s="121">
        <f t="shared" si="21"/>
        <v>1</v>
      </c>
      <c r="GN55" s="121">
        <f t="shared" si="22"/>
        <v>1</v>
      </c>
      <c r="GO55" s="121">
        <f t="shared" si="23"/>
        <v>1</v>
      </c>
      <c r="GP55" s="121">
        <f t="shared" si="24"/>
        <v>2</v>
      </c>
      <c r="GQ55" s="121">
        <f t="shared" si="25"/>
        <v>0</v>
      </c>
      <c r="GR55" s="121">
        <f t="shared" si="26"/>
        <v>0</v>
      </c>
    </row>
    <row r="56" spans="2:200" ht="38.25" customHeight="1" x14ac:dyDescent="0.55000000000000004">
      <c r="B56" s="303" t="s">
        <v>429</v>
      </c>
      <c r="C56" s="198"/>
      <c r="D56" s="198"/>
      <c r="E56" s="198"/>
      <c r="F56" s="198"/>
      <c r="G56" s="198"/>
      <c r="H56" s="198"/>
      <c r="I56" s="142" cm="1">
        <f t="array" ref="I56">SUMPRODUCT(($X$2:$GG$2&lt;&gt;"")*($X56:$GG56&lt;&gt;""))</f>
        <v>1</v>
      </c>
      <c r="J56" s="122">
        <f t="shared" si="10"/>
        <v>0</v>
      </c>
      <c r="K56" s="122">
        <f t="shared" si="11"/>
        <v>0</v>
      </c>
      <c r="L56" s="249">
        <f t="shared" si="0"/>
        <v>7000</v>
      </c>
      <c r="M56" s="144">
        <f t="shared" si="12"/>
        <v>0</v>
      </c>
      <c r="N56" s="405"/>
      <c r="O56" s="145">
        <f t="shared" si="13"/>
        <v>0</v>
      </c>
      <c r="P56" s="145">
        <f t="shared" si="14"/>
        <v>0</v>
      </c>
      <c r="Q56" s="145">
        <f t="shared" si="15"/>
        <v>0</v>
      </c>
      <c r="R56" s="145">
        <f t="shared" si="16"/>
        <v>0</v>
      </c>
      <c r="S56" s="130">
        <f t="shared" si="17"/>
        <v>0</v>
      </c>
      <c r="T56" s="130">
        <f t="shared" si="18"/>
        <v>0</v>
      </c>
      <c r="U56" s="141">
        <v>90</v>
      </c>
      <c r="V56" s="123">
        <v>10</v>
      </c>
      <c r="W56" s="134"/>
      <c r="X56" s="124">
        <v>8</v>
      </c>
      <c r="Y56" s="339"/>
      <c r="Z56" s="200" t="s">
        <v>523</v>
      </c>
      <c r="AA56" s="120"/>
      <c r="AB56" s="134"/>
      <c r="AC56" s="200"/>
      <c r="AD56" s="125"/>
      <c r="AE56" s="134"/>
      <c r="AF56" s="200"/>
      <c r="AG56" s="120"/>
      <c r="AH56" s="262"/>
      <c r="AI56" s="262"/>
      <c r="AJ56" s="120"/>
      <c r="AK56" s="262"/>
      <c r="AL56" s="262"/>
      <c r="AM56" s="120"/>
      <c r="AN56" s="262"/>
      <c r="AO56" s="262"/>
      <c r="AP56" s="120"/>
      <c r="AQ56" s="262"/>
      <c r="AR56" s="262"/>
      <c r="AS56" s="120"/>
      <c r="AT56" s="262"/>
      <c r="AU56" s="262"/>
      <c r="AV56" s="120"/>
      <c r="AW56" s="262"/>
      <c r="AX56" s="262"/>
      <c r="AY56" s="120"/>
      <c r="AZ56" s="262"/>
      <c r="BA56" s="262"/>
      <c r="BB56" s="120"/>
      <c r="BC56" s="134"/>
      <c r="BD56" s="200"/>
      <c r="BE56" s="120"/>
      <c r="BF56" s="134"/>
      <c r="BG56" s="200"/>
      <c r="BH56" s="120"/>
      <c r="BI56" s="252"/>
      <c r="BJ56" s="252"/>
      <c r="BK56" s="120"/>
      <c r="BL56" s="134"/>
      <c r="BM56" s="134"/>
      <c r="BN56" s="120"/>
      <c r="BO56" s="252"/>
      <c r="BP56" s="252"/>
      <c r="BQ56" s="120"/>
      <c r="BR56" s="134"/>
      <c r="BS56" s="134"/>
      <c r="BT56" s="120"/>
      <c r="BU56" s="134"/>
      <c r="BV56" s="200"/>
      <c r="BW56" s="120"/>
      <c r="BX56" s="134"/>
      <c r="BY56" s="200"/>
      <c r="BZ56" s="120"/>
      <c r="CA56" s="126"/>
      <c r="CB56" s="126"/>
      <c r="CC56" s="120"/>
      <c r="CD56" s="126"/>
      <c r="CE56" s="126"/>
      <c r="CF56" s="120"/>
      <c r="CG56" s="134"/>
      <c r="CH56" s="134"/>
      <c r="CI56" s="120"/>
      <c r="CJ56" s="200"/>
      <c r="CK56" s="200"/>
      <c r="CL56" s="120"/>
      <c r="CM56" s="200"/>
      <c r="CN56" s="200"/>
      <c r="CO56" s="120"/>
      <c r="CP56" s="134"/>
      <c r="CQ56" s="134"/>
      <c r="CR56" s="120"/>
      <c r="CS56" s="134"/>
      <c r="CT56" s="134"/>
      <c r="CU56" s="120"/>
      <c r="CV56" s="202"/>
      <c r="CW56" s="202"/>
      <c r="CX56" s="120"/>
      <c r="CY56" s="202"/>
      <c r="CZ56" s="202"/>
      <c r="DA56" s="120"/>
      <c r="DB56" s="202"/>
      <c r="DC56" s="202"/>
      <c r="DD56" s="349"/>
      <c r="DE56" s="202"/>
      <c r="DF56" s="202"/>
      <c r="DG56" s="254"/>
      <c r="DH56" s="203"/>
      <c r="DI56" s="203"/>
      <c r="DJ56" s="259"/>
      <c r="DK56" s="136"/>
      <c r="DL56" s="136"/>
      <c r="DM56" s="120"/>
      <c r="DN56" s="233"/>
      <c r="DO56" s="233"/>
      <c r="DP56" s="120"/>
      <c r="DQ56" s="262"/>
      <c r="DR56" s="262"/>
      <c r="DS56" s="120"/>
      <c r="DT56" s="262"/>
      <c r="DU56" s="262"/>
      <c r="DV56" s="120"/>
      <c r="DW56" s="262"/>
      <c r="DX56" s="262"/>
      <c r="DY56" s="120"/>
      <c r="DZ56" s="262"/>
      <c r="EA56" s="262"/>
      <c r="EB56" s="265"/>
      <c r="EC56" s="262"/>
      <c r="ED56" s="262"/>
      <c r="EE56" s="256"/>
      <c r="EF56" s="233"/>
      <c r="EG56" s="233"/>
      <c r="EH56" s="120"/>
      <c r="EI56" s="262"/>
      <c r="EJ56" s="262"/>
      <c r="EK56" s="120"/>
      <c r="EL56" s="262"/>
      <c r="EM56" s="262"/>
      <c r="EN56" s="120"/>
      <c r="EO56" s="262"/>
      <c r="EP56" s="262"/>
      <c r="EQ56" s="120"/>
      <c r="ER56" s="262"/>
      <c r="ES56" s="262"/>
      <c r="ET56" s="120"/>
      <c r="EU56" s="262"/>
      <c r="EV56" s="262"/>
      <c r="EW56" s="120"/>
      <c r="EX56" s="262"/>
      <c r="EY56" s="262"/>
      <c r="EZ56" s="120"/>
      <c r="FA56" s="262"/>
      <c r="FB56" s="262"/>
      <c r="FC56" s="120"/>
      <c r="FD56" s="262"/>
      <c r="FE56" s="262"/>
      <c r="FF56" s="120"/>
      <c r="FG56" s="262"/>
      <c r="FH56" s="262"/>
      <c r="FI56" s="120"/>
      <c r="FJ56" s="262"/>
      <c r="FK56" s="262"/>
      <c r="FL56" s="120"/>
      <c r="FM56" s="262"/>
      <c r="FN56" s="262"/>
      <c r="FO56" s="120"/>
      <c r="FP56" s="262"/>
      <c r="FQ56" s="262"/>
      <c r="FR56" s="120"/>
      <c r="FS56" s="262"/>
      <c r="FT56" s="262"/>
      <c r="FU56" s="120"/>
      <c r="FV56" s="262"/>
      <c r="FW56" s="262"/>
      <c r="FX56" s="120"/>
      <c r="FY56" s="262"/>
      <c r="FZ56" s="262"/>
      <c r="GA56" s="256"/>
      <c r="GB56" s="233"/>
      <c r="GC56" s="233"/>
      <c r="GJ56" s="121">
        <f t="shared" si="19"/>
        <v>0</v>
      </c>
      <c r="GK56" s="121">
        <f t="shared" si="20"/>
        <v>0</v>
      </c>
      <c r="GM56" s="121">
        <f t="shared" si="21"/>
        <v>1</v>
      </c>
      <c r="GN56" s="121">
        <f t="shared" si="22"/>
        <v>0</v>
      </c>
      <c r="GO56" s="121">
        <f t="shared" si="23"/>
        <v>0</v>
      </c>
      <c r="GP56" s="121">
        <f t="shared" si="24"/>
        <v>0</v>
      </c>
      <c r="GQ56" s="121">
        <f t="shared" si="25"/>
        <v>0</v>
      </c>
      <c r="GR56" s="121">
        <f t="shared" si="26"/>
        <v>0</v>
      </c>
    </row>
    <row r="57" spans="2:200" ht="38.25" customHeight="1" x14ac:dyDescent="0.55000000000000004">
      <c r="B57" s="303" t="s">
        <v>500</v>
      </c>
      <c r="C57" s="198"/>
      <c r="D57" s="198"/>
      <c r="E57" s="198"/>
      <c r="F57" s="198"/>
      <c r="G57" s="198"/>
      <c r="H57" s="198"/>
      <c r="I57" s="142" cm="1">
        <f t="array" ref="I57">SUMPRODUCT(($X$2:$GG$2&lt;&gt;"")*($X57:$GG57&lt;&gt;""))</f>
        <v>0</v>
      </c>
      <c r="J57" s="122">
        <f t="shared" si="10"/>
        <v>0</v>
      </c>
      <c r="K57" s="122">
        <f t="shared" si="11"/>
        <v>0</v>
      </c>
      <c r="L57" s="249">
        <f t="shared" si="0"/>
        <v>7000</v>
      </c>
      <c r="M57" s="144">
        <f t="shared" si="12"/>
        <v>0</v>
      </c>
      <c r="N57" s="405"/>
      <c r="O57" s="145">
        <f t="shared" si="13"/>
        <v>0</v>
      </c>
      <c r="P57" s="145">
        <f t="shared" si="14"/>
        <v>0</v>
      </c>
      <c r="Q57" s="145">
        <f t="shared" si="15"/>
        <v>0</v>
      </c>
      <c r="R57" s="145">
        <f t="shared" si="16"/>
        <v>0</v>
      </c>
      <c r="S57" s="130">
        <f t="shared" si="17"/>
        <v>0</v>
      </c>
      <c r="T57" s="130">
        <f t="shared" si="18"/>
        <v>0</v>
      </c>
      <c r="U57" s="141"/>
      <c r="V57" s="123"/>
      <c r="W57" s="134"/>
      <c r="X57" s="124"/>
      <c r="Y57" s="134"/>
      <c r="Z57" s="200"/>
      <c r="AA57" s="120"/>
      <c r="AB57" s="134"/>
      <c r="AC57" s="200"/>
      <c r="AD57" s="125"/>
      <c r="AE57" s="134"/>
      <c r="AF57" s="200"/>
      <c r="AG57" s="120"/>
      <c r="AH57" s="262"/>
      <c r="AI57" s="262"/>
      <c r="AJ57" s="120"/>
      <c r="AK57" s="262"/>
      <c r="AL57" s="262"/>
      <c r="AM57" s="120"/>
      <c r="AN57" s="262"/>
      <c r="AO57" s="262"/>
      <c r="AP57" s="120"/>
      <c r="AQ57" s="262"/>
      <c r="AR57" s="262"/>
      <c r="AS57" s="120"/>
      <c r="AT57" s="262"/>
      <c r="AU57" s="262"/>
      <c r="AV57" s="120"/>
      <c r="AW57" s="262"/>
      <c r="AX57" s="262"/>
      <c r="AY57" s="120"/>
      <c r="AZ57" s="262"/>
      <c r="BA57" s="262"/>
      <c r="BB57" s="120"/>
      <c r="BC57" s="134"/>
      <c r="BD57" s="200"/>
      <c r="BE57" s="120"/>
      <c r="BF57" s="134"/>
      <c r="BG57" s="200"/>
      <c r="BH57" s="120"/>
      <c r="BI57" s="252"/>
      <c r="BJ57" s="252"/>
      <c r="BK57" s="120"/>
      <c r="BL57" s="134"/>
      <c r="BM57" s="134"/>
      <c r="BN57" s="120"/>
      <c r="BO57" s="252"/>
      <c r="BP57" s="252"/>
      <c r="BQ57" s="120"/>
      <c r="BR57" s="134"/>
      <c r="BS57" s="134"/>
      <c r="BT57" s="120"/>
      <c r="BU57" s="134"/>
      <c r="BV57" s="200"/>
      <c r="BW57" s="120"/>
      <c r="BX57" s="134"/>
      <c r="BY57" s="200"/>
      <c r="BZ57" s="120"/>
      <c r="CA57" s="126"/>
      <c r="CB57" s="126"/>
      <c r="CC57" s="120"/>
      <c r="CD57" s="126"/>
      <c r="CE57" s="126"/>
      <c r="CF57" s="120"/>
      <c r="CG57" s="134"/>
      <c r="CH57" s="134"/>
      <c r="CI57" s="120"/>
      <c r="CJ57" s="200"/>
      <c r="CK57" s="200"/>
      <c r="CL57" s="120"/>
      <c r="CM57" s="200"/>
      <c r="CN57" s="200"/>
      <c r="CO57" s="120"/>
      <c r="CP57" s="134"/>
      <c r="CQ57" s="134"/>
      <c r="CR57" s="120"/>
      <c r="CS57" s="134"/>
      <c r="CT57" s="134"/>
      <c r="CU57" s="120"/>
      <c r="CV57" s="202"/>
      <c r="CW57" s="202"/>
      <c r="CX57" s="120"/>
      <c r="CY57" s="202"/>
      <c r="CZ57" s="202"/>
      <c r="DA57" s="120"/>
      <c r="DB57" s="202"/>
      <c r="DC57" s="202"/>
      <c r="DD57" s="349"/>
      <c r="DE57" s="202"/>
      <c r="DF57" s="202"/>
      <c r="DG57" s="254"/>
      <c r="DH57" s="203"/>
      <c r="DI57" s="203"/>
      <c r="DJ57" s="259"/>
      <c r="DK57" s="136"/>
      <c r="DL57" s="136"/>
      <c r="DM57" s="120"/>
      <c r="DN57" s="233"/>
      <c r="DO57" s="233"/>
      <c r="DP57" s="120"/>
      <c r="DQ57" s="262"/>
      <c r="DR57" s="262"/>
      <c r="DS57" s="120"/>
      <c r="DT57" s="262"/>
      <c r="DU57" s="262"/>
      <c r="DV57" s="120"/>
      <c r="DW57" s="262"/>
      <c r="DX57" s="262"/>
      <c r="DY57" s="120"/>
      <c r="DZ57" s="262"/>
      <c r="EA57" s="262"/>
      <c r="EB57" s="265"/>
      <c r="EC57" s="262"/>
      <c r="ED57" s="262"/>
      <c r="EE57" s="256"/>
      <c r="EF57" s="233"/>
      <c r="EG57" s="233"/>
      <c r="EH57" s="120"/>
      <c r="EI57" s="262"/>
      <c r="EJ57" s="262"/>
      <c r="EK57" s="120"/>
      <c r="EL57" s="262"/>
      <c r="EM57" s="262"/>
      <c r="EN57" s="120"/>
      <c r="EO57" s="262"/>
      <c r="EP57" s="262"/>
      <c r="EQ57" s="120"/>
      <c r="ER57" s="262"/>
      <c r="ES57" s="262"/>
      <c r="ET57" s="120"/>
      <c r="EU57" s="262"/>
      <c r="EV57" s="262"/>
      <c r="EW57" s="120"/>
      <c r="EX57" s="262"/>
      <c r="EY57" s="262"/>
      <c r="EZ57" s="120"/>
      <c r="FA57" s="262"/>
      <c r="FB57" s="262"/>
      <c r="FC57" s="120"/>
      <c r="FD57" s="262"/>
      <c r="FE57" s="262"/>
      <c r="FF57" s="120"/>
      <c r="FG57" s="262"/>
      <c r="FH57" s="262"/>
      <c r="FI57" s="120"/>
      <c r="FJ57" s="262"/>
      <c r="FK57" s="262"/>
      <c r="FL57" s="120"/>
      <c r="FM57" s="262"/>
      <c r="FN57" s="262"/>
      <c r="FO57" s="120"/>
      <c r="FP57" s="262"/>
      <c r="FQ57" s="262"/>
      <c r="FR57" s="120"/>
      <c r="FS57" s="262"/>
      <c r="FT57" s="262"/>
      <c r="FU57" s="120"/>
      <c r="FV57" s="262"/>
      <c r="FW57" s="262"/>
      <c r="FX57" s="120"/>
      <c r="FY57" s="262"/>
      <c r="FZ57" s="262"/>
      <c r="GA57" s="256"/>
      <c r="GB57" s="233"/>
      <c r="GC57" s="233"/>
      <c r="GJ57" s="121">
        <f t="shared" si="19"/>
        <v>0</v>
      </c>
      <c r="GK57" s="121">
        <f t="shared" si="20"/>
        <v>0</v>
      </c>
      <c r="GM57" s="121">
        <f t="shared" si="21"/>
        <v>0</v>
      </c>
      <c r="GN57" s="121">
        <f t="shared" si="22"/>
        <v>0</v>
      </c>
      <c r="GO57" s="121">
        <f t="shared" si="23"/>
        <v>0</v>
      </c>
      <c r="GP57" s="121">
        <f t="shared" si="24"/>
        <v>0</v>
      </c>
      <c r="GQ57" s="121">
        <f t="shared" si="25"/>
        <v>0</v>
      </c>
      <c r="GR57" s="121">
        <f t="shared" si="26"/>
        <v>0</v>
      </c>
    </row>
    <row r="58" spans="2:200" ht="38.25" customHeight="1" x14ac:dyDescent="0.55000000000000004">
      <c r="B58" s="303" t="s">
        <v>498</v>
      </c>
      <c r="C58" s="198"/>
      <c r="D58" s="198"/>
      <c r="E58" s="198"/>
      <c r="F58" s="198"/>
      <c r="G58" s="198"/>
      <c r="H58" s="198"/>
      <c r="I58" s="142" cm="1">
        <f t="array" ref="I58">SUMPRODUCT(($X$2:$GG$2&lt;&gt;"")*($X58:$GG58&lt;&gt;""))</f>
        <v>0</v>
      </c>
      <c r="J58" s="122">
        <f t="shared" si="10"/>
        <v>0</v>
      </c>
      <c r="K58" s="122">
        <f t="shared" si="11"/>
        <v>0</v>
      </c>
      <c r="L58" s="249">
        <f t="shared" si="0"/>
        <v>7000</v>
      </c>
      <c r="M58" s="144">
        <f t="shared" si="12"/>
        <v>0</v>
      </c>
      <c r="N58" s="405"/>
      <c r="O58" s="145">
        <f t="shared" si="13"/>
        <v>0</v>
      </c>
      <c r="P58" s="145">
        <f t="shared" si="14"/>
        <v>0</v>
      </c>
      <c r="Q58" s="145">
        <f t="shared" si="15"/>
        <v>0</v>
      </c>
      <c r="R58" s="145">
        <f t="shared" si="16"/>
        <v>0</v>
      </c>
      <c r="S58" s="130">
        <f t="shared" si="17"/>
        <v>0</v>
      </c>
      <c r="T58" s="130">
        <f t="shared" si="18"/>
        <v>0</v>
      </c>
      <c r="U58" s="141"/>
      <c r="V58" s="123"/>
      <c r="W58" s="134"/>
      <c r="X58" s="124"/>
      <c r="Y58" s="134"/>
      <c r="Z58" s="200"/>
      <c r="AA58" s="120"/>
      <c r="AB58" s="134"/>
      <c r="AC58" s="200"/>
      <c r="AD58" s="125"/>
      <c r="AE58" s="134"/>
      <c r="AF58" s="200"/>
      <c r="AG58" s="120"/>
      <c r="AH58" s="262"/>
      <c r="AI58" s="262"/>
      <c r="AJ58" s="120"/>
      <c r="AK58" s="262"/>
      <c r="AL58" s="262"/>
      <c r="AM58" s="120"/>
      <c r="AN58" s="262"/>
      <c r="AO58" s="262"/>
      <c r="AP58" s="120"/>
      <c r="AQ58" s="262"/>
      <c r="AR58" s="262"/>
      <c r="AS58" s="120"/>
      <c r="AT58" s="262"/>
      <c r="AU58" s="262"/>
      <c r="AV58" s="120"/>
      <c r="AW58" s="262"/>
      <c r="AX58" s="262"/>
      <c r="AY58" s="120"/>
      <c r="AZ58" s="262"/>
      <c r="BA58" s="262"/>
      <c r="BB58" s="120"/>
      <c r="BC58" s="134"/>
      <c r="BD58" s="200"/>
      <c r="BE58" s="120"/>
      <c r="BF58" s="134"/>
      <c r="BG58" s="200"/>
      <c r="BH58" s="120"/>
      <c r="BI58" s="252"/>
      <c r="BJ58" s="252"/>
      <c r="BK58" s="120"/>
      <c r="BL58" s="134"/>
      <c r="BM58" s="134"/>
      <c r="BN58" s="120"/>
      <c r="BO58" s="252"/>
      <c r="BP58" s="252"/>
      <c r="BQ58" s="120"/>
      <c r="BR58" s="134"/>
      <c r="BS58" s="134"/>
      <c r="BT58" s="120"/>
      <c r="BU58" s="134"/>
      <c r="BV58" s="200"/>
      <c r="BW58" s="120"/>
      <c r="BX58" s="134"/>
      <c r="BY58" s="200"/>
      <c r="BZ58" s="120"/>
      <c r="CA58" s="126"/>
      <c r="CB58" s="126"/>
      <c r="CC58" s="120"/>
      <c r="CD58" s="126"/>
      <c r="CE58" s="126"/>
      <c r="CF58" s="120"/>
      <c r="CG58" s="134"/>
      <c r="CH58" s="134"/>
      <c r="CI58" s="120"/>
      <c r="CJ58" s="200"/>
      <c r="CK58" s="200"/>
      <c r="CL58" s="120"/>
      <c r="CM58" s="200"/>
      <c r="CN58" s="200"/>
      <c r="CO58" s="120"/>
      <c r="CP58" s="134"/>
      <c r="CQ58" s="134"/>
      <c r="CR58" s="120"/>
      <c r="CS58" s="134"/>
      <c r="CT58" s="134"/>
      <c r="CU58" s="120"/>
      <c r="CV58" s="202"/>
      <c r="CW58" s="202"/>
      <c r="CX58" s="120"/>
      <c r="CY58" s="202"/>
      <c r="CZ58" s="202"/>
      <c r="DA58" s="120"/>
      <c r="DB58" s="202"/>
      <c r="DC58" s="202"/>
      <c r="DD58" s="349"/>
      <c r="DE58" s="202"/>
      <c r="DF58" s="202"/>
      <c r="DG58" s="254"/>
      <c r="DH58" s="203"/>
      <c r="DI58" s="203"/>
      <c r="DJ58" s="259"/>
      <c r="DK58" s="136"/>
      <c r="DL58" s="136"/>
      <c r="DM58" s="120"/>
      <c r="DN58" s="233"/>
      <c r="DO58" s="233"/>
      <c r="DP58" s="120"/>
      <c r="DQ58" s="262"/>
      <c r="DR58" s="262"/>
      <c r="DS58" s="120"/>
      <c r="DT58" s="262"/>
      <c r="DU58" s="262"/>
      <c r="DV58" s="120"/>
      <c r="DW58" s="262"/>
      <c r="DX58" s="262"/>
      <c r="DY58" s="120"/>
      <c r="DZ58" s="262"/>
      <c r="EA58" s="262"/>
      <c r="EB58" s="265"/>
      <c r="EC58" s="262"/>
      <c r="ED58" s="262"/>
      <c r="EE58" s="256"/>
      <c r="EF58" s="233"/>
      <c r="EG58" s="233"/>
      <c r="EH58" s="120"/>
      <c r="EI58" s="262"/>
      <c r="EJ58" s="262"/>
      <c r="EK58" s="120"/>
      <c r="EL58" s="262"/>
      <c r="EM58" s="262"/>
      <c r="EN58" s="120"/>
      <c r="EO58" s="262"/>
      <c r="EP58" s="262"/>
      <c r="EQ58" s="120"/>
      <c r="ER58" s="262"/>
      <c r="ES58" s="262"/>
      <c r="ET58" s="120"/>
      <c r="EU58" s="262"/>
      <c r="EV58" s="262"/>
      <c r="EW58" s="120"/>
      <c r="EX58" s="262"/>
      <c r="EY58" s="262"/>
      <c r="EZ58" s="120"/>
      <c r="FA58" s="262"/>
      <c r="FB58" s="262"/>
      <c r="FC58" s="120"/>
      <c r="FD58" s="262"/>
      <c r="FE58" s="262"/>
      <c r="FF58" s="120"/>
      <c r="FG58" s="262"/>
      <c r="FH58" s="262"/>
      <c r="FI58" s="120"/>
      <c r="FJ58" s="262"/>
      <c r="FK58" s="262"/>
      <c r="FL58" s="120"/>
      <c r="FM58" s="262"/>
      <c r="FN58" s="262"/>
      <c r="FO58" s="120"/>
      <c r="FP58" s="262"/>
      <c r="FQ58" s="262"/>
      <c r="FR58" s="120"/>
      <c r="FS58" s="262"/>
      <c r="FT58" s="262"/>
      <c r="FU58" s="120"/>
      <c r="FV58" s="262"/>
      <c r="FW58" s="262"/>
      <c r="FX58" s="120"/>
      <c r="FY58" s="262"/>
      <c r="FZ58" s="262"/>
      <c r="GA58" s="256"/>
      <c r="GB58" s="233"/>
      <c r="GC58" s="233"/>
      <c r="GJ58" s="121">
        <f t="shared" si="19"/>
        <v>0</v>
      </c>
      <c r="GK58" s="121">
        <f t="shared" si="20"/>
        <v>0</v>
      </c>
      <c r="GM58" s="121">
        <f t="shared" si="21"/>
        <v>0</v>
      </c>
      <c r="GN58" s="121">
        <f t="shared" si="22"/>
        <v>0</v>
      </c>
      <c r="GO58" s="121">
        <f t="shared" si="23"/>
        <v>0</v>
      </c>
      <c r="GP58" s="121">
        <f t="shared" si="24"/>
        <v>0</v>
      </c>
      <c r="GQ58" s="121">
        <f t="shared" si="25"/>
        <v>0</v>
      </c>
      <c r="GR58" s="121">
        <f t="shared" si="26"/>
        <v>0</v>
      </c>
    </row>
    <row r="59" spans="2:200" ht="38.25" customHeight="1" x14ac:dyDescent="0.55000000000000004">
      <c r="B59" s="303" t="s">
        <v>505</v>
      </c>
      <c r="C59" s="198"/>
      <c r="D59" s="198"/>
      <c r="E59" s="198"/>
      <c r="F59" s="198"/>
      <c r="G59" s="198"/>
      <c r="H59" s="198"/>
      <c r="I59" s="142" cm="1">
        <f t="array" ref="I59">SUMPRODUCT(($X$2:$GG$2&lt;&gt;"")*($X59:$GG59&lt;&gt;""))</f>
        <v>0</v>
      </c>
      <c r="J59" s="122">
        <f t="shared" si="10"/>
        <v>0</v>
      </c>
      <c r="K59" s="122">
        <f t="shared" si="11"/>
        <v>0</v>
      </c>
      <c r="L59" s="249">
        <f t="shared" si="0"/>
        <v>7000</v>
      </c>
      <c r="M59" s="144">
        <f t="shared" si="12"/>
        <v>0</v>
      </c>
      <c r="N59" s="405"/>
      <c r="O59" s="145">
        <f t="shared" si="13"/>
        <v>0</v>
      </c>
      <c r="P59" s="145">
        <f t="shared" si="14"/>
        <v>0</v>
      </c>
      <c r="Q59" s="145">
        <f t="shared" si="15"/>
        <v>0</v>
      </c>
      <c r="R59" s="145">
        <f t="shared" si="16"/>
        <v>0</v>
      </c>
      <c r="S59" s="130">
        <f t="shared" si="17"/>
        <v>0</v>
      </c>
      <c r="T59" s="130">
        <f t="shared" si="18"/>
        <v>0</v>
      </c>
      <c r="U59" s="141"/>
      <c r="V59" s="123"/>
      <c r="W59" s="134"/>
      <c r="X59" s="124"/>
      <c r="Y59" s="134"/>
      <c r="Z59" s="200"/>
      <c r="AA59" s="120"/>
      <c r="AB59" s="134"/>
      <c r="AC59" s="200"/>
      <c r="AD59" s="125"/>
      <c r="AE59" s="134"/>
      <c r="AF59" s="200"/>
      <c r="AG59" s="120"/>
      <c r="AH59" s="262"/>
      <c r="AI59" s="262"/>
      <c r="AJ59" s="120"/>
      <c r="AK59" s="262"/>
      <c r="AL59" s="262"/>
      <c r="AM59" s="120"/>
      <c r="AN59" s="262"/>
      <c r="AO59" s="262"/>
      <c r="AP59" s="120"/>
      <c r="AQ59" s="262"/>
      <c r="AR59" s="262"/>
      <c r="AS59" s="120"/>
      <c r="AT59" s="262"/>
      <c r="AU59" s="262"/>
      <c r="AV59" s="120"/>
      <c r="AW59" s="262"/>
      <c r="AX59" s="262"/>
      <c r="AY59" s="120"/>
      <c r="AZ59" s="262"/>
      <c r="BA59" s="262"/>
      <c r="BB59" s="120"/>
      <c r="BC59" s="134"/>
      <c r="BD59" s="200"/>
      <c r="BE59" s="120"/>
      <c r="BF59" s="134"/>
      <c r="BG59" s="200"/>
      <c r="BH59" s="120"/>
      <c r="BI59" s="252"/>
      <c r="BJ59" s="252"/>
      <c r="BK59" s="120"/>
      <c r="BL59" s="134"/>
      <c r="BM59" s="134"/>
      <c r="BN59" s="120"/>
      <c r="BO59" s="252"/>
      <c r="BP59" s="252"/>
      <c r="BQ59" s="120"/>
      <c r="BR59" s="134"/>
      <c r="BS59" s="134"/>
      <c r="BT59" s="120"/>
      <c r="BU59" s="134"/>
      <c r="BV59" s="200"/>
      <c r="BW59" s="120"/>
      <c r="BX59" s="134"/>
      <c r="BY59" s="200"/>
      <c r="BZ59" s="120"/>
      <c r="CA59" s="126"/>
      <c r="CB59" s="126"/>
      <c r="CC59" s="120"/>
      <c r="CD59" s="126"/>
      <c r="CE59" s="126"/>
      <c r="CF59" s="120"/>
      <c r="CG59" s="134"/>
      <c r="CH59" s="134"/>
      <c r="CI59" s="120"/>
      <c r="CJ59" s="200"/>
      <c r="CK59" s="200"/>
      <c r="CL59" s="120"/>
      <c r="CM59" s="200"/>
      <c r="CN59" s="200"/>
      <c r="CO59" s="120"/>
      <c r="CP59" s="134"/>
      <c r="CQ59" s="134"/>
      <c r="CR59" s="120"/>
      <c r="CS59" s="134"/>
      <c r="CT59" s="134"/>
      <c r="CU59" s="120"/>
      <c r="CV59" s="202"/>
      <c r="CW59" s="202"/>
      <c r="CX59" s="120"/>
      <c r="CY59" s="202"/>
      <c r="CZ59" s="202"/>
      <c r="DA59" s="120"/>
      <c r="DB59" s="202"/>
      <c r="DC59" s="202"/>
      <c r="DD59" s="349"/>
      <c r="DE59" s="202"/>
      <c r="DF59" s="202"/>
      <c r="DG59" s="254"/>
      <c r="DH59" s="203"/>
      <c r="DI59" s="203"/>
      <c r="DJ59" s="259"/>
      <c r="DK59" s="136"/>
      <c r="DL59" s="136"/>
      <c r="DM59" s="120"/>
      <c r="DN59" s="233"/>
      <c r="DO59" s="233"/>
      <c r="DP59" s="120"/>
      <c r="DQ59" s="262"/>
      <c r="DR59" s="262"/>
      <c r="DS59" s="120"/>
      <c r="DT59" s="262"/>
      <c r="DU59" s="262"/>
      <c r="DV59" s="120"/>
      <c r="DW59" s="262"/>
      <c r="DX59" s="262"/>
      <c r="DY59" s="120"/>
      <c r="DZ59" s="262"/>
      <c r="EA59" s="262"/>
      <c r="EB59" s="265"/>
      <c r="EC59" s="262"/>
      <c r="ED59" s="262"/>
      <c r="EE59" s="256"/>
      <c r="EF59" s="233"/>
      <c r="EG59" s="233"/>
      <c r="EH59" s="120"/>
      <c r="EI59" s="262"/>
      <c r="EJ59" s="262"/>
      <c r="EK59" s="120"/>
      <c r="EL59" s="262"/>
      <c r="EM59" s="262"/>
      <c r="EN59" s="120"/>
      <c r="EO59" s="262"/>
      <c r="EP59" s="262"/>
      <c r="EQ59" s="120"/>
      <c r="ER59" s="262"/>
      <c r="ES59" s="262"/>
      <c r="ET59" s="120"/>
      <c r="EU59" s="262"/>
      <c r="EV59" s="262"/>
      <c r="EW59" s="120"/>
      <c r="EX59" s="262"/>
      <c r="EY59" s="262"/>
      <c r="EZ59" s="120"/>
      <c r="FA59" s="262"/>
      <c r="FB59" s="262"/>
      <c r="FC59" s="120"/>
      <c r="FD59" s="262"/>
      <c r="FE59" s="262"/>
      <c r="FF59" s="120"/>
      <c r="FG59" s="262"/>
      <c r="FH59" s="262"/>
      <c r="FI59" s="120"/>
      <c r="FJ59" s="262"/>
      <c r="FK59" s="262"/>
      <c r="FL59" s="120"/>
      <c r="FM59" s="262"/>
      <c r="FN59" s="262"/>
      <c r="FO59" s="120"/>
      <c r="FP59" s="262"/>
      <c r="FQ59" s="262"/>
      <c r="FR59" s="120"/>
      <c r="FS59" s="262"/>
      <c r="FT59" s="262"/>
      <c r="FU59" s="120"/>
      <c r="FV59" s="262"/>
      <c r="FW59" s="262"/>
      <c r="FX59" s="120"/>
      <c r="FY59" s="262"/>
      <c r="FZ59" s="262"/>
      <c r="GA59" s="256"/>
      <c r="GB59" s="233"/>
      <c r="GC59" s="233"/>
      <c r="GJ59" s="121">
        <f t="shared" si="19"/>
        <v>0</v>
      </c>
      <c r="GK59" s="121">
        <f t="shared" si="20"/>
        <v>0</v>
      </c>
      <c r="GM59" s="121">
        <f t="shared" si="21"/>
        <v>0</v>
      </c>
      <c r="GN59" s="121">
        <f t="shared" si="22"/>
        <v>0</v>
      </c>
      <c r="GO59" s="121">
        <f t="shared" si="23"/>
        <v>0</v>
      </c>
      <c r="GP59" s="121">
        <f t="shared" si="24"/>
        <v>0</v>
      </c>
      <c r="GQ59" s="121">
        <f t="shared" si="25"/>
        <v>0</v>
      </c>
      <c r="GR59" s="121">
        <f t="shared" si="26"/>
        <v>0</v>
      </c>
    </row>
    <row r="60" spans="2:200" ht="38.25" customHeight="1" x14ac:dyDescent="0.55000000000000004">
      <c r="B60" s="303" t="s">
        <v>495</v>
      </c>
      <c r="C60" s="198"/>
      <c r="D60" s="198"/>
      <c r="E60" s="198"/>
      <c r="F60" s="198"/>
      <c r="G60" s="198"/>
      <c r="H60" s="198"/>
      <c r="I60" s="142" cm="1">
        <f t="array" ref="I60">SUMPRODUCT(($X$2:$GG$2&lt;&gt;"")*($X60:$GG60&lt;&gt;""))</f>
        <v>0</v>
      </c>
      <c r="J60" s="122">
        <f t="shared" si="10"/>
        <v>0</v>
      </c>
      <c r="K60" s="122">
        <f t="shared" si="11"/>
        <v>0</v>
      </c>
      <c r="L60" s="249">
        <f t="shared" si="0"/>
        <v>7000</v>
      </c>
      <c r="M60" s="144">
        <f t="shared" si="12"/>
        <v>0</v>
      </c>
      <c r="N60" s="405"/>
      <c r="O60" s="145">
        <f t="shared" si="13"/>
        <v>0</v>
      </c>
      <c r="P60" s="145">
        <f t="shared" si="14"/>
        <v>0</v>
      </c>
      <c r="Q60" s="145">
        <f t="shared" si="15"/>
        <v>0</v>
      </c>
      <c r="R60" s="145">
        <f t="shared" si="16"/>
        <v>0</v>
      </c>
      <c r="S60" s="130">
        <f t="shared" si="17"/>
        <v>0</v>
      </c>
      <c r="T60" s="130">
        <f t="shared" si="18"/>
        <v>0</v>
      </c>
      <c r="U60" s="141"/>
      <c r="V60" s="123"/>
      <c r="W60" s="134"/>
      <c r="X60" s="124"/>
      <c r="Y60" s="134"/>
      <c r="Z60" s="200"/>
      <c r="AA60" s="120"/>
      <c r="AB60" s="134"/>
      <c r="AC60" s="200"/>
      <c r="AD60" s="125"/>
      <c r="AE60" s="134"/>
      <c r="AF60" s="200"/>
      <c r="AG60" s="120"/>
      <c r="AH60" s="262"/>
      <c r="AI60" s="262"/>
      <c r="AJ60" s="120"/>
      <c r="AK60" s="262"/>
      <c r="AL60" s="262"/>
      <c r="AM60" s="120"/>
      <c r="AN60" s="262"/>
      <c r="AO60" s="262"/>
      <c r="AP60" s="120"/>
      <c r="AQ60" s="262"/>
      <c r="AR60" s="262"/>
      <c r="AS60" s="120"/>
      <c r="AT60" s="262"/>
      <c r="AU60" s="262"/>
      <c r="AV60" s="120"/>
      <c r="AW60" s="262"/>
      <c r="AX60" s="262"/>
      <c r="AY60" s="120"/>
      <c r="AZ60" s="262"/>
      <c r="BA60" s="262"/>
      <c r="BB60" s="120"/>
      <c r="BC60" s="134"/>
      <c r="BD60" s="200"/>
      <c r="BE60" s="120"/>
      <c r="BF60" s="134"/>
      <c r="BG60" s="200"/>
      <c r="BH60" s="120"/>
      <c r="BI60" s="252"/>
      <c r="BJ60" s="252"/>
      <c r="BK60" s="120"/>
      <c r="BL60" s="134"/>
      <c r="BM60" s="134"/>
      <c r="BN60" s="120"/>
      <c r="BO60" s="252"/>
      <c r="BP60" s="252"/>
      <c r="BQ60" s="120"/>
      <c r="BR60" s="134"/>
      <c r="BS60" s="134"/>
      <c r="BT60" s="120"/>
      <c r="BU60" s="134"/>
      <c r="BV60" s="200"/>
      <c r="BW60" s="120"/>
      <c r="BX60" s="134"/>
      <c r="BY60" s="200"/>
      <c r="BZ60" s="120"/>
      <c r="CA60" s="126"/>
      <c r="CB60" s="126"/>
      <c r="CC60" s="120"/>
      <c r="CD60" s="126"/>
      <c r="CE60" s="126"/>
      <c r="CF60" s="120"/>
      <c r="CG60" s="134"/>
      <c r="CH60" s="134"/>
      <c r="CI60" s="120"/>
      <c r="CJ60" s="200"/>
      <c r="CK60" s="200"/>
      <c r="CL60" s="120"/>
      <c r="CM60" s="200"/>
      <c r="CN60" s="200"/>
      <c r="CO60" s="120"/>
      <c r="CP60" s="134"/>
      <c r="CQ60" s="134"/>
      <c r="CR60" s="120"/>
      <c r="CS60" s="134"/>
      <c r="CT60" s="134"/>
      <c r="CU60" s="120"/>
      <c r="CV60" s="202"/>
      <c r="CW60" s="202"/>
      <c r="CX60" s="120"/>
      <c r="CY60" s="202"/>
      <c r="CZ60" s="202"/>
      <c r="DA60" s="120"/>
      <c r="DB60" s="202"/>
      <c r="DC60" s="202"/>
      <c r="DD60" s="349"/>
      <c r="DE60" s="202"/>
      <c r="DF60" s="202"/>
      <c r="DG60" s="254"/>
      <c r="DH60" s="203"/>
      <c r="DI60" s="203"/>
      <c r="DJ60" s="259"/>
      <c r="DK60" s="136"/>
      <c r="DL60" s="136"/>
      <c r="DM60" s="120"/>
      <c r="DN60" s="233"/>
      <c r="DO60" s="233"/>
      <c r="DP60" s="120"/>
      <c r="DQ60" s="262"/>
      <c r="DR60" s="262"/>
      <c r="DS60" s="120"/>
      <c r="DT60" s="262"/>
      <c r="DU60" s="262"/>
      <c r="DV60" s="120"/>
      <c r="DW60" s="262"/>
      <c r="DX60" s="262"/>
      <c r="DY60" s="120"/>
      <c r="DZ60" s="262"/>
      <c r="EA60" s="262"/>
      <c r="EB60" s="265"/>
      <c r="EC60" s="262"/>
      <c r="ED60" s="262"/>
      <c r="EE60" s="256"/>
      <c r="EF60" s="233"/>
      <c r="EG60" s="233"/>
      <c r="EH60" s="120"/>
      <c r="EI60" s="262"/>
      <c r="EJ60" s="262"/>
      <c r="EK60" s="120"/>
      <c r="EL60" s="262"/>
      <c r="EM60" s="262"/>
      <c r="EN60" s="120"/>
      <c r="EO60" s="262"/>
      <c r="EP60" s="262"/>
      <c r="EQ60" s="120"/>
      <c r="ER60" s="262"/>
      <c r="ES60" s="262"/>
      <c r="ET60" s="120"/>
      <c r="EU60" s="262"/>
      <c r="EV60" s="262"/>
      <c r="EW60" s="120"/>
      <c r="EX60" s="262"/>
      <c r="EY60" s="262"/>
      <c r="EZ60" s="120"/>
      <c r="FA60" s="262"/>
      <c r="FB60" s="262"/>
      <c r="FC60" s="120"/>
      <c r="FD60" s="262"/>
      <c r="FE60" s="262"/>
      <c r="FF60" s="120"/>
      <c r="FG60" s="262"/>
      <c r="FH60" s="262"/>
      <c r="FI60" s="120"/>
      <c r="FJ60" s="262"/>
      <c r="FK60" s="262"/>
      <c r="FL60" s="120"/>
      <c r="FM60" s="262"/>
      <c r="FN60" s="262"/>
      <c r="FO60" s="120"/>
      <c r="FP60" s="262"/>
      <c r="FQ60" s="262"/>
      <c r="FR60" s="120"/>
      <c r="FS60" s="262"/>
      <c r="FT60" s="262"/>
      <c r="FU60" s="120"/>
      <c r="FV60" s="262"/>
      <c r="FW60" s="262"/>
      <c r="FX60" s="120"/>
      <c r="FY60" s="262"/>
      <c r="FZ60" s="262"/>
      <c r="GA60" s="256"/>
      <c r="GB60" s="233"/>
      <c r="GC60" s="233"/>
      <c r="GJ60" s="121">
        <f t="shared" si="19"/>
        <v>0</v>
      </c>
      <c r="GK60" s="121">
        <f t="shared" si="20"/>
        <v>0</v>
      </c>
      <c r="GM60" s="121">
        <f t="shared" si="21"/>
        <v>0</v>
      </c>
      <c r="GN60" s="121">
        <f t="shared" si="22"/>
        <v>0</v>
      </c>
      <c r="GO60" s="121">
        <f t="shared" si="23"/>
        <v>0</v>
      </c>
      <c r="GP60" s="121">
        <f t="shared" si="24"/>
        <v>0</v>
      </c>
      <c r="GQ60" s="121">
        <f t="shared" si="25"/>
        <v>0</v>
      </c>
      <c r="GR60" s="121">
        <f t="shared" si="26"/>
        <v>0</v>
      </c>
    </row>
    <row r="61" spans="2:200" ht="38.25" customHeight="1" x14ac:dyDescent="0.55000000000000004">
      <c r="B61" s="303" t="s">
        <v>430</v>
      </c>
      <c r="C61" s="198"/>
      <c r="D61" s="198"/>
      <c r="E61" s="198"/>
      <c r="F61" s="198"/>
      <c r="G61" s="198"/>
      <c r="H61" s="198"/>
      <c r="I61" s="142" cm="1">
        <f t="array" ref="I61">SUMPRODUCT(($X$2:$GG$2&lt;&gt;"")*($X61:$GG61&lt;&gt;""))</f>
        <v>1</v>
      </c>
      <c r="J61" s="122">
        <f t="shared" si="10"/>
        <v>0</v>
      </c>
      <c r="K61" s="122">
        <f t="shared" si="11"/>
        <v>0</v>
      </c>
      <c r="L61" s="249">
        <f t="shared" si="0"/>
        <v>7000</v>
      </c>
      <c r="M61" s="144">
        <f t="shared" si="12"/>
        <v>196</v>
      </c>
      <c r="N61" s="405"/>
      <c r="O61" s="145">
        <f t="shared" si="13"/>
        <v>0</v>
      </c>
      <c r="P61" s="145">
        <f t="shared" si="14"/>
        <v>0</v>
      </c>
      <c r="Q61" s="145">
        <f t="shared" si="15"/>
        <v>0</v>
      </c>
      <c r="R61" s="145">
        <f t="shared" si="16"/>
        <v>0</v>
      </c>
      <c r="S61" s="130">
        <f t="shared" si="17"/>
        <v>0</v>
      </c>
      <c r="T61" s="130">
        <f t="shared" si="18"/>
        <v>0</v>
      </c>
      <c r="U61" s="141"/>
      <c r="V61" s="123"/>
      <c r="W61" s="134"/>
      <c r="X61" s="347">
        <v>7</v>
      </c>
      <c r="Y61" s="347">
        <v>250</v>
      </c>
      <c r="Z61" s="348" t="s">
        <v>803</v>
      </c>
      <c r="AA61" s="120"/>
      <c r="AB61" s="134"/>
      <c r="AC61" s="200"/>
      <c r="AD61" s="125"/>
      <c r="AE61" s="134"/>
      <c r="AF61" s="200"/>
      <c r="AG61" s="120"/>
      <c r="AH61" s="262"/>
      <c r="AI61" s="262"/>
      <c r="AJ61" s="120"/>
      <c r="AK61" s="262"/>
      <c r="AL61" s="262"/>
      <c r="AM61" s="120"/>
      <c r="AN61" s="262"/>
      <c r="AO61" s="262"/>
      <c r="AP61" s="120"/>
      <c r="AQ61" s="262"/>
      <c r="AR61" s="262"/>
      <c r="AS61" s="120"/>
      <c r="AT61" s="262"/>
      <c r="AU61" s="262"/>
      <c r="AV61" s="120"/>
      <c r="AW61" s="262"/>
      <c r="AX61" s="262"/>
      <c r="AY61" s="120"/>
      <c r="AZ61" s="262"/>
      <c r="BA61" s="262"/>
      <c r="BB61" s="120"/>
      <c r="BC61" s="134"/>
      <c r="BD61" s="200"/>
      <c r="BE61" s="120"/>
      <c r="BF61" s="134"/>
      <c r="BG61" s="200"/>
      <c r="BH61" s="120"/>
      <c r="BI61" s="252"/>
      <c r="BJ61" s="252"/>
      <c r="BK61" s="120"/>
      <c r="BL61" s="134"/>
      <c r="BM61" s="134"/>
      <c r="BN61" s="120"/>
      <c r="BO61" s="252"/>
      <c r="BP61" s="252"/>
      <c r="BQ61" s="120"/>
      <c r="BR61" s="134"/>
      <c r="BS61" s="134"/>
      <c r="BT61" s="120"/>
      <c r="BU61" s="134"/>
      <c r="BV61" s="200"/>
      <c r="BW61" s="120"/>
      <c r="BX61" s="134"/>
      <c r="BY61" s="200"/>
      <c r="BZ61" s="120"/>
      <c r="CA61" s="126"/>
      <c r="CB61" s="126"/>
      <c r="CC61" s="120"/>
      <c r="CD61" s="126"/>
      <c r="CE61" s="126"/>
      <c r="CF61" s="120"/>
      <c r="CG61" s="134"/>
      <c r="CH61" s="134"/>
      <c r="CI61" s="120"/>
      <c r="CJ61" s="200"/>
      <c r="CK61" s="200"/>
      <c r="CL61" s="120"/>
      <c r="CM61" s="200"/>
      <c r="CN61" s="200"/>
      <c r="CO61" s="120"/>
      <c r="CP61" s="134"/>
      <c r="CQ61" s="134"/>
      <c r="CR61" s="120"/>
      <c r="CS61" s="134"/>
      <c r="CT61" s="134"/>
      <c r="CU61" s="120"/>
      <c r="CV61" s="202"/>
      <c r="CW61" s="202"/>
      <c r="CX61" s="120"/>
      <c r="CY61" s="202"/>
      <c r="CZ61" s="202"/>
      <c r="DA61" s="120"/>
      <c r="DB61" s="202"/>
      <c r="DC61" s="202"/>
      <c r="DD61" s="349"/>
      <c r="DE61" s="202"/>
      <c r="DF61" s="202"/>
      <c r="DG61" s="254"/>
      <c r="DH61" s="203"/>
      <c r="DI61" s="203"/>
      <c r="DJ61" s="259"/>
      <c r="DK61" s="136"/>
      <c r="DL61" s="136"/>
      <c r="DM61" s="120"/>
      <c r="DN61" s="233"/>
      <c r="DO61" s="233"/>
      <c r="DP61" s="120"/>
      <c r="DQ61" s="262"/>
      <c r="DR61" s="262"/>
      <c r="DS61" s="120"/>
      <c r="DT61" s="262"/>
      <c r="DU61" s="262"/>
      <c r="DV61" s="120"/>
      <c r="DW61" s="262"/>
      <c r="DX61" s="262"/>
      <c r="DY61" s="120"/>
      <c r="DZ61" s="262"/>
      <c r="EA61" s="262"/>
      <c r="EB61" s="265"/>
      <c r="EC61" s="262"/>
      <c r="ED61" s="262"/>
      <c r="EE61" s="256"/>
      <c r="EF61" s="233"/>
      <c r="EG61" s="233"/>
      <c r="EH61" s="120"/>
      <c r="EI61" s="262"/>
      <c r="EJ61" s="262"/>
      <c r="EK61" s="120"/>
      <c r="EL61" s="262"/>
      <c r="EM61" s="262"/>
      <c r="EN61" s="120"/>
      <c r="EO61" s="262"/>
      <c r="EP61" s="262"/>
      <c r="EQ61" s="120"/>
      <c r="ER61" s="262"/>
      <c r="ES61" s="262"/>
      <c r="ET61" s="120"/>
      <c r="EU61" s="262"/>
      <c r="EV61" s="262"/>
      <c r="EW61" s="120"/>
      <c r="EX61" s="262"/>
      <c r="EY61" s="262"/>
      <c r="EZ61" s="120"/>
      <c r="FA61" s="262"/>
      <c r="FB61" s="262"/>
      <c r="FC61" s="120"/>
      <c r="FD61" s="262"/>
      <c r="FE61" s="262"/>
      <c r="FF61" s="120"/>
      <c r="FG61" s="262"/>
      <c r="FH61" s="262"/>
      <c r="FI61" s="120"/>
      <c r="FJ61" s="262"/>
      <c r="FK61" s="262"/>
      <c r="FL61" s="120"/>
      <c r="FM61" s="262"/>
      <c r="FN61" s="262"/>
      <c r="FO61" s="120"/>
      <c r="FP61" s="262"/>
      <c r="FQ61" s="262"/>
      <c r="FR61" s="120"/>
      <c r="FS61" s="262"/>
      <c r="FT61" s="262"/>
      <c r="FU61" s="120"/>
      <c r="FV61" s="262"/>
      <c r="FW61" s="262"/>
      <c r="FX61" s="120"/>
      <c r="FY61" s="262"/>
      <c r="FZ61" s="262"/>
      <c r="GA61" s="256"/>
      <c r="GB61" s="233"/>
      <c r="GC61" s="233"/>
      <c r="GJ61" s="121">
        <f t="shared" si="19"/>
        <v>0</v>
      </c>
      <c r="GK61" s="121">
        <f t="shared" si="20"/>
        <v>0</v>
      </c>
      <c r="GM61" s="121">
        <f t="shared" si="21"/>
        <v>1</v>
      </c>
      <c r="GN61" s="121">
        <f t="shared" si="22"/>
        <v>0</v>
      </c>
      <c r="GO61" s="121">
        <f t="shared" si="23"/>
        <v>0</v>
      </c>
      <c r="GP61" s="121">
        <f t="shared" si="24"/>
        <v>0</v>
      </c>
      <c r="GQ61" s="121">
        <f t="shared" si="25"/>
        <v>0</v>
      </c>
      <c r="GR61" s="121">
        <f t="shared" si="26"/>
        <v>0</v>
      </c>
    </row>
    <row r="62" spans="2:200" ht="38.25" customHeight="1" x14ac:dyDescent="0.55000000000000004">
      <c r="B62" s="303" t="s">
        <v>524</v>
      </c>
      <c r="C62" s="198"/>
      <c r="D62" s="198"/>
      <c r="E62" s="198"/>
      <c r="F62" s="198"/>
      <c r="G62" s="198"/>
      <c r="H62" s="198"/>
      <c r="I62" s="142" cm="1">
        <f t="array" ref="I62">SUMPRODUCT(($X$2:$GG$2&lt;&gt;"")*($X62:$GG62&lt;&gt;""))</f>
        <v>0</v>
      </c>
      <c r="J62" s="122">
        <f t="shared" si="10"/>
        <v>0</v>
      </c>
      <c r="K62" s="122">
        <f t="shared" si="11"/>
        <v>0</v>
      </c>
      <c r="L62" s="249">
        <f t="shared" si="0"/>
        <v>7000</v>
      </c>
      <c r="M62" s="144">
        <f t="shared" si="12"/>
        <v>0</v>
      </c>
      <c r="N62" s="405"/>
      <c r="O62" s="145">
        <f t="shared" si="13"/>
        <v>0</v>
      </c>
      <c r="P62" s="145">
        <f t="shared" si="14"/>
        <v>0</v>
      </c>
      <c r="Q62" s="145">
        <f t="shared" si="15"/>
        <v>0</v>
      </c>
      <c r="R62" s="145">
        <f t="shared" si="16"/>
        <v>0</v>
      </c>
      <c r="S62" s="130">
        <f t="shared" si="17"/>
        <v>0</v>
      </c>
      <c r="T62" s="130">
        <f t="shared" si="18"/>
        <v>0</v>
      </c>
      <c r="U62" s="141"/>
      <c r="V62" s="123"/>
      <c r="W62" s="134"/>
      <c r="X62" s="124"/>
      <c r="Y62" s="134"/>
      <c r="Z62" s="200"/>
      <c r="AA62" s="120"/>
      <c r="AB62" s="134"/>
      <c r="AC62" s="200"/>
      <c r="AD62" s="125"/>
      <c r="AE62" s="134"/>
      <c r="AF62" s="200"/>
      <c r="AG62" s="120"/>
      <c r="AH62" s="262"/>
      <c r="AI62" s="262"/>
      <c r="AJ62" s="120"/>
      <c r="AK62" s="262"/>
      <c r="AL62" s="262"/>
      <c r="AM62" s="120"/>
      <c r="AN62" s="262"/>
      <c r="AO62" s="262"/>
      <c r="AP62" s="120"/>
      <c r="AQ62" s="262"/>
      <c r="AR62" s="262"/>
      <c r="AS62" s="120"/>
      <c r="AT62" s="262"/>
      <c r="AU62" s="262"/>
      <c r="AV62" s="120"/>
      <c r="AW62" s="262"/>
      <c r="AX62" s="262"/>
      <c r="AY62" s="120"/>
      <c r="AZ62" s="262"/>
      <c r="BA62" s="262"/>
      <c r="BB62" s="120"/>
      <c r="BC62" s="134"/>
      <c r="BD62" s="200"/>
      <c r="BE62" s="120"/>
      <c r="BF62" s="134"/>
      <c r="BG62" s="200"/>
      <c r="BH62" s="120"/>
      <c r="BI62" s="252"/>
      <c r="BJ62" s="252"/>
      <c r="BK62" s="120"/>
      <c r="BL62" s="134"/>
      <c r="BM62" s="134"/>
      <c r="BN62" s="120"/>
      <c r="BO62" s="252"/>
      <c r="BP62" s="252"/>
      <c r="BQ62" s="120"/>
      <c r="BR62" s="134"/>
      <c r="BS62" s="134"/>
      <c r="BT62" s="120"/>
      <c r="BU62" s="134"/>
      <c r="BV62" s="200"/>
      <c r="BW62" s="120"/>
      <c r="BX62" s="134"/>
      <c r="BY62" s="200"/>
      <c r="BZ62" s="120"/>
      <c r="CA62" s="126"/>
      <c r="CB62" s="126"/>
      <c r="CC62" s="120"/>
      <c r="CD62" s="126"/>
      <c r="CE62" s="126"/>
      <c r="CF62" s="120"/>
      <c r="CG62" s="134"/>
      <c r="CH62" s="134"/>
      <c r="CI62" s="120"/>
      <c r="CJ62" s="200"/>
      <c r="CK62" s="200"/>
      <c r="CL62" s="120"/>
      <c r="CM62" s="200"/>
      <c r="CN62" s="200"/>
      <c r="CO62" s="120"/>
      <c r="CP62" s="134"/>
      <c r="CQ62" s="134"/>
      <c r="CR62" s="120"/>
      <c r="CS62" s="134"/>
      <c r="CT62" s="134"/>
      <c r="CU62" s="120"/>
      <c r="CV62" s="202"/>
      <c r="CW62" s="202"/>
      <c r="CX62" s="120"/>
      <c r="CY62" s="202"/>
      <c r="CZ62" s="202"/>
      <c r="DA62" s="120"/>
      <c r="DB62" s="202"/>
      <c r="DC62" s="202"/>
      <c r="DD62" s="349"/>
      <c r="DE62" s="202"/>
      <c r="DF62" s="202"/>
      <c r="DG62" s="254"/>
      <c r="DH62" s="203"/>
      <c r="DI62" s="203"/>
      <c r="DJ62" s="259"/>
      <c r="DK62" s="136"/>
      <c r="DL62" s="136"/>
      <c r="DM62" s="120"/>
      <c r="DN62" s="233"/>
      <c r="DO62" s="233"/>
      <c r="DP62" s="120"/>
      <c r="DQ62" s="262"/>
      <c r="DR62" s="262"/>
      <c r="DS62" s="120"/>
      <c r="DT62" s="262"/>
      <c r="DU62" s="262"/>
      <c r="DV62" s="120"/>
      <c r="DW62" s="262"/>
      <c r="DX62" s="262"/>
      <c r="DY62" s="120"/>
      <c r="DZ62" s="262"/>
      <c r="EA62" s="262"/>
      <c r="EB62" s="265"/>
      <c r="EC62" s="262"/>
      <c r="ED62" s="262"/>
      <c r="EE62" s="256"/>
      <c r="EF62" s="233"/>
      <c r="EG62" s="233"/>
      <c r="EH62" s="120"/>
      <c r="EI62" s="262"/>
      <c r="EJ62" s="262"/>
      <c r="EK62" s="120"/>
      <c r="EL62" s="262"/>
      <c r="EM62" s="262"/>
      <c r="EN62" s="120"/>
      <c r="EO62" s="262"/>
      <c r="EP62" s="262"/>
      <c r="EQ62" s="120"/>
      <c r="ER62" s="262"/>
      <c r="ES62" s="262"/>
      <c r="ET62" s="120"/>
      <c r="EU62" s="262"/>
      <c r="EV62" s="262"/>
      <c r="EW62" s="120"/>
      <c r="EX62" s="262"/>
      <c r="EY62" s="262"/>
      <c r="EZ62" s="120"/>
      <c r="FA62" s="262"/>
      <c r="FB62" s="262"/>
      <c r="FC62" s="120"/>
      <c r="FD62" s="262"/>
      <c r="FE62" s="262"/>
      <c r="FF62" s="120"/>
      <c r="FG62" s="262"/>
      <c r="FH62" s="262"/>
      <c r="FI62" s="120"/>
      <c r="FJ62" s="262"/>
      <c r="FK62" s="262"/>
      <c r="FL62" s="120"/>
      <c r="FM62" s="262"/>
      <c r="FN62" s="262"/>
      <c r="FO62" s="120"/>
      <c r="FP62" s="262"/>
      <c r="FQ62" s="262"/>
      <c r="FR62" s="120"/>
      <c r="FS62" s="262"/>
      <c r="FT62" s="262"/>
      <c r="FU62" s="120"/>
      <c r="FV62" s="262"/>
      <c r="FW62" s="262"/>
      <c r="FX62" s="120"/>
      <c r="FY62" s="262"/>
      <c r="FZ62" s="262"/>
      <c r="GA62" s="256"/>
      <c r="GB62" s="233"/>
      <c r="GC62" s="233"/>
      <c r="GJ62" s="121">
        <f t="shared" si="19"/>
        <v>0</v>
      </c>
      <c r="GK62" s="121">
        <f t="shared" si="20"/>
        <v>0</v>
      </c>
      <c r="GM62" s="121">
        <f t="shared" si="21"/>
        <v>0</v>
      </c>
      <c r="GN62" s="121">
        <f t="shared" si="22"/>
        <v>0</v>
      </c>
      <c r="GO62" s="121">
        <f t="shared" si="23"/>
        <v>0</v>
      </c>
      <c r="GP62" s="121">
        <f t="shared" si="24"/>
        <v>0</v>
      </c>
      <c r="GQ62" s="121">
        <f t="shared" si="25"/>
        <v>0</v>
      </c>
      <c r="GR62" s="121">
        <f t="shared" si="26"/>
        <v>0</v>
      </c>
    </row>
    <row r="63" spans="2:200" ht="38.25" customHeight="1" x14ac:dyDescent="0.55000000000000004">
      <c r="B63" s="303" t="s">
        <v>431</v>
      </c>
      <c r="C63" s="198"/>
      <c r="D63" s="198"/>
      <c r="E63" s="198"/>
      <c r="F63" s="198"/>
      <c r="G63" s="198"/>
      <c r="H63" s="198"/>
      <c r="I63" s="142" cm="1">
        <f t="array" ref="I63">SUMPRODUCT(($X$2:$GG$2&lt;&gt;"")*($X63:$GG63&lt;&gt;""))</f>
        <v>1</v>
      </c>
      <c r="J63" s="122">
        <f t="shared" si="10"/>
        <v>0</v>
      </c>
      <c r="K63" s="122">
        <f t="shared" si="11"/>
        <v>0</v>
      </c>
      <c r="L63" s="249">
        <f t="shared" si="0"/>
        <v>7000</v>
      </c>
      <c r="M63" s="144">
        <f t="shared" si="12"/>
        <v>168</v>
      </c>
      <c r="N63" s="405"/>
      <c r="O63" s="145">
        <f t="shared" si="13"/>
        <v>0</v>
      </c>
      <c r="P63" s="145">
        <f t="shared" si="14"/>
        <v>0</v>
      </c>
      <c r="Q63" s="145">
        <f t="shared" si="15"/>
        <v>0</v>
      </c>
      <c r="R63" s="145">
        <f t="shared" si="16"/>
        <v>0</v>
      </c>
      <c r="S63" s="130">
        <f t="shared" si="17"/>
        <v>0</v>
      </c>
      <c r="T63" s="130">
        <f t="shared" si="18"/>
        <v>0</v>
      </c>
      <c r="U63" s="141"/>
      <c r="V63" s="123"/>
      <c r="W63" s="134"/>
      <c r="X63" s="347">
        <v>6</v>
      </c>
      <c r="Y63" s="347">
        <v>250</v>
      </c>
      <c r="Z63" s="348" t="s">
        <v>804</v>
      </c>
      <c r="AA63" s="120"/>
      <c r="AB63" s="134"/>
      <c r="AC63" s="200"/>
      <c r="AD63" s="125"/>
      <c r="AE63" s="134"/>
      <c r="AF63" s="200"/>
      <c r="AG63" s="120"/>
      <c r="AH63" s="262"/>
      <c r="AI63" s="262"/>
      <c r="AJ63" s="120"/>
      <c r="AK63" s="262"/>
      <c r="AL63" s="262"/>
      <c r="AM63" s="120"/>
      <c r="AN63" s="262"/>
      <c r="AO63" s="262"/>
      <c r="AP63" s="120"/>
      <c r="AQ63" s="262"/>
      <c r="AR63" s="262"/>
      <c r="AS63" s="120"/>
      <c r="AT63" s="262"/>
      <c r="AU63" s="262"/>
      <c r="AV63" s="120"/>
      <c r="AW63" s="262"/>
      <c r="AX63" s="262"/>
      <c r="AY63" s="120"/>
      <c r="AZ63" s="262"/>
      <c r="BA63" s="262"/>
      <c r="BB63" s="120"/>
      <c r="BC63" s="134"/>
      <c r="BD63" s="200"/>
      <c r="BE63" s="120"/>
      <c r="BF63" s="134"/>
      <c r="BG63" s="200"/>
      <c r="BH63" s="120"/>
      <c r="BI63" s="252"/>
      <c r="BJ63" s="252"/>
      <c r="BK63" s="120"/>
      <c r="BL63" s="134"/>
      <c r="BM63" s="134"/>
      <c r="BN63" s="120"/>
      <c r="BO63" s="252"/>
      <c r="BP63" s="252"/>
      <c r="BQ63" s="120"/>
      <c r="BR63" s="134"/>
      <c r="BS63" s="134"/>
      <c r="BT63" s="120"/>
      <c r="BU63" s="134"/>
      <c r="BV63" s="200"/>
      <c r="BW63" s="120"/>
      <c r="BX63" s="134"/>
      <c r="BY63" s="200"/>
      <c r="BZ63" s="120"/>
      <c r="CA63" s="126"/>
      <c r="CB63" s="126"/>
      <c r="CC63" s="120"/>
      <c r="CD63" s="126"/>
      <c r="CE63" s="126"/>
      <c r="CF63" s="120"/>
      <c r="CG63" s="134"/>
      <c r="CH63" s="134"/>
      <c r="CI63" s="120"/>
      <c r="CJ63" s="200"/>
      <c r="CK63" s="200"/>
      <c r="CL63" s="120"/>
      <c r="CM63" s="200"/>
      <c r="CN63" s="200"/>
      <c r="CO63" s="120"/>
      <c r="CP63" s="134"/>
      <c r="CQ63" s="134"/>
      <c r="CR63" s="120"/>
      <c r="CS63" s="134"/>
      <c r="CT63" s="134"/>
      <c r="CU63" s="120"/>
      <c r="CV63" s="202"/>
      <c r="CW63" s="202"/>
      <c r="CX63" s="120"/>
      <c r="CY63" s="202"/>
      <c r="CZ63" s="202"/>
      <c r="DA63" s="120"/>
      <c r="DB63" s="202"/>
      <c r="DC63" s="202"/>
      <c r="DD63" s="349"/>
      <c r="DE63" s="202"/>
      <c r="DF63" s="202"/>
      <c r="DG63" s="254"/>
      <c r="DH63" s="203"/>
      <c r="DI63" s="203"/>
      <c r="DJ63" s="259"/>
      <c r="DK63" s="136"/>
      <c r="DL63" s="136"/>
      <c r="DM63" s="120"/>
      <c r="DN63" s="233"/>
      <c r="DO63" s="233"/>
      <c r="DP63" s="120"/>
      <c r="DQ63" s="262"/>
      <c r="DR63" s="262"/>
      <c r="DS63" s="120"/>
      <c r="DT63" s="262"/>
      <c r="DU63" s="262"/>
      <c r="DV63" s="120"/>
      <c r="DW63" s="262"/>
      <c r="DX63" s="262"/>
      <c r="DY63" s="120"/>
      <c r="DZ63" s="262"/>
      <c r="EA63" s="262"/>
      <c r="EB63" s="265"/>
      <c r="EC63" s="262"/>
      <c r="ED63" s="262"/>
      <c r="EE63" s="256"/>
      <c r="EF63" s="233"/>
      <c r="EG63" s="233"/>
      <c r="EH63" s="120"/>
      <c r="EI63" s="262"/>
      <c r="EJ63" s="262"/>
      <c r="EK63" s="120"/>
      <c r="EL63" s="262"/>
      <c r="EM63" s="262"/>
      <c r="EN63" s="120"/>
      <c r="EO63" s="262"/>
      <c r="EP63" s="262"/>
      <c r="EQ63" s="120"/>
      <c r="ER63" s="262"/>
      <c r="ES63" s="262"/>
      <c r="ET63" s="120"/>
      <c r="EU63" s="262"/>
      <c r="EV63" s="262"/>
      <c r="EW63" s="120"/>
      <c r="EX63" s="262"/>
      <c r="EY63" s="262"/>
      <c r="EZ63" s="120"/>
      <c r="FA63" s="262"/>
      <c r="FB63" s="262"/>
      <c r="FC63" s="120"/>
      <c r="FD63" s="262"/>
      <c r="FE63" s="262"/>
      <c r="FF63" s="120"/>
      <c r="FG63" s="262"/>
      <c r="FH63" s="262"/>
      <c r="FI63" s="120"/>
      <c r="FJ63" s="262"/>
      <c r="FK63" s="262"/>
      <c r="FL63" s="120"/>
      <c r="FM63" s="262"/>
      <c r="FN63" s="262"/>
      <c r="FO63" s="120"/>
      <c r="FP63" s="262"/>
      <c r="FQ63" s="262"/>
      <c r="FR63" s="120"/>
      <c r="FS63" s="262"/>
      <c r="FT63" s="262"/>
      <c r="FU63" s="120"/>
      <c r="FV63" s="262"/>
      <c r="FW63" s="262"/>
      <c r="FX63" s="120"/>
      <c r="FY63" s="262"/>
      <c r="FZ63" s="262"/>
      <c r="GA63" s="256"/>
      <c r="GB63" s="233"/>
      <c r="GC63" s="233"/>
      <c r="GJ63" s="121">
        <f t="shared" si="19"/>
        <v>0</v>
      </c>
      <c r="GK63" s="121">
        <f t="shared" si="20"/>
        <v>0</v>
      </c>
      <c r="GM63" s="121">
        <f t="shared" si="21"/>
        <v>1</v>
      </c>
      <c r="GN63" s="121">
        <f t="shared" si="22"/>
        <v>0</v>
      </c>
      <c r="GO63" s="121">
        <f t="shared" si="23"/>
        <v>0</v>
      </c>
      <c r="GP63" s="121">
        <f t="shared" si="24"/>
        <v>0</v>
      </c>
      <c r="GQ63" s="121">
        <f t="shared" si="25"/>
        <v>0</v>
      </c>
      <c r="GR63" s="121">
        <f t="shared" si="26"/>
        <v>0</v>
      </c>
    </row>
    <row r="64" spans="2:200" ht="38.25" customHeight="1" x14ac:dyDescent="0.55000000000000004">
      <c r="B64" s="304" t="s">
        <v>432</v>
      </c>
      <c r="C64" s="139"/>
      <c r="D64" s="139"/>
      <c r="E64" s="139"/>
      <c r="F64" s="139"/>
      <c r="G64" s="139"/>
      <c r="H64" s="139"/>
      <c r="I64" s="122" cm="1">
        <f t="array" ref="I64">SUMPRODUCT(($X$2:$GG$2&lt;&gt;"")*($X64:$GG64&lt;&gt;""))</f>
        <v>1</v>
      </c>
      <c r="J64" s="122">
        <f t="shared" si="10"/>
        <v>0</v>
      </c>
      <c r="K64" s="122">
        <f t="shared" si="11"/>
        <v>0</v>
      </c>
      <c r="L64" s="249">
        <f t="shared" si="0"/>
        <v>7000</v>
      </c>
      <c r="M64" s="144">
        <f t="shared" si="12"/>
        <v>784</v>
      </c>
      <c r="N64" s="405"/>
      <c r="O64" s="145">
        <f t="shared" si="13"/>
        <v>0</v>
      </c>
      <c r="P64" s="145">
        <f t="shared" si="14"/>
        <v>0</v>
      </c>
      <c r="Q64" s="145">
        <f t="shared" si="15"/>
        <v>0</v>
      </c>
      <c r="R64" s="145">
        <f t="shared" si="16"/>
        <v>0</v>
      </c>
      <c r="S64" s="130">
        <f t="shared" si="17"/>
        <v>0</v>
      </c>
      <c r="T64" s="130">
        <f t="shared" si="18"/>
        <v>0</v>
      </c>
      <c r="U64" s="141"/>
      <c r="V64" s="123"/>
      <c r="W64" s="134"/>
      <c r="X64" s="347">
        <v>28</v>
      </c>
      <c r="Y64" s="347">
        <v>250</v>
      </c>
      <c r="Z64" s="348" t="s">
        <v>576</v>
      </c>
      <c r="AA64" s="120"/>
      <c r="AB64" s="134"/>
      <c r="AC64" s="200"/>
      <c r="AD64" s="125"/>
      <c r="AE64" s="134"/>
      <c r="AF64" s="200"/>
      <c r="AG64" s="120"/>
      <c r="AH64" s="262"/>
      <c r="AI64" s="262"/>
      <c r="AJ64" s="120"/>
      <c r="AK64" s="262"/>
      <c r="AL64" s="262"/>
      <c r="AM64" s="120"/>
      <c r="AN64" s="262"/>
      <c r="AO64" s="262"/>
      <c r="AP64" s="120"/>
      <c r="AQ64" s="262"/>
      <c r="AR64" s="262"/>
      <c r="AS64" s="120"/>
      <c r="AT64" s="262"/>
      <c r="AU64" s="262"/>
      <c r="AV64" s="120"/>
      <c r="AW64" s="262"/>
      <c r="AX64" s="262"/>
      <c r="AY64" s="120"/>
      <c r="AZ64" s="262"/>
      <c r="BA64" s="262"/>
      <c r="BB64" s="120"/>
      <c r="BC64" s="134"/>
      <c r="BD64" s="200"/>
      <c r="BE64" s="120"/>
      <c r="BF64" s="134"/>
      <c r="BG64" s="200"/>
      <c r="BH64" s="120"/>
      <c r="BI64" s="252"/>
      <c r="BJ64" s="252"/>
      <c r="BK64" s="120"/>
      <c r="BL64" s="134"/>
      <c r="BM64" s="134"/>
      <c r="BN64" s="120"/>
      <c r="BO64" s="252"/>
      <c r="BP64" s="252"/>
      <c r="BQ64" s="120"/>
      <c r="BR64" s="134"/>
      <c r="BS64" s="134"/>
      <c r="BT64" s="120"/>
      <c r="BU64" s="134"/>
      <c r="BV64" s="200"/>
      <c r="BW64" s="120"/>
      <c r="BX64" s="134"/>
      <c r="BY64" s="200"/>
      <c r="BZ64" s="120"/>
      <c r="CA64" s="126"/>
      <c r="CB64" s="126"/>
      <c r="CC64" s="120"/>
      <c r="CD64" s="126"/>
      <c r="CE64" s="126"/>
      <c r="CF64" s="120"/>
      <c r="CG64" s="134"/>
      <c r="CH64" s="134"/>
      <c r="CI64" s="120"/>
      <c r="CJ64" s="200"/>
      <c r="CK64" s="200"/>
      <c r="CL64" s="120"/>
      <c r="CM64" s="200"/>
      <c r="CN64" s="200"/>
      <c r="CO64" s="120"/>
      <c r="CP64" s="134"/>
      <c r="CQ64" s="134"/>
      <c r="CR64" s="120"/>
      <c r="CS64" s="134"/>
      <c r="CT64" s="134"/>
      <c r="CU64" s="120"/>
      <c r="CV64" s="250"/>
      <c r="CW64" s="250"/>
      <c r="CX64" s="120"/>
      <c r="CY64" s="250"/>
      <c r="CZ64" s="250"/>
      <c r="DA64" s="120"/>
      <c r="DB64" s="202"/>
      <c r="DC64" s="202"/>
      <c r="DD64" s="349"/>
      <c r="DE64" s="202"/>
      <c r="DF64" s="202"/>
      <c r="DG64" s="254"/>
      <c r="DH64" s="203"/>
      <c r="DI64" s="203"/>
      <c r="DJ64" s="259"/>
      <c r="DK64" s="136"/>
      <c r="DL64" s="136"/>
      <c r="DM64" s="120"/>
      <c r="DN64" s="233"/>
      <c r="DO64" s="233"/>
      <c r="DP64" s="120"/>
      <c r="DQ64" s="262"/>
      <c r="DR64" s="262"/>
      <c r="DS64" s="120"/>
      <c r="DT64" s="262"/>
      <c r="DU64" s="262"/>
      <c r="DV64" s="120"/>
      <c r="DW64" s="262"/>
      <c r="DX64" s="262"/>
      <c r="DY64" s="120"/>
      <c r="DZ64" s="262"/>
      <c r="EA64" s="262"/>
      <c r="EB64" s="265"/>
      <c r="EC64" s="262"/>
      <c r="ED64" s="262"/>
      <c r="EE64" s="256"/>
      <c r="EF64" s="233"/>
      <c r="EG64" s="233"/>
      <c r="EH64" s="120"/>
      <c r="EI64" s="262"/>
      <c r="EJ64" s="262"/>
      <c r="EK64" s="120"/>
      <c r="EL64" s="262"/>
      <c r="EM64" s="262"/>
      <c r="EN64" s="120"/>
      <c r="EO64" s="262"/>
      <c r="EP64" s="262"/>
      <c r="EQ64" s="120"/>
      <c r="ER64" s="262"/>
      <c r="ES64" s="262"/>
      <c r="ET64" s="120"/>
      <c r="EU64" s="262"/>
      <c r="EV64" s="262"/>
      <c r="EW64" s="120"/>
      <c r="EX64" s="262"/>
      <c r="EY64" s="262"/>
      <c r="EZ64" s="120"/>
      <c r="FA64" s="262"/>
      <c r="FB64" s="262"/>
      <c r="FC64" s="120"/>
      <c r="FD64" s="262"/>
      <c r="FE64" s="262"/>
      <c r="FF64" s="120"/>
      <c r="FG64" s="262"/>
      <c r="FH64" s="262"/>
      <c r="FI64" s="120"/>
      <c r="FJ64" s="262"/>
      <c r="FK64" s="262"/>
      <c r="FL64" s="120"/>
      <c r="FM64" s="262"/>
      <c r="FN64" s="262"/>
      <c r="FO64" s="120"/>
      <c r="FP64" s="262"/>
      <c r="FQ64" s="262"/>
      <c r="FR64" s="120"/>
      <c r="FS64" s="262"/>
      <c r="FT64" s="262"/>
      <c r="FU64" s="120"/>
      <c r="FV64" s="262"/>
      <c r="FW64" s="262"/>
      <c r="FX64" s="120"/>
      <c r="FY64" s="262"/>
      <c r="FZ64" s="262"/>
      <c r="GA64" s="256"/>
      <c r="GB64" s="233"/>
      <c r="GC64" s="233"/>
      <c r="GJ64" s="121">
        <f t="shared" si="19"/>
        <v>0</v>
      </c>
      <c r="GK64" s="121">
        <f t="shared" si="20"/>
        <v>0</v>
      </c>
      <c r="GM64" s="121">
        <f t="shared" si="21"/>
        <v>1</v>
      </c>
      <c r="GN64" s="121">
        <f t="shared" si="22"/>
        <v>0</v>
      </c>
      <c r="GO64" s="121">
        <f t="shared" si="23"/>
        <v>0</v>
      </c>
      <c r="GP64" s="121">
        <f t="shared" si="24"/>
        <v>0</v>
      </c>
      <c r="GQ64" s="121">
        <f t="shared" si="25"/>
        <v>0</v>
      </c>
      <c r="GR64" s="121">
        <f t="shared" si="26"/>
        <v>0</v>
      </c>
    </row>
    <row r="65" spans="1:200" ht="38.25" customHeight="1" x14ac:dyDescent="0.55000000000000004">
      <c r="B65" s="304" t="s">
        <v>435</v>
      </c>
      <c r="C65" s="139"/>
      <c r="D65" s="139"/>
      <c r="E65" s="139"/>
      <c r="F65" s="139"/>
      <c r="G65" s="139"/>
      <c r="H65" s="139"/>
      <c r="I65" s="122" cm="1">
        <f t="array" ref="I65">SUMPRODUCT(($X$2:$GG$2&lt;&gt;"")*($X65:$GG65&lt;&gt;""))</f>
        <v>1</v>
      </c>
      <c r="J65" s="122">
        <f t="shared" si="10"/>
        <v>0</v>
      </c>
      <c r="K65" s="122">
        <f t="shared" si="11"/>
        <v>0</v>
      </c>
      <c r="L65" s="249">
        <f t="shared" si="0"/>
        <v>7000</v>
      </c>
      <c r="M65" s="144">
        <f t="shared" si="12"/>
        <v>0</v>
      </c>
      <c r="N65" s="405"/>
      <c r="O65" s="145">
        <f t="shared" si="13"/>
        <v>0</v>
      </c>
      <c r="P65" s="145">
        <f t="shared" si="14"/>
        <v>0</v>
      </c>
      <c r="Q65" s="145">
        <f t="shared" si="15"/>
        <v>0</v>
      </c>
      <c r="R65" s="145">
        <f t="shared" si="16"/>
        <v>0</v>
      </c>
      <c r="S65" s="130">
        <f t="shared" si="17"/>
        <v>0</v>
      </c>
      <c r="T65" s="130">
        <f t="shared" si="18"/>
        <v>0</v>
      </c>
      <c r="U65" s="141">
        <v>120</v>
      </c>
      <c r="V65" s="123"/>
      <c r="W65" s="134"/>
      <c r="X65" s="124">
        <v>2.5</v>
      </c>
      <c r="Y65" s="339"/>
      <c r="Z65" s="348" t="s">
        <v>576</v>
      </c>
      <c r="AA65" s="120"/>
      <c r="AB65" s="134"/>
      <c r="AC65" s="200"/>
      <c r="AD65" s="125"/>
      <c r="AE65" s="134"/>
      <c r="AF65" s="200"/>
      <c r="AG65" s="120"/>
      <c r="AH65" s="262"/>
      <c r="AI65" s="262"/>
      <c r="AJ65" s="120"/>
      <c r="AK65" s="262"/>
      <c r="AL65" s="262"/>
      <c r="AM65" s="120"/>
      <c r="AN65" s="262"/>
      <c r="AO65" s="262"/>
      <c r="AP65" s="120"/>
      <c r="AQ65" s="262"/>
      <c r="AR65" s="262"/>
      <c r="AS65" s="120"/>
      <c r="AT65" s="262"/>
      <c r="AU65" s="262"/>
      <c r="AV65" s="120"/>
      <c r="AW65" s="262"/>
      <c r="AX65" s="262"/>
      <c r="AY65" s="120"/>
      <c r="AZ65" s="262"/>
      <c r="BA65" s="262"/>
      <c r="BB65" s="120"/>
      <c r="BC65" s="134"/>
      <c r="BD65" s="200"/>
      <c r="BE65" s="120"/>
      <c r="BF65" s="134"/>
      <c r="BG65" s="200"/>
      <c r="BH65" s="120"/>
      <c r="BI65" s="252"/>
      <c r="BJ65" s="252"/>
      <c r="BK65" s="120"/>
      <c r="BL65" s="134"/>
      <c r="BM65" s="134"/>
      <c r="BN65" s="120"/>
      <c r="BO65" s="252"/>
      <c r="BP65" s="252"/>
      <c r="BQ65" s="120"/>
      <c r="BR65" s="134"/>
      <c r="BS65" s="134"/>
      <c r="BT65" s="120"/>
      <c r="BU65" s="134"/>
      <c r="BV65" s="200"/>
      <c r="BW65" s="120"/>
      <c r="BX65" s="134"/>
      <c r="BY65" s="200"/>
      <c r="BZ65" s="120"/>
      <c r="CA65" s="126"/>
      <c r="CB65" s="126"/>
      <c r="CC65" s="120"/>
      <c r="CD65" s="126"/>
      <c r="CE65" s="126"/>
      <c r="CF65" s="120"/>
      <c r="CG65" s="134"/>
      <c r="CH65" s="134"/>
      <c r="CI65" s="120"/>
      <c r="CJ65" s="200"/>
      <c r="CK65" s="200"/>
      <c r="CL65" s="120"/>
      <c r="CM65" s="200"/>
      <c r="CN65" s="200"/>
      <c r="CO65" s="120"/>
      <c r="CP65" s="134"/>
      <c r="CQ65" s="134"/>
      <c r="CR65" s="120"/>
      <c r="CS65" s="134"/>
      <c r="CT65" s="134"/>
      <c r="CU65" s="120"/>
      <c r="CV65" s="250"/>
      <c r="CW65" s="250"/>
      <c r="CX65" s="120"/>
      <c r="CY65" s="250"/>
      <c r="CZ65" s="250"/>
      <c r="DA65" s="120"/>
      <c r="DB65" s="202"/>
      <c r="DC65" s="202"/>
      <c r="DD65" s="349"/>
      <c r="DE65" s="202"/>
      <c r="DF65" s="202"/>
      <c r="DG65" s="254"/>
      <c r="DH65" s="203"/>
      <c r="DI65" s="203"/>
      <c r="DJ65" s="259"/>
      <c r="DK65" s="136"/>
      <c r="DL65" s="136"/>
      <c r="DM65" s="120"/>
      <c r="DN65" s="233"/>
      <c r="DO65" s="233"/>
      <c r="DP65" s="120"/>
      <c r="DQ65" s="262"/>
      <c r="DR65" s="262"/>
      <c r="DS65" s="120"/>
      <c r="DT65" s="262"/>
      <c r="DU65" s="262"/>
      <c r="DV65" s="120"/>
      <c r="DW65" s="262"/>
      <c r="DX65" s="262"/>
      <c r="DY65" s="120"/>
      <c r="DZ65" s="262"/>
      <c r="EA65" s="262"/>
      <c r="EB65" s="265"/>
      <c r="EC65" s="262"/>
      <c r="ED65" s="262"/>
      <c r="EE65" s="256"/>
      <c r="EF65" s="233"/>
      <c r="EG65" s="233"/>
      <c r="EH65" s="120"/>
      <c r="EI65" s="262"/>
      <c r="EJ65" s="262"/>
      <c r="EK65" s="120"/>
      <c r="EL65" s="262"/>
      <c r="EM65" s="262"/>
      <c r="EN65" s="120"/>
      <c r="EO65" s="262"/>
      <c r="EP65" s="262"/>
      <c r="EQ65" s="120"/>
      <c r="ER65" s="262"/>
      <c r="ES65" s="262"/>
      <c r="ET65" s="120"/>
      <c r="EU65" s="262"/>
      <c r="EV65" s="262"/>
      <c r="EW65" s="120"/>
      <c r="EX65" s="262"/>
      <c r="EY65" s="262"/>
      <c r="EZ65" s="120"/>
      <c r="FA65" s="262"/>
      <c r="FB65" s="262"/>
      <c r="FC65" s="120"/>
      <c r="FD65" s="262"/>
      <c r="FE65" s="262"/>
      <c r="FF65" s="120"/>
      <c r="FG65" s="262"/>
      <c r="FH65" s="262"/>
      <c r="FI65" s="120"/>
      <c r="FJ65" s="262"/>
      <c r="FK65" s="262"/>
      <c r="FL65" s="120"/>
      <c r="FM65" s="262"/>
      <c r="FN65" s="262"/>
      <c r="FO65" s="120"/>
      <c r="FP65" s="262"/>
      <c r="FQ65" s="262"/>
      <c r="FR65" s="120"/>
      <c r="FS65" s="262"/>
      <c r="FT65" s="262"/>
      <c r="FU65" s="120"/>
      <c r="FV65" s="262"/>
      <c r="FW65" s="262"/>
      <c r="FX65" s="120"/>
      <c r="FY65" s="262"/>
      <c r="FZ65" s="262"/>
      <c r="GA65" s="256"/>
      <c r="GB65" s="233"/>
      <c r="GC65" s="233"/>
      <c r="GJ65" s="121">
        <f t="shared" si="19"/>
        <v>0</v>
      </c>
      <c r="GK65" s="121">
        <f t="shared" si="20"/>
        <v>0</v>
      </c>
      <c r="GM65" s="121">
        <f t="shared" si="21"/>
        <v>1</v>
      </c>
      <c r="GN65" s="121">
        <f t="shared" si="22"/>
        <v>0</v>
      </c>
      <c r="GO65" s="121">
        <f t="shared" si="23"/>
        <v>0</v>
      </c>
      <c r="GP65" s="121">
        <f t="shared" si="24"/>
        <v>0</v>
      </c>
      <c r="GQ65" s="121">
        <f t="shared" si="25"/>
        <v>0</v>
      </c>
      <c r="GR65" s="121">
        <f t="shared" si="26"/>
        <v>0</v>
      </c>
    </row>
    <row r="66" spans="1:200" ht="38.25" customHeight="1" x14ac:dyDescent="0.55000000000000004">
      <c r="B66" s="304" t="s">
        <v>491</v>
      </c>
      <c r="C66" s="139"/>
      <c r="D66" s="139"/>
      <c r="E66" s="139"/>
      <c r="F66" s="139"/>
      <c r="G66" s="139"/>
      <c r="H66" s="139"/>
      <c r="I66" s="122" cm="1">
        <f t="array" ref="I66">SUMPRODUCT(($X$2:$GG$2&lt;&gt;"")*($X66:$GG66&lt;&gt;""))</f>
        <v>0</v>
      </c>
      <c r="J66" s="122">
        <f t="shared" si="10"/>
        <v>0</v>
      </c>
      <c r="K66" s="122">
        <f t="shared" si="11"/>
        <v>0</v>
      </c>
      <c r="L66" s="249">
        <f t="shared" si="0"/>
        <v>7000</v>
      </c>
      <c r="M66" s="144">
        <f t="shared" si="12"/>
        <v>0</v>
      </c>
      <c r="N66" s="405"/>
      <c r="O66" s="145">
        <f t="shared" si="13"/>
        <v>0</v>
      </c>
      <c r="P66" s="145">
        <f t="shared" si="14"/>
        <v>0</v>
      </c>
      <c r="Q66" s="145">
        <f t="shared" si="15"/>
        <v>0</v>
      </c>
      <c r="R66" s="145">
        <f t="shared" si="16"/>
        <v>0</v>
      </c>
      <c r="S66" s="130">
        <f t="shared" si="17"/>
        <v>0</v>
      </c>
      <c r="T66" s="130">
        <f t="shared" si="18"/>
        <v>0</v>
      </c>
      <c r="U66" s="141"/>
      <c r="V66" s="123"/>
      <c r="W66" s="134"/>
      <c r="X66" s="124"/>
      <c r="Y66" s="134"/>
      <c r="Z66" s="200"/>
      <c r="AA66" s="120"/>
      <c r="AB66" s="134"/>
      <c r="AC66" s="200"/>
      <c r="AD66" s="125"/>
      <c r="AE66" s="134"/>
      <c r="AF66" s="200"/>
      <c r="AG66" s="120"/>
      <c r="AH66" s="262"/>
      <c r="AI66" s="262"/>
      <c r="AJ66" s="120"/>
      <c r="AK66" s="262"/>
      <c r="AL66" s="262"/>
      <c r="AM66" s="120"/>
      <c r="AN66" s="262"/>
      <c r="AO66" s="262"/>
      <c r="AP66" s="120"/>
      <c r="AQ66" s="262"/>
      <c r="AR66" s="262"/>
      <c r="AS66" s="120"/>
      <c r="AT66" s="262"/>
      <c r="AU66" s="262"/>
      <c r="AV66" s="120"/>
      <c r="AW66" s="262"/>
      <c r="AX66" s="262"/>
      <c r="AY66" s="120"/>
      <c r="AZ66" s="262"/>
      <c r="BA66" s="262"/>
      <c r="BB66" s="120"/>
      <c r="BC66" s="134"/>
      <c r="BD66" s="200"/>
      <c r="BE66" s="120"/>
      <c r="BF66" s="134"/>
      <c r="BG66" s="200"/>
      <c r="BH66" s="120"/>
      <c r="BI66" s="252"/>
      <c r="BJ66" s="252"/>
      <c r="BK66" s="120"/>
      <c r="BL66" s="134"/>
      <c r="BM66" s="134"/>
      <c r="BN66" s="120"/>
      <c r="BO66" s="252"/>
      <c r="BP66" s="252"/>
      <c r="BQ66" s="120"/>
      <c r="BR66" s="134"/>
      <c r="BS66" s="134"/>
      <c r="BT66" s="120"/>
      <c r="BU66" s="134"/>
      <c r="BV66" s="200"/>
      <c r="BW66" s="120"/>
      <c r="BX66" s="134"/>
      <c r="BY66" s="200"/>
      <c r="BZ66" s="120"/>
      <c r="CA66" s="126"/>
      <c r="CB66" s="126"/>
      <c r="CC66" s="120"/>
      <c r="CD66" s="126"/>
      <c r="CE66" s="126"/>
      <c r="CF66" s="120"/>
      <c r="CG66" s="134"/>
      <c r="CH66" s="134"/>
      <c r="CI66" s="120"/>
      <c r="CJ66" s="200"/>
      <c r="CK66" s="200"/>
      <c r="CL66" s="120"/>
      <c r="CM66" s="200"/>
      <c r="CN66" s="200"/>
      <c r="CO66" s="120"/>
      <c r="CP66" s="134"/>
      <c r="CQ66" s="134"/>
      <c r="CR66" s="120"/>
      <c r="CS66" s="134"/>
      <c r="CT66" s="134"/>
      <c r="CU66" s="120"/>
      <c r="CV66" s="250"/>
      <c r="CW66" s="250"/>
      <c r="CX66" s="120"/>
      <c r="CY66" s="250"/>
      <c r="CZ66" s="250"/>
      <c r="DA66" s="120"/>
      <c r="DB66" s="202"/>
      <c r="DC66" s="202"/>
      <c r="DD66" s="349"/>
      <c r="DE66" s="202"/>
      <c r="DF66" s="202"/>
      <c r="DG66" s="254"/>
      <c r="DH66" s="203"/>
      <c r="DI66" s="203"/>
      <c r="DJ66" s="259"/>
      <c r="DK66" s="136"/>
      <c r="DL66" s="136"/>
      <c r="DM66" s="120"/>
      <c r="DN66" s="233"/>
      <c r="DO66" s="233"/>
      <c r="DP66" s="120"/>
      <c r="DQ66" s="262"/>
      <c r="DR66" s="262"/>
      <c r="DS66" s="120"/>
      <c r="DT66" s="262"/>
      <c r="DU66" s="262"/>
      <c r="DV66" s="120"/>
      <c r="DW66" s="262"/>
      <c r="DX66" s="262"/>
      <c r="DY66" s="120"/>
      <c r="DZ66" s="262"/>
      <c r="EA66" s="262"/>
      <c r="EB66" s="265"/>
      <c r="EC66" s="262"/>
      <c r="ED66" s="262"/>
      <c r="EE66" s="256"/>
      <c r="EF66" s="233"/>
      <c r="EG66" s="233"/>
      <c r="EH66" s="120"/>
      <c r="EI66" s="262"/>
      <c r="EJ66" s="262"/>
      <c r="EK66" s="120"/>
      <c r="EL66" s="262"/>
      <c r="EM66" s="262"/>
      <c r="EN66" s="120"/>
      <c r="EO66" s="262"/>
      <c r="EP66" s="262"/>
      <c r="EQ66" s="120"/>
      <c r="ER66" s="262"/>
      <c r="ES66" s="262"/>
      <c r="ET66" s="120"/>
      <c r="EU66" s="262"/>
      <c r="EV66" s="262"/>
      <c r="EW66" s="120"/>
      <c r="EX66" s="262"/>
      <c r="EY66" s="262"/>
      <c r="EZ66" s="120"/>
      <c r="FA66" s="262"/>
      <c r="FB66" s="262"/>
      <c r="FC66" s="120"/>
      <c r="FD66" s="262"/>
      <c r="FE66" s="262"/>
      <c r="FF66" s="120"/>
      <c r="FG66" s="262"/>
      <c r="FH66" s="262"/>
      <c r="FI66" s="120"/>
      <c r="FJ66" s="262"/>
      <c r="FK66" s="262"/>
      <c r="FL66" s="120"/>
      <c r="FM66" s="262"/>
      <c r="FN66" s="262"/>
      <c r="FO66" s="120"/>
      <c r="FP66" s="262"/>
      <c r="FQ66" s="262"/>
      <c r="FR66" s="120"/>
      <c r="FS66" s="262"/>
      <c r="FT66" s="262"/>
      <c r="FU66" s="120"/>
      <c r="FV66" s="262"/>
      <c r="FW66" s="262"/>
      <c r="FX66" s="120"/>
      <c r="FY66" s="262"/>
      <c r="FZ66" s="262"/>
      <c r="GA66" s="256"/>
      <c r="GB66" s="233"/>
      <c r="GC66" s="233"/>
      <c r="GJ66" s="121">
        <f t="shared" si="19"/>
        <v>0</v>
      </c>
      <c r="GK66" s="121">
        <f t="shared" si="20"/>
        <v>0</v>
      </c>
      <c r="GM66" s="121">
        <f t="shared" si="21"/>
        <v>0</v>
      </c>
      <c r="GN66" s="121">
        <f t="shared" si="22"/>
        <v>0</v>
      </c>
      <c r="GO66" s="121">
        <f t="shared" si="23"/>
        <v>0</v>
      </c>
      <c r="GP66" s="121">
        <f t="shared" si="24"/>
        <v>0</v>
      </c>
      <c r="GQ66" s="121">
        <f t="shared" si="25"/>
        <v>0</v>
      </c>
      <c r="GR66" s="121">
        <f t="shared" si="26"/>
        <v>0</v>
      </c>
    </row>
    <row r="67" spans="1:200" s="133" customFormat="1" ht="38.25" customHeight="1" x14ac:dyDescent="0.55000000000000004">
      <c r="A67" s="121"/>
      <c r="B67" s="307" t="s">
        <v>359</v>
      </c>
      <c r="C67" s="139">
        <v>1</v>
      </c>
      <c r="D67" s="139">
        <v>2</v>
      </c>
      <c r="E67" s="139">
        <v>2</v>
      </c>
      <c r="F67" s="142">
        <f>($X$67/$Y$67)*$L$67*C67</f>
        <v>420</v>
      </c>
      <c r="G67" s="142">
        <f>($X$67/$Y$67)*$L$67*D67</f>
        <v>840</v>
      </c>
      <c r="H67" s="142">
        <f>($X$67/$Y$67)*$L$67*E67</f>
        <v>840</v>
      </c>
      <c r="I67" s="122" cm="1">
        <f t="array" ref="I67">SUMPRODUCT(($X$2:$GG$2&lt;&gt;"")*($X67:$GG67&lt;&gt;""))</f>
        <v>6</v>
      </c>
      <c r="J67" s="122">
        <f>I67*C67</f>
        <v>6</v>
      </c>
      <c r="K67" s="122">
        <f t="shared" si="11"/>
        <v>84</v>
      </c>
      <c r="L67" s="249">
        <f t="shared" ref="L67:L100" si="27">$L$1</f>
        <v>7000</v>
      </c>
      <c r="M67" s="144">
        <f t="shared" si="12"/>
        <v>4620</v>
      </c>
      <c r="N67" s="405"/>
      <c r="O67" s="145">
        <f t="shared" si="13"/>
        <v>3850</v>
      </c>
      <c r="P67" s="145">
        <f t="shared" si="14"/>
        <v>231</v>
      </c>
      <c r="Q67" s="145">
        <f t="shared" si="15"/>
        <v>0</v>
      </c>
      <c r="R67" s="145">
        <f t="shared" si="16"/>
        <v>0</v>
      </c>
      <c r="S67" s="130">
        <f t="shared" si="17"/>
        <v>1193.5</v>
      </c>
      <c r="T67" s="130">
        <f t="shared" si="18"/>
        <v>0</v>
      </c>
      <c r="U67" s="141">
        <v>250</v>
      </c>
      <c r="V67" s="123">
        <v>31</v>
      </c>
      <c r="W67" s="134">
        <v>2000</v>
      </c>
      <c r="X67" s="124">
        <v>15</v>
      </c>
      <c r="Y67" s="134">
        <v>250</v>
      </c>
      <c r="Z67" s="200" t="s">
        <v>16</v>
      </c>
      <c r="AA67" s="120"/>
      <c r="AB67" s="134"/>
      <c r="AC67" s="200"/>
      <c r="AD67" s="125">
        <v>100</v>
      </c>
      <c r="AE67" s="134">
        <v>2000</v>
      </c>
      <c r="AF67" s="200" t="s">
        <v>603</v>
      </c>
      <c r="AG67" s="120"/>
      <c r="AH67" s="262"/>
      <c r="AI67" s="262"/>
      <c r="AJ67" s="120"/>
      <c r="AK67" s="262"/>
      <c r="AL67" s="262"/>
      <c r="AM67" s="120">
        <v>1.5</v>
      </c>
      <c r="AN67" s="262">
        <v>1000</v>
      </c>
      <c r="AO67" s="262" t="s">
        <v>602</v>
      </c>
      <c r="AP67" s="120">
        <v>1.5</v>
      </c>
      <c r="AQ67" s="262">
        <v>1000</v>
      </c>
      <c r="AR67" s="262" t="s">
        <v>602</v>
      </c>
      <c r="AS67" s="120"/>
      <c r="AT67" s="262"/>
      <c r="AU67" s="262"/>
      <c r="AV67" s="120"/>
      <c r="AW67" s="262"/>
      <c r="AX67" s="262"/>
      <c r="AY67" s="120"/>
      <c r="AZ67" s="262"/>
      <c r="BA67" s="262"/>
      <c r="BB67" s="120"/>
      <c r="BC67" s="134"/>
      <c r="BD67" s="200"/>
      <c r="BE67" s="120"/>
      <c r="BF67" s="134"/>
      <c r="BG67" s="200"/>
      <c r="BH67" s="120"/>
      <c r="BI67" s="134"/>
      <c r="BJ67" s="134"/>
      <c r="BK67" s="120"/>
      <c r="BL67" s="134"/>
      <c r="BM67" s="134"/>
      <c r="BN67" s="120"/>
      <c r="BO67" s="252"/>
      <c r="BP67" s="252"/>
      <c r="BQ67" s="120"/>
      <c r="BR67" s="134"/>
      <c r="BS67" s="134"/>
      <c r="BT67" s="120"/>
      <c r="BU67" s="134"/>
      <c r="BV67" s="200"/>
      <c r="BW67" s="120"/>
      <c r="BX67" s="134"/>
      <c r="BY67" s="200"/>
      <c r="BZ67" s="120"/>
      <c r="CA67" s="126"/>
      <c r="CB67" s="126"/>
      <c r="CC67" s="120"/>
      <c r="CD67" s="126"/>
      <c r="CE67" s="126"/>
      <c r="CF67" s="120"/>
      <c r="CG67" s="134"/>
      <c r="CH67" s="134"/>
      <c r="CI67" s="120"/>
      <c r="CJ67" s="200"/>
      <c r="CK67" s="200"/>
      <c r="CL67" s="120"/>
      <c r="CM67" s="200"/>
      <c r="CN67" s="200"/>
      <c r="CO67" s="120"/>
      <c r="CP67" s="134"/>
      <c r="CQ67" s="134"/>
      <c r="CR67" s="120"/>
      <c r="CS67" s="134"/>
      <c r="CT67" s="134"/>
      <c r="CU67" s="120"/>
      <c r="CV67" s="202"/>
      <c r="CW67" s="202"/>
      <c r="CX67" s="120"/>
      <c r="CY67" s="202"/>
      <c r="CZ67" s="202"/>
      <c r="DA67" s="120"/>
      <c r="DB67" s="202"/>
      <c r="DC67" s="202"/>
      <c r="DD67" s="349"/>
      <c r="DE67" s="202"/>
      <c r="DF67" s="200" t="s">
        <v>531</v>
      </c>
      <c r="DG67" s="254"/>
      <c r="DH67" s="203"/>
      <c r="DI67" s="203"/>
      <c r="DJ67" s="259">
        <v>10</v>
      </c>
      <c r="DK67" s="344"/>
      <c r="DL67" s="352" t="s">
        <v>808</v>
      </c>
      <c r="DM67" s="120"/>
      <c r="DN67" s="233"/>
      <c r="DO67" s="233"/>
      <c r="DP67" s="120"/>
      <c r="DQ67" s="262"/>
      <c r="DR67" s="262"/>
      <c r="DS67" s="120"/>
      <c r="DT67" s="262"/>
      <c r="DU67" s="262"/>
      <c r="DV67" s="120"/>
      <c r="DW67" s="262"/>
      <c r="DX67" s="262"/>
      <c r="DY67" s="120"/>
      <c r="DZ67" s="262"/>
      <c r="EA67" s="262"/>
      <c r="EB67" s="265"/>
      <c r="EC67" s="262"/>
      <c r="ED67" s="262"/>
      <c r="EE67" s="256"/>
      <c r="EF67" s="200"/>
      <c r="EG67" s="200"/>
      <c r="EH67" s="120"/>
      <c r="EI67" s="262"/>
      <c r="EJ67" s="262"/>
      <c r="EK67" s="120"/>
      <c r="EL67" s="262"/>
      <c r="EM67" s="262"/>
      <c r="EN67" s="120"/>
      <c r="EO67" s="262"/>
      <c r="EP67" s="262"/>
      <c r="EQ67" s="120"/>
      <c r="ER67" s="262"/>
      <c r="ES67" s="262"/>
      <c r="ET67" s="120"/>
      <c r="EU67" s="262"/>
      <c r="EV67" s="262"/>
      <c r="EW67" s="120"/>
      <c r="EX67" s="262"/>
      <c r="EY67" s="262"/>
      <c r="EZ67" s="120"/>
      <c r="FA67" s="262"/>
      <c r="FB67" s="262"/>
      <c r="FC67" s="120"/>
      <c r="FD67" s="262"/>
      <c r="FE67" s="262"/>
      <c r="FF67" s="120"/>
      <c r="FG67" s="262"/>
      <c r="FH67" s="262"/>
      <c r="FI67" s="120"/>
      <c r="FJ67" s="262"/>
      <c r="FK67" s="262"/>
      <c r="FL67" s="120">
        <v>1.5</v>
      </c>
      <c r="FM67" s="341"/>
      <c r="FN67" s="350" t="s">
        <v>806</v>
      </c>
      <c r="FO67" s="120"/>
      <c r="FP67" s="262"/>
      <c r="FQ67" s="262"/>
      <c r="FR67" s="120"/>
      <c r="FS67" s="262"/>
      <c r="FT67" s="262"/>
      <c r="FU67" s="120"/>
      <c r="FV67" s="262"/>
      <c r="FW67" s="262"/>
      <c r="FX67" s="120"/>
      <c r="FY67" s="262"/>
      <c r="FZ67" s="262"/>
      <c r="GA67" s="256"/>
      <c r="GB67" s="234"/>
      <c r="GC67" s="234"/>
      <c r="GJ67" s="133">
        <f t="shared" si="19"/>
        <v>0</v>
      </c>
      <c r="GK67" s="133">
        <f t="shared" si="20"/>
        <v>0</v>
      </c>
      <c r="GM67" s="133">
        <f t="shared" si="21"/>
        <v>1</v>
      </c>
      <c r="GN67" s="133">
        <f t="shared" si="22"/>
        <v>0</v>
      </c>
      <c r="GO67" s="133">
        <f t="shared" si="23"/>
        <v>1</v>
      </c>
      <c r="GP67" s="133">
        <f t="shared" si="24"/>
        <v>3</v>
      </c>
      <c r="GQ67" s="133">
        <f t="shared" si="25"/>
        <v>0</v>
      </c>
      <c r="GR67" s="133">
        <f t="shared" si="26"/>
        <v>1</v>
      </c>
    </row>
    <row r="68" spans="1:200" ht="38.25" customHeight="1" x14ac:dyDescent="0.55000000000000004">
      <c r="A68" s="121" t="s">
        <v>128</v>
      </c>
      <c r="B68" s="308" t="s">
        <v>134</v>
      </c>
      <c r="C68" s="122">
        <v>2</v>
      </c>
      <c r="D68" s="122">
        <v>2</v>
      </c>
      <c r="E68" s="122">
        <v>2</v>
      </c>
      <c r="F68" s="142">
        <f>($X$68/$Y$68)*$L$68*C68</f>
        <v>3920.0000000000005</v>
      </c>
      <c r="G68" s="142">
        <f>($X$68/$Y$68)*$L$68*D68</f>
        <v>3920.0000000000005</v>
      </c>
      <c r="H68" s="142">
        <f>($X$68/$Y$68)*$L$68*E68</f>
        <v>3920.0000000000005</v>
      </c>
      <c r="I68" s="122" cm="1">
        <f t="array" ref="I68">SUMPRODUCT(($X$2:$GG$2&lt;&gt;"")*($X68:$GG68&lt;&gt;""))</f>
        <v>9</v>
      </c>
      <c r="J68" s="122">
        <f t="shared" si="10"/>
        <v>18</v>
      </c>
      <c r="K68" s="122">
        <f t="shared" si="11"/>
        <v>252</v>
      </c>
      <c r="L68" s="249">
        <f t="shared" si="27"/>
        <v>7000</v>
      </c>
      <c r="M68" s="144">
        <f t="shared" si="12"/>
        <v>29400.000000000004</v>
      </c>
      <c r="N68" s="405"/>
      <c r="O68" s="145">
        <f t="shared" si="13"/>
        <v>34387.5</v>
      </c>
      <c r="P68" s="145">
        <f t="shared" si="14"/>
        <v>13650</v>
      </c>
      <c r="Q68" s="145">
        <f t="shared" si="15"/>
        <v>0</v>
      </c>
      <c r="R68" s="145">
        <f t="shared" si="16"/>
        <v>0</v>
      </c>
      <c r="S68" s="130">
        <f t="shared" si="17"/>
        <v>3307.5</v>
      </c>
      <c r="T68" s="130">
        <f t="shared" si="18"/>
        <v>0</v>
      </c>
      <c r="U68" s="131">
        <v>1720</v>
      </c>
      <c r="V68" s="123">
        <v>126</v>
      </c>
      <c r="W68" s="134">
        <v>4000</v>
      </c>
      <c r="X68" s="124">
        <v>70</v>
      </c>
      <c r="Y68" s="134">
        <v>250</v>
      </c>
      <c r="Z68" s="348" t="s">
        <v>576</v>
      </c>
      <c r="AA68" s="120">
        <v>17</v>
      </c>
      <c r="AB68" s="340"/>
      <c r="AC68" s="348" t="s">
        <v>806</v>
      </c>
      <c r="AD68" s="125">
        <v>655</v>
      </c>
      <c r="AE68" s="134">
        <v>2000</v>
      </c>
      <c r="AF68" s="348" t="s">
        <v>807</v>
      </c>
      <c r="AG68" s="120"/>
      <c r="AH68" s="262"/>
      <c r="AI68" s="262"/>
      <c r="AJ68" s="120"/>
      <c r="AK68" s="262"/>
      <c r="AL68" s="262"/>
      <c r="AM68" s="120"/>
      <c r="AN68" s="262"/>
      <c r="AO68" s="262"/>
      <c r="AP68" s="120"/>
      <c r="AQ68" s="262"/>
      <c r="AR68" s="262"/>
      <c r="AS68" s="120"/>
      <c r="AT68" s="262"/>
      <c r="AU68" s="262"/>
      <c r="AV68" s="120"/>
      <c r="AW68" s="262"/>
      <c r="AX68" s="262"/>
      <c r="AY68" s="120"/>
      <c r="AZ68" s="262"/>
      <c r="BA68" s="262"/>
      <c r="BB68" s="120">
        <v>25</v>
      </c>
      <c r="BC68" s="140">
        <v>1000</v>
      </c>
      <c r="BD68" s="348" t="s">
        <v>806</v>
      </c>
      <c r="BE68" s="120">
        <v>25</v>
      </c>
      <c r="BF68" s="140">
        <v>1000</v>
      </c>
      <c r="BG68" s="348" t="s">
        <v>806</v>
      </c>
      <c r="BH68" s="120"/>
      <c r="BI68" s="140"/>
      <c r="BJ68" s="140"/>
      <c r="BK68" s="120"/>
      <c r="BL68" s="140"/>
      <c r="BM68" s="140"/>
      <c r="BN68" s="120"/>
      <c r="BO68" s="132"/>
      <c r="BP68" s="132"/>
      <c r="BQ68" s="120"/>
      <c r="BR68" s="140"/>
      <c r="BS68" s="140"/>
      <c r="BT68" s="120"/>
      <c r="BU68" s="140"/>
      <c r="BV68" s="200"/>
      <c r="BW68" s="120"/>
      <c r="BX68" s="140"/>
      <c r="BY68" s="200"/>
      <c r="BZ68" s="120"/>
      <c r="CA68" s="126"/>
      <c r="CB68" s="126"/>
      <c r="CC68" s="120"/>
      <c r="CD68" s="126"/>
      <c r="CE68" s="126"/>
      <c r="CF68" s="120"/>
      <c r="CG68" s="134"/>
      <c r="CH68" s="134"/>
      <c r="CI68" s="120">
        <v>15</v>
      </c>
      <c r="CJ68" s="140">
        <v>500</v>
      </c>
      <c r="CK68" s="353" t="s">
        <v>806</v>
      </c>
      <c r="CL68" s="120"/>
      <c r="CM68" s="132"/>
      <c r="CN68" s="132"/>
      <c r="CO68" s="120">
        <v>25</v>
      </c>
      <c r="CP68" s="140">
        <v>1000</v>
      </c>
      <c r="CQ68" s="353" t="s">
        <v>806</v>
      </c>
      <c r="CR68" s="120">
        <v>25</v>
      </c>
      <c r="CS68" s="134">
        <v>1000</v>
      </c>
      <c r="CT68" s="347" t="s">
        <v>806</v>
      </c>
      <c r="CU68" s="120"/>
      <c r="CV68" s="126"/>
      <c r="CW68" s="126"/>
      <c r="CX68" s="120"/>
      <c r="CY68" s="126"/>
      <c r="CZ68" s="126"/>
      <c r="DA68" s="120"/>
      <c r="DB68" s="126"/>
      <c r="DC68" s="126"/>
      <c r="DD68" s="347"/>
      <c r="DE68" s="126"/>
      <c r="DF68" s="126"/>
      <c r="DG68" s="258"/>
      <c r="DH68" s="203"/>
      <c r="DI68" s="203"/>
      <c r="DJ68" s="259"/>
      <c r="DK68" s="136"/>
      <c r="DL68" s="136"/>
      <c r="DM68" s="120"/>
      <c r="DN68" s="234"/>
      <c r="DO68" s="234"/>
      <c r="DP68" s="120"/>
      <c r="DQ68" s="262"/>
      <c r="DR68" s="262"/>
      <c r="DS68" s="120"/>
      <c r="DT68" s="262"/>
      <c r="DU68" s="262"/>
      <c r="DV68" s="120"/>
      <c r="DW68" s="262"/>
      <c r="DX68" s="262"/>
      <c r="DY68" s="120"/>
      <c r="DZ68" s="262"/>
      <c r="EA68" s="262"/>
      <c r="EB68" s="265"/>
      <c r="EC68" s="262"/>
      <c r="ED68" s="262"/>
      <c r="EE68" s="256">
        <v>50</v>
      </c>
      <c r="EF68" s="345"/>
      <c r="EG68" s="354" t="s">
        <v>808</v>
      </c>
      <c r="EH68" s="120"/>
      <c r="EI68" s="262"/>
      <c r="EJ68" s="262"/>
      <c r="EK68" s="120"/>
      <c r="EL68" s="262"/>
      <c r="EM68" s="262"/>
      <c r="EN68" s="120"/>
      <c r="EO68" s="262"/>
      <c r="EP68" s="262"/>
      <c r="EQ68" s="120"/>
      <c r="ER68" s="262"/>
      <c r="ES68" s="262"/>
      <c r="ET68" s="120"/>
      <c r="EU68" s="262"/>
      <c r="EV68" s="262"/>
      <c r="EW68" s="120"/>
      <c r="EX68" s="262"/>
      <c r="EY68" s="262"/>
      <c r="EZ68" s="120"/>
      <c r="FA68" s="262"/>
      <c r="FB68" s="262"/>
      <c r="FC68" s="120"/>
      <c r="FD68" s="262"/>
      <c r="FE68" s="262"/>
      <c r="FF68" s="120"/>
      <c r="FG68" s="262"/>
      <c r="FH68" s="262"/>
      <c r="FI68" s="120"/>
      <c r="FJ68" s="262"/>
      <c r="FK68" s="262"/>
      <c r="FL68" s="120"/>
      <c r="FM68" s="262"/>
      <c r="FN68" s="262"/>
      <c r="FO68" s="120"/>
      <c r="FP68" s="262"/>
      <c r="FQ68" s="262"/>
      <c r="FR68" s="120"/>
      <c r="FS68" s="262"/>
      <c r="FT68" s="262"/>
      <c r="FU68" s="120"/>
      <c r="FV68" s="262"/>
      <c r="FW68" s="262"/>
      <c r="FX68" s="120"/>
      <c r="FY68" s="262"/>
      <c r="FZ68" s="262"/>
      <c r="GA68" s="256"/>
      <c r="GB68" s="233"/>
      <c r="GC68" s="233"/>
      <c r="GJ68" s="121">
        <f t="shared" si="19"/>
        <v>0</v>
      </c>
      <c r="GK68" s="121">
        <f t="shared" si="20"/>
        <v>0</v>
      </c>
      <c r="GM68" s="121">
        <f t="shared" si="21"/>
        <v>1</v>
      </c>
      <c r="GN68" s="121">
        <f t="shared" si="22"/>
        <v>1</v>
      </c>
      <c r="GO68" s="121">
        <f t="shared" si="23"/>
        <v>1</v>
      </c>
      <c r="GP68" s="121">
        <f t="shared" si="24"/>
        <v>5</v>
      </c>
      <c r="GQ68" s="121">
        <f t="shared" si="25"/>
        <v>0</v>
      </c>
      <c r="GR68" s="121">
        <f t="shared" si="26"/>
        <v>1</v>
      </c>
    </row>
    <row r="69" spans="1:200" ht="38.25" customHeight="1" x14ac:dyDescent="0.55000000000000004">
      <c r="A69" s="121" t="s">
        <v>128</v>
      </c>
      <c r="B69" s="308" t="s">
        <v>135</v>
      </c>
      <c r="C69" s="122">
        <v>1</v>
      </c>
      <c r="D69" s="122">
        <v>1</v>
      </c>
      <c r="E69" s="122">
        <v>1</v>
      </c>
      <c r="F69" s="142">
        <f>($X$69/$Y$69)*$L$69*C69</f>
        <v>1960.0000000000002</v>
      </c>
      <c r="G69" s="142">
        <f>($X$69/$Y$69)*$L$69*D69</f>
        <v>1960.0000000000002</v>
      </c>
      <c r="H69" s="142">
        <f>($X$69/$Y$69)*$L$69*E69</f>
        <v>1960.0000000000002</v>
      </c>
      <c r="I69" s="122" cm="1">
        <f t="array" ref="I69">SUMPRODUCT(($X$2:$GG$2&lt;&gt;"")*($X69:$GG69&lt;&gt;""))</f>
        <v>9</v>
      </c>
      <c r="J69" s="122">
        <f t="shared" si="10"/>
        <v>9</v>
      </c>
      <c r="K69" s="122">
        <f t="shared" si="11"/>
        <v>126</v>
      </c>
      <c r="L69" s="249">
        <f t="shared" si="27"/>
        <v>7000</v>
      </c>
      <c r="M69" s="144">
        <f t="shared" si="12"/>
        <v>23520.000000000004</v>
      </c>
      <c r="N69" s="405"/>
      <c r="O69" s="145">
        <f t="shared" si="13"/>
        <v>27510</v>
      </c>
      <c r="P69" s="145">
        <f t="shared" si="14"/>
        <v>10920</v>
      </c>
      <c r="Q69" s="145">
        <f t="shared" si="15"/>
        <v>0</v>
      </c>
      <c r="R69" s="145">
        <f t="shared" si="16"/>
        <v>0</v>
      </c>
      <c r="S69" s="130">
        <f t="shared" si="17"/>
        <v>2646</v>
      </c>
      <c r="T69" s="130">
        <f t="shared" si="18"/>
        <v>0</v>
      </c>
      <c r="U69" s="131">
        <v>1720</v>
      </c>
      <c r="V69" s="123">
        <v>126</v>
      </c>
      <c r="W69" s="134">
        <v>4000</v>
      </c>
      <c r="X69" s="124">
        <v>70</v>
      </c>
      <c r="Y69" s="134">
        <v>250</v>
      </c>
      <c r="Z69" s="348" t="s">
        <v>576</v>
      </c>
      <c r="AA69" s="120">
        <v>17</v>
      </c>
      <c r="AB69" s="340"/>
      <c r="AC69" s="348" t="s">
        <v>806</v>
      </c>
      <c r="AD69" s="125">
        <v>655</v>
      </c>
      <c r="AE69" s="134">
        <v>2000</v>
      </c>
      <c r="AF69" s="348" t="s">
        <v>807</v>
      </c>
      <c r="AG69" s="120"/>
      <c r="AH69" s="262"/>
      <c r="AI69" s="262"/>
      <c r="AJ69" s="120"/>
      <c r="AK69" s="262"/>
      <c r="AL69" s="262"/>
      <c r="AM69" s="120"/>
      <c r="AN69" s="262"/>
      <c r="AO69" s="262"/>
      <c r="AP69" s="120"/>
      <c r="AQ69" s="262"/>
      <c r="AR69" s="262"/>
      <c r="AS69" s="120"/>
      <c r="AT69" s="262"/>
      <c r="AU69" s="262"/>
      <c r="AV69" s="120"/>
      <c r="AW69" s="262"/>
      <c r="AX69" s="262"/>
      <c r="AY69" s="120"/>
      <c r="AZ69" s="262"/>
      <c r="BA69" s="262"/>
      <c r="BB69" s="120">
        <v>25</v>
      </c>
      <c r="BC69" s="140">
        <v>1000</v>
      </c>
      <c r="BD69" s="348" t="s">
        <v>806</v>
      </c>
      <c r="BE69" s="120">
        <v>25</v>
      </c>
      <c r="BF69" s="134">
        <v>1000</v>
      </c>
      <c r="BG69" s="348" t="s">
        <v>806</v>
      </c>
      <c r="BH69" s="120"/>
      <c r="BI69" s="134"/>
      <c r="BJ69" s="134"/>
      <c r="BK69" s="120"/>
      <c r="BL69" s="134"/>
      <c r="BM69" s="134"/>
      <c r="BN69" s="120"/>
      <c r="BO69" s="126"/>
      <c r="BP69" s="126"/>
      <c r="BQ69" s="120"/>
      <c r="BR69" s="134"/>
      <c r="BS69" s="134"/>
      <c r="BT69" s="120"/>
      <c r="BU69" s="134"/>
      <c r="BV69" s="200"/>
      <c r="BW69" s="120"/>
      <c r="BX69" s="134"/>
      <c r="BY69" s="200"/>
      <c r="BZ69" s="120"/>
      <c r="CA69" s="126"/>
      <c r="CB69" s="126"/>
      <c r="CC69" s="120"/>
      <c r="CD69" s="126"/>
      <c r="CE69" s="126"/>
      <c r="CF69" s="120"/>
      <c r="CG69" s="134"/>
      <c r="CH69" s="134"/>
      <c r="CI69" s="120">
        <v>15</v>
      </c>
      <c r="CJ69" s="134">
        <v>500</v>
      </c>
      <c r="CK69" s="347" t="s">
        <v>806</v>
      </c>
      <c r="CL69" s="120"/>
      <c r="CM69" s="126"/>
      <c r="CN69" s="126"/>
      <c r="CO69" s="120">
        <v>25</v>
      </c>
      <c r="CP69" s="134">
        <v>1000</v>
      </c>
      <c r="CQ69" s="347" t="s">
        <v>806</v>
      </c>
      <c r="CR69" s="120">
        <v>25</v>
      </c>
      <c r="CS69" s="134">
        <v>1000</v>
      </c>
      <c r="CT69" s="347" t="s">
        <v>806</v>
      </c>
      <c r="CU69" s="120"/>
      <c r="CV69" s="126"/>
      <c r="CW69" s="126"/>
      <c r="CX69" s="120"/>
      <c r="CY69" s="126"/>
      <c r="CZ69" s="126"/>
      <c r="DA69" s="120"/>
      <c r="DB69" s="126"/>
      <c r="DC69" s="126"/>
      <c r="DD69" s="347"/>
      <c r="DE69" s="126"/>
      <c r="DF69" s="126"/>
      <c r="DG69" s="258"/>
      <c r="DH69" s="203"/>
      <c r="DI69" s="203"/>
      <c r="DJ69" s="259"/>
      <c r="DK69" s="136"/>
      <c r="DL69" s="136"/>
      <c r="DM69" s="120"/>
      <c r="DN69" s="234"/>
      <c r="DO69" s="234"/>
      <c r="DP69" s="120"/>
      <c r="DQ69" s="262"/>
      <c r="DR69" s="262"/>
      <c r="DS69" s="120"/>
      <c r="DT69" s="262"/>
      <c r="DU69" s="262"/>
      <c r="DV69" s="120"/>
      <c r="DW69" s="262"/>
      <c r="DX69" s="262"/>
      <c r="DY69" s="120"/>
      <c r="DZ69" s="262"/>
      <c r="EA69" s="262"/>
      <c r="EB69" s="265"/>
      <c r="EC69" s="262"/>
      <c r="ED69" s="262"/>
      <c r="EE69" s="256">
        <v>50</v>
      </c>
      <c r="EF69" s="345"/>
      <c r="EG69" s="354" t="s">
        <v>808</v>
      </c>
      <c r="EH69" s="120"/>
      <c r="EI69" s="262"/>
      <c r="EJ69" s="262"/>
      <c r="EK69" s="120"/>
      <c r="EL69" s="262"/>
      <c r="EM69" s="262"/>
      <c r="EN69" s="120"/>
      <c r="EO69" s="262"/>
      <c r="EP69" s="262"/>
      <c r="EQ69" s="120"/>
      <c r="ER69" s="262"/>
      <c r="ES69" s="262"/>
      <c r="ET69" s="120"/>
      <c r="EU69" s="262"/>
      <c r="EV69" s="262"/>
      <c r="EW69" s="120"/>
      <c r="EX69" s="262"/>
      <c r="EY69" s="262"/>
      <c r="EZ69" s="120"/>
      <c r="FA69" s="262"/>
      <c r="FB69" s="262"/>
      <c r="FC69" s="120"/>
      <c r="FD69" s="262"/>
      <c r="FE69" s="262"/>
      <c r="FF69" s="120"/>
      <c r="FG69" s="262"/>
      <c r="FH69" s="262"/>
      <c r="FI69" s="120"/>
      <c r="FJ69" s="262"/>
      <c r="FK69" s="262"/>
      <c r="FL69" s="120"/>
      <c r="FM69" s="262"/>
      <c r="FN69" s="262"/>
      <c r="FO69" s="120"/>
      <c r="FP69" s="262"/>
      <c r="FQ69" s="262"/>
      <c r="FR69" s="120"/>
      <c r="FS69" s="262"/>
      <c r="FT69" s="262"/>
      <c r="FU69" s="120"/>
      <c r="FV69" s="262"/>
      <c r="FW69" s="262"/>
      <c r="FX69" s="120"/>
      <c r="FY69" s="262"/>
      <c r="FZ69" s="262"/>
      <c r="GA69" s="256"/>
      <c r="GB69" s="233"/>
      <c r="GC69" s="233"/>
      <c r="GJ69" s="121">
        <f t="shared" si="19"/>
        <v>0</v>
      </c>
      <c r="GK69" s="121">
        <f t="shared" si="20"/>
        <v>0</v>
      </c>
      <c r="GM69" s="121">
        <f t="shared" si="21"/>
        <v>1</v>
      </c>
      <c r="GN69" s="121">
        <f t="shared" si="22"/>
        <v>1</v>
      </c>
      <c r="GO69" s="121">
        <f t="shared" si="23"/>
        <v>1</v>
      </c>
      <c r="GP69" s="121">
        <f t="shared" si="24"/>
        <v>5</v>
      </c>
      <c r="GQ69" s="121">
        <f t="shared" si="25"/>
        <v>0</v>
      </c>
      <c r="GR69" s="121">
        <f t="shared" si="26"/>
        <v>1</v>
      </c>
    </row>
    <row r="70" spans="1:200" ht="38.25" customHeight="1" x14ac:dyDescent="0.55000000000000004">
      <c r="B70" s="309" t="s">
        <v>157</v>
      </c>
      <c r="C70" s="198">
        <v>4</v>
      </c>
      <c r="D70" s="198">
        <v>4</v>
      </c>
      <c r="E70" s="198">
        <v>4</v>
      </c>
      <c r="F70" s="142">
        <f>($X$70/$Y$70)*$L$70*C70</f>
        <v>4031.9999999999995</v>
      </c>
      <c r="G70" s="142">
        <f>($X$70/$Y$70)*$L$70*D70</f>
        <v>4031.9999999999995</v>
      </c>
      <c r="H70" s="142">
        <f>($X$70/$Y$70)*$L$70*E70</f>
        <v>4031.9999999999995</v>
      </c>
      <c r="I70" s="142" cm="1">
        <f t="array" ref="I70">SUMPRODUCT(($X$2:$GG$2&lt;&gt;"")*($X70:$GG70&lt;&gt;""))</f>
        <v>7</v>
      </c>
      <c r="J70" s="122">
        <f t="shared" si="10"/>
        <v>28</v>
      </c>
      <c r="K70" s="122">
        <f t="shared" si="11"/>
        <v>392</v>
      </c>
      <c r="L70" s="249">
        <f t="shared" si="27"/>
        <v>7000</v>
      </c>
      <c r="M70" s="144">
        <f t="shared" si="12"/>
        <v>19151.999999999996</v>
      </c>
      <c r="N70" s="405"/>
      <c r="O70" s="145">
        <f t="shared" si="13"/>
        <v>19817</v>
      </c>
      <c r="P70" s="145">
        <f t="shared" si="14"/>
        <v>5413.0999999999995</v>
      </c>
      <c r="Q70" s="145">
        <f t="shared" si="15"/>
        <v>0</v>
      </c>
      <c r="R70" s="145">
        <f t="shared" si="16"/>
        <v>631.75</v>
      </c>
      <c r="S70" s="130">
        <f t="shared" si="17"/>
        <v>1064</v>
      </c>
      <c r="T70" s="130">
        <f t="shared" si="18"/>
        <v>0</v>
      </c>
      <c r="U70" s="141">
        <v>630</v>
      </c>
      <c r="V70" s="123">
        <v>32</v>
      </c>
      <c r="W70" s="134">
        <v>4000</v>
      </c>
      <c r="X70" s="124">
        <v>36</v>
      </c>
      <c r="Y70" s="134">
        <v>250</v>
      </c>
      <c r="Z70" s="348" t="s">
        <v>576</v>
      </c>
      <c r="AA70" s="120"/>
      <c r="AB70" s="134"/>
      <c r="AC70" s="200"/>
      <c r="AD70" s="125">
        <v>298</v>
      </c>
      <c r="AE70" s="134">
        <v>2000</v>
      </c>
      <c r="AF70" s="348" t="s">
        <v>807</v>
      </c>
      <c r="AG70" s="120"/>
      <c r="AH70" s="262"/>
      <c r="AI70" s="262"/>
      <c r="AJ70" s="120"/>
      <c r="AK70" s="262"/>
      <c r="AL70" s="262"/>
      <c r="AM70" s="120"/>
      <c r="AN70" s="262"/>
      <c r="AO70" s="262"/>
      <c r="AP70" s="120"/>
      <c r="AQ70" s="262"/>
      <c r="AR70" s="262"/>
      <c r="AS70" s="120"/>
      <c r="AT70" s="262"/>
      <c r="AU70" s="262"/>
      <c r="AV70" s="120"/>
      <c r="AW70" s="262"/>
      <c r="AX70" s="262"/>
      <c r="AY70" s="120"/>
      <c r="AZ70" s="262"/>
      <c r="BA70" s="262"/>
      <c r="BB70" s="120">
        <v>10.5</v>
      </c>
      <c r="BC70" s="134">
        <v>1000</v>
      </c>
      <c r="BD70" s="348" t="s">
        <v>806</v>
      </c>
      <c r="BE70" s="120">
        <v>10.5</v>
      </c>
      <c r="BF70" s="134">
        <v>1000</v>
      </c>
      <c r="BG70" s="348" t="s">
        <v>806</v>
      </c>
      <c r="BH70" s="120"/>
      <c r="BI70" s="134"/>
      <c r="BJ70" s="134"/>
      <c r="BK70" s="120"/>
      <c r="BL70" s="134"/>
      <c r="BM70" s="134"/>
      <c r="BN70" s="120"/>
      <c r="BO70" s="252"/>
      <c r="BP70" s="252"/>
      <c r="BQ70" s="120"/>
      <c r="BR70" s="134"/>
      <c r="BS70" s="134"/>
      <c r="BT70" s="120">
        <v>15.7</v>
      </c>
      <c r="BU70" s="134">
        <v>1000</v>
      </c>
      <c r="BV70" s="348" t="s">
        <v>806</v>
      </c>
      <c r="BW70" s="120"/>
      <c r="BX70" s="134"/>
      <c r="BY70" s="200"/>
      <c r="BZ70" s="120"/>
      <c r="CA70" s="126"/>
      <c r="CB70" s="126"/>
      <c r="CC70" s="120"/>
      <c r="CD70" s="126"/>
      <c r="CE70" s="126"/>
      <c r="CF70" s="120">
        <v>4</v>
      </c>
      <c r="CG70" s="134">
        <v>1000</v>
      </c>
      <c r="CH70" s="347" t="s">
        <v>806</v>
      </c>
      <c r="CI70" s="120"/>
      <c r="CJ70" s="200"/>
      <c r="CK70" s="200"/>
      <c r="CL70" s="120"/>
      <c r="CM70" s="127"/>
      <c r="CN70" s="127"/>
      <c r="CO70" s="120"/>
      <c r="CP70" s="134"/>
      <c r="CQ70" s="134"/>
      <c r="CR70" s="120"/>
      <c r="CS70" s="134"/>
      <c r="CT70" s="134"/>
      <c r="CU70" s="120"/>
      <c r="CV70" s="128"/>
      <c r="CW70" s="128"/>
      <c r="CX70" s="120"/>
      <c r="CY70" s="128"/>
      <c r="CZ70" s="128"/>
      <c r="DA70" s="120"/>
      <c r="DB70" s="128"/>
      <c r="DC70" s="128"/>
      <c r="DD70" s="349"/>
      <c r="DE70" s="128"/>
      <c r="DF70" s="128"/>
      <c r="DG70" s="254"/>
      <c r="DH70" s="129"/>
      <c r="DI70" s="129"/>
      <c r="DJ70" s="259">
        <v>19</v>
      </c>
      <c r="DK70" s="136">
        <v>4000</v>
      </c>
      <c r="DL70" s="352" t="s">
        <v>808</v>
      </c>
      <c r="DM70" s="120"/>
      <c r="DN70" s="233"/>
      <c r="DO70" s="233"/>
      <c r="DP70" s="120"/>
      <c r="DQ70" s="262"/>
      <c r="DR70" s="262"/>
      <c r="DS70" s="120"/>
      <c r="DT70" s="262"/>
      <c r="DU70" s="262"/>
      <c r="DV70" s="120"/>
      <c r="DW70" s="262"/>
      <c r="DX70" s="262"/>
      <c r="DY70" s="120"/>
      <c r="DZ70" s="262"/>
      <c r="EA70" s="262"/>
      <c r="EB70" s="265"/>
      <c r="EC70" s="262"/>
      <c r="ED70" s="262"/>
      <c r="EE70" s="256"/>
      <c r="EF70" s="233"/>
      <c r="EG70" s="233"/>
      <c r="EH70" s="120"/>
      <c r="EI70" s="262"/>
      <c r="EJ70" s="262"/>
      <c r="EK70" s="120"/>
      <c r="EL70" s="262"/>
      <c r="EM70" s="262"/>
      <c r="EN70" s="120"/>
      <c r="EO70" s="262"/>
      <c r="EP70" s="262"/>
      <c r="EQ70" s="120"/>
      <c r="ER70" s="262"/>
      <c r="ES70" s="262"/>
      <c r="ET70" s="120"/>
      <c r="EU70" s="262"/>
      <c r="EV70" s="262"/>
      <c r="EW70" s="120"/>
      <c r="EX70" s="262"/>
      <c r="EY70" s="262"/>
      <c r="EZ70" s="120"/>
      <c r="FA70" s="262"/>
      <c r="FB70" s="262"/>
      <c r="FC70" s="120"/>
      <c r="FD70" s="262"/>
      <c r="FE70" s="262"/>
      <c r="FF70" s="120"/>
      <c r="FG70" s="262"/>
      <c r="FH70" s="262"/>
      <c r="FI70" s="120"/>
      <c r="FJ70" s="262"/>
      <c r="FK70" s="262"/>
      <c r="FL70" s="120"/>
      <c r="FM70" s="262"/>
      <c r="FN70" s="262"/>
      <c r="FO70" s="120"/>
      <c r="FP70" s="262"/>
      <c r="FQ70" s="262"/>
      <c r="FR70" s="120"/>
      <c r="FS70" s="262"/>
      <c r="FT70" s="262"/>
      <c r="FU70" s="120"/>
      <c r="FV70" s="262"/>
      <c r="FW70" s="262"/>
      <c r="FX70" s="120"/>
      <c r="FY70" s="262"/>
      <c r="FZ70" s="262"/>
      <c r="GA70" s="256"/>
      <c r="GB70" s="233"/>
      <c r="GC70" s="233"/>
      <c r="GJ70" s="121">
        <f t="shared" si="19"/>
        <v>0</v>
      </c>
      <c r="GK70" s="121">
        <f t="shared" si="20"/>
        <v>0</v>
      </c>
      <c r="GM70" s="121">
        <f t="shared" si="21"/>
        <v>1</v>
      </c>
      <c r="GN70" s="121">
        <f t="shared" si="22"/>
        <v>0</v>
      </c>
      <c r="GO70" s="121">
        <f t="shared" si="23"/>
        <v>1</v>
      </c>
      <c r="GP70" s="121">
        <f t="shared" si="24"/>
        <v>4</v>
      </c>
      <c r="GQ70" s="121">
        <f t="shared" si="25"/>
        <v>0</v>
      </c>
      <c r="GR70" s="121">
        <f t="shared" si="26"/>
        <v>1</v>
      </c>
    </row>
    <row r="71" spans="1:200" ht="38.25" customHeight="1" x14ac:dyDescent="0.55000000000000004">
      <c r="B71" s="309" t="s">
        <v>156</v>
      </c>
      <c r="C71" s="198">
        <v>4</v>
      </c>
      <c r="D71" s="198">
        <v>4</v>
      </c>
      <c r="E71" s="198">
        <v>4</v>
      </c>
      <c r="F71" s="142">
        <f>($X$71/$Y$71)*$L$71*C71</f>
        <v>6160</v>
      </c>
      <c r="G71" s="142">
        <f>($X$71/$Y$71)*$L$71*D71</f>
        <v>6160</v>
      </c>
      <c r="H71" s="142">
        <f>($X$71/$Y$71)*$L$71*E71</f>
        <v>6160</v>
      </c>
      <c r="I71" s="142" cm="1">
        <f t="array" ref="I71">SUMPRODUCT(($X$2:$GG$2&lt;&gt;"")*($X71:$GG71&lt;&gt;""))</f>
        <v>7</v>
      </c>
      <c r="J71" s="122">
        <f t="shared" si="10"/>
        <v>28</v>
      </c>
      <c r="K71" s="122">
        <f t="shared" si="11"/>
        <v>392</v>
      </c>
      <c r="L71" s="249">
        <f t="shared" si="27"/>
        <v>7000</v>
      </c>
      <c r="M71" s="144">
        <f t="shared" si="12"/>
        <v>29260</v>
      </c>
      <c r="N71" s="405"/>
      <c r="O71" s="145">
        <f t="shared" si="13"/>
        <v>20615</v>
      </c>
      <c r="P71" s="145">
        <f t="shared" si="14"/>
        <v>4482.1000000000004</v>
      </c>
      <c r="Q71" s="145">
        <f t="shared" si="15"/>
        <v>0</v>
      </c>
      <c r="R71" s="145">
        <f t="shared" si="16"/>
        <v>0</v>
      </c>
      <c r="S71" s="130">
        <f t="shared" si="17"/>
        <v>2028.25</v>
      </c>
      <c r="T71" s="130">
        <f t="shared" si="18"/>
        <v>0</v>
      </c>
      <c r="U71" s="141">
        <v>705</v>
      </c>
      <c r="V71" s="123">
        <v>61</v>
      </c>
      <c r="W71" s="134">
        <v>4000</v>
      </c>
      <c r="X71" s="124">
        <v>55</v>
      </c>
      <c r="Y71" s="134">
        <v>250</v>
      </c>
      <c r="Z71" s="348" t="s">
        <v>576</v>
      </c>
      <c r="AA71" s="120"/>
      <c r="AB71" s="134"/>
      <c r="AC71" s="200"/>
      <c r="AD71" s="125">
        <v>310</v>
      </c>
      <c r="AE71" s="134">
        <v>2000</v>
      </c>
      <c r="AF71" s="348" t="s">
        <v>807</v>
      </c>
      <c r="AG71" s="120"/>
      <c r="AH71" s="262"/>
      <c r="AI71" s="262"/>
      <c r="AJ71" s="120"/>
      <c r="AK71" s="262"/>
      <c r="AL71" s="262"/>
      <c r="AM71" s="120"/>
      <c r="AN71" s="262"/>
      <c r="AO71" s="262"/>
      <c r="AP71" s="120"/>
      <c r="AQ71" s="262"/>
      <c r="AR71" s="262"/>
      <c r="AS71" s="120"/>
      <c r="AT71" s="262"/>
      <c r="AU71" s="262"/>
      <c r="AV71" s="120"/>
      <c r="AW71" s="262"/>
      <c r="AX71" s="262"/>
      <c r="AY71" s="120"/>
      <c r="AZ71" s="262"/>
      <c r="BA71" s="262"/>
      <c r="BB71" s="120">
        <v>11</v>
      </c>
      <c r="BC71" s="134">
        <v>1000</v>
      </c>
      <c r="BD71" s="348" t="s">
        <v>806</v>
      </c>
      <c r="BE71" s="120">
        <v>11</v>
      </c>
      <c r="BF71" s="134">
        <v>1000</v>
      </c>
      <c r="BG71" s="348" t="s">
        <v>806</v>
      </c>
      <c r="BH71" s="120"/>
      <c r="BI71" s="134"/>
      <c r="BJ71" s="134"/>
      <c r="BK71" s="120"/>
      <c r="BL71" s="134"/>
      <c r="BM71" s="134"/>
      <c r="BN71" s="120"/>
      <c r="BO71" s="252"/>
      <c r="BP71" s="252"/>
      <c r="BQ71" s="120"/>
      <c r="BR71" s="134"/>
      <c r="BS71" s="134"/>
      <c r="BT71" s="120">
        <v>6.7</v>
      </c>
      <c r="BU71" s="134">
        <v>1000</v>
      </c>
      <c r="BV71" s="348" t="s">
        <v>806</v>
      </c>
      <c r="BW71" s="120"/>
      <c r="BX71" s="134"/>
      <c r="BY71" s="200"/>
      <c r="BZ71" s="120"/>
      <c r="CA71" s="126"/>
      <c r="CB71" s="126"/>
      <c r="CC71" s="120"/>
      <c r="CD71" s="126"/>
      <c r="CE71" s="126"/>
      <c r="CF71" s="120">
        <v>5</v>
      </c>
      <c r="CG71" s="134">
        <v>1000</v>
      </c>
      <c r="CH71" s="347" t="s">
        <v>806</v>
      </c>
      <c r="CI71" s="120"/>
      <c r="CJ71" s="200"/>
      <c r="CK71" s="200"/>
      <c r="CL71" s="120"/>
      <c r="CM71" s="127"/>
      <c r="CN71" s="127"/>
      <c r="CO71" s="120"/>
      <c r="CP71" s="134"/>
      <c r="CQ71" s="134"/>
      <c r="CR71" s="120"/>
      <c r="CS71" s="134"/>
      <c r="CT71" s="134"/>
      <c r="CU71" s="120"/>
      <c r="CV71" s="128"/>
      <c r="CW71" s="128"/>
      <c r="CX71" s="120"/>
      <c r="CY71" s="128"/>
      <c r="CZ71" s="128"/>
      <c r="DA71" s="120"/>
      <c r="DB71" s="128"/>
      <c r="DC71" s="128"/>
      <c r="DD71" s="349"/>
      <c r="DE71" s="128"/>
      <c r="DF71" s="128"/>
      <c r="DG71" s="254"/>
      <c r="DH71" s="129"/>
      <c r="DI71" s="129"/>
      <c r="DJ71" s="259">
        <v>17</v>
      </c>
      <c r="DK71" s="344"/>
      <c r="DL71" s="352" t="s">
        <v>808</v>
      </c>
      <c r="DM71" s="120"/>
      <c r="DN71" s="233"/>
      <c r="DO71" s="233"/>
      <c r="DP71" s="120"/>
      <c r="DQ71" s="262"/>
      <c r="DR71" s="262"/>
      <c r="DS71" s="120"/>
      <c r="DT71" s="262"/>
      <c r="DU71" s="262"/>
      <c r="DV71" s="120"/>
      <c r="DW71" s="262"/>
      <c r="DX71" s="262"/>
      <c r="DY71" s="120"/>
      <c r="DZ71" s="262"/>
      <c r="EA71" s="262"/>
      <c r="EB71" s="265"/>
      <c r="EC71" s="262"/>
      <c r="ED71" s="262"/>
      <c r="EE71" s="256"/>
      <c r="EF71" s="233"/>
      <c r="EG71" s="233"/>
      <c r="EH71" s="120"/>
      <c r="EI71" s="262"/>
      <c r="EJ71" s="262"/>
      <c r="EK71" s="120"/>
      <c r="EL71" s="262"/>
      <c r="EM71" s="262"/>
      <c r="EN71" s="120"/>
      <c r="EO71" s="262"/>
      <c r="EP71" s="262"/>
      <c r="EQ71" s="120"/>
      <c r="ER71" s="262"/>
      <c r="ES71" s="262"/>
      <c r="ET71" s="120"/>
      <c r="EU71" s="262"/>
      <c r="EV71" s="262"/>
      <c r="EW71" s="120"/>
      <c r="EX71" s="262"/>
      <c r="EY71" s="262"/>
      <c r="EZ71" s="120"/>
      <c r="FA71" s="262"/>
      <c r="FB71" s="262"/>
      <c r="FC71" s="120"/>
      <c r="FD71" s="262"/>
      <c r="FE71" s="262"/>
      <c r="FF71" s="120"/>
      <c r="FG71" s="262"/>
      <c r="FH71" s="262"/>
      <c r="FI71" s="120"/>
      <c r="FJ71" s="262"/>
      <c r="FK71" s="262"/>
      <c r="FL71" s="120"/>
      <c r="FM71" s="262"/>
      <c r="FN71" s="262"/>
      <c r="FO71" s="120"/>
      <c r="FP71" s="262"/>
      <c r="FQ71" s="262"/>
      <c r="FR71" s="120"/>
      <c r="FS71" s="262"/>
      <c r="FT71" s="262"/>
      <c r="FU71" s="120"/>
      <c r="FV71" s="262"/>
      <c r="FW71" s="262"/>
      <c r="FX71" s="120"/>
      <c r="FY71" s="262"/>
      <c r="FZ71" s="262"/>
      <c r="GA71" s="256"/>
      <c r="GB71" s="233"/>
      <c r="GC71" s="233"/>
      <c r="GJ71" s="121">
        <f t="shared" si="19"/>
        <v>0</v>
      </c>
      <c r="GK71" s="121">
        <f t="shared" si="20"/>
        <v>0</v>
      </c>
      <c r="GM71" s="121">
        <f t="shared" si="21"/>
        <v>1</v>
      </c>
      <c r="GN71" s="121">
        <f t="shared" si="22"/>
        <v>0</v>
      </c>
      <c r="GO71" s="121">
        <f t="shared" si="23"/>
        <v>1</v>
      </c>
      <c r="GP71" s="121">
        <f t="shared" si="24"/>
        <v>4</v>
      </c>
      <c r="GQ71" s="121">
        <f t="shared" si="25"/>
        <v>0</v>
      </c>
      <c r="GR71" s="121">
        <f t="shared" si="26"/>
        <v>1</v>
      </c>
    </row>
    <row r="72" spans="1:200" ht="38.25" customHeight="1" x14ac:dyDescent="0.55000000000000004">
      <c r="B72" s="303" t="s">
        <v>433</v>
      </c>
      <c r="C72" s="198"/>
      <c r="D72" s="198"/>
      <c r="E72" s="198"/>
      <c r="F72" s="198"/>
      <c r="G72" s="198"/>
      <c r="H72" s="198"/>
      <c r="I72" s="142" cm="1">
        <f t="array" ref="I72">SUMPRODUCT(($X$2:$GG$2&lt;&gt;"")*($X72:$GG72&lt;&gt;""))</f>
        <v>1</v>
      </c>
      <c r="J72" s="122">
        <f t="shared" si="10"/>
        <v>0</v>
      </c>
      <c r="K72" s="122">
        <f t="shared" si="11"/>
        <v>0</v>
      </c>
      <c r="L72" s="249">
        <f t="shared" si="27"/>
        <v>7000</v>
      </c>
      <c r="M72" s="144">
        <f t="shared" si="12"/>
        <v>840</v>
      </c>
      <c r="N72" s="405"/>
      <c r="O72" s="145">
        <f t="shared" si="13"/>
        <v>0</v>
      </c>
      <c r="P72" s="145">
        <f t="shared" si="14"/>
        <v>0</v>
      </c>
      <c r="Q72" s="145">
        <f t="shared" si="15"/>
        <v>0</v>
      </c>
      <c r="R72" s="145">
        <f t="shared" si="16"/>
        <v>0</v>
      </c>
      <c r="S72" s="130">
        <f t="shared" si="17"/>
        <v>0</v>
      </c>
      <c r="T72" s="130">
        <f t="shared" si="18"/>
        <v>0</v>
      </c>
      <c r="U72" s="141"/>
      <c r="V72" s="123"/>
      <c r="W72" s="134"/>
      <c r="X72" s="347">
        <v>30</v>
      </c>
      <c r="Y72" s="347">
        <v>250</v>
      </c>
      <c r="Z72" s="348" t="s">
        <v>576</v>
      </c>
      <c r="AA72" s="120"/>
      <c r="AB72" s="134"/>
      <c r="AC72" s="200"/>
      <c r="AD72" s="125"/>
      <c r="AE72" s="134"/>
      <c r="AF72" s="200"/>
      <c r="AG72" s="120"/>
      <c r="AH72" s="262"/>
      <c r="AI72" s="262"/>
      <c r="AJ72" s="120"/>
      <c r="AK72" s="262"/>
      <c r="AL72" s="262"/>
      <c r="AM72" s="120"/>
      <c r="AN72" s="262"/>
      <c r="AO72" s="262"/>
      <c r="AP72" s="120"/>
      <c r="AQ72" s="262"/>
      <c r="AR72" s="262"/>
      <c r="AS72" s="120"/>
      <c r="AT72" s="262"/>
      <c r="AU72" s="262"/>
      <c r="AV72" s="120"/>
      <c r="AW72" s="262"/>
      <c r="AX72" s="262"/>
      <c r="AY72" s="120"/>
      <c r="AZ72" s="262"/>
      <c r="BA72" s="262"/>
      <c r="BB72" s="120"/>
      <c r="BC72" s="134"/>
      <c r="BD72" s="200"/>
      <c r="BE72" s="120"/>
      <c r="BF72" s="134"/>
      <c r="BG72" s="200"/>
      <c r="BH72" s="120"/>
      <c r="BI72" s="252"/>
      <c r="BJ72" s="252"/>
      <c r="BK72" s="120"/>
      <c r="BL72" s="134"/>
      <c r="BM72" s="134"/>
      <c r="BN72" s="120"/>
      <c r="BO72" s="252"/>
      <c r="BP72" s="252"/>
      <c r="BQ72" s="120"/>
      <c r="BR72" s="134"/>
      <c r="BS72" s="134"/>
      <c r="BT72" s="120"/>
      <c r="BU72" s="134"/>
      <c r="BV72" s="200"/>
      <c r="BW72" s="120"/>
      <c r="BX72" s="134"/>
      <c r="BY72" s="200"/>
      <c r="BZ72" s="120"/>
      <c r="CA72" s="126"/>
      <c r="CB72" s="126"/>
      <c r="CC72" s="120"/>
      <c r="CD72" s="126"/>
      <c r="CE72" s="126"/>
      <c r="CF72" s="120"/>
      <c r="CG72" s="134"/>
      <c r="CH72" s="134"/>
      <c r="CI72" s="120"/>
      <c r="CJ72" s="200"/>
      <c r="CK72" s="200"/>
      <c r="CL72" s="120"/>
      <c r="CM72" s="200"/>
      <c r="CN72" s="200"/>
      <c r="CO72" s="120"/>
      <c r="CP72" s="134"/>
      <c r="CQ72" s="134"/>
      <c r="CR72" s="120"/>
      <c r="CS72" s="134"/>
      <c r="CT72" s="134"/>
      <c r="CU72" s="120"/>
      <c r="CV72" s="202"/>
      <c r="CW72" s="202"/>
      <c r="CX72" s="120"/>
      <c r="CY72" s="202"/>
      <c r="CZ72" s="202"/>
      <c r="DA72" s="120"/>
      <c r="DB72" s="202"/>
      <c r="DC72" s="202"/>
      <c r="DD72" s="349"/>
      <c r="DE72" s="202"/>
      <c r="DF72" s="202"/>
      <c r="DG72" s="254"/>
      <c r="DH72" s="203"/>
      <c r="DI72" s="203"/>
      <c r="DJ72" s="259"/>
      <c r="DK72" s="136"/>
      <c r="DL72" s="136"/>
      <c r="DM72" s="120"/>
      <c r="DN72" s="233"/>
      <c r="DO72" s="233"/>
      <c r="DP72" s="120"/>
      <c r="DQ72" s="262"/>
      <c r="DR72" s="262"/>
      <c r="DS72" s="120"/>
      <c r="DT72" s="262"/>
      <c r="DU72" s="262"/>
      <c r="DV72" s="120"/>
      <c r="DW72" s="262"/>
      <c r="DX72" s="262"/>
      <c r="DY72" s="120"/>
      <c r="DZ72" s="262"/>
      <c r="EA72" s="262"/>
      <c r="EB72" s="265"/>
      <c r="EC72" s="262"/>
      <c r="ED72" s="262"/>
      <c r="EE72" s="256"/>
      <c r="EF72" s="233"/>
      <c r="EG72" s="233"/>
      <c r="EH72" s="120"/>
      <c r="EI72" s="262"/>
      <c r="EJ72" s="262"/>
      <c r="EK72" s="120"/>
      <c r="EL72" s="262"/>
      <c r="EM72" s="262"/>
      <c r="EN72" s="120"/>
      <c r="EO72" s="262"/>
      <c r="EP72" s="262"/>
      <c r="EQ72" s="120"/>
      <c r="ER72" s="262"/>
      <c r="ES72" s="262"/>
      <c r="ET72" s="120"/>
      <c r="EU72" s="262"/>
      <c r="EV72" s="262"/>
      <c r="EW72" s="120"/>
      <c r="EX72" s="262"/>
      <c r="EY72" s="262"/>
      <c r="EZ72" s="120"/>
      <c r="FA72" s="262"/>
      <c r="FB72" s="262"/>
      <c r="FC72" s="120"/>
      <c r="FD72" s="262"/>
      <c r="FE72" s="262"/>
      <c r="FF72" s="120"/>
      <c r="FG72" s="262"/>
      <c r="FH72" s="262"/>
      <c r="FI72" s="120"/>
      <c r="FJ72" s="262"/>
      <c r="FK72" s="262"/>
      <c r="FL72" s="120"/>
      <c r="FM72" s="262"/>
      <c r="FN72" s="262"/>
      <c r="FO72" s="120"/>
      <c r="FP72" s="262"/>
      <c r="FQ72" s="262"/>
      <c r="FR72" s="120"/>
      <c r="FS72" s="262"/>
      <c r="FT72" s="262"/>
      <c r="FU72" s="120"/>
      <c r="FV72" s="262"/>
      <c r="FW72" s="262"/>
      <c r="FX72" s="120"/>
      <c r="FY72" s="262"/>
      <c r="FZ72" s="262"/>
      <c r="GA72" s="256"/>
      <c r="GB72" s="233"/>
      <c r="GC72" s="233"/>
      <c r="GJ72" s="121">
        <f t="shared" si="19"/>
        <v>0</v>
      </c>
      <c r="GK72" s="121">
        <f t="shared" si="20"/>
        <v>0</v>
      </c>
      <c r="GM72" s="121">
        <f t="shared" si="21"/>
        <v>1</v>
      </c>
      <c r="GN72" s="121">
        <f t="shared" si="22"/>
        <v>0</v>
      </c>
      <c r="GO72" s="121">
        <f t="shared" si="23"/>
        <v>0</v>
      </c>
      <c r="GP72" s="121">
        <f t="shared" si="24"/>
        <v>0</v>
      </c>
      <c r="GQ72" s="121">
        <f t="shared" si="25"/>
        <v>0</v>
      </c>
      <c r="GR72" s="121">
        <f t="shared" si="26"/>
        <v>0</v>
      </c>
    </row>
    <row r="73" spans="1:200" ht="38.25" customHeight="1" x14ac:dyDescent="0.55000000000000004">
      <c r="B73" s="303" t="s">
        <v>434</v>
      </c>
      <c r="C73" s="198"/>
      <c r="D73" s="198"/>
      <c r="E73" s="198"/>
      <c r="F73" s="198"/>
      <c r="G73" s="198"/>
      <c r="H73" s="198"/>
      <c r="I73" s="142" cm="1">
        <f t="array" ref="I73">SUMPRODUCT(($X$2:$GG$2&lt;&gt;"")*($X73:$GG73&lt;&gt;""))</f>
        <v>1</v>
      </c>
      <c r="J73" s="122">
        <f t="shared" si="10"/>
        <v>0</v>
      </c>
      <c r="K73" s="122">
        <f t="shared" si="11"/>
        <v>0</v>
      </c>
      <c r="L73" s="249">
        <f t="shared" si="27"/>
        <v>7000</v>
      </c>
      <c r="M73" s="144">
        <f t="shared" si="12"/>
        <v>840</v>
      </c>
      <c r="N73" s="405"/>
      <c r="O73" s="145">
        <f t="shared" si="13"/>
        <v>0</v>
      </c>
      <c r="P73" s="145">
        <f t="shared" si="14"/>
        <v>0</v>
      </c>
      <c r="Q73" s="145">
        <f t="shared" si="15"/>
        <v>0</v>
      </c>
      <c r="R73" s="145">
        <f t="shared" si="16"/>
        <v>0</v>
      </c>
      <c r="S73" s="130">
        <f t="shared" si="17"/>
        <v>0</v>
      </c>
      <c r="T73" s="130">
        <f t="shared" si="18"/>
        <v>0</v>
      </c>
      <c r="U73" s="141"/>
      <c r="V73" s="123"/>
      <c r="W73" s="134"/>
      <c r="X73" s="347">
        <v>30</v>
      </c>
      <c r="Y73" s="347">
        <v>250</v>
      </c>
      <c r="Z73" s="348" t="s">
        <v>576</v>
      </c>
      <c r="AA73" s="120"/>
      <c r="AB73" s="134"/>
      <c r="AC73" s="200"/>
      <c r="AD73" s="125"/>
      <c r="AE73" s="134"/>
      <c r="AF73" s="200"/>
      <c r="AG73" s="120"/>
      <c r="AH73" s="262"/>
      <c r="AI73" s="262"/>
      <c r="AJ73" s="120"/>
      <c r="AK73" s="262"/>
      <c r="AL73" s="262"/>
      <c r="AM73" s="120"/>
      <c r="AN73" s="262"/>
      <c r="AO73" s="262"/>
      <c r="AP73" s="120"/>
      <c r="AQ73" s="262"/>
      <c r="AR73" s="262"/>
      <c r="AS73" s="120"/>
      <c r="AT73" s="262"/>
      <c r="AU73" s="262"/>
      <c r="AV73" s="120"/>
      <c r="AW73" s="262"/>
      <c r="AX73" s="262"/>
      <c r="AY73" s="120"/>
      <c r="AZ73" s="262"/>
      <c r="BA73" s="262"/>
      <c r="BB73" s="120"/>
      <c r="BC73" s="134"/>
      <c r="BD73" s="200"/>
      <c r="BE73" s="120"/>
      <c r="BF73" s="134"/>
      <c r="BG73" s="200"/>
      <c r="BH73" s="120"/>
      <c r="BI73" s="252"/>
      <c r="BJ73" s="252"/>
      <c r="BK73" s="120"/>
      <c r="BL73" s="134"/>
      <c r="BM73" s="134"/>
      <c r="BN73" s="120"/>
      <c r="BO73" s="252"/>
      <c r="BP73" s="252"/>
      <c r="BQ73" s="120"/>
      <c r="BR73" s="134"/>
      <c r="BS73" s="134"/>
      <c r="BT73" s="120"/>
      <c r="BU73" s="134"/>
      <c r="BV73" s="200"/>
      <c r="BW73" s="120"/>
      <c r="BX73" s="134"/>
      <c r="BY73" s="200"/>
      <c r="BZ73" s="120"/>
      <c r="CA73" s="126"/>
      <c r="CB73" s="126"/>
      <c r="CC73" s="120"/>
      <c r="CD73" s="126"/>
      <c r="CE73" s="126"/>
      <c r="CF73" s="120"/>
      <c r="CG73" s="134"/>
      <c r="CH73" s="134"/>
      <c r="CI73" s="120"/>
      <c r="CJ73" s="200"/>
      <c r="CK73" s="200"/>
      <c r="CL73" s="120"/>
      <c r="CM73" s="200"/>
      <c r="CN73" s="200"/>
      <c r="CO73" s="120"/>
      <c r="CP73" s="134"/>
      <c r="CQ73" s="134"/>
      <c r="CR73" s="120"/>
      <c r="CS73" s="134"/>
      <c r="CT73" s="134"/>
      <c r="CU73" s="120"/>
      <c r="CV73" s="202"/>
      <c r="CW73" s="202"/>
      <c r="CX73" s="120"/>
      <c r="CY73" s="202"/>
      <c r="CZ73" s="202"/>
      <c r="DA73" s="120"/>
      <c r="DB73" s="202"/>
      <c r="DC73" s="202"/>
      <c r="DD73" s="349"/>
      <c r="DE73" s="202"/>
      <c r="DF73" s="202"/>
      <c r="DG73" s="254"/>
      <c r="DH73" s="203"/>
      <c r="DI73" s="203"/>
      <c r="DJ73" s="259"/>
      <c r="DK73" s="136"/>
      <c r="DL73" s="136"/>
      <c r="DM73" s="120"/>
      <c r="DN73" s="233"/>
      <c r="DO73" s="233"/>
      <c r="DP73" s="120"/>
      <c r="DQ73" s="262"/>
      <c r="DR73" s="262"/>
      <c r="DS73" s="120"/>
      <c r="DT73" s="262"/>
      <c r="DU73" s="262"/>
      <c r="DV73" s="120"/>
      <c r="DW73" s="262"/>
      <c r="DX73" s="262"/>
      <c r="DY73" s="120"/>
      <c r="DZ73" s="262"/>
      <c r="EA73" s="262"/>
      <c r="EB73" s="265"/>
      <c r="EC73" s="262"/>
      <c r="ED73" s="262"/>
      <c r="EE73" s="256"/>
      <c r="EF73" s="233"/>
      <c r="EG73" s="233"/>
      <c r="EH73" s="120"/>
      <c r="EI73" s="262"/>
      <c r="EJ73" s="262"/>
      <c r="EK73" s="120"/>
      <c r="EL73" s="262"/>
      <c r="EM73" s="262"/>
      <c r="EN73" s="120"/>
      <c r="EO73" s="262"/>
      <c r="EP73" s="262"/>
      <c r="EQ73" s="120"/>
      <c r="ER73" s="262"/>
      <c r="ES73" s="262"/>
      <c r="ET73" s="120"/>
      <c r="EU73" s="262"/>
      <c r="EV73" s="262"/>
      <c r="EW73" s="120"/>
      <c r="EX73" s="262"/>
      <c r="EY73" s="262"/>
      <c r="EZ73" s="120"/>
      <c r="FA73" s="262"/>
      <c r="FB73" s="262"/>
      <c r="FC73" s="120"/>
      <c r="FD73" s="262"/>
      <c r="FE73" s="262"/>
      <c r="FF73" s="120"/>
      <c r="FG73" s="262"/>
      <c r="FH73" s="262"/>
      <c r="FI73" s="120"/>
      <c r="FJ73" s="262"/>
      <c r="FK73" s="262"/>
      <c r="FL73" s="120"/>
      <c r="FM73" s="262"/>
      <c r="FN73" s="262"/>
      <c r="FO73" s="120"/>
      <c r="FP73" s="262"/>
      <c r="FQ73" s="262"/>
      <c r="FR73" s="120"/>
      <c r="FS73" s="262"/>
      <c r="FT73" s="262"/>
      <c r="FU73" s="120"/>
      <c r="FV73" s="262"/>
      <c r="FW73" s="262"/>
      <c r="FX73" s="120"/>
      <c r="FY73" s="262"/>
      <c r="FZ73" s="262"/>
      <c r="GA73" s="256"/>
      <c r="GB73" s="233"/>
      <c r="GC73" s="233"/>
      <c r="GJ73" s="121">
        <f t="shared" si="19"/>
        <v>0</v>
      </c>
      <c r="GK73" s="121">
        <f t="shared" si="20"/>
        <v>0</v>
      </c>
      <c r="GM73" s="121">
        <f t="shared" si="21"/>
        <v>1</v>
      </c>
      <c r="GN73" s="121">
        <f t="shared" si="22"/>
        <v>0</v>
      </c>
      <c r="GO73" s="121">
        <f t="shared" si="23"/>
        <v>0</v>
      </c>
      <c r="GP73" s="121">
        <f t="shared" si="24"/>
        <v>0</v>
      </c>
      <c r="GQ73" s="121">
        <f t="shared" si="25"/>
        <v>0</v>
      </c>
      <c r="GR73" s="121">
        <f t="shared" si="26"/>
        <v>0</v>
      </c>
    </row>
    <row r="74" spans="1:200" ht="38.25" customHeight="1" x14ac:dyDescent="0.55000000000000004">
      <c r="A74" s="121" t="s">
        <v>194</v>
      </c>
      <c r="B74" s="309" t="s">
        <v>173</v>
      </c>
      <c r="C74" s="198">
        <v>3</v>
      </c>
      <c r="D74" s="198">
        <v>3</v>
      </c>
      <c r="E74" s="198">
        <v>3</v>
      </c>
      <c r="F74" s="142">
        <f>($X$74/$Y$74)*$L$74*C74</f>
        <v>1932</v>
      </c>
      <c r="G74" s="142">
        <f>($X$74/$Y$74)*$L$74*D74</f>
        <v>1932</v>
      </c>
      <c r="H74" s="142">
        <f>($X$74/$Y$74)*$L$74*E74</f>
        <v>1932</v>
      </c>
      <c r="I74" s="142" cm="1">
        <f t="array" ref="I74">SUMPRODUCT(($X$2:$GG$2&lt;&gt;"")*($X74:$GG74&lt;&gt;""))</f>
        <v>5</v>
      </c>
      <c r="J74" s="122">
        <f t="shared" si="10"/>
        <v>15</v>
      </c>
      <c r="K74" s="122">
        <f t="shared" si="11"/>
        <v>210</v>
      </c>
      <c r="L74" s="249">
        <f t="shared" si="27"/>
        <v>7000</v>
      </c>
      <c r="M74" s="144">
        <f t="shared" si="12"/>
        <v>9016</v>
      </c>
      <c r="N74" s="405"/>
      <c r="O74" s="145">
        <f t="shared" si="13"/>
        <v>13475.000000000002</v>
      </c>
      <c r="P74" s="145">
        <f t="shared" si="14"/>
        <v>8673</v>
      </c>
      <c r="Q74" s="145">
        <f t="shared" si="15"/>
        <v>0</v>
      </c>
      <c r="R74" s="145">
        <f t="shared" si="16"/>
        <v>0</v>
      </c>
      <c r="S74" s="130">
        <f t="shared" si="17"/>
        <v>1372</v>
      </c>
      <c r="T74" s="130">
        <f t="shared" si="18"/>
        <v>0</v>
      </c>
      <c r="U74" s="141">
        <v>362</v>
      </c>
      <c r="V74" s="123">
        <v>56</v>
      </c>
      <c r="W74" s="134">
        <v>4000</v>
      </c>
      <c r="X74" s="124">
        <v>23</v>
      </c>
      <c r="Y74" s="134">
        <v>250</v>
      </c>
      <c r="Z74" s="200" t="s">
        <v>532</v>
      </c>
      <c r="AA74" s="120">
        <v>43</v>
      </c>
      <c r="AB74" s="134">
        <v>1000</v>
      </c>
      <c r="AC74" s="134" t="s">
        <v>533</v>
      </c>
      <c r="AD74" s="125">
        <v>275</v>
      </c>
      <c r="AE74" s="134">
        <v>2000</v>
      </c>
      <c r="AF74" s="200" t="s">
        <v>534</v>
      </c>
      <c r="AG74" s="120"/>
      <c r="AH74" s="262"/>
      <c r="AI74" s="262"/>
      <c r="AJ74" s="120"/>
      <c r="AK74" s="262"/>
      <c r="AL74" s="262"/>
      <c r="AM74" s="120">
        <v>51</v>
      </c>
      <c r="AN74" s="262">
        <v>2000</v>
      </c>
      <c r="AO74" s="262" t="s">
        <v>535</v>
      </c>
      <c r="AP74" s="120">
        <v>40</v>
      </c>
      <c r="AQ74" s="262">
        <v>2000</v>
      </c>
      <c r="AR74" s="262" t="s">
        <v>535</v>
      </c>
      <c r="AS74" s="120"/>
      <c r="AT74" s="262"/>
      <c r="AU74" s="262"/>
      <c r="AV74" s="120"/>
      <c r="AW74" s="262"/>
      <c r="AX74" s="262"/>
      <c r="AY74" s="120"/>
      <c r="AZ74" s="262"/>
      <c r="BA74" s="262"/>
      <c r="BB74" s="120"/>
      <c r="BC74" s="134"/>
      <c r="BD74" s="200"/>
      <c r="BE74" s="120"/>
      <c r="BF74" s="134"/>
      <c r="BG74" s="200"/>
      <c r="BH74" s="120"/>
      <c r="BI74" s="134"/>
      <c r="BJ74" s="134"/>
      <c r="BK74" s="120"/>
      <c r="BL74" s="134"/>
      <c r="BM74" s="134"/>
      <c r="BN74" s="120"/>
      <c r="BO74" s="252"/>
      <c r="BP74" s="252"/>
      <c r="BQ74" s="120"/>
      <c r="BR74" s="134"/>
      <c r="BS74" s="134"/>
      <c r="BT74" s="120"/>
      <c r="BU74" s="134"/>
      <c r="BV74" s="200"/>
      <c r="BW74" s="120"/>
      <c r="BX74" s="134"/>
      <c r="BY74" s="200"/>
      <c r="BZ74" s="120"/>
      <c r="CA74" s="126"/>
      <c r="CB74" s="126"/>
      <c r="CC74" s="120"/>
      <c r="CD74" s="126"/>
      <c r="CE74" s="126"/>
      <c r="CF74" s="120"/>
      <c r="CG74" s="134"/>
      <c r="CH74" s="134"/>
      <c r="CI74" s="120"/>
      <c r="CJ74" s="200"/>
      <c r="CK74" s="200"/>
      <c r="CL74" s="120"/>
      <c r="CM74" s="200"/>
      <c r="CN74" s="200"/>
      <c r="CO74" s="120"/>
      <c r="CP74" s="134"/>
      <c r="CQ74" s="134"/>
      <c r="CR74" s="120"/>
      <c r="CS74" s="134"/>
      <c r="CT74" s="134"/>
      <c r="CU74" s="120"/>
      <c r="CV74" s="202"/>
      <c r="CW74" s="202"/>
      <c r="CX74" s="120"/>
      <c r="CY74" s="202"/>
      <c r="CZ74" s="202"/>
      <c r="DA74" s="120"/>
      <c r="DB74" s="202"/>
      <c r="DC74" s="202"/>
      <c r="DD74" s="349"/>
      <c r="DE74" s="202"/>
      <c r="DF74" s="202"/>
      <c r="DG74" s="254"/>
      <c r="DH74" s="203"/>
      <c r="DI74" s="203"/>
      <c r="DJ74" s="259"/>
      <c r="DK74" s="136"/>
      <c r="DL74" s="136"/>
      <c r="DM74" s="120"/>
      <c r="DN74" s="233"/>
      <c r="DO74" s="233"/>
      <c r="DP74" s="120"/>
      <c r="DQ74" s="262"/>
      <c r="DR74" s="262"/>
      <c r="DS74" s="120"/>
      <c r="DT74" s="262"/>
      <c r="DU74" s="262"/>
      <c r="DV74" s="120"/>
      <c r="DW74" s="262"/>
      <c r="DX74" s="262"/>
      <c r="DY74" s="120"/>
      <c r="DZ74" s="262"/>
      <c r="EA74" s="262"/>
      <c r="EB74" s="265"/>
      <c r="EC74" s="262"/>
      <c r="ED74" s="262"/>
      <c r="EE74" s="256"/>
      <c r="EF74" s="200"/>
      <c r="EG74" s="200"/>
      <c r="EH74" s="120"/>
      <c r="EI74" s="262"/>
      <c r="EJ74" s="262"/>
      <c r="EK74" s="120"/>
      <c r="EL74" s="262"/>
      <c r="EM74" s="262"/>
      <c r="EN74" s="120"/>
      <c r="EO74" s="262"/>
      <c r="EP74" s="262"/>
      <c r="EQ74" s="120"/>
      <c r="ER74" s="262"/>
      <c r="ES74" s="262"/>
      <c r="ET74" s="120"/>
      <c r="EU74" s="262"/>
      <c r="EV74" s="262"/>
      <c r="EW74" s="120"/>
      <c r="EX74" s="262"/>
      <c r="EY74" s="262"/>
      <c r="EZ74" s="120"/>
      <c r="FA74" s="262"/>
      <c r="FB74" s="262"/>
      <c r="FC74" s="120"/>
      <c r="FD74" s="262"/>
      <c r="FE74" s="262"/>
      <c r="FF74" s="120"/>
      <c r="FG74" s="262"/>
      <c r="FH74" s="262"/>
      <c r="FI74" s="120"/>
      <c r="FJ74" s="262"/>
      <c r="FK74" s="262"/>
      <c r="FL74" s="120"/>
      <c r="FM74" s="262"/>
      <c r="FN74" s="262"/>
      <c r="FO74" s="120"/>
      <c r="FP74" s="262"/>
      <c r="FQ74" s="262"/>
      <c r="FR74" s="120"/>
      <c r="FS74" s="262"/>
      <c r="FT74" s="262"/>
      <c r="FU74" s="120"/>
      <c r="FV74" s="262"/>
      <c r="FW74" s="262"/>
      <c r="FX74" s="120"/>
      <c r="FY74" s="262"/>
      <c r="FZ74" s="262"/>
      <c r="GA74" s="256"/>
      <c r="GB74" s="233"/>
      <c r="GC74" s="233"/>
      <c r="GJ74" s="121">
        <f t="shared" si="19"/>
        <v>0</v>
      </c>
      <c r="GK74" s="121">
        <f t="shared" si="20"/>
        <v>0</v>
      </c>
      <c r="GM74" s="121">
        <f t="shared" si="21"/>
        <v>1</v>
      </c>
      <c r="GN74" s="121">
        <f t="shared" si="22"/>
        <v>1</v>
      </c>
      <c r="GO74" s="121">
        <f t="shared" si="23"/>
        <v>1</v>
      </c>
      <c r="GP74" s="121">
        <f t="shared" si="24"/>
        <v>2</v>
      </c>
      <c r="GQ74" s="121">
        <f t="shared" si="25"/>
        <v>0</v>
      </c>
      <c r="GR74" s="121">
        <f t="shared" si="26"/>
        <v>1</v>
      </c>
    </row>
    <row r="75" spans="1:200" ht="38.25" customHeight="1" x14ac:dyDescent="0.55000000000000004">
      <c r="B75" s="303" t="s">
        <v>439</v>
      </c>
      <c r="C75" s="198"/>
      <c r="D75" s="198"/>
      <c r="E75" s="198"/>
      <c r="F75" s="198"/>
      <c r="G75" s="198"/>
      <c r="H75" s="198"/>
      <c r="I75" s="142" cm="1">
        <f t="array" ref="I75">SUMPRODUCT(($X$2:$GG$2&lt;&gt;"")*($X75:$GG75&lt;&gt;""))</f>
        <v>1</v>
      </c>
      <c r="J75" s="122">
        <f t="shared" si="10"/>
        <v>0</v>
      </c>
      <c r="K75" s="122">
        <f t="shared" si="11"/>
        <v>0</v>
      </c>
      <c r="L75" s="249">
        <f t="shared" si="27"/>
        <v>7000</v>
      </c>
      <c r="M75" s="144">
        <f t="shared" si="12"/>
        <v>784</v>
      </c>
      <c r="N75" s="405"/>
      <c r="O75" s="145">
        <f t="shared" si="13"/>
        <v>0</v>
      </c>
      <c r="P75" s="145">
        <f t="shared" si="14"/>
        <v>0</v>
      </c>
      <c r="Q75" s="145">
        <f t="shared" si="15"/>
        <v>0</v>
      </c>
      <c r="R75" s="145">
        <f t="shared" si="16"/>
        <v>0</v>
      </c>
      <c r="S75" s="130">
        <f t="shared" si="17"/>
        <v>0</v>
      </c>
      <c r="T75" s="130">
        <f t="shared" si="18"/>
        <v>0</v>
      </c>
      <c r="U75" s="141"/>
      <c r="V75" s="123"/>
      <c r="W75" s="134"/>
      <c r="X75" s="347">
        <v>28</v>
      </c>
      <c r="Y75" s="347">
        <v>250</v>
      </c>
      <c r="Z75" s="348" t="s">
        <v>576</v>
      </c>
      <c r="AA75" s="120"/>
      <c r="AB75" s="134"/>
      <c r="AC75" s="200"/>
      <c r="AD75" s="125"/>
      <c r="AE75" s="134"/>
      <c r="AF75" s="200"/>
      <c r="AG75" s="120"/>
      <c r="AH75" s="262"/>
      <c r="AI75" s="262"/>
      <c r="AJ75" s="120"/>
      <c r="AK75" s="262"/>
      <c r="AL75" s="262"/>
      <c r="AM75" s="120"/>
      <c r="AN75" s="262"/>
      <c r="AO75" s="262"/>
      <c r="AP75" s="120"/>
      <c r="AQ75" s="262"/>
      <c r="AR75" s="262"/>
      <c r="AS75" s="120"/>
      <c r="AT75" s="262"/>
      <c r="AU75" s="262"/>
      <c r="AV75" s="120"/>
      <c r="AW75" s="262"/>
      <c r="AX75" s="262"/>
      <c r="AY75" s="120"/>
      <c r="AZ75" s="262"/>
      <c r="BA75" s="262"/>
      <c r="BB75" s="120"/>
      <c r="BC75" s="134"/>
      <c r="BD75" s="200"/>
      <c r="BE75" s="120"/>
      <c r="BF75" s="134"/>
      <c r="BG75" s="200"/>
      <c r="BH75" s="120"/>
      <c r="BI75" s="252"/>
      <c r="BJ75" s="252"/>
      <c r="BK75" s="120"/>
      <c r="BL75" s="134"/>
      <c r="BM75" s="134"/>
      <c r="BN75" s="120"/>
      <c r="BO75" s="252"/>
      <c r="BP75" s="252"/>
      <c r="BQ75" s="120"/>
      <c r="BR75" s="134"/>
      <c r="BS75" s="134"/>
      <c r="BT75" s="120"/>
      <c r="BU75" s="134"/>
      <c r="BV75" s="200"/>
      <c r="BW75" s="120"/>
      <c r="BX75" s="134"/>
      <c r="BY75" s="200"/>
      <c r="BZ75" s="120"/>
      <c r="CA75" s="126"/>
      <c r="CB75" s="126"/>
      <c r="CC75" s="120"/>
      <c r="CD75" s="126"/>
      <c r="CE75" s="126"/>
      <c r="CF75" s="120"/>
      <c r="CG75" s="134"/>
      <c r="CH75" s="134"/>
      <c r="CI75" s="120"/>
      <c r="CJ75" s="200"/>
      <c r="CK75" s="200"/>
      <c r="CL75" s="120"/>
      <c r="CM75" s="200"/>
      <c r="CN75" s="200"/>
      <c r="CO75" s="120"/>
      <c r="CP75" s="134"/>
      <c r="CQ75" s="134"/>
      <c r="CR75" s="120"/>
      <c r="CS75" s="134"/>
      <c r="CT75" s="134"/>
      <c r="CU75" s="120"/>
      <c r="CV75" s="202"/>
      <c r="CW75" s="202"/>
      <c r="CX75" s="120"/>
      <c r="CY75" s="202"/>
      <c r="CZ75" s="202"/>
      <c r="DA75" s="120"/>
      <c r="DB75" s="202"/>
      <c r="DC75" s="202"/>
      <c r="DD75" s="349"/>
      <c r="DE75" s="202"/>
      <c r="DF75" s="202"/>
      <c r="DG75" s="254"/>
      <c r="DH75" s="203"/>
      <c r="DI75" s="203"/>
      <c r="DJ75" s="259"/>
      <c r="DK75" s="136"/>
      <c r="DL75" s="136"/>
      <c r="DM75" s="120"/>
      <c r="DN75" s="233"/>
      <c r="DO75" s="233"/>
      <c r="DP75" s="120"/>
      <c r="DQ75" s="262"/>
      <c r="DR75" s="262"/>
      <c r="DS75" s="120"/>
      <c r="DT75" s="262"/>
      <c r="DU75" s="262"/>
      <c r="DV75" s="120"/>
      <c r="DW75" s="262"/>
      <c r="DX75" s="262"/>
      <c r="DY75" s="120"/>
      <c r="DZ75" s="262"/>
      <c r="EA75" s="262"/>
      <c r="EB75" s="265"/>
      <c r="EC75" s="262"/>
      <c r="ED75" s="262"/>
      <c r="EE75" s="256"/>
      <c r="EF75" s="233"/>
      <c r="EG75" s="233"/>
      <c r="EH75" s="120"/>
      <c r="EI75" s="262"/>
      <c r="EJ75" s="262"/>
      <c r="EK75" s="120"/>
      <c r="EL75" s="262"/>
      <c r="EM75" s="262"/>
      <c r="EN75" s="120"/>
      <c r="EO75" s="262"/>
      <c r="EP75" s="262"/>
      <c r="EQ75" s="120"/>
      <c r="ER75" s="262"/>
      <c r="ES75" s="262"/>
      <c r="ET75" s="120"/>
      <c r="EU75" s="262"/>
      <c r="EV75" s="262"/>
      <c r="EW75" s="120"/>
      <c r="EX75" s="262"/>
      <c r="EY75" s="262"/>
      <c r="EZ75" s="120"/>
      <c r="FA75" s="262"/>
      <c r="FB75" s="262"/>
      <c r="FC75" s="120"/>
      <c r="FD75" s="262"/>
      <c r="FE75" s="262"/>
      <c r="FF75" s="120"/>
      <c r="FG75" s="262"/>
      <c r="FH75" s="262"/>
      <c r="FI75" s="120"/>
      <c r="FJ75" s="262"/>
      <c r="FK75" s="262"/>
      <c r="FL75" s="120"/>
      <c r="FM75" s="262"/>
      <c r="FN75" s="262"/>
      <c r="FO75" s="120"/>
      <c r="FP75" s="262"/>
      <c r="FQ75" s="262"/>
      <c r="FR75" s="120"/>
      <c r="FS75" s="262"/>
      <c r="FT75" s="262"/>
      <c r="FU75" s="120"/>
      <c r="FV75" s="262"/>
      <c r="FW75" s="262"/>
      <c r="FX75" s="120"/>
      <c r="FY75" s="262"/>
      <c r="FZ75" s="262"/>
      <c r="GA75" s="256"/>
      <c r="GB75" s="233"/>
      <c r="GC75" s="233"/>
      <c r="GJ75" s="121">
        <f t="shared" si="19"/>
        <v>0</v>
      </c>
      <c r="GK75" s="121">
        <f t="shared" si="20"/>
        <v>0</v>
      </c>
      <c r="GM75" s="121">
        <f t="shared" si="21"/>
        <v>1</v>
      </c>
      <c r="GN75" s="121">
        <f t="shared" si="22"/>
        <v>0</v>
      </c>
      <c r="GO75" s="121">
        <f t="shared" si="23"/>
        <v>0</v>
      </c>
      <c r="GP75" s="121">
        <f t="shared" si="24"/>
        <v>0</v>
      </c>
      <c r="GQ75" s="121">
        <f t="shared" si="25"/>
        <v>0</v>
      </c>
      <c r="GR75" s="121">
        <f t="shared" si="26"/>
        <v>0</v>
      </c>
    </row>
    <row r="76" spans="1:200" ht="38.25" customHeight="1" x14ac:dyDescent="0.55000000000000004">
      <c r="B76" s="303" t="s">
        <v>438</v>
      </c>
      <c r="C76" s="198"/>
      <c r="D76" s="198"/>
      <c r="E76" s="198"/>
      <c r="F76" s="198"/>
      <c r="G76" s="198"/>
      <c r="H76" s="198"/>
      <c r="I76" s="142" cm="1">
        <f t="array" ref="I76">SUMPRODUCT(($X$2:$GG$2&lt;&gt;"")*($X76:$GG76&lt;&gt;""))</f>
        <v>1</v>
      </c>
      <c r="J76" s="122">
        <f t="shared" si="10"/>
        <v>0</v>
      </c>
      <c r="K76" s="122">
        <f t="shared" si="11"/>
        <v>0</v>
      </c>
      <c r="L76" s="249">
        <f t="shared" si="27"/>
        <v>7000</v>
      </c>
      <c r="M76" s="144">
        <f t="shared" si="12"/>
        <v>784</v>
      </c>
      <c r="N76" s="405"/>
      <c r="O76" s="145">
        <f t="shared" si="13"/>
        <v>0</v>
      </c>
      <c r="P76" s="145">
        <f t="shared" si="14"/>
        <v>0</v>
      </c>
      <c r="Q76" s="145">
        <f t="shared" si="15"/>
        <v>0</v>
      </c>
      <c r="R76" s="145">
        <f t="shared" si="16"/>
        <v>0</v>
      </c>
      <c r="S76" s="130">
        <f t="shared" si="17"/>
        <v>0</v>
      </c>
      <c r="T76" s="130">
        <f t="shared" si="18"/>
        <v>0</v>
      </c>
      <c r="U76" s="141"/>
      <c r="V76" s="123"/>
      <c r="W76" s="134"/>
      <c r="X76" s="347">
        <v>28</v>
      </c>
      <c r="Y76" s="347">
        <v>250</v>
      </c>
      <c r="Z76" s="348" t="s">
        <v>576</v>
      </c>
      <c r="AA76" s="120"/>
      <c r="AB76" s="134"/>
      <c r="AC76" s="200"/>
      <c r="AD76" s="125"/>
      <c r="AE76" s="134"/>
      <c r="AF76" s="200"/>
      <c r="AG76" s="120"/>
      <c r="AH76" s="262"/>
      <c r="AI76" s="262"/>
      <c r="AJ76" s="120"/>
      <c r="AK76" s="262"/>
      <c r="AL76" s="262"/>
      <c r="AM76" s="120"/>
      <c r="AN76" s="262"/>
      <c r="AO76" s="262"/>
      <c r="AP76" s="120"/>
      <c r="AQ76" s="262"/>
      <c r="AR76" s="262"/>
      <c r="AS76" s="120"/>
      <c r="AT76" s="262"/>
      <c r="AU76" s="262"/>
      <c r="AV76" s="120"/>
      <c r="AW76" s="262"/>
      <c r="AX76" s="262"/>
      <c r="AY76" s="120"/>
      <c r="AZ76" s="262"/>
      <c r="BA76" s="262"/>
      <c r="BB76" s="120"/>
      <c r="BC76" s="134"/>
      <c r="BD76" s="200"/>
      <c r="BE76" s="120"/>
      <c r="BF76" s="134"/>
      <c r="BG76" s="200"/>
      <c r="BH76" s="120"/>
      <c r="BI76" s="252"/>
      <c r="BJ76" s="252"/>
      <c r="BK76" s="120"/>
      <c r="BL76" s="134"/>
      <c r="BM76" s="134"/>
      <c r="BN76" s="120"/>
      <c r="BO76" s="252"/>
      <c r="BP76" s="252"/>
      <c r="BQ76" s="120"/>
      <c r="BR76" s="134"/>
      <c r="BS76" s="134"/>
      <c r="BT76" s="120"/>
      <c r="BU76" s="134"/>
      <c r="BV76" s="200"/>
      <c r="BW76" s="120"/>
      <c r="BX76" s="134"/>
      <c r="BY76" s="200"/>
      <c r="BZ76" s="120"/>
      <c r="CA76" s="126"/>
      <c r="CB76" s="126"/>
      <c r="CC76" s="120"/>
      <c r="CD76" s="126"/>
      <c r="CE76" s="126"/>
      <c r="CF76" s="120"/>
      <c r="CG76" s="134"/>
      <c r="CH76" s="134"/>
      <c r="CI76" s="120"/>
      <c r="CJ76" s="200"/>
      <c r="CK76" s="200"/>
      <c r="CL76" s="120"/>
      <c r="CM76" s="200"/>
      <c r="CN76" s="200"/>
      <c r="CO76" s="120"/>
      <c r="CP76" s="134"/>
      <c r="CQ76" s="134"/>
      <c r="CR76" s="120"/>
      <c r="CS76" s="134"/>
      <c r="CT76" s="134"/>
      <c r="CU76" s="120"/>
      <c r="CV76" s="202"/>
      <c r="CW76" s="202"/>
      <c r="CX76" s="120"/>
      <c r="CY76" s="202"/>
      <c r="CZ76" s="202"/>
      <c r="DA76" s="120"/>
      <c r="DB76" s="202"/>
      <c r="DC76" s="202"/>
      <c r="DD76" s="349"/>
      <c r="DE76" s="202"/>
      <c r="DF76" s="202"/>
      <c r="DG76" s="254"/>
      <c r="DH76" s="203"/>
      <c r="DI76" s="203"/>
      <c r="DJ76" s="259"/>
      <c r="DK76" s="136"/>
      <c r="DL76" s="136"/>
      <c r="DM76" s="120"/>
      <c r="DN76" s="233"/>
      <c r="DO76" s="233"/>
      <c r="DP76" s="120"/>
      <c r="DQ76" s="262"/>
      <c r="DR76" s="262"/>
      <c r="DS76" s="120"/>
      <c r="DT76" s="262"/>
      <c r="DU76" s="262"/>
      <c r="DV76" s="120"/>
      <c r="DW76" s="262"/>
      <c r="DX76" s="262"/>
      <c r="DY76" s="120"/>
      <c r="DZ76" s="262"/>
      <c r="EA76" s="262"/>
      <c r="EB76" s="265"/>
      <c r="EC76" s="262"/>
      <c r="ED76" s="262"/>
      <c r="EE76" s="256"/>
      <c r="EF76" s="233"/>
      <c r="EG76" s="233"/>
      <c r="EH76" s="120"/>
      <c r="EI76" s="262"/>
      <c r="EJ76" s="262"/>
      <c r="EK76" s="120"/>
      <c r="EL76" s="262"/>
      <c r="EM76" s="262"/>
      <c r="EN76" s="120"/>
      <c r="EO76" s="262"/>
      <c r="EP76" s="262"/>
      <c r="EQ76" s="120"/>
      <c r="ER76" s="262"/>
      <c r="ES76" s="262"/>
      <c r="ET76" s="120"/>
      <c r="EU76" s="262"/>
      <c r="EV76" s="262"/>
      <c r="EW76" s="120"/>
      <c r="EX76" s="262"/>
      <c r="EY76" s="262"/>
      <c r="EZ76" s="120"/>
      <c r="FA76" s="262"/>
      <c r="FB76" s="262"/>
      <c r="FC76" s="120"/>
      <c r="FD76" s="262"/>
      <c r="FE76" s="262"/>
      <c r="FF76" s="120"/>
      <c r="FG76" s="262"/>
      <c r="FH76" s="262"/>
      <c r="FI76" s="120"/>
      <c r="FJ76" s="262"/>
      <c r="FK76" s="262"/>
      <c r="FL76" s="120"/>
      <c r="FM76" s="262"/>
      <c r="FN76" s="262"/>
      <c r="FO76" s="120"/>
      <c r="FP76" s="262"/>
      <c r="FQ76" s="262"/>
      <c r="FR76" s="120"/>
      <c r="FS76" s="262"/>
      <c r="FT76" s="262"/>
      <c r="FU76" s="120"/>
      <c r="FV76" s="262"/>
      <c r="FW76" s="262"/>
      <c r="FX76" s="120"/>
      <c r="FY76" s="262"/>
      <c r="FZ76" s="262"/>
      <c r="GA76" s="256"/>
      <c r="GB76" s="233"/>
      <c r="GC76" s="233"/>
      <c r="GJ76" s="121">
        <f t="shared" si="19"/>
        <v>0</v>
      </c>
      <c r="GK76" s="121">
        <f t="shared" si="20"/>
        <v>0</v>
      </c>
      <c r="GM76" s="121">
        <f t="shared" si="21"/>
        <v>1</v>
      </c>
      <c r="GN76" s="121">
        <f t="shared" si="22"/>
        <v>0</v>
      </c>
      <c r="GO76" s="121">
        <f t="shared" si="23"/>
        <v>0</v>
      </c>
      <c r="GP76" s="121">
        <f t="shared" si="24"/>
        <v>0</v>
      </c>
      <c r="GQ76" s="121">
        <f t="shared" si="25"/>
        <v>0</v>
      </c>
      <c r="GR76" s="121">
        <f t="shared" si="26"/>
        <v>0</v>
      </c>
    </row>
    <row r="77" spans="1:200" ht="38.25" customHeight="1" x14ac:dyDescent="0.55000000000000004">
      <c r="B77" s="303" t="s">
        <v>436</v>
      </c>
      <c r="C77" s="404">
        <v>4</v>
      </c>
      <c r="D77" s="404">
        <v>4</v>
      </c>
      <c r="E77" s="404">
        <v>4</v>
      </c>
      <c r="F77" s="198"/>
      <c r="G77" s="198"/>
      <c r="H77" s="198"/>
      <c r="I77" s="142" cm="1">
        <f t="array" ref="I77">SUMPRODUCT(($X$2:$GG$2&lt;&gt;"")*($X77:$GG77&lt;&gt;""))</f>
        <v>1</v>
      </c>
      <c r="J77" s="122">
        <f t="shared" si="10"/>
        <v>4</v>
      </c>
      <c r="K77" s="122">
        <f t="shared" si="11"/>
        <v>56</v>
      </c>
      <c r="L77" s="249">
        <f t="shared" si="27"/>
        <v>7000</v>
      </c>
      <c r="M77" s="144">
        <f t="shared" si="12"/>
        <v>10192</v>
      </c>
      <c r="N77" s="405"/>
      <c r="O77" s="145">
        <f t="shared" si="13"/>
        <v>0</v>
      </c>
      <c r="P77" s="145">
        <f t="shared" si="14"/>
        <v>0</v>
      </c>
      <c r="Q77" s="145">
        <f t="shared" si="15"/>
        <v>0</v>
      </c>
      <c r="R77" s="145">
        <f t="shared" si="16"/>
        <v>0</v>
      </c>
      <c r="S77" s="130">
        <f t="shared" si="17"/>
        <v>0</v>
      </c>
      <c r="T77" s="130">
        <f t="shared" si="18"/>
        <v>0</v>
      </c>
      <c r="U77" s="141"/>
      <c r="V77" s="123"/>
      <c r="W77" s="134"/>
      <c r="X77" s="347">
        <v>28</v>
      </c>
      <c r="Y77" s="347">
        <v>250</v>
      </c>
      <c r="Z77" s="348" t="s">
        <v>576</v>
      </c>
      <c r="AA77" s="120"/>
      <c r="AB77" s="134"/>
      <c r="AC77" s="200"/>
      <c r="AD77" s="125"/>
      <c r="AE77" s="134"/>
      <c r="AF77" s="200"/>
      <c r="AG77" s="120"/>
      <c r="AH77" s="262"/>
      <c r="AI77" s="262"/>
      <c r="AJ77" s="120"/>
      <c r="AK77" s="262"/>
      <c r="AL77" s="262"/>
      <c r="AM77" s="120"/>
      <c r="AN77" s="262"/>
      <c r="AO77" s="262"/>
      <c r="AP77" s="120"/>
      <c r="AQ77" s="262"/>
      <c r="AR77" s="262"/>
      <c r="AS77" s="120"/>
      <c r="AT77" s="262"/>
      <c r="AU77" s="262"/>
      <c r="AV77" s="120"/>
      <c r="AW77" s="262"/>
      <c r="AX77" s="262"/>
      <c r="AY77" s="120"/>
      <c r="AZ77" s="262"/>
      <c r="BA77" s="262"/>
      <c r="BB77" s="120"/>
      <c r="BC77" s="134"/>
      <c r="BD77" s="200"/>
      <c r="BE77" s="120"/>
      <c r="BF77" s="134"/>
      <c r="BG77" s="200"/>
      <c r="BH77" s="120"/>
      <c r="BI77" s="252"/>
      <c r="BJ77" s="252"/>
      <c r="BK77" s="120"/>
      <c r="BL77" s="134"/>
      <c r="BM77" s="134"/>
      <c r="BN77" s="120"/>
      <c r="BO77" s="252"/>
      <c r="BP77" s="252"/>
      <c r="BQ77" s="120"/>
      <c r="BR77" s="134"/>
      <c r="BS77" s="134"/>
      <c r="BT77" s="120"/>
      <c r="BU77" s="134"/>
      <c r="BV77" s="200"/>
      <c r="BW77" s="120"/>
      <c r="BX77" s="134"/>
      <c r="BY77" s="200"/>
      <c r="BZ77" s="120"/>
      <c r="CA77" s="126"/>
      <c r="CB77" s="126"/>
      <c r="CC77" s="120"/>
      <c r="CD77" s="126"/>
      <c r="CE77" s="126"/>
      <c r="CF77" s="120"/>
      <c r="CG77" s="134"/>
      <c r="CH77" s="134"/>
      <c r="CI77" s="120"/>
      <c r="CJ77" s="200"/>
      <c r="CK77" s="200"/>
      <c r="CL77" s="120"/>
      <c r="CM77" s="200"/>
      <c r="CN77" s="200"/>
      <c r="CO77" s="120"/>
      <c r="CP77" s="134"/>
      <c r="CQ77" s="134"/>
      <c r="CR77" s="120"/>
      <c r="CS77" s="134"/>
      <c r="CT77" s="134"/>
      <c r="CU77" s="120"/>
      <c r="CV77" s="202"/>
      <c r="CW77" s="202"/>
      <c r="CX77" s="120"/>
      <c r="CY77" s="202"/>
      <c r="CZ77" s="202"/>
      <c r="DA77" s="120"/>
      <c r="DB77" s="202"/>
      <c r="DC77" s="202"/>
      <c r="DD77" s="349"/>
      <c r="DE77" s="202"/>
      <c r="DF77" s="202"/>
      <c r="DG77" s="254"/>
      <c r="DH77" s="203"/>
      <c r="DI77" s="203"/>
      <c r="DJ77" s="259"/>
      <c r="DK77" s="136"/>
      <c r="DL77" s="136"/>
      <c r="DM77" s="120"/>
      <c r="DN77" s="233"/>
      <c r="DO77" s="233"/>
      <c r="DP77" s="120"/>
      <c r="DQ77" s="262"/>
      <c r="DR77" s="262"/>
      <c r="DS77" s="120"/>
      <c r="DT77" s="262"/>
      <c r="DU77" s="262"/>
      <c r="DV77" s="120"/>
      <c r="DW77" s="262"/>
      <c r="DX77" s="262"/>
      <c r="DY77" s="120"/>
      <c r="DZ77" s="262"/>
      <c r="EA77" s="262"/>
      <c r="EB77" s="265"/>
      <c r="EC77" s="262"/>
      <c r="ED77" s="262"/>
      <c r="EE77" s="256"/>
      <c r="EF77" s="233"/>
      <c r="EG77" s="233"/>
      <c r="EH77" s="120"/>
      <c r="EI77" s="262"/>
      <c r="EJ77" s="262"/>
      <c r="EK77" s="120"/>
      <c r="EL77" s="262"/>
      <c r="EM77" s="262"/>
      <c r="EN77" s="120"/>
      <c r="EO77" s="262"/>
      <c r="EP77" s="262"/>
      <c r="EQ77" s="120"/>
      <c r="ER77" s="262"/>
      <c r="ES77" s="262"/>
      <c r="ET77" s="120"/>
      <c r="EU77" s="262"/>
      <c r="EV77" s="262"/>
      <c r="EW77" s="120"/>
      <c r="EX77" s="262"/>
      <c r="EY77" s="262"/>
      <c r="EZ77" s="120"/>
      <c r="FA77" s="262"/>
      <c r="FB77" s="262"/>
      <c r="FC77" s="120"/>
      <c r="FD77" s="262"/>
      <c r="FE77" s="262"/>
      <c r="FF77" s="120"/>
      <c r="FG77" s="262"/>
      <c r="FH77" s="262"/>
      <c r="FI77" s="120"/>
      <c r="FJ77" s="262"/>
      <c r="FK77" s="262"/>
      <c r="FL77" s="120"/>
      <c r="FM77" s="262"/>
      <c r="FN77" s="262"/>
      <c r="FO77" s="120"/>
      <c r="FP77" s="262"/>
      <c r="FQ77" s="262"/>
      <c r="FR77" s="120"/>
      <c r="FS77" s="262"/>
      <c r="FT77" s="262"/>
      <c r="FU77" s="120"/>
      <c r="FV77" s="262"/>
      <c r="FW77" s="262"/>
      <c r="FX77" s="120"/>
      <c r="FY77" s="262"/>
      <c r="FZ77" s="262"/>
      <c r="GA77" s="256"/>
      <c r="GB77" s="233"/>
      <c r="GC77" s="233"/>
      <c r="GJ77" s="121">
        <f t="shared" si="19"/>
        <v>0</v>
      </c>
      <c r="GK77" s="121">
        <f t="shared" si="20"/>
        <v>0</v>
      </c>
      <c r="GM77" s="121">
        <f t="shared" si="21"/>
        <v>1</v>
      </c>
      <c r="GN77" s="121">
        <f t="shared" si="22"/>
        <v>0</v>
      </c>
      <c r="GO77" s="121">
        <f t="shared" si="23"/>
        <v>0</v>
      </c>
      <c r="GP77" s="121">
        <f t="shared" si="24"/>
        <v>0</v>
      </c>
      <c r="GQ77" s="121">
        <f t="shared" si="25"/>
        <v>0</v>
      </c>
      <c r="GR77" s="121">
        <f t="shared" si="26"/>
        <v>0</v>
      </c>
    </row>
    <row r="78" spans="1:200" ht="38.25" customHeight="1" x14ac:dyDescent="0.55000000000000004">
      <c r="B78" s="303" t="s">
        <v>437</v>
      </c>
      <c r="C78" s="198"/>
      <c r="D78" s="198"/>
      <c r="E78" s="198"/>
      <c r="F78" s="198"/>
      <c r="G78" s="198"/>
      <c r="H78" s="198"/>
      <c r="I78" s="142" cm="1">
        <f t="array" ref="I78">SUMPRODUCT(($X$2:$GG$2&lt;&gt;"")*($X78:$GG78&lt;&gt;""))</f>
        <v>1</v>
      </c>
      <c r="J78" s="122">
        <f t="shared" si="10"/>
        <v>0</v>
      </c>
      <c r="K78" s="122">
        <f t="shared" si="11"/>
        <v>0</v>
      </c>
      <c r="L78" s="249">
        <f t="shared" si="27"/>
        <v>7000</v>
      </c>
      <c r="M78" s="144">
        <f t="shared" si="12"/>
        <v>784</v>
      </c>
      <c r="N78" s="405"/>
      <c r="O78" s="145">
        <f t="shared" si="13"/>
        <v>0</v>
      </c>
      <c r="P78" s="145">
        <f t="shared" si="14"/>
        <v>0</v>
      </c>
      <c r="Q78" s="145">
        <f t="shared" si="15"/>
        <v>0</v>
      </c>
      <c r="R78" s="145">
        <f t="shared" si="16"/>
        <v>0</v>
      </c>
      <c r="S78" s="130">
        <f t="shared" si="17"/>
        <v>0</v>
      </c>
      <c r="T78" s="130">
        <f t="shared" si="18"/>
        <v>0</v>
      </c>
      <c r="U78" s="141"/>
      <c r="V78" s="123"/>
      <c r="W78" s="134"/>
      <c r="X78" s="347">
        <v>28</v>
      </c>
      <c r="Y78" s="347">
        <v>250</v>
      </c>
      <c r="Z78" s="348" t="s">
        <v>576</v>
      </c>
      <c r="AA78" s="120"/>
      <c r="AB78" s="134"/>
      <c r="AC78" s="200"/>
      <c r="AD78" s="125"/>
      <c r="AE78" s="134"/>
      <c r="AF78" s="200"/>
      <c r="AG78" s="120"/>
      <c r="AH78" s="262"/>
      <c r="AI78" s="262"/>
      <c r="AJ78" s="120"/>
      <c r="AK78" s="262"/>
      <c r="AL78" s="262"/>
      <c r="AM78" s="120"/>
      <c r="AN78" s="262"/>
      <c r="AO78" s="262"/>
      <c r="AP78" s="120"/>
      <c r="AQ78" s="262"/>
      <c r="AR78" s="262"/>
      <c r="AS78" s="120"/>
      <c r="AT78" s="262"/>
      <c r="AU78" s="262"/>
      <c r="AV78" s="120"/>
      <c r="AW78" s="262"/>
      <c r="AX78" s="262"/>
      <c r="AY78" s="120"/>
      <c r="AZ78" s="262"/>
      <c r="BA78" s="262"/>
      <c r="BB78" s="120"/>
      <c r="BC78" s="134"/>
      <c r="BD78" s="200"/>
      <c r="BE78" s="120"/>
      <c r="BF78" s="134"/>
      <c r="BG78" s="200"/>
      <c r="BH78" s="120"/>
      <c r="BI78" s="252"/>
      <c r="BJ78" s="252"/>
      <c r="BK78" s="120"/>
      <c r="BL78" s="134"/>
      <c r="BM78" s="134"/>
      <c r="BN78" s="120"/>
      <c r="BO78" s="252"/>
      <c r="BP78" s="252"/>
      <c r="BQ78" s="120"/>
      <c r="BR78" s="134"/>
      <c r="BS78" s="134"/>
      <c r="BT78" s="120"/>
      <c r="BU78" s="134"/>
      <c r="BV78" s="200"/>
      <c r="BW78" s="120"/>
      <c r="BX78" s="134"/>
      <c r="BY78" s="200"/>
      <c r="BZ78" s="120"/>
      <c r="CA78" s="126"/>
      <c r="CB78" s="126"/>
      <c r="CC78" s="120"/>
      <c r="CD78" s="126"/>
      <c r="CE78" s="126"/>
      <c r="CF78" s="120"/>
      <c r="CG78" s="134"/>
      <c r="CH78" s="134"/>
      <c r="CI78" s="120"/>
      <c r="CJ78" s="200"/>
      <c r="CK78" s="200"/>
      <c r="CL78" s="120"/>
      <c r="CM78" s="200"/>
      <c r="CN78" s="200"/>
      <c r="CO78" s="120"/>
      <c r="CP78" s="134"/>
      <c r="CQ78" s="134"/>
      <c r="CR78" s="120"/>
      <c r="CS78" s="134"/>
      <c r="CT78" s="134"/>
      <c r="CU78" s="120"/>
      <c r="CV78" s="202"/>
      <c r="CW78" s="202"/>
      <c r="CX78" s="120"/>
      <c r="CY78" s="202"/>
      <c r="CZ78" s="202"/>
      <c r="DA78" s="120"/>
      <c r="DB78" s="202"/>
      <c r="DC78" s="202"/>
      <c r="DD78" s="349"/>
      <c r="DE78" s="202"/>
      <c r="DF78" s="202"/>
      <c r="DG78" s="254"/>
      <c r="DH78" s="203"/>
      <c r="DI78" s="203"/>
      <c r="DJ78" s="259"/>
      <c r="DK78" s="136"/>
      <c r="DL78" s="136"/>
      <c r="DM78" s="120"/>
      <c r="DN78" s="233"/>
      <c r="DO78" s="233"/>
      <c r="DP78" s="120"/>
      <c r="DQ78" s="262"/>
      <c r="DR78" s="262"/>
      <c r="DS78" s="120"/>
      <c r="DT78" s="262"/>
      <c r="DU78" s="262"/>
      <c r="DV78" s="120"/>
      <c r="DW78" s="262"/>
      <c r="DX78" s="262"/>
      <c r="DY78" s="120"/>
      <c r="DZ78" s="262"/>
      <c r="EA78" s="262"/>
      <c r="EB78" s="265"/>
      <c r="EC78" s="262"/>
      <c r="ED78" s="262"/>
      <c r="EE78" s="256"/>
      <c r="EF78" s="233"/>
      <c r="EG78" s="233"/>
      <c r="EH78" s="120"/>
      <c r="EI78" s="262"/>
      <c r="EJ78" s="262"/>
      <c r="EK78" s="120"/>
      <c r="EL78" s="262"/>
      <c r="EM78" s="262"/>
      <c r="EN78" s="120"/>
      <c r="EO78" s="262"/>
      <c r="EP78" s="262"/>
      <c r="EQ78" s="120"/>
      <c r="ER78" s="262"/>
      <c r="ES78" s="262"/>
      <c r="ET78" s="120"/>
      <c r="EU78" s="262"/>
      <c r="EV78" s="262"/>
      <c r="EW78" s="120"/>
      <c r="EX78" s="262"/>
      <c r="EY78" s="262"/>
      <c r="EZ78" s="120"/>
      <c r="FA78" s="262"/>
      <c r="FB78" s="262"/>
      <c r="FC78" s="120"/>
      <c r="FD78" s="262"/>
      <c r="FE78" s="262"/>
      <c r="FF78" s="120"/>
      <c r="FG78" s="262"/>
      <c r="FH78" s="262"/>
      <c r="FI78" s="120"/>
      <c r="FJ78" s="262"/>
      <c r="FK78" s="262"/>
      <c r="FL78" s="120"/>
      <c r="FM78" s="262"/>
      <c r="FN78" s="262"/>
      <c r="FO78" s="120"/>
      <c r="FP78" s="262"/>
      <c r="FQ78" s="262"/>
      <c r="FR78" s="120"/>
      <c r="FS78" s="262"/>
      <c r="FT78" s="262"/>
      <c r="FU78" s="120"/>
      <c r="FV78" s="262"/>
      <c r="FW78" s="262"/>
      <c r="FX78" s="120"/>
      <c r="FY78" s="262"/>
      <c r="FZ78" s="262"/>
      <c r="GA78" s="256"/>
      <c r="GB78" s="233"/>
      <c r="GC78" s="233"/>
      <c r="GJ78" s="121">
        <f t="shared" si="19"/>
        <v>0</v>
      </c>
      <c r="GK78" s="121">
        <f t="shared" si="20"/>
        <v>0</v>
      </c>
      <c r="GM78" s="121">
        <f t="shared" si="21"/>
        <v>1</v>
      </c>
      <c r="GN78" s="121">
        <f t="shared" si="22"/>
        <v>0</v>
      </c>
      <c r="GO78" s="121">
        <f t="shared" si="23"/>
        <v>0</v>
      </c>
      <c r="GP78" s="121">
        <f t="shared" si="24"/>
        <v>0</v>
      </c>
      <c r="GQ78" s="121">
        <f t="shared" si="25"/>
        <v>0</v>
      </c>
      <c r="GR78" s="121">
        <f t="shared" si="26"/>
        <v>0</v>
      </c>
    </row>
    <row r="79" spans="1:200" ht="38.25" customHeight="1" x14ac:dyDescent="0.55000000000000004">
      <c r="B79" s="303" t="s">
        <v>440</v>
      </c>
      <c r="C79" s="198"/>
      <c r="D79" s="198"/>
      <c r="E79" s="198"/>
      <c r="F79" s="198"/>
      <c r="G79" s="198"/>
      <c r="H79" s="198"/>
      <c r="I79" s="142" cm="1">
        <f t="array" ref="I79">SUMPRODUCT(($X$2:$GG$2&lt;&gt;"")*($X79:$GG79&lt;&gt;""))</f>
        <v>1</v>
      </c>
      <c r="J79" s="122">
        <f t="shared" si="10"/>
        <v>0</v>
      </c>
      <c r="K79" s="122">
        <f t="shared" si="11"/>
        <v>0</v>
      </c>
      <c r="L79" s="249">
        <f t="shared" si="27"/>
        <v>7000</v>
      </c>
      <c r="M79" s="144">
        <f t="shared" si="12"/>
        <v>784</v>
      </c>
      <c r="N79" s="405"/>
      <c r="O79" s="145">
        <f t="shared" si="13"/>
        <v>0</v>
      </c>
      <c r="P79" s="145">
        <f t="shared" si="14"/>
        <v>0</v>
      </c>
      <c r="Q79" s="145">
        <f t="shared" si="15"/>
        <v>0</v>
      </c>
      <c r="R79" s="145">
        <f t="shared" si="16"/>
        <v>0</v>
      </c>
      <c r="S79" s="130">
        <f t="shared" si="17"/>
        <v>0</v>
      </c>
      <c r="T79" s="130">
        <f t="shared" si="18"/>
        <v>0</v>
      </c>
      <c r="U79" s="141"/>
      <c r="V79" s="123"/>
      <c r="W79" s="134"/>
      <c r="X79" s="347">
        <v>28</v>
      </c>
      <c r="Y79" s="347">
        <v>250</v>
      </c>
      <c r="Z79" s="348" t="s">
        <v>576</v>
      </c>
      <c r="AA79" s="120"/>
      <c r="AB79" s="134"/>
      <c r="AC79" s="200"/>
      <c r="AD79" s="125"/>
      <c r="AE79" s="134"/>
      <c r="AF79" s="200"/>
      <c r="AG79" s="120"/>
      <c r="AH79" s="262"/>
      <c r="AI79" s="262"/>
      <c r="AJ79" s="120"/>
      <c r="AK79" s="262"/>
      <c r="AL79" s="262"/>
      <c r="AM79" s="120"/>
      <c r="AN79" s="262"/>
      <c r="AO79" s="262"/>
      <c r="AP79" s="120"/>
      <c r="AQ79" s="262"/>
      <c r="AR79" s="262"/>
      <c r="AS79" s="120"/>
      <c r="AT79" s="262"/>
      <c r="AU79" s="262"/>
      <c r="AV79" s="120"/>
      <c r="AW79" s="262"/>
      <c r="AX79" s="262"/>
      <c r="AY79" s="120"/>
      <c r="AZ79" s="262"/>
      <c r="BA79" s="262"/>
      <c r="BB79" s="120"/>
      <c r="BC79" s="134"/>
      <c r="BD79" s="200"/>
      <c r="BE79" s="120"/>
      <c r="BF79" s="134"/>
      <c r="BG79" s="200"/>
      <c r="BH79" s="120"/>
      <c r="BI79" s="252"/>
      <c r="BJ79" s="252"/>
      <c r="BK79" s="120"/>
      <c r="BL79" s="134"/>
      <c r="BM79" s="134"/>
      <c r="BN79" s="120"/>
      <c r="BO79" s="252"/>
      <c r="BP79" s="252"/>
      <c r="BQ79" s="120"/>
      <c r="BR79" s="134"/>
      <c r="BS79" s="134"/>
      <c r="BT79" s="120"/>
      <c r="BU79" s="134"/>
      <c r="BV79" s="200"/>
      <c r="BW79" s="120"/>
      <c r="BX79" s="134"/>
      <c r="BY79" s="200"/>
      <c r="BZ79" s="120"/>
      <c r="CA79" s="126"/>
      <c r="CB79" s="126"/>
      <c r="CC79" s="120"/>
      <c r="CD79" s="126"/>
      <c r="CE79" s="126"/>
      <c r="CF79" s="120"/>
      <c r="CG79" s="134"/>
      <c r="CH79" s="134"/>
      <c r="CI79" s="120"/>
      <c r="CJ79" s="200"/>
      <c r="CK79" s="200"/>
      <c r="CL79" s="120"/>
      <c r="CM79" s="200"/>
      <c r="CN79" s="200"/>
      <c r="CO79" s="120"/>
      <c r="CP79" s="134"/>
      <c r="CQ79" s="134"/>
      <c r="CR79" s="120"/>
      <c r="CS79" s="134"/>
      <c r="CT79" s="134"/>
      <c r="CU79" s="120"/>
      <c r="CV79" s="202"/>
      <c r="CW79" s="202"/>
      <c r="CX79" s="120"/>
      <c r="CY79" s="202"/>
      <c r="CZ79" s="202"/>
      <c r="DA79" s="120"/>
      <c r="DB79" s="202"/>
      <c r="DC79" s="202"/>
      <c r="DD79" s="349"/>
      <c r="DE79" s="202"/>
      <c r="DF79" s="202"/>
      <c r="DG79" s="254"/>
      <c r="DH79" s="203"/>
      <c r="DI79" s="203"/>
      <c r="DJ79" s="259"/>
      <c r="DK79" s="136"/>
      <c r="DL79" s="136"/>
      <c r="DM79" s="120"/>
      <c r="DN79" s="233"/>
      <c r="DO79" s="233"/>
      <c r="DP79" s="120"/>
      <c r="DQ79" s="262"/>
      <c r="DR79" s="262"/>
      <c r="DS79" s="120"/>
      <c r="DT79" s="262"/>
      <c r="DU79" s="262"/>
      <c r="DV79" s="120"/>
      <c r="DW79" s="262"/>
      <c r="DX79" s="262"/>
      <c r="DY79" s="120"/>
      <c r="DZ79" s="262"/>
      <c r="EA79" s="262"/>
      <c r="EB79" s="265"/>
      <c r="EC79" s="262"/>
      <c r="ED79" s="262"/>
      <c r="EE79" s="256"/>
      <c r="EF79" s="233"/>
      <c r="EG79" s="233"/>
      <c r="EH79" s="120"/>
      <c r="EI79" s="262"/>
      <c r="EJ79" s="262"/>
      <c r="EK79" s="120"/>
      <c r="EL79" s="262"/>
      <c r="EM79" s="262"/>
      <c r="EN79" s="120"/>
      <c r="EO79" s="262"/>
      <c r="EP79" s="262"/>
      <c r="EQ79" s="120"/>
      <c r="ER79" s="262"/>
      <c r="ES79" s="262"/>
      <c r="ET79" s="120"/>
      <c r="EU79" s="262"/>
      <c r="EV79" s="262"/>
      <c r="EW79" s="120"/>
      <c r="EX79" s="262"/>
      <c r="EY79" s="262"/>
      <c r="EZ79" s="120"/>
      <c r="FA79" s="262"/>
      <c r="FB79" s="262"/>
      <c r="FC79" s="120"/>
      <c r="FD79" s="262"/>
      <c r="FE79" s="262"/>
      <c r="FF79" s="120"/>
      <c r="FG79" s="262"/>
      <c r="FH79" s="262"/>
      <c r="FI79" s="120"/>
      <c r="FJ79" s="262"/>
      <c r="FK79" s="262"/>
      <c r="FL79" s="120"/>
      <c r="FM79" s="262"/>
      <c r="FN79" s="262"/>
      <c r="FO79" s="120"/>
      <c r="FP79" s="262"/>
      <c r="FQ79" s="262"/>
      <c r="FR79" s="120"/>
      <c r="FS79" s="262"/>
      <c r="FT79" s="262"/>
      <c r="FU79" s="120"/>
      <c r="FV79" s="262"/>
      <c r="FW79" s="262"/>
      <c r="FX79" s="120"/>
      <c r="FY79" s="262"/>
      <c r="FZ79" s="262"/>
      <c r="GA79" s="256"/>
      <c r="GB79" s="233"/>
      <c r="GC79" s="233"/>
      <c r="GJ79" s="121">
        <f t="shared" si="19"/>
        <v>0</v>
      </c>
      <c r="GK79" s="121">
        <f t="shared" si="20"/>
        <v>0</v>
      </c>
      <c r="GM79" s="121">
        <f t="shared" si="21"/>
        <v>1</v>
      </c>
      <c r="GN79" s="121">
        <f t="shared" si="22"/>
        <v>0</v>
      </c>
      <c r="GO79" s="121">
        <f t="shared" si="23"/>
        <v>0</v>
      </c>
      <c r="GP79" s="121">
        <f t="shared" si="24"/>
        <v>0</v>
      </c>
      <c r="GQ79" s="121">
        <f t="shared" si="25"/>
        <v>0</v>
      </c>
      <c r="GR79" s="121">
        <f t="shared" si="26"/>
        <v>0</v>
      </c>
    </row>
    <row r="80" spans="1:200" ht="38.25" customHeight="1" x14ac:dyDescent="0.55000000000000004">
      <c r="B80" s="303" t="s">
        <v>441</v>
      </c>
      <c r="C80" s="198"/>
      <c r="D80" s="198"/>
      <c r="E80" s="198"/>
      <c r="F80" s="198"/>
      <c r="G80" s="198"/>
      <c r="H80" s="198"/>
      <c r="I80" s="142" cm="1">
        <f t="array" ref="I80">SUMPRODUCT(($X$2:$GG$2&lt;&gt;"")*($X80:$GG80&lt;&gt;""))</f>
        <v>1</v>
      </c>
      <c r="J80" s="122">
        <f t="shared" si="10"/>
        <v>0</v>
      </c>
      <c r="K80" s="122">
        <f t="shared" si="11"/>
        <v>0</v>
      </c>
      <c r="L80" s="249">
        <f t="shared" si="27"/>
        <v>7000</v>
      </c>
      <c r="M80" s="144">
        <f t="shared" si="12"/>
        <v>840</v>
      </c>
      <c r="N80" s="405"/>
      <c r="O80" s="145">
        <f t="shared" si="13"/>
        <v>0</v>
      </c>
      <c r="P80" s="145">
        <f t="shared" si="14"/>
        <v>0</v>
      </c>
      <c r="Q80" s="145">
        <f t="shared" si="15"/>
        <v>0</v>
      </c>
      <c r="R80" s="145">
        <f t="shared" si="16"/>
        <v>0</v>
      </c>
      <c r="S80" s="130">
        <f t="shared" si="17"/>
        <v>0</v>
      </c>
      <c r="T80" s="130">
        <f t="shared" si="18"/>
        <v>0</v>
      </c>
      <c r="U80" s="141"/>
      <c r="V80" s="123"/>
      <c r="W80" s="134"/>
      <c r="X80" s="347">
        <v>30</v>
      </c>
      <c r="Y80" s="347">
        <v>250</v>
      </c>
      <c r="Z80" s="348" t="s">
        <v>576</v>
      </c>
      <c r="AA80" s="120"/>
      <c r="AB80" s="134"/>
      <c r="AC80" s="200"/>
      <c r="AD80" s="125"/>
      <c r="AE80" s="134"/>
      <c r="AF80" s="200"/>
      <c r="AG80" s="120"/>
      <c r="AH80" s="262"/>
      <c r="AI80" s="262"/>
      <c r="AJ80" s="120"/>
      <c r="AK80" s="262"/>
      <c r="AL80" s="262"/>
      <c r="AM80" s="120"/>
      <c r="AN80" s="262"/>
      <c r="AO80" s="262"/>
      <c r="AP80" s="120"/>
      <c r="AQ80" s="262"/>
      <c r="AR80" s="262"/>
      <c r="AS80" s="120"/>
      <c r="AT80" s="262"/>
      <c r="AU80" s="262"/>
      <c r="AV80" s="120"/>
      <c r="AW80" s="262"/>
      <c r="AX80" s="262"/>
      <c r="AY80" s="120"/>
      <c r="AZ80" s="262"/>
      <c r="BA80" s="262"/>
      <c r="BB80" s="120"/>
      <c r="BC80" s="134"/>
      <c r="BD80" s="200"/>
      <c r="BE80" s="120"/>
      <c r="BF80" s="134"/>
      <c r="BG80" s="200"/>
      <c r="BH80" s="120"/>
      <c r="BI80" s="252"/>
      <c r="BJ80" s="252"/>
      <c r="BK80" s="120"/>
      <c r="BL80" s="134"/>
      <c r="BM80" s="134"/>
      <c r="BN80" s="120"/>
      <c r="BO80" s="252"/>
      <c r="BP80" s="252"/>
      <c r="BQ80" s="120"/>
      <c r="BR80" s="134"/>
      <c r="BS80" s="134"/>
      <c r="BT80" s="120"/>
      <c r="BU80" s="134"/>
      <c r="BV80" s="200"/>
      <c r="BW80" s="120"/>
      <c r="BX80" s="134"/>
      <c r="BY80" s="200"/>
      <c r="BZ80" s="120"/>
      <c r="CA80" s="126"/>
      <c r="CB80" s="126"/>
      <c r="CC80" s="120"/>
      <c r="CD80" s="126"/>
      <c r="CE80" s="126"/>
      <c r="CF80" s="120"/>
      <c r="CG80" s="134"/>
      <c r="CH80" s="134"/>
      <c r="CI80" s="120"/>
      <c r="CJ80" s="200"/>
      <c r="CK80" s="200"/>
      <c r="CL80" s="120"/>
      <c r="CM80" s="200"/>
      <c r="CN80" s="200"/>
      <c r="CO80" s="120"/>
      <c r="CP80" s="134"/>
      <c r="CQ80" s="134"/>
      <c r="CR80" s="120"/>
      <c r="CS80" s="134"/>
      <c r="CT80" s="134"/>
      <c r="CU80" s="120"/>
      <c r="CV80" s="202"/>
      <c r="CW80" s="202"/>
      <c r="CX80" s="120"/>
      <c r="CY80" s="202"/>
      <c r="CZ80" s="202"/>
      <c r="DA80" s="120"/>
      <c r="DB80" s="202"/>
      <c r="DC80" s="202"/>
      <c r="DD80" s="349"/>
      <c r="DE80" s="202"/>
      <c r="DF80" s="202"/>
      <c r="DG80" s="254"/>
      <c r="DH80" s="203"/>
      <c r="DI80" s="203"/>
      <c r="DJ80" s="259"/>
      <c r="DK80" s="136"/>
      <c r="DL80" s="136"/>
      <c r="DM80" s="120"/>
      <c r="DN80" s="233"/>
      <c r="DO80" s="233"/>
      <c r="DP80" s="120"/>
      <c r="DQ80" s="262"/>
      <c r="DR80" s="262"/>
      <c r="DS80" s="120"/>
      <c r="DT80" s="262"/>
      <c r="DU80" s="262"/>
      <c r="DV80" s="120"/>
      <c r="DW80" s="262"/>
      <c r="DX80" s="262"/>
      <c r="DY80" s="120"/>
      <c r="DZ80" s="262"/>
      <c r="EA80" s="262"/>
      <c r="EB80" s="265"/>
      <c r="EC80" s="262"/>
      <c r="ED80" s="262"/>
      <c r="EE80" s="256"/>
      <c r="EF80" s="233"/>
      <c r="EG80" s="233"/>
      <c r="EH80" s="120"/>
      <c r="EI80" s="262"/>
      <c r="EJ80" s="262"/>
      <c r="EK80" s="120"/>
      <c r="EL80" s="262"/>
      <c r="EM80" s="262"/>
      <c r="EN80" s="120"/>
      <c r="EO80" s="262"/>
      <c r="EP80" s="262"/>
      <c r="EQ80" s="120"/>
      <c r="ER80" s="262"/>
      <c r="ES80" s="262"/>
      <c r="ET80" s="120"/>
      <c r="EU80" s="262"/>
      <c r="EV80" s="262"/>
      <c r="EW80" s="120"/>
      <c r="EX80" s="262"/>
      <c r="EY80" s="262"/>
      <c r="EZ80" s="120"/>
      <c r="FA80" s="262"/>
      <c r="FB80" s="262"/>
      <c r="FC80" s="120"/>
      <c r="FD80" s="262"/>
      <c r="FE80" s="262"/>
      <c r="FF80" s="120"/>
      <c r="FG80" s="262"/>
      <c r="FH80" s="262"/>
      <c r="FI80" s="120"/>
      <c r="FJ80" s="262"/>
      <c r="FK80" s="262"/>
      <c r="FL80" s="120"/>
      <c r="FM80" s="262"/>
      <c r="FN80" s="262"/>
      <c r="FO80" s="120"/>
      <c r="FP80" s="262"/>
      <c r="FQ80" s="262"/>
      <c r="FR80" s="120"/>
      <c r="FS80" s="262"/>
      <c r="FT80" s="262"/>
      <c r="FU80" s="120"/>
      <c r="FV80" s="262"/>
      <c r="FW80" s="262"/>
      <c r="FX80" s="120"/>
      <c r="FY80" s="262"/>
      <c r="FZ80" s="262"/>
      <c r="GA80" s="256"/>
      <c r="GB80" s="233"/>
      <c r="GC80" s="233"/>
      <c r="GJ80" s="121">
        <f t="shared" si="19"/>
        <v>0</v>
      </c>
      <c r="GK80" s="121">
        <f t="shared" si="20"/>
        <v>0</v>
      </c>
      <c r="GM80" s="121">
        <f t="shared" si="21"/>
        <v>1</v>
      </c>
      <c r="GN80" s="121">
        <f t="shared" si="22"/>
        <v>0</v>
      </c>
      <c r="GO80" s="121">
        <f t="shared" si="23"/>
        <v>0</v>
      </c>
      <c r="GP80" s="121">
        <f t="shared" si="24"/>
        <v>0</v>
      </c>
      <c r="GQ80" s="121">
        <f t="shared" si="25"/>
        <v>0</v>
      </c>
      <c r="GR80" s="121">
        <f t="shared" si="26"/>
        <v>0</v>
      </c>
    </row>
    <row r="81" spans="1:200" ht="38.25" customHeight="1" x14ac:dyDescent="0.55000000000000004">
      <c r="B81" s="303" t="s">
        <v>442</v>
      </c>
      <c r="C81" s="198"/>
      <c r="D81" s="198"/>
      <c r="E81" s="198"/>
      <c r="F81" s="198"/>
      <c r="G81" s="198"/>
      <c r="H81" s="198"/>
      <c r="I81" s="142" cm="1">
        <f t="array" ref="I81">SUMPRODUCT(($X$2:$GG$2&lt;&gt;"")*($X81:$GG81&lt;&gt;""))</f>
        <v>2</v>
      </c>
      <c r="J81" s="122">
        <f t="shared" si="10"/>
        <v>0</v>
      </c>
      <c r="K81" s="122">
        <f t="shared" si="11"/>
        <v>0</v>
      </c>
      <c r="L81" s="249">
        <f t="shared" si="27"/>
        <v>7000</v>
      </c>
      <c r="M81" s="144">
        <f t="shared" si="12"/>
        <v>560</v>
      </c>
      <c r="N81" s="405"/>
      <c r="O81" s="145">
        <f t="shared" si="13"/>
        <v>0</v>
      </c>
      <c r="P81" s="145">
        <f t="shared" si="14"/>
        <v>0</v>
      </c>
      <c r="Q81" s="145">
        <f t="shared" si="15"/>
        <v>0</v>
      </c>
      <c r="R81" s="145">
        <f t="shared" si="16"/>
        <v>0</v>
      </c>
      <c r="S81" s="130">
        <f t="shared" si="17"/>
        <v>0</v>
      </c>
      <c r="T81" s="130">
        <f t="shared" si="18"/>
        <v>0</v>
      </c>
      <c r="U81" s="141"/>
      <c r="V81" s="123"/>
      <c r="W81" s="134"/>
      <c r="X81" s="347">
        <v>10</v>
      </c>
      <c r="Y81" s="347">
        <v>250</v>
      </c>
      <c r="Z81" s="348" t="s">
        <v>576</v>
      </c>
      <c r="AA81" s="120"/>
      <c r="AB81" s="134"/>
      <c r="AC81" s="200"/>
      <c r="AD81" s="125">
        <v>144</v>
      </c>
      <c r="AE81" s="339"/>
      <c r="AF81" s="348" t="s">
        <v>807</v>
      </c>
      <c r="AG81" s="120"/>
      <c r="AH81" s="262"/>
      <c r="AI81" s="262"/>
      <c r="AJ81" s="120"/>
      <c r="AK81" s="262"/>
      <c r="AL81" s="262"/>
      <c r="AM81" s="120"/>
      <c r="AN81" s="262"/>
      <c r="AO81" s="262"/>
      <c r="AP81" s="120"/>
      <c r="AQ81" s="262"/>
      <c r="AR81" s="262"/>
      <c r="AS81" s="120"/>
      <c r="AT81" s="262"/>
      <c r="AU81" s="262"/>
      <c r="AV81" s="120"/>
      <c r="AW81" s="262"/>
      <c r="AX81" s="262"/>
      <c r="AY81" s="120"/>
      <c r="AZ81" s="262"/>
      <c r="BA81" s="262"/>
      <c r="BB81" s="120"/>
      <c r="BC81" s="134"/>
      <c r="BD81" s="200"/>
      <c r="BE81" s="120"/>
      <c r="BF81" s="134"/>
      <c r="BG81" s="200"/>
      <c r="BH81" s="120"/>
      <c r="BI81" s="252"/>
      <c r="BJ81" s="252"/>
      <c r="BK81" s="120"/>
      <c r="BL81" s="134"/>
      <c r="BM81" s="134"/>
      <c r="BN81" s="120"/>
      <c r="BO81" s="252"/>
      <c r="BP81" s="252"/>
      <c r="BQ81" s="120"/>
      <c r="BR81" s="134"/>
      <c r="BS81" s="134"/>
      <c r="BT81" s="120"/>
      <c r="BU81" s="134"/>
      <c r="BV81" s="200"/>
      <c r="BW81" s="120"/>
      <c r="BX81" s="134"/>
      <c r="BY81" s="200"/>
      <c r="BZ81" s="120"/>
      <c r="CA81" s="126"/>
      <c r="CB81" s="126"/>
      <c r="CC81" s="120"/>
      <c r="CD81" s="126"/>
      <c r="CE81" s="126"/>
      <c r="CF81" s="120"/>
      <c r="CG81" s="134"/>
      <c r="CH81" s="134"/>
      <c r="CI81" s="120"/>
      <c r="CJ81" s="200"/>
      <c r="CK81" s="200"/>
      <c r="CL81" s="120"/>
      <c r="CM81" s="200"/>
      <c r="CN81" s="200"/>
      <c r="CO81" s="120"/>
      <c r="CP81" s="134"/>
      <c r="CQ81" s="134"/>
      <c r="CR81" s="120"/>
      <c r="CS81" s="134"/>
      <c r="CT81" s="134"/>
      <c r="CU81" s="120"/>
      <c r="CV81" s="202"/>
      <c r="CW81" s="202"/>
      <c r="CX81" s="120"/>
      <c r="CY81" s="202"/>
      <c r="CZ81" s="202"/>
      <c r="DA81" s="120"/>
      <c r="DB81" s="202"/>
      <c r="DC81" s="202"/>
      <c r="DD81" s="349"/>
      <c r="DE81" s="202"/>
      <c r="DF81" s="202"/>
      <c r="DG81" s="254"/>
      <c r="DH81" s="203"/>
      <c r="DI81" s="203"/>
      <c r="DJ81" s="259"/>
      <c r="DK81" s="136"/>
      <c r="DL81" s="136"/>
      <c r="DM81" s="120"/>
      <c r="DN81" s="233"/>
      <c r="DO81" s="233"/>
      <c r="DP81" s="120"/>
      <c r="DQ81" s="262"/>
      <c r="DR81" s="262"/>
      <c r="DS81" s="120"/>
      <c r="DT81" s="262"/>
      <c r="DU81" s="262"/>
      <c r="DV81" s="120"/>
      <c r="DW81" s="262"/>
      <c r="DX81" s="262"/>
      <c r="DY81" s="120"/>
      <c r="DZ81" s="262"/>
      <c r="EA81" s="262"/>
      <c r="EB81" s="265"/>
      <c r="EC81" s="262"/>
      <c r="ED81" s="262"/>
      <c r="EE81" s="256"/>
      <c r="EF81" s="233"/>
      <c r="EG81" s="233"/>
      <c r="EH81" s="120"/>
      <c r="EI81" s="262"/>
      <c r="EJ81" s="262"/>
      <c r="EK81" s="120"/>
      <c r="EL81" s="262"/>
      <c r="EM81" s="262"/>
      <c r="EN81" s="120"/>
      <c r="EO81" s="262"/>
      <c r="EP81" s="262"/>
      <c r="EQ81" s="120"/>
      <c r="ER81" s="262"/>
      <c r="ES81" s="262"/>
      <c r="ET81" s="120"/>
      <c r="EU81" s="262"/>
      <c r="EV81" s="262"/>
      <c r="EW81" s="120"/>
      <c r="EX81" s="262"/>
      <c r="EY81" s="262"/>
      <c r="EZ81" s="120"/>
      <c r="FA81" s="262"/>
      <c r="FB81" s="262"/>
      <c r="FC81" s="120"/>
      <c r="FD81" s="262"/>
      <c r="FE81" s="262"/>
      <c r="FF81" s="120"/>
      <c r="FG81" s="262"/>
      <c r="FH81" s="262"/>
      <c r="FI81" s="120"/>
      <c r="FJ81" s="262"/>
      <c r="FK81" s="262"/>
      <c r="FL81" s="120"/>
      <c r="FM81" s="262"/>
      <c r="FN81" s="262"/>
      <c r="FO81" s="120"/>
      <c r="FP81" s="262"/>
      <c r="FQ81" s="262"/>
      <c r="FR81" s="120"/>
      <c r="FS81" s="262"/>
      <c r="FT81" s="262"/>
      <c r="FU81" s="120"/>
      <c r="FV81" s="262"/>
      <c r="FW81" s="262"/>
      <c r="FX81" s="120"/>
      <c r="FY81" s="262"/>
      <c r="FZ81" s="262"/>
      <c r="GA81" s="256"/>
      <c r="GB81" s="233"/>
      <c r="GC81" s="233"/>
      <c r="GJ81" s="121">
        <f t="shared" si="19"/>
        <v>0</v>
      </c>
      <c r="GK81" s="121">
        <f t="shared" si="20"/>
        <v>0</v>
      </c>
      <c r="GM81" s="121">
        <f t="shared" si="21"/>
        <v>1</v>
      </c>
      <c r="GN81" s="121">
        <f t="shared" si="22"/>
        <v>0</v>
      </c>
      <c r="GO81" s="121">
        <f t="shared" si="23"/>
        <v>1</v>
      </c>
      <c r="GP81" s="121">
        <f t="shared" si="24"/>
        <v>0</v>
      </c>
      <c r="GQ81" s="121">
        <f t="shared" si="25"/>
        <v>0</v>
      </c>
      <c r="GR81" s="121">
        <f t="shared" si="26"/>
        <v>0</v>
      </c>
    </row>
    <row r="82" spans="1:200" ht="38.25" customHeight="1" x14ac:dyDescent="0.55000000000000004">
      <c r="A82" s="121" t="s">
        <v>185</v>
      </c>
      <c r="B82" s="303" t="s">
        <v>186</v>
      </c>
      <c r="C82" s="198">
        <v>25</v>
      </c>
      <c r="D82" s="404">
        <v>25</v>
      </c>
      <c r="E82" s="404">
        <v>25</v>
      </c>
      <c r="F82" s="198"/>
      <c r="G82" s="198"/>
      <c r="H82" s="198"/>
      <c r="I82" s="142" cm="1">
        <f t="array" ref="I82">SUMPRODUCT(($X$2:$GG$2&lt;&gt;"")*($X82:$GG82&lt;&gt;""))</f>
        <v>1</v>
      </c>
      <c r="J82" s="122">
        <f t="shared" si="10"/>
        <v>25</v>
      </c>
      <c r="K82" s="122">
        <f t="shared" si="11"/>
        <v>350</v>
      </c>
      <c r="L82" s="249">
        <f t="shared" si="27"/>
        <v>7000</v>
      </c>
      <c r="M82" s="144">
        <f t="shared" si="12"/>
        <v>58732.800000000003</v>
      </c>
      <c r="N82" s="405"/>
      <c r="O82" s="145">
        <f t="shared" si="13"/>
        <v>0</v>
      </c>
      <c r="P82" s="145">
        <f t="shared" si="14"/>
        <v>0</v>
      </c>
      <c r="Q82" s="145">
        <f t="shared" si="15"/>
        <v>0</v>
      </c>
      <c r="R82" s="145">
        <f t="shared" si="16"/>
        <v>0</v>
      </c>
      <c r="S82" s="130">
        <f t="shared" si="17"/>
        <v>0</v>
      </c>
      <c r="T82" s="130">
        <f t="shared" si="18"/>
        <v>0</v>
      </c>
      <c r="U82" s="141">
        <v>600</v>
      </c>
      <c r="V82" s="123"/>
      <c r="W82" s="134"/>
      <c r="X82" s="124">
        <v>27.6</v>
      </c>
      <c r="Y82" s="134">
        <v>250</v>
      </c>
      <c r="Z82" s="348" t="s">
        <v>576</v>
      </c>
      <c r="AA82" s="120"/>
      <c r="AB82" s="134"/>
      <c r="AC82" s="200"/>
      <c r="AD82" s="125"/>
      <c r="AE82" s="134"/>
      <c r="AF82" s="200"/>
      <c r="AG82" s="120"/>
      <c r="AH82" s="262"/>
      <c r="AI82" s="262"/>
      <c r="AJ82" s="120"/>
      <c r="AK82" s="262"/>
      <c r="AL82" s="262"/>
      <c r="AM82" s="120"/>
      <c r="AN82" s="262"/>
      <c r="AO82" s="262"/>
      <c r="AP82" s="120"/>
      <c r="AQ82" s="262"/>
      <c r="AR82" s="262"/>
      <c r="AS82" s="120"/>
      <c r="AT82" s="262"/>
      <c r="AU82" s="262"/>
      <c r="AV82" s="120"/>
      <c r="AW82" s="262"/>
      <c r="AX82" s="262"/>
      <c r="AY82" s="120"/>
      <c r="AZ82" s="262"/>
      <c r="BA82" s="262"/>
      <c r="BB82" s="120"/>
      <c r="BC82" s="134"/>
      <c r="BD82" s="200"/>
      <c r="BE82" s="120"/>
      <c r="BF82" s="134"/>
      <c r="BG82" s="200"/>
      <c r="BH82" s="120"/>
      <c r="BI82" s="252"/>
      <c r="BJ82" s="252"/>
      <c r="BK82" s="120"/>
      <c r="BL82" s="134"/>
      <c r="BM82" s="134"/>
      <c r="BN82" s="120"/>
      <c r="BO82" s="252"/>
      <c r="BP82" s="252"/>
      <c r="BQ82" s="120"/>
      <c r="BR82" s="134"/>
      <c r="BS82" s="134"/>
      <c r="BT82" s="120"/>
      <c r="BU82" s="134"/>
      <c r="BV82" s="200"/>
      <c r="BW82" s="120"/>
      <c r="BX82" s="134"/>
      <c r="BY82" s="200"/>
      <c r="BZ82" s="120"/>
      <c r="CA82" s="126"/>
      <c r="CB82" s="126"/>
      <c r="CC82" s="120"/>
      <c r="CD82" s="126"/>
      <c r="CE82" s="126"/>
      <c r="CF82" s="120"/>
      <c r="CG82" s="134"/>
      <c r="CH82" s="134"/>
      <c r="CI82" s="120"/>
      <c r="CJ82" s="200"/>
      <c r="CK82" s="200"/>
      <c r="CL82" s="120"/>
      <c r="CM82" s="200"/>
      <c r="CN82" s="200"/>
      <c r="CO82" s="120"/>
      <c r="CP82" s="134"/>
      <c r="CQ82" s="134"/>
      <c r="CR82" s="120"/>
      <c r="CS82" s="134"/>
      <c r="CT82" s="134"/>
      <c r="CU82" s="120"/>
      <c r="CV82" s="202"/>
      <c r="CW82" s="202"/>
      <c r="CX82" s="120"/>
      <c r="CY82" s="202"/>
      <c r="CZ82" s="202"/>
      <c r="DA82" s="120"/>
      <c r="DB82" s="202"/>
      <c r="DC82" s="202"/>
      <c r="DD82" s="349"/>
      <c r="DE82" s="202"/>
      <c r="DF82" s="202"/>
      <c r="DG82" s="254"/>
      <c r="DH82" s="203"/>
      <c r="DI82" s="203"/>
      <c r="DJ82" s="259"/>
      <c r="DK82" s="136"/>
      <c r="DL82" s="136"/>
      <c r="DM82" s="120"/>
      <c r="DN82" s="233"/>
      <c r="DO82" s="233"/>
      <c r="DP82" s="120"/>
      <c r="DQ82" s="262"/>
      <c r="DR82" s="262"/>
      <c r="DS82" s="120"/>
      <c r="DT82" s="262"/>
      <c r="DU82" s="262"/>
      <c r="DV82" s="120"/>
      <c r="DW82" s="262"/>
      <c r="DX82" s="262"/>
      <c r="DY82" s="120"/>
      <c r="DZ82" s="262"/>
      <c r="EA82" s="262"/>
      <c r="EB82" s="265"/>
      <c r="EC82" s="262"/>
      <c r="ED82" s="262"/>
      <c r="EE82" s="256"/>
      <c r="EF82" s="200"/>
      <c r="EG82" s="200"/>
      <c r="EH82" s="120"/>
      <c r="EI82" s="262"/>
      <c r="EJ82" s="262"/>
      <c r="EK82" s="120"/>
      <c r="EL82" s="262"/>
      <c r="EM82" s="262"/>
      <c r="EN82" s="120"/>
      <c r="EO82" s="262"/>
      <c r="EP82" s="262"/>
      <c r="EQ82" s="120"/>
      <c r="ER82" s="262"/>
      <c r="ES82" s="262"/>
      <c r="ET82" s="120"/>
      <c r="EU82" s="262"/>
      <c r="EV82" s="262"/>
      <c r="EW82" s="120"/>
      <c r="EX82" s="262"/>
      <c r="EY82" s="262"/>
      <c r="EZ82" s="120"/>
      <c r="FA82" s="262"/>
      <c r="FB82" s="262"/>
      <c r="FC82" s="120"/>
      <c r="FD82" s="262"/>
      <c r="FE82" s="262"/>
      <c r="FF82" s="120"/>
      <c r="FG82" s="262"/>
      <c r="FH82" s="262"/>
      <c r="FI82" s="120"/>
      <c r="FJ82" s="262"/>
      <c r="FK82" s="262"/>
      <c r="FL82" s="120"/>
      <c r="FM82" s="262"/>
      <c r="FN82" s="262"/>
      <c r="FO82" s="120"/>
      <c r="FP82" s="262"/>
      <c r="FQ82" s="262"/>
      <c r="FR82" s="120"/>
      <c r="FS82" s="262"/>
      <c r="FT82" s="262"/>
      <c r="FU82" s="120"/>
      <c r="FV82" s="262"/>
      <c r="FW82" s="262"/>
      <c r="FX82" s="120"/>
      <c r="FY82" s="262"/>
      <c r="FZ82" s="262"/>
      <c r="GA82" s="256"/>
      <c r="GB82" s="233"/>
      <c r="GC82" s="233"/>
      <c r="GJ82" s="121">
        <f t="shared" si="19"/>
        <v>0</v>
      </c>
      <c r="GK82" s="121">
        <f t="shared" si="20"/>
        <v>0</v>
      </c>
      <c r="GM82" s="121">
        <f t="shared" si="21"/>
        <v>1</v>
      </c>
      <c r="GN82" s="121">
        <f t="shared" si="22"/>
        <v>0</v>
      </c>
      <c r="GO82" s="121">
        <f t="shared" si="23"/>
        <v>0</v>
      </c>
      <c r="GP82" s="121">
        <f t="shared" si="24"/>
        <v>0</v>
      </c>
      <c r="GQ82" s="121">
        <f t="shared" si="25"/>
        <v>0</v>
      </c>
      <c r="GR82" s="121">
        <f t="shared" si="26"/>
        <v>0</v>
      </c>
    </row>
    <row r="83" spans="1:200" ht="38.25" customHeight="1" x14ac:dyDescent="0.55000000000000004">
      <c r="B83" s="303" t="s">
        <v>443</v>
      </c>
      <c r="C83" s="198"/>
      <c r="D83" s="198"/>
      <c r="E83" s="198"/>
      <c r="F83" s="198"/>
      <c r="G83" s="198"/>
      <c r="H83" s="198"/>
      <c r="I83" s="142" cm="1">
        <f t="array" ref="I83">SUMPRODUCT(($X$2:$GG$2&lt;&gt;"")*($X83:$GG83&lt;&gt;""))</f>
        <v>1</v>
      </c>
      <c r="J83" s="122">
        <f t="shared" si="10"/>
        <v>0</v>
      </c>
      <c r="K83" s="122">
        <f t="shared" si="11"/>
        <v>0</v>
      </c>
      <c r="L83" s="249">
        <f t="shared" si="27"/>
        <v>7000</v>
      </c>
      <c r="M83" s="144">
        <f t="shared" si="12"/>
        <v>0</v>
      </c>
      <c r="N83" s="405"/>
      <c r="O83" s="145">
        <f t="shared" si="13"/>
        <v>0</v>
      </c>
      <c r="P83" s="145">
        <f t="shared" si="14"/>
        <v>0</v>
      </c>
      <c r="Q83" s="145">
        <f t="shared" si="15"/>
        <v>0</v>
      </c>
      <c r="R83" s="145">
        <f t="shared" si="16"/>
        <v>0</v>
      </c>
      <c r="S83" s="130">
        <f t="shared" si="17"/>
        <v>0</v>
      </c>
      <c r="T83" s="130">
        <f t="shared" si="18"/>
        <v>0</v>
      </c>
      <c r="U83" s="141"/>
      <c r="V83" s="123"/>
      <c r="W83" s="134"/>
      <c r="X83" s="124">
        <v>1.8</v>
      </c>
      <c r="Y83" s="339"/>
      <c r="Z83" s="348" t="s">
        <v>576</v>
      </c>
      <c r="AA83" s="120"/>
      <c r="AB83" s="134"/>
      <c r="AC83" s="200"/>
      <c r="AD83" s="125"/>
      <c r="AE83" s="134"/>
      <c r="AF83" s="200"/>
      <c r="AG83" s="120"/>
      <c r="AH83" s="262"/>
      <c r="AI83" s="262"/>
      <c r="AJ83" s="120"/>
      <c r="AK83" s="262"/>
      <c r="AL83" s="262"/>
      <c r="AM83" s="120"/>
      <c r="AN83" s="262"/>
      <c r="AO83" s="262"/>
      <c r="AP83" s="120"/>
      <c r="AQ83" s="262"/>
      <c r="AR83" s="262"/>
      <c r="AS83" s="120"/>
      <c r="AT83" s="262"/>
      <c r="AU83" s="262"/>
      <c r="AV83" s="120"/>
      <c r="AW83" s="262"/>
      <c r="AX83" s="262"/>
      <c r="AY83" s="120"/>
      <c r="AZ83" s="262"/>
      <c r="BA83" s="262"/>
      <c r="BB83" s="120"/>
      <c r="BC83" s="134"/>
      <c r="BD83" s="200"/>
      <c r="BE83" s="120"/>
      <c r="BF83" s="134"/>
      <c r="BG83" s="200"/>
      <c r="BH83" s="120"/>
      <c r="BI83" s="252"/>
      <c r="BJ83" s="252"/>
      <c r="BK83" s="120"/>
      <c r="BL83" s="134"/>
      <c r="BM83" s="134"/>
      <c r="BN83" s="120"/>
      <c r="BO83" s="252"/>
      <c r="BP83" s="252"/>
      <c r="BQ83" s="120"/>
      <c r="BR83" s="134"/>
      <c r="BS83" s="134"/>
      <c r="BT83" s="120"/>
      <c r="BU83" s="134"/>
      <c r="BV83" s="200"/>
      <c r="BW83" s="120"/>
      <c r="BX83" s="134"/>
      <c r="BY83" s="200"/>
      <c r="BZ83" s="120"/>
      <c r="CA83" s="126"/>
      <c r="CB83" s="126"/>
      <c r="CC83" s="120"/>
      <c r="CD83" s="126"/>
      <c r="CE83" s="126"/>
      <c r="CF83" s="120"/>
      <c r="CG83" s="134"/>
      <c r="CH83" s="134"/>
      <c r="CI83" s="120"/>
      <c r="CJ83" s="200"/>
      <c r="CK83" s="200"/>
      <c r="CL83" s="120"/>
      <c r="CM83" s="200"/>
      <c r="CN83" s="200"/>
      <c r="CO83" s="120"/>
      <c r="CP83" s="134"/>
      <c r="CQ83" s="134"/>
      <c r="CR83" s="120"/>
      <c r="CS83" s="134"/>
      <c r="CT83" s="134"/>
      <c r="CU83" s="120"/>
      <c r="CV83" s="202"/>
      <c r="CW83" s="202"/>
      <c r="CX83" s="120"/>
      <c r="CY83" s="202"/>
      <c r="CZ83" s="202"/>
      <c r="DA83" s="120"/>
      <c r="DB83" s="202"/>
      <c r="DC83" s="202"/>
      <c r="DD83" s="349"/>
      <c r="DE83" s="202"/>
      <c r="DF83" s="202"/>
      <c r="DG83" s="254"/>
      <c r="DH83" s="203"/>
      <c r="DI83" s="203"/>
      <c r="DJ83" s="259"/>
      <c r="DK83" s="136"/>
      <c r="DL83" s="136"/>
      <c r="DM83" s="120"/>
      <c r="DN83" s="233"/>
      <c r="DO83" s="233"/>
      <c r="DP83" s="120"/>
      <c r="DQ83" s="262"/>
      <c r="DR83" s="262"/>
      <c r="DS83" s="120"/>
      <c r="DT83" s="262"/>
      <c r="DU83" s="262"/>
      <c r="DV83" s="120"/>
      <c r="DW83" s="262"/>
      <c r="DX83" s="262"/>
      <c r="DY83" s="120"/>
      <c r="DZ83" s="262"/>
      <c r="EA83" s="262"/>
      <c r="EB83" s="265"/>
      <c r="EC83" s="262"/>
      <c r="ED83" s="262"/>
      <c r="EE83" s="256"/>
      <c r="EF83" s="233"/>
      <c r="EG83" s="233"/>
      <c r="EH83" s="120"/>
      <c r="EI83" s="262"/>
      <c r="EJ83" s="262"/>
      <c r="EK83" s="120"/>
      <c r="EL83" s="262"/>
      <c r="EM83" s="262"/>
      <c r="EN83" s="120"/>
      <c r="EO83" s="262"/>
      <c r="EP83" s="262"/>
      <c r="EQ83" s="120"/>
      <c r="ER83" s="262"/>
      <c r="ES83" s="262"/>
      <c r="ET83" s="120"/>
      <c r="EU83" s="262"/>
      <c r="EV83" s="262"/>
      <c r="EW83" s="120"/>
      <c r="EX83" s="262"/>
      <c r="EY83" s="262"/>
      <c r="EZ83" s="120"/>
      <c r="FA83" s="262"/>
      <c r="FB83" s="262"/>
      <c r="FC83" s="120"/>
      <c r="FD83" s="262"/>
      <c r="FE83" s="262"/>
      <c r="FF83" s="120"/>
      <c r="FG83" s="262"/>
      <c r="FH83" s="262"/>
      <c r="FI83" s="120"/>
      <c r="FJ83" s="262"/>
      <c r="FK83" s="262"/>
      <c r="FL83" s="120"/>
      <c r="FM83" s="262"/>
      <c r="FN83" s="262"/>
      <c r="FO83" s="120"/>
      <c r="FP83" s="262"/>
      <c r="FQ83" s="262"/>
      <c r="FR83" s="120"/>
      <c r="FS83" s="262"/>
      <c r="FT83" s="262"/>
      <c r="FU83" s="120"/>
      <c r="FV83" s="262"/>
      <c r="FW83" s="262"/>
      <c r="FX83" s="120"/>
      <c r="FY83" s="262"/>
      <c r="FZ83" s="262"/>
      <c r="GA83" s="256"/>
      <c r="GB83" s="233"/>
      <c r="GC83" s="233"/>
      <c r="GJ83" s="121">
        <f t="shared" si="19"/>
        <v>0</v>
      </c>
      <c r="GK83" s="121">
        <f t="shared" si="20"/>
        <v>0</v>
      </c>
      <c r="GM83" s="121">
        <f t="shared" si="21"/>
        <v>1</v>
      </c>
      <c r="GN83" s="121">
        <f t="shared" si="22"/>
        <v>0</v>
      </c>
      <c r="GO83" s="121">
        <f t="shared" si="23"/>
        <v>0</v>
      </c>
      <c r="GP83" s="121">
        <f t="shared" si="24"/>
        <v>0</v>
      </c>
      <c r="GQ83" s="121">
        <f t="shared" si="25"/>
        <v>0</v>
      </c>
      <c r="GR83" s="121">
        <f t="shared" si="26"/>
        <v>0</v>
      </c>
    </row>
    <row r="84" spans="1:200" ht="38.25" customHeight="1" x14ac:dyDescent="0.55000000000000004">
      <c r="B84" s="309" t="s">
        <v>165</v>
      </c>
      <c r="C84" s="198">
        <v>2</v>
      </c>
      <c r="D84" s="404">
        <v>2</v>
      </c>
      <c r="E84" s="404">
        <v>2</v>
      </c>
      <c r="F84" s="142">
        <f>($X$84/$Y$84)*$L$84*C84</f>
        <v>2352</v>
      </c>
      <c r="G84" s="142">
        <f>($X$84/$Y$84)*$L$84*D84</f>
        <v>2352</v>
      </c>
      <c r="H84" s="142">
        <f>($X$84/$Y$84)*$L$84*E84</f>
        <v>2352</v>
      </c>
      <c r="I84" s="142" cm="1">
        <f t="array" ref="I84">SUMPRODUCT(($X$2:$GG$2&lt;&gt;"")*($X84:$GG84&lt;&gt;""))</f>
        <v>6</v>
      </c>
      <c r="J84" s="122">
        <f t="shared" si="10"/>
        <v>12</v>
      </c>
      <c r="K84" s="122">
        <f t="shared" si="11"/>
        <v>168</v>
      </c>
      <c r="L84" s="249">
        <f t="shared" si="27"/>
        <v>7000</v>
      </c>
      <c r="M84" s="144">
        <f t="shared" si="12"/>
        <v>14112</v>
      </c>
      <c r="N84" s="405"/>
      <c r="O84" s="145">
        <f t="shared" si="13"/>
        <v>5292</v>
      </c>
      <c r="P84" s="145">
        <f t="shared" si="14"/>
        <v>13818</v>
      </c>
      <c r="Q84" s="145">
        <f t="shared" si="15"/>
        <v>0</v>
      </c>
      <c r="R84" s="145">
        <f t="shared" si="16"/>
        <v>0</v>
      </c>
      <c r="S84" s="130">
        <f t="shared" si="17"/>
        <v>2079</v>
      </c>
      <c r="T84" s="130">
        <f t="shared" si="18"/>
        <v>0</v>
      </c>
      <c r="U84" s="141">
        <v>625</v>
      </c>
      <c r="V84" s="123">
        <v>99</v>
      </c>
      <c r="W84" s="134">
        <v>4000</v>
      </c>
      <c r="X84" s="124">
        <v>42</v>
      </c>
      <c r="Y84" s="134">
        <v>250</v>
      </c>
      <c r="Z84" s="200" t="s">
        <v>532</v>
      </c>
      <c r="AA84" s="120">
        <v>105</v>
      </c>
      <c r="AB84" s="134">
        <v>1000</v>
      </c>
      <c r="AC84" s="200" t="s">
        <v>536</v>
      </c>
      <c r="AD84" s="125">
        <v>126</v>
      </c>
      <c r="AE84" s="134">
        <v>2000</v>
      </c>
      <c r="AF84" s="200" t="s">
        <v>543</v>
      </c>
      <c r="AG84" s="120"/>
      <c r="AH84" s="262"/>
      <c r="AI84" s="262"/>
      <c r="AJ84" s="120"/>
      <c r="AK84" s="262"/>
      <c r="AL84" s="262"/>
      <c r="AM84" s="120"/>
      <c r="AN84" s="262"/>
      <c r="AO84" s="262"/>
      <c r="AP84" s="120"/>
      <c r="AQ84" s="262"/>
      <c r="AR84" s="262"/>
      <c r="AS84" s="120"/>
      <c r="AT84" s="262"/>
      <c r="AU84" s="262"/>
      <c r="AV84" s="120"/>
      <c r="AW84" s="262"/>
      <c r="AX84" s="262"/>
      <c r="AY84" s="120"/>
      <c r="AZ84" s="262"/>
      <c r="BA84" s="262"/>
      <c r="BB84" s="120">
        <v>58</v>
      </c>
      <c r="BC84" s="134">
        <v>2000</v>
      </c>
      <c r="BD84" s="200" t="s">
        <v>542</v>
      </c>
      <c r="BE84" s="120">
        <v>58</v>
      </c>
      <c r="BF84" s="134">
        <v>2000</v>
      </c>
      <c r="BG84" s="200" t="s">
        <v>542</v>
      </c>
      <c r="BH84" s="120"/>
      <c r="BI84" s="134"/>
      <c r="BJ84" s="134"/>
      <c r="BK84" s="120"/>
      <c r="BL84" s="134"/>
      <c r="BM84" s="134"/>
      <c r="BN84" s="120"/>
      <c r="BO84" s="252"/>
      <c r="BP84" s="252"/>
      <c r="BQ84" s="120"/>
      <c r="BR84" s="134"/>
      <c r="BS84" s="134"/>
      <c r="BT84" s="120"/>
      <c r="BU84" s="134"/>
      <c r="BV84" s="200"/>
      <c r="BW84" s="120"/>
      <c r="BX84" s="134"/>
      <c r="BY84" s="200"/>
      <c r="BZ84" s="120"/>
      <c r="CA84" s="126"/>
      <c r="CB84" s="126"/>
      <c r="CC84" s="120"/>
      <c r="CD84" s="126"/>
      <c r="CE84" s="126"/>
      <c r="CF84" s="120"/>
      <c r="CG84" s="134"/>
      <c r="CH84" s="134"/>
      <c r="CI84" s="120"/>
      <c r="CJ84" s="200"/>
      <c r="CK84" s="200"/>
      <c r="CL84" s="120"/>
      <c r="CM84" s="200"/>
      <c r="CN84" s="200"/>
      <c r="CO84" s="120"/>
      <c r="CP84" s="134"/>
      <c r="CQ84" s="134"/>
      <c r="CR84" s="120"/>
      <c r="CS84" s="134"/>
      <c r="CT84" s="134"/>
      <c r="CU84" s="120"/>
      <c r="CV84" s="202"/>
      <c r="CW84" s="202"/>
      <c r="CX84" s="120"/>
      <c r="CY84" s="202"/>
      <c r="CZ84" s="202"/>
      <c r="DA84" s="120"/>
      <c r="DB84" s="202"/>
      <c r="DC84" s="202"/>
      <c r="DD84" s="349"/>
      <c r="DE84" s="202"/>
      <c r="DF84" s="202"/>
      <c r="DG84" s="254"/>
      <c r="DH84" s="203"/>
      <c r="DI84" s="203"/>
      <c r="DJ84" s="259"/>
      <c r="DK84" s="136"/>
      <c r="DL84" s="136" t="s">
        <v>544</v>
      </c>
      <c r="DM84" s="120"/>
      <c r="DN84" s="233"/>
      <c r="DO84" s="233"/>
      <c r="DP84" s="120"/>
      <c r="DQ84" s="262"/>
      <c r="DR84" s="262"/>
      <c r="DS84" s="120"/>
      <c r="DT84" s="262"/>
      <c r="DU84" s="262"/>
      <c r="DV84" s="120"/>
      <c r="DW84" s="262"/>
      <c r="DX84" s="262"/>
      <c r="DY84" s="120"/>
      <c r="DZ84" s="262"/>
      <c r="EA84" s="262"/>
      <c r="EB84" s="265"/>
      <c r="EC84" s="262"/>
      <c r="ED84" s="262"/>
      <c r="EE84" s="256"/>
      <c r="EF84" s="200"/>
      <c r="EG84" s="200"/>
      <c r="EH84" s="120"/>
      <c r="EI84" s="262"/>
      <c r="EJ84" s="262"/>
      <c r="EK84" s="120"/>
      <c r="EL84" s="262"/>
      <c r="EM84" s="262"/>
      <c r="EN84" s="120"/>
      <c r="EO84" s="262"/>
      <c r="EP84" s="262"/>
      <c r="EQ84" s="120">
        <v>1.5</v>
      </c>
      <c r="ER84" s="262">
        <v>1000</v>
      </c>
      <c r="ES84" s="350" t="s">
        <v>806</v>
      </c>
      <c r="ET84" s="120"/>
      <c r="EU84" s="262"/>
      <c r="EV84" s="262"/>
      <c r="EW84" s="120"/>
      <c r="EX84" s="262"/>
      <c r="EY84" s="262"/>
      <c r="EZ84" s="120"/>
      <c r="FA84" s="262"/>
      <c r="FB84" s="262"/>
      <c r="FC84" s="120"/>
      <c r="FD84" s="262"/>
      <c r="FE84" s="262"/>
      <c r="FF84" s="120"/>
      <c r="FG84" s="262"/>
      <c r="FH84" s="262"/>
      <c r="FI84" s="120"/>
      <c r="FJ84" s="262"/>
      <c r="FK84" s="262"/>
      <c r="FL84" s="120"/>
      <c r="FM84" s="262"/>
      <c r="FN84" s="262"/>
      <c r="FO84" s="120"/>
      <c r="FP84" s="262"/>
      <c r="FQ84" s="262"/>
      <c r="FR84" s="120"/>
      <c r="FS84" s="262"/>
      <c r="FT84" s="262"/>
      <c r="FU84" s="120"/>
      <c r="FV84" s="262"/>
      <c r="FW84" s="262"/>
      <c r="FX84" s="120"/>
      <c r="FY84" s="262"/>
      <c r="FZ84" s="262"/>
      <c r="GA84" s="256"/>
      <c r="GB84" s="233"/>
      <c r="GC84" s="233"/>
      <c r="GJ84" s="121">
        <f t="shared" si="19"/>
        <v>0</v>
      </c>
      <c r="GK84" s="121">
        <f t="shared" si="20"/>
        <v>0</v>
      </c>
      <c r="GM84" s="121">
        <f t="shared" si="21"/>
        <v>1</v>
      </c>
      <c r="GN84" s="121">
        <f t="shared" si="22"/>
        <v>1</v>
      </c>
      <c r="GO84" s="121">
        <f t="shared" si="23"/>
        <v>1</v>
      </c>
      <c r="GP84" s="121">
        <f t="shared" si="24"/>
        <v>3</v>
      </c>
      <c r="GQ84" s="121">
        <f t="shared" si="25"/>
        <v>0</v>
      </c>
      <c r="GR84" s="121">
        <f t="shared" si="26"/>
        <v>1</v>
      </c>
    </row>
    <row r="85" spans="1:200" ht="38.25" customHeight="1" x14ac:dyDescent="0.55000000000000004">
      <c r="B85" s="309" t="s">
        <v>136</v>
      </c>
      <c r="C85" s="198">
        <v>2</v>
      </c>
      <c r="D85" s="404">
        <v>2</v>
      </c>
      <c r="E85" s="404">
        <v>2</v>
      </c>
      <c r="F85" s="142">
        <f>($X$85/$Y$85)*$L$85*C85</f>
        <v>3080</v>
      </c>
      <c r="G85" s="142">
        <f>($X$85/$Y$85)*$L$85*D85</f>
        <v>3080</v>
      </c>
      <c r="H85" s="142">
        <f>($X$85/$Y$85)*$L$85*E85</f>
        <v>3080</v>
      </c>
      <c r="I85" s="142" cm="1">
        <f t="array" ref="I85">SUMPRODUCT(($X$2:$GG$2&lt;&gt;"")*($X85:$GG85&lt;&gt;""))</f>
        <v>6</v>
      </c>
      <c r="J85" s="122">
        <f t="shared" si="10"/>
        <v>12</v>
      </c>
      <c r="K85" s="122">
        <f t="shared" si="11"/>
        <v>168</v>
      </c>
      <c r="L85" s="249">
        <f t="shared" si="27"/>
        <v>7000</v>
      </c>
      <c r="M85" s="144">
        <f t="shared" si="12"/>
        <v>18480</v>
      </c>
      <c r="N85" s="405"/>
      <c r="O85" s="145">
        <f t="shared" si="13"/>
        <v>11340.000000000002</v>
      </c>
      <c r="P85" s="145">
        <f t="shared" si="14"/>
        <v>15917.999999999996</v>
      </c>
      <c r="Q85" s="145">
        <f t="shared" si="15"/>
        <v>0</v>
      </c>
      <c r="R85" s="145">
        <f t="shared" si="16"/>
        <v>0</v>
      </c>
      <c r="S85" s="130">
        <f t="shared" si="17"/>
        <v>2730</v>
      </c>
      <c r="T85" s="130">
        <f t="shared" si="18"/>
        <v>0</v>
      </c>
      <c r="U85" s="141">
        <v>840</v>
      </c>
      <c r="V85" s="123">
        <v>130</v>
      </c>
      <c r="W85" s="134">
        <v>4000</v>
      </c>
      <c r="X85" s="124">
        <v>55</v>
      </c>
      <c r="Y85" s="134">
        <v>250</v>
      </c>
      <c r="Z85" s="200" t="s">
        <v>532</v>
      </c>
      <c r="AA85" s="120">
        <v>150</v>
      </c>
      <c r="AB85" s="134">
        <v>1000</v>
      </c>
      <c r="AC85" s="200" t="s">
        <v>536</v>
      </c>
      <c r="AD85" s="125">
        <v>270</v>
      </c>
      <c r="AE85" s="134">
        <v>2000</v>
      </c>
      <c r="AF85" s="200" t="s">
        <v>543</v>
      </c>
      <c r="AG85" s="120"/>
      <c r="AH85" s="262"/>
      <c r="AI85" s="262"/>
      <c r="AJ85" s="120"/>
      <c r="AK85" s="262"/>
      <c r="AL85" s="262"/>
      <c r="AM85" s="120"/>
      <c r="AN85" s="262"/>
      <c r="AO85" s="262"/>
      <c r="AP85" s="120"/>
      <c r="AQ85" s="262"/>
      <c r="AR85" s="262"/>
      <c r="AS85" s="120"/>
      <c r="AT85" s="262"/>
      <c r="AU85" s="262"/>
      <c r="AV85" s="120"/>
      <c r="AW85" s="262"/>
      <c r="AX85" s="262"/>
      <c r="AY85" s="120"/>
      <c r="AZ85" s="262"/>
      <c r="BA85" s="262"/>
      <c r="BB85" s="120">
        <v>38</v>
      </c>
      <c r="BC85" s="134">
        <v>2000</v>
      </c>
      <c r="BD85" s="200" t="s">
        <v>542</v>
      </c>
      <c r="BE85" s="120">
        <v>38</v>
      </c>
      <c r="BF85" s="134">
        <v>2000</v>
      </c>
      <c r="BG85" s="200" t="s">
        <v>542</v>
      </c>
      <c r="BH85" s="120"/>
      <c r="BI85" s="134"/>
      <c r="BJ85" s="134"/>
      <c r="BK85" s="120"/>
      <c r="BL85" s="134"/>
      <c r="BM85" s="134"/>
      <c r="BN85" s="120"/>
      <c r="BO85" s="252"/>
      <c r="BP85" s="252"/>
      <c r="BQ85" s="120"/>
      <c r="BR85" s="134"/>
      <c r="BS85" s="134"/>
      <c r="BT85" s="120"/>
      <c r="BU85" s="134"/>
      <c r="BV85" s="200"/>
      <c r="BW85" s="120"/>
      <c r="BX85" s="134"/>
      <c r="BY85" s="200"/>
      <c r="BZ85" s="120"/>
      <c r="CA85" s="126"/>
      <c r="CB85" s="126"/>
      <c r="CC85" s="120"/>
      <c r="CD85" s="126"/>
      <c r="CE85" s="126"/>
      <c r="CF85" s="120"/>
      <c r="CG85" s="134"/>
      <c r="CH85" s="134"/>
      <c r="CI85" s="120"/>
      <c r="CJ85" s="200"/>
      <c r="CK85" s="200"/>
      <c r="CL85" s="120"/>
      <c r="CM85" s="200"/>
      <c r="CN85" s="200"/>
      <c r="CO85" s="120"/>
      <c r="CP85" s="134"/>
      <c r="CQ85" s="134"/>
      <c r="CR85" s="120"/>
      <c r="CS85" s="134"/>
      <c r="CT85" s="134"/>
      <c r="CU85" s="120"/>
      <c r="CV85" s="202"/>
      <c r="CW85" s="202"/>
      <c r="CX85" s="120"/>
      <c r="CY85" s="202"/>
      <c r="CZ85" s="202"/>
      <c r="DA85" s="120"/>
      <c r="DB85" s="202"/>
      <c r="DC85" s="202"/>
      <c r="DD85" s="349"/>
      <c r="DE85" s="202"/>
      <c r="DF85" s="202"/>
      <c r="DG85" s="254"/>
      <c r="DH85" s="203"/>
      <c r="DI85" s="203"/>
      <c r="DJ85" s="259"/>
      <c r="DK85" s="136"/>
      <c r="DL85" s="136" t="s">
        <v>544</v>
      </c>
      <c r="DM85" s="120"/>
      <c r="DN85" s="233"/>
      <c r="DO85" s="233"/>
      <c r="DP85" s="120"/>
      <c r="DQ85" s="262"/>
      <c r="DR85" s="262"/>
      <c r="DS85" s="120"/>
      <c r="DT85" s="262"/>
      <c r="DU85" s="262"/>
      <c r="DV85" s="120"/>
      <c r="DW85" s="262"/>
      <c r="DX85" s="262"/>
      <c r="DY85" s="120"/>
      <c r="DZ85" s="262"/>
      <c r="EA85" s="262"/>
      <c r="EB85" s="265"/>
      <c r="EC85" s="262"/>
      <c r="ED85" s="262"/>
      <c r="EE85" s="256"/>
      <c r="EF85" s="200"/>
      <c r="EG85" s="200"/>
      <c r="EH85" s="120"/>
      <c r="EI85" s="262"/>
      <c r="EJ85" s="262"/>
      <c r="EK85" s="120"/>
      <c r="EL85" s="262"/>
      <c r="EM85" s="262"/>
      <c r="EN85" s="120"/>
      <c r="EO85" s="262"/>
      <c r="EP85" s="262"/>
      <c r="EQ85" s="120">
        <v>1.5</v>
      </c>
      <c r="ER85" s="262">
        <v>1000</v>
      </c>
      <c r="ES85" s="350" t="s">
        <v>806</v>
      </c>
      <c r="ET85" s="120"/>
      <c r="EU85" s="262"/>
      <c r="EV85" s="262"/>
      <c r="EW85" s="120"/>
      <c r="EX85" s="262"/>
      <c r="EY85" s="262"/>
      <c r="EZ85" s="120"/>
      <c r="FA85" s="262"/>
      <c r="FB85" s="262"/>
      <c r="FC85" s="120"/>
      <c r="FD85" s="262"/>
      <c r="FE85" s="262"/>
      <c r="FF85" s="120"/>
      <c r="FG85" s="262"/>
      <c r="FH85" s="262"/>
      <c r="FI85" s="120"/>
      <c r="FJ85" s="262"/>
      <c r="FK85" s="262"/>
      <c r="FL85" s="120"/>
      <c r="FM85" s="262"/>
      <c r="FN85" s="262"/>
      <c r="FO85" s="120"/>
      <c r="FP85" s="262"/>
      <c r="FQ85" s="262"/>
      <c r="FR85" s="120"/>
      <c r="FS85" s="262"/>
      <c r="FT85" s="262"/>
      <c r="FU85" s="120"/>
      <c r="FV85" s="262"/>
      <c r="FW85" s="262"/>
      <c r="FX85" s="120"/>
      <c r="FY85" s="262"/>
      <c r="FZ85" s="262"/>
      <c r="GA85" s="256"/>
      <c r="GB85" s="233"/>
      <c r="GC85" s="233"/>
      <c r="GJ85" s="121">
        <f t="shared" si="19"/>
        <v>0</v>
      </c>
      <c r="GK85" s="121">
        <f t="shared" si="20"/>
        <v>0</v>
      </c>
      <c r="GM85" s="121">
        <f t="shared" si="21"/>
        <v>1</v>
      </c>
      <c r="GN85" s="121">
        <f t="shared" si="22"/>
        <v>1</v>
      </c>
      <c r="GO85" s="121">
        <f t="shared" si="23"/>
        <v>1</v>
      </c>
      <c r="GP85" s="121">
        <f t="shared" si="24"/>
        <v>3</v>
      </c>
      <c r="GQ85" s="121">
        <f t="shared" si="25"/>
        <v>0</v>
      </c>
      <c r="GR85" s="121">
        <f t="shared" si="26"/>
        <v>1</v>
      </c>
    </row>
    <row r="86" spans="1:200" ht="38.25" customHeight="1" x14ac:dyDescent="0.55000000000000004">
      <c r="B86" s="309" t="s">
        <v>166</v>
      </c>
      <c r="C86" s="198">
        <v>5</v>
      </c>
      <c r="D86" s="404">
        <v>5</v>
      </c>
      <c r="E86" s="404">
        <v>5</v>
      </c>
      <c r="F86" s="142">
        <f>($X$86/$Y$86)*$L$86*C86</f>
        <v>12180</v>
      </c>
      <c r="G86" s="142">
        <f>($X$86/$Y$86)*$L$86*D86</f>
        <v>12180</v>
      </c>
      <c r="H86" s="142">
        <f>($X$86/$Y$86)*$L$86*E86</f>
        <v>12180</v>
      </c>
      <c r="I86" s="142" cm="1">
        <f t="array" ref="I86">SUMPRODUCT(($X$2:$GG$2&lt;&gt;"")*($X86:$GG86&lt;&gt;""))</f>
        <v>6</v>
      </c>
      <c r="J86" s="122">
        <f t="shared" si="10"/>
        <v>30</v>
      </c>
      <c r="K86" s="122">
        <f t="shared" si="11"/>
        <v>420</v>
      </c>
      <c r="L86" s="249">
        <f t="shared" si="27"/>
        <v>7000</v>
      </c>
      <c r="M86" s="144">
        <f t="shared" si="12"/>
        <v>51156</v>
      </c>
      <c r="N86" s="405"/>
      <c r="O86" s="145">
        <f t="shared" si="13"/>
        <v>20580.000000000004</v>
      </c>
      <c r="P86" s="145">
        <f t="shared" si="14"/>
        <v>49700.7</v>
      </c>
      <c r="Q86" s="145">
        <f t="shared" si="15"/>
        <v>0</v>
      </c>
      <c r="R86" s="145">
        <f t="shared" si="16"/>
        <v>0</v>
      </c>
      <c r="S86" s="130">
        <f t="shared" si="17"/>
        <v>4410</v>
      </c>
      <c r="T86" s="130">
        <f t="shared" si="18"/>
        <v>0</v>
      </c>
      <c r="U86" s="141">
        <v>1200</v>
      </c>
      <c r="V86" s="123">
        <v>120</v>
      </c>
      <c r="W86" s="134">
        <v>4000</v>
      </c>
      <c r="X86" s="124">
        <v>87</v>
      </c>
      <c r="Y86" s="134">
        <v>250</v>
      </c>
      <c r="Z86" s="200" t="s">
        <v>545</v>
      </c>
      <c r="AA86" s="120">
        <v>275</v>
      </c>
      <c r="AB86" s="134">
        <v>1000</v>
      </c>
      <c r="AC86" s="200" t="s">
        <v>546</v>
      </c>
      <c r="AD86" s="125">
        <v>280</v>
      </c>
      <c r="AE86" s="134">
        <v>2000</v>
      </c>
      <c r="AF86" s="200" t="s">
        <v>547</v>
      </c>
      <c r="AG86" s="120"/>
      <c r="AH86" s="262"/>
      <c r="AI86" s="262"/>
      <c r="AJ86" s="120"/>
      <c r="AK86" s="262"/>
      <c r="AL86" s="262"/>
      <c r="AM86" s="120"/>
      <c r="AN86" s="262"/>
      <c r="AO86" s="262"/>
      <c r="AP86" s="120"/>
      <c r="AQ86" s="262"/>
      <c r="AR86" s="262"/>
      <c r="AS86" s="120"/>
      <c r="AT86" s="262"/>
      <c r="AU86" s="262"/>
      <c r="AV86" s="120"/>
      <c r="AW86" s="262"/>
      <c r="AX86" s="262"/>
      <c r="AY86" s="120"/>
      <c r="AZ86" s="262"/>
      <c r="BA86" s="262"/>
      <c r="BB86" s="120">
        <v>61</v>
      </c>
      <c r="BC86" s="134">
        <v>2000</v>
      </c>
      <c r="BD86" s="200" t="s">
        <v>546</v>
      </c>
      <c r="BE86" s="120">
        <v>61</v>
      </c>
      <c r="BF86" s="134">
        <v>2000</v>
      </c>
      <c r="BG86" s="200" t="s">
        <v>546</v>
      </c>
      <c r="BH86" s="120"/>
      <c r="BI86" s="134"/>
      <c r="BJ86" s="134"/>
      <c r="BK86" s="120"/>
      <c r="BL86" s="134"/>
      <c r="BM86" s="134"/>
      <c r="BN86" s="120"/>
      <c r="BO86" s="252"/>
      <c r="BP86" s="252"/>
      <c r="BQ86" s="120"/>
      <c r="BR86" s="134"/>
      <c r="BS86" s="134"/>
      <c r="BT86" s="120"/>
      <c r="BU86" s="134"/>
      <c r="BV86" s="200"/>
      <c r="BW86" s="120"/>
      <c r="BX86" s="134"/>
      <c r="BY86" s="200"/>
      <c r="BZ86" s="120"/>
      <c r="CA86" s="126"/>
      <c r="CB86" s="126"/>
      <c r="CC86" s="120"/>
      <c r="CD86" s="126"/>
      <c r="CE86" s="126"/>
      <c r="CF86" s="120"/>
      <c r="CG86" s="134"/>
      <c r="CH86" s="134"/>
      <c r="CI86" s="120"/>
      <c r="CJ86" s="200"/>
      <c r="CK86" s="200"/>
      <c r="CL86" s="120"/>
      <c r="CM86" s="200"/>
      <c r="CN86" s="200"/>
      <c r="CO86" s="120"/>
      <c r="CP86" s="134"/>
      <c r="CQ86" s="134"/>
      <c r="CR86" s="120"/>
      <c r="CS86" s="134"/>
      <c r="CT86" s="134"/>
      <c r="CU86" s="120"/>
      <c r="CV86" s="202"/>
      <c r="CW86" s="202"/>
      <c r="CX86" s="120"/>
      <c r="CY86" s="202"/>
      <c r="CZ86" s="202"/>
      <c r="DA86" s="120"/>
      <c r="DB86" s="202"/>
      <c r="DC86" s="202"/>
      <c r="DD86" s="349"/>
      <c r="DE86" s="202"/>
      <c r="DF86" s="202"/>
      <c r="DG86" s="254"/>
      <c r="DH86" s="203"/>
      <c r="DI86" s="203"/>
      <c r="DJ86" s="259"/>
      <c r="DK86" s="136"/>
      <c r="DL86" s="136" t="s">
        <v>548</v>
      </c>
      <c r="DM86" s="120"/>
      <c r="DN86" s="233"/>
      <c r="DO86" s="233"/>
      <c r="DP86" s="120"/>
      <c r="DQ86" s="262"/>
      <c r="DR86" s="262"/>
      <c r="DS86" s="120"/>
      <c r="DT86" s="262"/>
      <c r="DU86" s="262"/>
      <c r="DV86" s="120"/>
      <c r="DW86" s="262"/>
      <c r="DX86" s="262"/>
      <c r="DY86" s="120"/>
      <c r="DZ86" s="262"/>
      <c r="EA86" s="262"/>
      <c r="EB86" s="265"/>
      <c r="EC86" s="262"/>
      <c r="ED86" s="262"/>
      <c r="EE86" s="256"/>
      <c r="EF86" s="200"/>
      <c r="EG86" s="200"/>
      <c r="EH86" s="120"/>
      <c r="EI86" s="262"/>
      <c r="EJ86" s="262"/>
      <c r="EK86" s="120"/>
      <c r="EL86" s="262"/>
      <c r="EM86" s="262"/>
      <c r="EN86" s="120"/>
      <c r="EO86" s="262"/>
      <c r="EP86" s="262"/>
      <c r="EQ86" s="120">
        <v>2.1</v>
      </c>
      <c r="ER86" s="262">
        <v>1000</v>
      </c>
      <c r="ES86" s="350" t="s">
        <v>806</v>
      </c>
      <c r="ET86" s="120"/>
      <c r="EU86" s="262"/>
      <c r="EV86" s="262"/>
      <c r="EW86" s="120"/>
      <c r="EX86" s="262"/>
      <c r="EY86" s="262"/>
      <c r="EZ86" s="120"/>
      <c r="FA86" s="262"/>
      <c r="FB86" s="262"/>
      <c r="FC86" s="120"/>
      <c r="FD86" s="262"/>
      <c r="FE86" s="262"/>
      <c r="FF86" s="120"/>
      <c r="FG86" s="262"/>
      <c r="FH86" s="262"/>
      <c r="FI86" s="120"/>
      <c r="FJ86" s="262"/>
      <c r="FK86" s="262"/>
      <c r="FL86" s="120"/>
      <c r="FM86" s="262"/>
      <c r="FN86" s="262"/>
      <c r="FO86" s="120"/>
      <c r="FP86" s="262"/>
      <c r="FQ86" s="262"/>
      <c r="FR86" s="120"/>
      <c r="FS86" s="262"/>
      <c r="FT86" s="262"/>
      <c r="FU86" s="120"/>
      <c r="FV86" s="262"/>
      <c r="FW86" s="262"/>
      <c r="FX86" s="120"/>
      <c r="FY86" s="262"/>
      <c r="FZ86" s="262"/>
      <c r="GA86" s="256"/>
      <c r="GB86" s="233"/>
      <c r="GC86" s="233"/>
      <c r="GJ86" s="121">
        <f t="shared" si="19"/>
        <v>0</v>
      </c>
      <c r="GK86" s="121">
        <f t="shared" si="20"/>
        <v>0</v>
      </c>
      <c r="GM86" s="121">
        <f t="shared" si="21"/>
        <v>1</v>
      </c>
      <c r="GN86" s="121">
        <f t="shared" si="22"/>
        <v>1</v>
      </c>
      <c r="GO86" s="121">
        <f t="shared" si="23"/>
        <v>1</v>
      </c>
      <c r="GP86" s="121">
        <f t="shared" si="24"/>
        <v>3</v>
      </c>
      <c r="GQ86" s="121">
        <f t="shared" si="25"/>
        <v>0</v>
      </c>
      <c r="GR86" s="121">
        <f t="shared" si="26"/>
        <v>1</v>
      </c>
    </row>
    <row r="87" spans="1:200" ht="38.25" customHeight="1" x14ac:dyDescent="0.55000000000000004">
      <c r="B87" s="309" t="s">
        <v>160</v>
      </c>
      <c r="C87" s="198">
        <v>2</v>
      </c>
      <c r="D87" s="404">
        <v>2</v>
      </c>
      <c r="E87" s="404">
        <v>2</v>
      </c>
      <c r="F87" s="142">
        <f>($X$87/$Y$87)*$L$87*C87</f>
        <v>2128</v>
      </c>
      <c r="G87" s="142">
        <f>($X$87/$Y$87)*$L$87*D87</f>
        <v>2128</v>
      </c>
      <c r="H87" s="142">
        <f>($X$87/$Y$87)*$L$87*E87</f>
        <v>2128</v>
      </c>
      <c r="I87" s="142" cm="1">
        <f t="array" ref="I87">SUMPRODUCT(($X$2:$GG$2&lt;&gt;"")*($X87:$GG87&lt;&gt;""))</f>
        <v>10</v>
      </c>
      <c r="J87" s="122">
        <f t="shared" si="10"/>
        <v>20</v>
      </c>
      <c r="K87" s="122">
        <f t="shared" si="11"/>
        <v>280</v>
      </c>
      <c r="L87" s="249">
        <f t="shared" si="27"/>
        <v>7000</v>
      </c>
      <c r="M87" s="144">
        <f t="shared" si="12"/>
        <v>17024</v>
      </c>
      <c r="N87" s="405"/>
      <c r="O87" s="145">
        <f t="shared" si="13"/>
        <v>15680.000000000002</v>
      </c>
      <c r="P87" s="145">
        <f t="shared" si="14"/>
        <v>32032.000000000004</v>
      </c>
      <c r="Q87" s="145">
        <f t="shared" si="15"/>
        <v>0</v>
      </c>
      <c r="R87" s="145">
        <f t="shared" si="16"/>
        <v>0</v>
      </c>
      <c r="S87" s="130">
        <f t="shared" si="17"/>
        <v>1624</v>
      </c>
      <c r="T87" s="130">
        <f t="shared" si="18"/>
        <v>0</v>
      </c>
      <c r="U87" s="141">
        <v>500</v>
      </c>
      <c r="V87" s="123">
        <v>58</v>
      </c>
      <c r="W87" s="134">
        <v>4000</v>
      </c>
      <c r="X87" s="124">
        <v>38</v>
      </c>
      <c r="Y87" s="134">
        <v>250</v>
      </c>
      <c r="Z87" s="200" t="s">
        <v>549</v>
      </c>
      <c r="AA87" s="120">
        <v>35</v>
      </c>
      <c r="AB87" s="134">
        <v>1000</v>
      </c>
      <c r="AC87" s="200" t="s">
        <v>551</v>
      </c>
      <c r="AD87" s="125">
        <v>140</v>
      </c>
      <c r="AE87" s="134">
        <v>1000</v>
      </c>
      <c r="AF87" s="200" t="s">
        <v>550</v>
      </c>
      <c r="AG87" s="120"/>
      <c r="AH87" s="262"/>
      <c r="AI87" s="262"/>
      <c r="AJ87" s="120"/>
      <c r="AK87" s="262"/>
      <c r="AL87" s="262"/>
      <c r="AM87" s="120"/>
      <c r="AN87" s="262"/>
      <c r="AO87" s="262"/>
      <c r="AP87" s="120"/>
      <c r="AQ87" s="262"/>
      <c r="AR87" s="262"/>
      <c r="AS87" s="120"/>
      <c r="AT87" s="262"/>
      <c r="AU87" s="262"/>
      <c r="AV87" s="120"/>
      <c r="AW87" s="262"/>
      <c r="AX87" s="262"/>
      <c r="AY87" s="120"/>
      <c r="AZ87" s="262"/>
      <c r="BA87" s="262"/>
      <c r="BB87" s="120">
        <v>58</v>
      </c>
      <c r="BC87" s="134">
        <v>2000</v>
      </c>
      <c r="BD87" s="348" t="s">
        <v>806</v>
      </c>
      <c r="BE87" s="120">
        <v>58</v>
      </c>
      <c r="BF87" s="134">
        <v>2000</v>
      </c>
      <c r="BG87" s="348" t="s">
        <v>806</v>
      </c>
      <c r="BH87" s="120"/>
      <c r="BI87" s="134"/>
      <c r="BJ87" s="134"/>
      <c r="BK87" s="120"/>
      <c r="BL87" s="134"/>
      <c r="BM87" s="134"/>
      <c r="BN87" s="120"/>
      <c r="BO87" s="252"/>
      <c r="BP87" s="252"/>
      <c r="BQ87" s="120"/>
      <c r="BR87" s="134"/>
      <c r="BS87" s="134"/>
      <c r="BT87" s="120"/>
      <c r="BU87" s="134"/>
      <c r="BV87" s="200"/>
      <c r="BW87" s="120"/>
      <c r="BX87" s="134"/>
      <c r="BY87" s="200"/>
      <c r="BZ87" s="120">
        <v>120</v>
      </c>
      <c r="CA87" s="134">
        <v>2000</v>
      </c>
      <c r="CB87" s="262" t="s">
        <v>550</v>
      </c>
      <c r="CC87" s="120">
        <v>120</v>
      </c>
      <c r="CD87" s="134">
        <v>2000</v>
      </c>
      <c r="CE87" s="262" t="s">
        <v>550</v>
      </c>
      <c r="CF87" s="120"/>
      <c r="CG87" s="134"/>
      <c r="CH87" s="134"/>
      <c r="CI87" s="120"/>
      <c r="CJ87" s="200"/>
      <c r="CK87" s="200"/>
      <c r="CL87" s="120"/>
      <c r="CM87" s="200"/>
      <c r="CN87" s="200"/>
      <c r="CO87" s="120"/>
      <c r="CP87" s="134"/>
      <c r="CQ87" s="134"/>
      <c r="CR87" s="120"/>
      <c r="CS87" s="134"/>
      <c r="CT87" s="134"/>
      <c r="CU87" s="120"/>
      <c r="CV87" s="202"/>
      <c r="CW87" s="202"/>
      <c r="CX87" s="120"/>
      <c r="CY87" s="202"/>
      <c r="CZ87" s="202"/>
      <c r="DA87" s="120"/>
      <c r="DB87" s="202"/>
      <c r="DC87" s="202"/>
      <c r="DD87" s="349"/>
      <c r="DE87" s="202"/>
      <c r="DF87" s="202"/>
      <c r="DG87" s="254"/>
      <c r="DH87" s="203"/>
      <c r="DI87" s="203"/>
      <c r="DJ87" s="259"/>
      <c r="DK87" s="136"/>
      <c r="DL87" s="136"/>
      <c r="DM87" s="120"/>
      <c r="DN87" s="233"/>
      <c r="DO87" s="233"/>
      <c r="DP87" s="120"/>
      <c r="DQ87" s="262"/>
      <c r="DR87" s="262"/>
      <c r="DS87" s="120"/>
      <c r="DT87" s="262"/>
      <c r="DU87" s="262"/>
      <c r="DV87" s="120"/>
      <c r="DW87" s="262"/>
      <c r="DX87" s="262"/>
      <c r="DY87" s="120"/>
      <c r="DZ87" s="262"/>
      <c r="EA87" s="262"/>
      <c r="EB87" s="265"/>
      <c r="EC87" s="262"/>
      <c r="ED87" s="262"/>
      <c r="EE87" s="256"/>
      <c r="EF87" s="233"/>
      <c r="EG87" s="233"/>
      <c r="EH87" s="120">
        <v>63</v>
      </c>
      <c r="EI87" s="262">
        <v>1000</v>
      </c>
      <c r="EJ87" s="262" t="s">
        <v>550</v>
      </c>
      <c r="EK87" s="120">
        <v>10</v>
      </c>
      <c r="EL87" s="262">
        <v>1000</v>
      </c>
      <c r="EM87" s="262" t="s">
        <v>550</v>
      </c>
      <c r="EN87" s="120">
        <v>0.9</v>
      </c>
      <c r="EO87" s="341"/>
      <c r="EP87" s="350" t="s">
        <v>806</v>
      </c>
      <c r="EQ87" s="120"/>
      <c r="ER87" s="262"/>
      <c r="ES87" s="262"/>
      <c r="ET87" s="120"/>
      <c r="EU87" s="262"/>
      <c r="EV87" s="262"/>
      <c r="EW87" s="120"/>
      <c r="EX87" s="262"/>
      <c r="EY87" s="262"/>
      <c r="EZ87" s="120"/>
      <c r="FA87" s="262"/>
      <c r="FB87" s="262"/>
      <c r="FC87" s="120"/>
      <c r="FD87" s="262"/>
      <c r="FE87" s="262"/>
      <c r="FF87" s="120"/>
      <c r="FG87" s="262"/>
      <c r="FH87" s="262"/>
      <c r="FI87" s="120"/>
      <c r="FJ87" s="262"/>
      <c r="FK87" s="262"/>
      <c r="FL87" s="120"/>
      <c r="FM87" s="262"/>
      <c r="FN87" s="262"/>
      <c r="FO87" s="120"/>
      <c r="FP87" s="262"/>
      <c r="FQ87" s="262"/>
      <c r="FR87" s="120"/>
      <c r="FS87" s="262"/>
      <c r="FT87" s="262"/>
      <c r="FU87" s="120"/>
      <c r="FV87" s="262"/>
      <c r="FW87" s="262"/>
      <c r="FX87" s="120"/>
      <c r="FY87" s="262"/>
      <c r="FZ87" s="262"/>
      <c r="GA87" s="256"/>
      <c r="GB87" s="233"/>
      <c r="GC87" s="233"/>
      <c r="GJ87" s="121">
        <f t="shared" si="19"/>
        <v>0</v>
      </c>
      <c r="GK87" s="121">
        <f t="shared" si="20"/>
        <v>0</v>
      </c>
      <c r="GM87" s="121">
        <f t="shared" si="21"/>
        <v>1</v>
      </c>
      <c r="GN87" s="121">
        <f t="shared" si="22"/>
        <v>1</v>
      </c>
      <c r="GO87" s="121">
        <f t="shared" si="23"/>
        <v>1</v>
      </c>
      <c r="GP87" s="121">
        <f t="shared" si="24"/>
        <v>7</v>
      </c>
      <c r="GQ87" s="121">
        <f t="shared" si="25"/>
        <v>0</v>
      </c>
      <c r="GR87" s="121">
        <f t="shared" si="26"/>
        <v>1</v>
      </c>
    </row>
    <row r="88" spans="1:200" ht="38.25" customHeight="1" x14ac:dyDescent="0.55000000000000004">
      <c r="A88" s="121" t="s">
        <v>137</v>
      </c>
      <c r="B88" s="309" t="s">
        <v>138</v>
      </c>
      <c r="C88" s="198">
        <v>28</v>
      </c>
      <c r="D88" s="404">
        <v>28</v>
      </c>
      <c r="E88" s="404">
        <v>28</v>
      </c>
      <c r="F88" s="142">
        <f>($X$88/$Y$88)*$L$88*C88</f>
        <v>45472</v>
      </c>
      <c r="G88" s="142">
        <f>($X$88/$Y$88)*$L$88*D88</f>
        <v>45472</v>
      </c>
      <c r="H88" s="142">
        <f>($X$88/$Y$88)*$L$88*E88</f>
        <v>45472</v>
      </c>
      <c r="I88" s="142" cm="1">
        <f t="array" ref="I88">SUMPRODUCT(($X$2:$GG$2&lt;&gt;"")*($X88:$GG88&lt;&gt;""))</f>
        <v>9</v>
      </c>
      <c r="J88" s="122">
        <f t="shared" si="10"/>
        <v>252</v>
      </c>
      <c r="K88" s="122">
        <f t="shared" si="11"/>
        <v>3528</v>
      </c>
      <c r="L88" s="249">
        <f t="shared" si="27"/>
        <v>7000</v>
      </c>
      <c r="M88" s="144">
        <f t="shared" si="12"/>
        <v>151032</v>
      </c>
      <c r="N88" s="405"/>
      <c r="O88" s="145">
        <f t="shared" si="13"/>
        <v>39873.75</v>
      </c>
      <c r="P88" s="145">
        <f t="shared" si="14"/>
        <v>225636.59999999998</v>
      </c>
      <c r="Q88" s="145">
        <f t="shared" si="15"/>
        <v>0</v>
      </c>
      <c r="R88" s="145">
        <f t="shared" si="16"/>
        <v>0</v>
      </c>
      <c r="S88" s="130">
        <f t="shared" si="17"/>
        <v>18553.5</v>
      </c>
      <c r="T88" s="130">
        <f t="shared" si="18"/>
        <v>0</v>
      </c>
      <c r="U88" s="141">
        <v>525</v>
      </c>
      <c r="V88" s="123">
        <v>114</v>
      </c>
      <c r="W88" s="134">
        <v>4000</v>
      </c>
      <c r="X88" s="124">
        <v>58</v>
      </c>
      <c r="Y88" s="134">
        <v>250</v>
      </c>
      <c r="Z88" s="200" t="s">
        <v>553</v>
      </c>
      <c r="AA88" s="120">
        <v>257</v>
      </c>
      <c r="AB88" s="134">
        <v>1000</v>
      </c>
      <c r="AC88" s="200" t="s">
        <v>546</v>
      </c>
      <c r="AD88" s="125">
        <v>245</v>
      </c>
      <c r="AE88" s="134">
        <v>4000</v>
      </c>
      <c r="AF88" s="200" t="s">
        <v>555</v>
      </c>
      <c r="AG88" s="120"/>
      <c r="AH88" s="262"/>
      <c r="AI88" s="262"/>
      <c r="AJ88" s="120"/>
      <c r="AK88" s="262"/>
      <c r="AL88" s="262"/>
      <c r="AM88" s="120"/>
      <c r="AN88" s="262"/>
      <c r="AO88" s="262"/>
      <c r="AP88" s="120"/>
      <c r="AQ88" s="262"/>
      <c r="AR88" s="262"/>
      <c r="AS88" s="120">
        <v>26</v>
      </c>
      <c r="AT88" s="262">
        <v>1000</v>
      </c>
      <c r="AU88" s="134" t="s">
        <v>556</v>
      </c>
      <c r="AV88" s="120"/>
      <c r="AW88" s="262"/>
      <c r="AX88" s="262"/>
      <c r="AY88" s="120"/>
      <c r="AZ88" s="262"/>
      <c r="BA88" s="262"/>
      <c r="BB88" s="120">
        <v>7.8</v>
      </c>
      <c r="BC88" s="134">
        <v>1000</v>
      </c>
      <c r="BD88" s="200" t="s">
        <v>555</v>
      </c>
      <c r="BE88" s="120">
        <v>7.8</v>
      </c>
      <c r="BF88" s="134">
        <v>1000</v>
      </c>
      <c r="BG88" s="200" t="s">
        <v>555</v>
      </c>
      <c r="BH88" s="120">
        <v>6</v>
      </c>
      <c r="BI88" s="134">
        <v>1000</v>
      </c>
      <c r="BJ88" s="134" t="s">
        <v>556</v>
      </c>
      <c r="BK88" s="120">
        <v>6</v>
      </c>
      <c r="BL88" s="134">
        <v>1000</v>
      </c>
      <c r="BM88" s="134" t="s">
        <v>556</v>
      </c>
      <c r="BN88" s="120"/>
      <c r="BO88" s="252"/>
      <c r="BP88" s="252"/>
      <c r="BQ88" s="120"/>
      <c r="BR88" s="134"/>
      <c r="BS88" s="134"/>
      <c r="BT88" s="120"/>
      <c r="BU88" s="134"/>
      <c r="BV88" s="200"/>
      <c r="BW88" s="120"/>
      <c r="BX88" s="134"/>
      <c r="BY88" s="200"/>
      <c r="BZ88" s="120"/>
      <c r="CA88" s="126"/>
      <c r="CB88" s="126"/>
      <c r="CC88" s="120"/>
      <c r="CD88" s="126"/>
      <c r="CE88" s="126"/>
      <c r="CF88" s="120"/>
      <c r="CG88" s="134"/>
      <c r="CH88" s="134"/>
      <c r="CI88" s="120"/>
      <c r="CJ88" s="200"/>
      <c r="CK88" s="200"/>
      <c r="CL88" s="120"/>
      <c r="CM88" s="127"/>
      <c r="CN88" s="127"/>
      <c r="CO88" s="120"/>
      <c r="CP88" s="200"/>
      <c r="CQ88" s="200"/>
      <c r="CR88" s="120"/>
      <c r="CS88" s="202"/>
      <c r="CT88" s="202"/>
      <c r="CU88" s="120"/>
      <c r="CV88" s="128"/>
      <c r="CW88" s="128"/>
      <c r="CX88" s="120"/>
      <c r="CY88" s="128"/>
      <c r="CZ88" s="128"/>
      <c r="DA88" s="120"/>
      <c r="DB88" s="128"/>
      <c r="DC88" s="128"/>
      <c r="DD88" s="349"/>
      <c r="DE88" s="128"/>
      <c r="DF88" s="128"/>
      <c r="DG88" s="254"/>
      <c r="DH88" s="129"/>
      <c r="DI88" s="129"/>
      <c r="DJ88" s="259"/>
      <c r="DK88" s="136"/>
      <c r="DL88" s="136"/>
      <c r="DM88" s="120"/>
      <c r="DN88" s="233"/>
      <c r="DO88" s="233"/>
      <c r="DP88" s="120"/>
      <c r="DQ88" s="262"/>
      <c r="DR88" s="262"/>
      <c r="DS88" s="120"/>
      <c r="DT88" s="262"/>
      <c r="DU88" s="262"/>
      <c r="DV88" s="120"/>
      <c r="DW88" s="262"/>
      <c r="DX88" s="262"/>
      <c r="DY88" s="120"/>
      <c r="DZ88" s="262"/>
      <c r="EA88" s="262"/>
      <c r="EB88" s="265"/>
      <c r="EC88" s="262"/>
      <c r="ED88" s="262"/>
      <c r="EE88" s="256"/>
      <c r="EF88" s="233"/>
      <c r="EG88" s="233"/>
      <c r="EH88" s="120"/>
      <c r="EI88" s="262"/>
      <c r="EJ88" s="262"/>
      <c r="EK88" s="120"/>
      <c r="EL88" s="262"/>
      <c r="EM88" s="262"/>
      <c r="EN88" s="120"/>
      <c r="EO88" s="262"/>
      <c r="EP88" s="262"/>
      <c r="EQ88" s="120"/>
      <c r="ER88" s="262"/>
      <c r="ES88" s="262"/>
      <c r="ET88" s="120"/>
      <c r="EU88" s="262"/>
      <c r="EV88" s="262"/>
      <c r="EW88" s="120"/>
      <c r="EX88" s="262"/>
      <c r="EY88" s="262"/>
      <c r="EZ88" s="120"/>
      <c r="FA88" s="262"/>
      <c r="FB88" s="262"/>
      <c r="FC88" s="120"/>
      <c r="FD88" s="262"/>
      <c r="FE88" s="262"/>
      <c r="FF88" s="120"/>
      <c r="FG88" s="262"/>
      <c r="FH88" s="262"/>
      <c r="FI88" s="120"/>
      <c r="FJ88" s="262"/>
      <c r="FK88" s="262"/>
      <c r="FL88" s="120"/>
      <c r="FM88" s="262"/>
      <c r="FN88" s="262"/>
      <c r="FO88" s="120"/>
      <c r="FP88" s="262"/>
      <c r="FQ88" s="262"/>
      <c r="FR88" s="120"/>
      <c r="FS88" s="262"/>
      <c r="FT88" s="262"/>
      <c r="FU88" s="120"/>
      <c r="FV88" s="262"/>
      <c r="FW88" s="262"/>
      <c r="FX88" s="120">
        <v>36</v>
      </c>
      <c r="FY88" s="262">
        <v>1000</v>
      </c>
      <c r="FZ88" s="262" t="s">
        <v>554</v>
      </c>
      <c r="GA88" s="256"/>
      <c r="GB88" s="233"/>
      <c r="GC88" s="233"/>
      <c r="GJ88" s="121">
        <f t="shared" si="19"/>
        <v>0</v>
      </c>
      <c r="GK88" s="121">
        <f t="shared" si="20"/>
        <v>0</v>
      </c>
      <c r="GM88" s="121">
        <f t="shared" si="21"/>
        <v>1</v>
      </c>
      <c r="GN88" s="121">
        <f t="shared" si="22"/>
        <v>1</v>
      </c>
      <c r="GO88" s="121">
        <f t="shared" si="23"/>
        <v>1</v>
      </c>
      <c r="GP88" s="121">
        <f t="shared" si="24"/>
        <v>6</v>
      </c>
      <c r="GQ88" s="121">
        <f t="shared" si="25"/>
        <v>0</v>
      </c>
      <c r="GR88" s="121">
        <f t="shared" si="26"/>
        <v>1</v>
      </c>
    </row>
    <row r="89" spans="1:200" ht="38.25" customHeight="1" x14ac:dyDescent="0.55000000000000004">
      <c r="B89" s="309" t="s">
        <v>351</v>
      </c>
      <c r="C89" s="198">
        <v>2</v>
      </c>
      <c r="D89" s="404">
        <v>2</v>
      </c>
      <c r="E89" s="404">
        <v>2</v>
      </c>
      <c r="F89" s="142">
        <f>($X$89/$Y$89)*$L$89*C89</f>
        <v>3640</v>
      </c>
      <c r="G89" s="142">
        <f>($X$89/$Y$89)*$L$89*D89</f>
        <v>3640</v>
      </c>
      <c r="H89" s="142">
        <f>($X$89/$Y$89)*$L$89*E89</f>
        <v>3640</v>
      </c>
      <c r="I89" s="142" cm="1">
        <f t="array" ref="I89">SUMPRODUCT(($X$2:$GG$2&lt;&gt;"")*($X89:$GG89&lt;&gt;""))</f>
        <v>12</v>
      </c>
      <c r="J89" s="122">
        <f t="shared" si="10"/>
        <v>24</v>
      </c>
      <c r="K89" s="122">
        <f t="shared" si="11"/>
        <v>336</v>
      </c>
      <c r="L89" s="249">
        <f t="shared" si="27"/>
        <v>7000</v>
      </c>
      <c r="M89" s="144">
        <f t="shared" si="12"/>
        <v>32760</v>
      </c>
      <c r="N89" s="405"/>
      <c r="O89" s="145">
        <f t="shared" si="13"/>
        <v>21294</v>
      </c>
      <c r="P89" s="145">
        <f t="shared" si="14"/>
        <v>10287.9</v>
      </c>
      <c r="Q89" s="145">
        <f t="shared" si="15"/>
        <v>1192.8</v>
      </c>
      <c r="R89" s="145">
        <f t="shared" si="16"/>
        <v>0</v>
      </c>
      <c r="S89" s="130">
        <f t="shared" si="17"/>
        <v>5586.0000000000009</v>
      </c>
      <c r="T89" s="130">
        <f t="shared" si="18"/>
        <v>20790</v>
      </c>
      <c r="U89" s="141"/>
      <c r="V89" s="123">
        <v>133</v>
      </c>
      <c r="W89" s="134">
        <v>3000</v>
      </c>
      <c r="X89" s="124">
        <v>65</v>
      </c>
      <c r="Y89" s="134">
        <v>250</v>
      </c>
      <c r="Z89" s="200" t="s">
        <v>532</v>
      </c>
      <c r="AA89" s="120"/>
      <c r="AB89" s="134"/>
      <c r="AC89" s="200"/>
      <c r="AD89" s="125">
        <v>507</v>
      </c>
      <c r="AE89" s="134">
        <v>3000</v>
      </c>
      <c r="AF89" s="200" t="s">
        <v>560</v>
      </c>
      <c r="AG89" s="120"/>
      <c r="AH89" s="262"/>
      <c r="AI89" s="262"/>
      <c r="AJ89" s="120"/>
      <c r="AK89" s="262"/>
      <c r="AL89" s="262"/>
      <c r="AM89" s="120"/>
      <c r="AN89" s="262"/>
      <c r="AO89" s="262"/>
      <c r="AP89" s="120"/>
      <c r="AQ89" s="262"/>
      <c r="AR89" s="262"/>
      <c r="AS89" s="120"/>
      <c r="AT89" s="262"/>
      <c r="AU89" s="262"/>
      <c r="AV89" s="120"/>
      <c r="AW89" s="262"/>
      <c r="AX89" s="262"/>
      <c r="AY89" s="120"/>
      <c r="AZ89" s="262"/>
      <c r="BA89" s="262"/>
      <c r="BB89" s="120">
        <v>4</v>
      </c>
      <c r="BC89" s="134">
        <v>2000</v>
      </c>
      <c r="BD89" s="200" t="s">
        <v>557</v>
      </c>
      <c r="BE89" s="120">
        <v>4</v>
      </c>
      <c r="BF89" s="134">
        <v>2000</v>
      </c>
      <c r="BG89" s="200" t="s">
        <v>557</v>
      </c>
      <c r="BH89" s="120"/>
      <c r="BI89" s="134"/>
      <c r="BJ89" s="134"/>
      <c r="BK89" s="120"/>
      <c r="BL89" s="134"/>
      <c r="BM89" s="134"/>
      <c r="BN89" s="120"/>
      <c r="BO89" s="252"/>
      <c r="BP89" s="252"/>
      <c r="BQ89" s="120"/>
      <c r="BR89" s="134"/>
      <c r="BS89" s="134"/>
      <c r="BT89" s="120"/>
      <c r="BU89" s="134"/>
      <c r="BV89" s="200"/>
      <c r="BW89" s="120"/>
      <c r="BX89" s="134"/>
      <c r="BY89" s="200"/>
      <c r="BZ89" s="120"/>
      <c r="CA89" s="126"/>
      <c r="CB89" s="126"/>
      <c r="CC89" s="120"/>
      <c r="CD89" s="126"/>
      <c r="CE89" s="126"/>
      <c r="CF89" s="120"/>
      <c r="CG89" s="134"/>
      <c r="CH89" s="134"/>
      <c r="CI89" s="120"/>
      <c r="CJ89" s="200"/>
      <c r="CK89" s="200"/>
      <c r="CL89" s="120"/>
      <c r="CM89" s="200"/>
      <c r="CN89" s="200"/>
      <c r="CO89" s="120"/>
      <c r="CP89" s="134"/>
      <c r="CQ89" s="134"/>
      <c r="CR89" s="120"/>
      <c r="CS89" s="134"/>
      <c r="CT89" s="134"/>
      <c r="CU89" s="120"/>
      <c r="CV89" s="202"/>
      <c r="CW89" s="202"/>
      <c r="CX89" s="120"/>
      <c r="CY89" s="202"/>
      <c r="CZ89" s="202"/>
      <c r="DA89" s="120"/>
      <c r="DB89" s="202"/>
      <c r="DC89" s="202"/>
      <c r="DD89" s="355">
        <v>165</v>
      </c>
      <c r="DE89" s="200">
        <v>1000</v>
      </c>
      <c r="DF89" s="200" t="s">
        <v>559</v>
      </c>
      <c r="DG89" s="254"/>
      <c r="DH89" s="203"/>
      <c r="DI89" s="203"/>
      <c r="DJ89" s="259"/>
      <c r="DK89" s="136"/>
      <c r="DL89" s="136"/>
      <c r="DM89" s="120"/>
      <c r="DN89" s="233"/>
      <c r="DO89" s="233"/>
      <c r="DP89" s="120"/>
      <c r="DQ89" s="262"/>
      <c r="DR89" s="262"/>
      <c r="DS89" s="120">
        <v>4.3</v>
      </c>
      <c r="DT89" s="262">
        <v>2000</v>
      </c>
      <c r="DU89" s="350" t="s">
        <v>806</v>
      </c>
      <c r="DV89" s="120">
        <v>1</v>
      </c>
      <c r="DW89" s="262">
        <v>2000</v>
      </c>
      <c r="DX89" s="262" t="s">
        <v>558</v>
      </c>
      <c r="DY89" s="120">
        <v>150</v>
      </c>
      <c r="DZ89" s="262">
        <v>2000</v>
      </c>
      <c r="EA89" s="262" t="s">
        <v>557</v>
      </c>
      <c r="EB89" s="265">
        <v>28.4</v>
      </c>
      <c r="EC89" s="262">
        <v>3000</v>
      </c>
      <c r="ED89" s="262" t="s">
        <v>561</v>
      </c>
      <c r="EE89" s="256">
        <v>18.899999999999999</v>
      </c>
      <c r="EF89" s="340"/>
      <c r="EG89" s="200" t="s">
        <v>562</v>
      </c>
      <c r="EH89" s="120"/>
      <c r="EI89" s="262"/>
      <c r="EJ89" s="262"/>
      <c r="EK89" s="120"/>
      <c r="EL89" s="262"/>
      <c r="EM89" s="262"/>
      <c r="EN89" s="120"/>
      <c r="EO89" s="262"/>
      <c r="EP89" s="262"/>
      <c r="EQ89" s="120"/>
      <c r="ER89" s="262"/>
      <c r="ES89" s="262"/>
      <c r="ET89" s="120"/>
      <c r="EU89" s="262"/>
      <c r="EV89" s="262"/>
      <c r="EW89" s="120"/>
      <c r="EX89" s="262"/>
      <c r="EY89" s="262"/>
      <c r="EZ89" s="120"/>
      <c r="FA89" s="262"/>
      <c r="FB89" s="262"/>
      <c r="FC89" s="120"/>
      <c r="FD89" s="262"/>
      <c r="FE89" s="262"/>
      <c r="FF89" s="120"/>
      <c r="FG89" s="262"/>
      <c r="FH89" s="262"/>
      <c r="FI89" s="120"/>
      <c r="FJ89" s="262"/>
      <c r="FK89" s="262"/>
      <c r="FL89" s="120"/>
      <c r="FM89" s="262"/>
      <c r="FN89" s="262"/>
      <c r="FO89" s="120"/>
      <c r="FP89" s="262"/>
      <c r="FQ89" s="262"/>
      <c r="FR89" s="120"/>
      <c r="FS89" s="262"/>
      <c r="FT89" s="262"/>
      <c r="FU89" s="120"/>
      <c r="FV89" s="262"/>
      <c r="FW89" s="262"/>
      <c r="FX89" s="120"/>
      <c r="FY89" s="262"/>
      <c r="FZ89" s="262"/>
      <c r="GA89" s="256"/>
      <c r="GB89" s="233"/>
      <c r="GC89" s="233"/>
      <c r="GD89" s="351">
        <v>40</v>
      </c>
      <c r="GE89" s="351">
        <v>1000</v>
      </c>
      <c r="GF89" s="351" t="s">
        <v>800</v>
      </c>
      <c r="GG89" s="351">
        <v>25</v>
      </c>
      <c r="GH89" s="351">
        <v>500</v>
      </c>
      <c r="GI89" s="351" t="s">
        <v>800</v>
      </c>
      <c r="GJ89" s="121">
        <f t="shared" si="19"/>
        <v>5040</v>
      </c>
      <c r="GK89" s="121">
        <f t="shared" si="20"/>
        <v>6300</v>
      </c>
      <c r="GM89" s="121">
        <f t="shared" si="21"/>
        <v>1</v>
      </c>
      <c r="GN89" s="121">
        <f t="shared" si="22"/>
        <v>0</v>
      </c>
      <c r="GO89" s="121">
        <f t="shared" si="23"/>
        <v>1</v>
      </c>
      <c r="GP89" s="121">
        <f t="shared" si="24"/>
        <v>5</v>
      </c>
      <c r="GQ89" s="121">
        <f t="shared" si="25"/>
        <v>1</v>
      </c>
      <c r="GR89" s="121">
        <f t="shared" si="26"/>
        <v>1</v>
      </c>
    </row>
    <row r="90" spans="1:200" ht="38.25" customHeight="1" x14ac:dyDescent="0.55000000000000004">
      <c r="B90" s="309" t="s">
        <v>140</v>
      </c>
      <c r="C90" s="198">
        <v>2</v>
      </c>
      <c r="D90" s="404">
        <v>2</v>
      </c>
      <c r="E90" s="404">
        <v>2</v>
      </c>
      <c r="F90" s="142">
        <f>($X$90/$Y$90)*$L$90*C90</f>
        <v>6720</v>
      </c>
      <c r="G90" s="142">
        <f>($X$90/$Y$90)*$L$90*D90</f>
        <v>6720</v>
      </c>
      <c r="H90" s="142">
        <f>($X$90/$Y$90)*$L$90*E90</f>
        <v>6720</v>
      </c>
      <c r="I90" s="142" cm="1">
        <f t="array" ref="I90">SUMPRODUCT(($X$2:$GG$2&lt;&gt;"")*($X90:$GG90&lt;&gt;""))</f>
        <v>7</v>
      </c>
      <c r="J90" s="122">
        <f t="shared" si="10"/>
        <v>14</v>
      </c>
      <c r="K90" s="122">
        <f t="shared" si="11"/>
        <v>196</v>
      </c>
      <c r="L90" s="249">
        <f t="shared" si="27"/>
        <v>7000</v>
      </c>
      <c r="M90" s="144">
        <f t="shared" si="12"/>
        <v>43680</v>
      </c>
      <c r="N90" s="405"/>
      <c r="O90" s="145">
        <f t="shared" si="13"/>
        <v>29575</v>
      </c>
      <c r="P90" s="145">
        <f t="shared" si="14"/>
        <v>24206</v>
      </c>
      <c r="Q90" s="145">
        <f t="shared" si="15"/>
        <v>0</v>
      </c>
      <c r="R90" s="145">
        <f t="shared" si="16"/>
        <v>0</v>
      </c>
      <c r="S90" s="130">
        <f t="shared" si="17"/>
        <v>4095</v>
      </c>
      <c r="T90" s="130">
        <f t="shared" si="18"/>
        <v>0</v>
      </c>
      <c r="U90" s="141">
        <v>3400</v>
      </c>
      <c r="V90" s="123">
        <v>180</v>
      </c>
      <c r="W90" s="134">
        <v>4000</v>
      </c>
      <c r="X90" s="124">
        <v>120</v>
      </c>
      <c r="Y90" s="134">
        <v>250</v>
      </c>
      <c r="Z90" s="348" t="s">
        <v>576</v>
      </c>
      <c r="AA90" s="120"/>
      <c r="AB90" s="134"/>
      <c r="AC90" s="200"/>
      <c r="AD90" s="125">
        <v>1300</v>
      </c>
      <c r="AE90" s="134">
        <v>4000</v>
      </c>
      <c r="AF90" s="348" t="s">
        <v>807</v>
      </c>
      <c r="AG90" s="120"/>
      <c r="AH90" s="262"/>
      <c r="AI90" s="262"/>
      <c r="AJ90" s="120"/>
      <c r="AK90" s="262"/>
      <c r="AL90" s="262"/>
      <c r="AM90" s="120"/>
      <c r="AN90" s="262"/>
      <c r="AO90" s="262"/>
      <c r="AP90" s="120"/>
      <c r="AQ90" s="262"/>
      <c r="AR90" s="262"/>
      <c r="AS90" s="120"/>
      <c r="AT90" s="262"/>
      <c r="AU90" s="262"/>
      <c r="AV90" s="120"/>
      <c r="AW90" s="262"/>
      <c r="AX90" s="262"/>
      <c r="AY90" s="120"/>
      <c r="AZ90" s="262"/>
      <c r="BA90" s="262"/>
      <c r="BB90" s="120">
        <v>85</v>
      </c>
      <c r="BC90" s="134">
        <v>1000</v>
      </c>
      <c r="BD90" s="348" t="s">
        <v>806</v>
      </c>
      <c r="BE90" s="120">
        <v>85</v>
      </c>
      <c r="BF90" s="134">
        <v>1000</v>
      </c>
      <c r="BG90" s="348" t="s">
        <v>806</v>
      </c>
      <c r="BH90" s="120"/>
      <c r="BI90" s="134"/>
      <c r="BJ90" s="134"/>
      <c r="BK90" s="120"/>
      <c r="BL90" s="134"/>
      <c r="BM90" s="134"/>
      <c r="BN90" s="120"/>
      <c r="BO90" s="252"/>
      <c r="BP90" s="252"/>
      <c r="BQ90" s="120"/>
      <c r="BR90" s="134"/>
      <c r="BS90" s="134"/>
      <c r="BT90" s="120"/>
      <c r="BU90" s="134"/>
      <c r="BV90" s="200"/>
      <c r="BW90" s="120"/>
      <c r="BX90" s="134"/>
      <c r="BY90" s="200"/>
      <c r="BZ90" s="120"/>
      <c r="CA90" s="126"/>
      <c r="CB90" s="126"/>
      <c r="CC90" s="120"/>
      <c r="CD90" s="126"/>
      <c r="CE90" s="126"/>
      <c r="CF90" s="120">
        <v>36</v>
      </c>
      <c r="CG90" s="134">
        <v>1000</v>
      </c>
      <c r="CH90" s="347" t="s">
        <v>806</v>
      </c>
      <c r="CI90" s="120"/>
      <c r="CJ90" s="200"/>
      <c r="CK90" s="200"/>
      <c r="CL90" s="120"/>
      <c r="CM90" s="127"/>
      <c r="CN90" s="127"/>
      <c r="CO90" s="120">
        <v>30</v>
      </c>
      <c r="CP90" s="134">
        <v>1000</v>
      </c>
      <c r="CQ90" s="347" t="s">
        <v>806</v>
      </c>
      <c r="CR90" s="120">
        <v>30</v>
      </c>
      <c r="CS90" s="134">
        <v>1000</v>
      </c>
      <c r="CT90" s="347" t="s">
        <v>806</v>
      </c>
      <c r="CU90" s="120"/>
      <c r="CV90" s="128"/>
      <c r="CW90" s="128"/>
      <c r="CX90" s="120"/>
      <c r="CY90" s="128"/>
      <c r="CZ90" s="128"/>
      <c r="DA90" s="120"/>
      <c r="DB90" s="128"/>
      <c r="DC90" s="128"/>
      <c r="DD90" s="349"/>
      <c r="DE90" s="128"/>
      <c r="DF90" s="128"/>
      <c r="DG90" s="254"/>
      <c r="DH90" s="129"/>
      <c r="DI90" s="129"/>
      <c r="DJ90" s="259"/>
      <c r="DK90" s="136"/>
      <c r="DL90" s="136"/>
      <c r="DM90" s="120"/>
      <c r="DN90" s="233"/>
      <c r="DO90" s="233"/>
      <c r="DP90" s="120"/>
      <c r="DQ90" s="262"/>
      <c r="DR90" s="262"/>
      <c r="DS90" s="120"/>
      <c r="DT90" s="262"/>
      <c r="DU90" s="262"/>
      <c r="DV90" s="120"/>
      <c r="DW90" s="262"/>
      <c r="DX90" s="262"/>
      <c r="DY90" s="120"/>
      <c r="DZ90" s="262"/>
      <c r="EA90" s="262"/>
      <c r="EB90" s="265"/>
      <c r="EC90" s="262"/>
      <c r="ED90" s="262"/>
      <c r="EE90" s="256"/>
      <c r="EF90" s="233"/>
      <c r="EG90" s="233"/>
      <c r="EH90" s="120"/>
      <c r="EI90" s="262"/>
      <c r="EJ90" s="262"/>
      <c r="EK90" s="120"/>
      <c r="EL90" s="262"/>
      <c r="EM90" s="262"/>
      <c r="EN90" s="120"/>
      <c r="EO90" s="262"/>
      <c r="EP90" s="262"/>
      <c r="EQ90" s="120"/>
      <c r="ER90" s="262"/>
      <c r="ES90" s="262"/>
      <c r="ET90" s="120"/>
      <c r="EU90" s="262"/>
      <c r="EV90" s="262"/>
      <c r="EW90" s="120"/>
      <c r="EX90" s="262"/>
      <c r="EY90" s="262"/>
      <c r="EZ90" s="120"/>
      <c r="FA90" s="262"/>
      <c r="FB90" s="262"/>
      <c r="FC90" s="120"/>
      <c r="FD90" s="262"/>
      <c r="FE90" s="262"/>
      <c r="FF90" s="120"/>
      <c r="FG90" s="262"/>
      <c r="FH90" s="262"/>
      <c r="FI90" s="120"/>
      <c r="FJ90" s="262"/>
      <c r="FK90" s="262"/>
      <c r="FL90" s="120"/>
      <c r="FM90" s="262"/>
      <c r="FN90" s="262"/>
      <c r="FO90" s="120"/>
      <c r="FP90" s="262"/>
      <c r="FQ90" s="262"/>
      <c r="FR90" s="120"/>
      <c r="FS90" s="262"/>
      <c r="FT90" s="262"/>
      <c r="FU90" s="120"/>
      <c r="FV90" s="262"/>
      <c r="FW90" s="262"/>
      <c r="FX90" s="120"/>
      <c r="FY90" s="262"/>
      <c r="FZ90" s="262"/>
      <c r="GA90" s="256"/>
      <c r="GB90" s="233"/>
      <c r="GC90" s="233"/>
      <c r="GJ90" s="121">
        <f t="shared" si="19"/>
        <v>0</v>
      </c>
      <c r="GK90" s="121">
        <f t="shared" si="20"/>
        <v>0</v>
      </c>
      <c r="GM90" s="121">
        <f t="shared" si="21"/>
        <v>1</v>
      </c>
      <c r="GN90" s="121">
        <f t="shared" si="22"/>
        <v>0</v>
      </c>
      <c r="GO90" s="121">
        <f t="shared" si="23"/>
        <v>1</v>
      </c>
      <c r="GP90" s="121">
        <f t="shared" si="24"/>
        <v>5</v>
      </c>
      <c r="GQ90" s="121">
        <f t="shared" si="25"/>
        <v>0</v>
      </c>
      <c r="GR90" s="121">
        <f t="shared" si="26"/>
        <v>1</v>
      </c>
    </row>
    <row r="91" spans="1:200" ht="38.25" customHeight="1" x14ac:dyDescent="0.55000000000000004">
      <c r="A91" s="121" t="s">
        <v>128</v>
      </c>
      <c r="B91" s="309" t="s">
        <v>139</v>
      </c>
      <c r="C91" s="198">
        <v>3</v>
      </c>
      <c r="D91" s="404">
        <v>3</v>
      </c>
      <c r="E91" s="404">
        <v>3</v>
      </c>
      <c r="F91" s="142">
        <f>($X$91/$Y$91)*$L$91*C91</f>
        <v>4872</v>
      </c>
      <c r="G91" s="142">
        <f>($X$91/$Y$91)*$L$91*D91</f>
        <v>4872</v>
      </c>
      <c r="H91" s="142">
        <f>($X$91/$Y$91)*$L$91*E91</f>
        <v>4872</v>
      </c>
      <c r="I91" s="142" cm="1">
        <f t="array" ref="I91">SUMPRODUCT(($X$2:$GG$2&lt;&gt;"")*($X91:$GG91&lt;&gt;""))</f>
        <v>6</v>
      </c>
      <c r="J91" s="122">
        <f t="shared" si="10"/>
        <v>18</v>
      </c>
      <c r="K91" s="122">
        <f t="shared" si="11"/>
        <v>252</v>
      </c>
      <c r="L91" s="249">
        <f t="shared" si="27"/>
        <v>7000</v>
      </c>
      <c r="M91" s="144">
        <f t="shared" si="12"/>
        <v>24360</v>
      </c>
      <c r="N91" s="405"/>
      <c r="O91" s="145">
        <f t="shared" si="13"/>
        <v>42000</v>
      </c>
      <c r="P91" s="145">
        <f t="shared" si="14"/>
        <v>7245.0000000000009</v>
      </c>
      <c r="Q91" s="145">
        <f t="shared" si="15"/>
        <v>0</v>
      </c>
      <c r="R91" s="145">
        <f t="shared" si="16"/>
        <v>0</v>
      </c>
      <c r="S91" s="130">
        <f t="shared" si="17"/>
        <v>2625</v>
      </c>
      <c r="T91" s="130">
        <f t="shared" si="18"/>
        <v>0</v>
      </c>
      <c r="U91" s="141">
        <v>980</v>
      </c>
      <c r="V91" s="123">
        <v>100</v>
      </c>
      <c r="W91" s="134">
        <v>4000</v>
      </c>
      <c r="X91" s="124">
        <v>58</v>
      </c>
      <c r="Y91" s="134">
        <v>250</v>
      </c>
      <c r="Z91" s="200" t="s">
        <v>545</v>
      </c>
      <c r="AA91" s="120"/>
      <c r="AB91" s="134"/>
      <c r="AC91" s="200"/>
      <c r="AD91" s="125">
        <v>800</v>
      </c>
      <c r="AE91" s="134">
        <v>2000</v>
      </c>
      <c r="AF91" s="200" t="s">
        <v>547</v>
      </c>
      <c r="AG91" s="120"/>
      <c r="AH91" s="262"/>
      <c r="AI91" s="262"/>
      <c r="AJ91" s="120"/>
      <c r="AK91" s="262"/>
      <c r="AL91" s="262"/>
      <c r="AM91" s="120"/>
      <c r="AN91" s="262"/>
      <c r="AO91" s="262"/>
      <c r="AP91" s="120"/>
      <c r="AQ91" s="262"/>
      <c r="AR91" s="262"/>
      <c r="AS91" s="120"/>
      <c r="AT91" s="262"/>
      <c r="AU91" s="262"/>
      <c r="AV91" s="120"/>
      <c r="AW91" s="262"/>
      <c r="AX91" s="262"/>
      <c r="AY91" s="120"/>
      <c r="AZ91" s="262"/>
      <c r="BA91" s="262"/>
      <c r="BB91" s="120">
        <v>20</v>
      </c>
      <c r="BC91" s="134">
        <v>2000</v>
      </c>
      <c r="BD91" s="134" t="s">
        <v>563</v>
      </c>
      <c r="BE91" s="120">
        <v>20</v>
      </c>
      <c r="BF91" s="134">
        <v>2000</v>
      </c>
      <c r="BG91" s="134" t="s">
        <v>563</v>
      </c>
      <c r="BH91" s="120"/>
      <c r="BI91" s="134"/>
      <c r="BJ91" s="134"/>
      <c r="BK91" s="120"/>
      <c r="BL91" s="134"/>
      <c r="BM91" s="134"/>
      <c r="BN91" s="120"/>
      <c r="BO91" s="252"/>
      <c r="BP91" s="252"/>
      <c r="BQ91" s="120"/>
      <c r="BR91" s="134"/>
      <c r="BS91" s="134"/>
      <c r="BT91" s="120"/>
      <c r="BU91" s="134"/>
      <c r="BV91" s="200"/>
      <c r="BW91" s="120"/>
      <c r="BX91" s="134"/>
      <c r="BY91" s="200"/>
      <c r="BZ91" s="120"/>
      <c r="CA91" s="126"/>
      <c r="CB91" s="126"/>
      <c r="CC91" s="120"/>
      <c r="CD91" s="126"/>
      <c r="CE91" s="126"/>
      <c r="CF91" s="120"/>
      <c r="CG91" s="134"/>
      <c r="CH91" s="134"/>
      <c r="CI91" s="120"/>
      <c r="CJ91" s="200"/>
      <c r="CK91" s="200"/>
      <c r="CL91" s="120"/>
      <c r="CM91" s="127"/>
      <c r="CN91" s="127"/>
      <c r="CO91" s="120">
        <v>24.5</v>
      </c>
      <c r="CP91" s="134">
        <v>1000</v>
      </c>
      <c r="CQ91" s="134" t="s">
        <v>563</v>
      </c>
      <c r="CR91" s="120">
        <v>24.5</v>
      </c>
      <c r="CS91" s="134">
        <v>1000</v>
      </c>
      <c r="CT91" s="134" t="s">
        <v>563</v>
      </c>
      <c r="CU91" s="120"/>
      <c r="CV91" s="128"/>
      <c r="CW91" s="128"/>
      <c r="CX91" s="120"/>
      <c r="CY91" s="128"/>
      <c r="CZ91" s="128"/>
      <c r="DA91" s="120"/>
      <c r="DB91" s="128"/>
      <c r="DC91" s="128"/>
      <c r="DD91" s="349"/>
      <c r="DE91" s="128"/>
      <c r="DF91" s="128"/>
      <c r="DG91" s="254"/>
      <c r="DH91" s="129"/>
      <c r="DI91" s="129"/>
      <c r="DJ91" s="259"/>
      <c r="DK91" s="136"/>
      <c r="DL91" s="136"/>
      <c r="DM91" s="120"/>
      <c r="DN91" s="233"/>
      <c r="DO91" s="233"/>
      <c r="DP91" s="120"/>
      <c r="DQ91" s="262"/>
      <c r="DR91" s="262"/>
      <c r="DS91" s="120"/>
      <c r="DT91" s="262"/>
      <c r="DU91" s="262"/>
      <c r="DV91" s="120"/>
      <c r="DW91" s="262"/>
      <c r="DX91" s="262"/>
      <c r="DY91" s="120"/>
      <c r="DZ91" s="262"/>
      <c r="EA91" s="262"/>
      <c r="EB91" s="265"/>
      <c r="EC91" s="262"/>
      <c r="ED91" s="262"/>
      <c r="EE91" s="256"/>
      <c r="EF91" s="233"/>
      <c r="EG91" s="233"/>
      <c r="EH91" s="120"/>
      <c r="EI91" s="262"/>
      <c r="EJ91" s="262"/>
      <c r="EK91" s="120"/>
      <c r="EL91" s="262"/>
      <c r="EM91" s="262"/>
      <c r="EN91" s="120"/>
      <c r="EO91" s="262"/>
      <c r="EP91" s="262"/>
      <c r="EQ91" s="120"/>
      <c r="ER91" s="262"/>
      <c r="ES91" s="262"/>
      <c r="ET91" s="120"/>
      <c r="EU91" s="262"/>
      <c r="EV91" s="262"/>
      <c r="EW91" s="120"/>
      <c r="EX91" s="262"/>
      <c r="EY91" s="262"/>
      <c r="EZ91" s="120"/>
      <c r="FA91" s="262"/>
      <c r="FB91" s="262"/>
      <c r="FC91" s="120"/>
      <c r="FD91" s="262"/>
      <c r="FE91" s="262"/>
      <c r="FF91" s="120"/>
      <c r="FG91" s="262"/>
      <c r="FH91" s="262"/>
      <c r="FI91" s="120"/>
      <c r="FJ91" s="262"/>
      <c r="FK91" s="262"/>
      <c r="FL91" s="120"/>
      <c r="FM91" s="262"/>
      <c r="FN91" s="262"/>
      <c r="FO91" s="120"/>
      <c r="FP91" s="262"/>
      <c r="FQ91" s="262"/>
      <c r="FR91" s="120"/>
      <c r="FS91" s="262"/>
      <c r="FT91" s="262"/>
      <c r="FU91" s="120"/>
      <c r="FV91" s="262"/>
      <c r="FW91" s="262"/>
      <c r="FX91" s="120"/>
      <c r="FY91" s="262"/>
      <c r="FZ91" s="262"/>
      <c r="GA91" s="256"/>
      <c r="GB91" s="233"/>
      <c r="GC91" s="233"/>
      <c r="GJ91" s="121">
        <f t="shared" si="19"/>
        <v>0</v>
      </c>
      <c r="GK91" s="121">
        <f t="shared" si="20"/>
        <v>0</v>
      </c>
      <c r="GM91" s="121">
        <f t="shared" si="21"/>
        <v>1</v>
      </c>
      <c r="GN91" s="121">
        <f t="shared" si="22"/>
        <v>0</v>
      </c>
      <c r="GO91" s="121">
        <f t="shared" si="23"/>
        <v>1</v>
      </c>
      <c r="GP91" s="121">
        <f t="shared" si="24"/>
        <v>4</v>
      </c>
      <c r="GQ91" s="121">
        <f t="shared" si="25"/>
        <v>0</v>
      </c>
      <c r="GR91" s="121">
        <f t="shared" si="26"/>
        <v>1</v>
      </c>
    </row>
    <row r="92" spans="1:200" ht="38.25" customHeight="1" x14ac:dyDescent="0.55000000000000004">
      <c r="B92" s="360" t="s">
        <v>375</v>
      </c>
      <c r="C92" s="198">
        <v>5</v>
      </c>
      <c r="D92" s="404">
        <v>5</v>
      </c>
      <c r="E92" s="404">
        <v>5</v>
      </c>
      <c r="F92" s="198"/>
      <c r="G92" s="198"/>
      <c r="H92" s="198"/>
      <c r="I92" s="142" cm="1">
        <f t="array" ref="I92">SUMPRODUCT(($X$2:$GG$2&lt;&gt;"")*($X92:$GG92&lt;&gt;""))</f>
        <v>5</v>
      </c>
      <c r="J92" s="122">
        <f t="shared" si="10"/>
        <v>25</v>
      </c>
      <c r="K92" s="122">
        <f t="shared" si="11"/>
        <v>350</v>
      </c>
      <c r="L92" s="249">
        <f t="shared" si="27"/>
        <v>7000</v>
      </c>
      <c r="M92" s="144">
        <f t="shared" si="12"/>
        <v>21280</v>
      </c>
      <c r="N92" s="405"/>
      <c r="O92" s="145">
        <f t="shared" si="13"/>
        <v>0</v>
      </c>
      <c r="P92" s="145">
        <f t="shared" si="14"/>
        <v>0</v>
      </c>
      <c r="Q92" s="145">
        <f t="shared" si="15"/>
        <v>0</v>
      </c>
      <c r="R92" s="145">
        <f t="shared" si="16"/>
        <v>0</v>
      </c>
      <c r="S92" s="130">
        <f t="shared" si="17"/>
        <v>0</v>
      </c>
      <c r="T92" s="130">
        <f t="shared" si="18"/>
        <v>0</v>
      </c>
      <c r="U92" s="131">
        <v>413</v>
      </c>
      <c r="V92" s="123">
        <v>61</v>
      </c>
      <c r="W92" s="134"/>
      <c r="X92" s="124">
        <v>38</v>
      </c>
      <c r="Y92" s="134">
        <v>250</v>
      </c>
      <c r="Z92" s="348" t="s">
        <v>576</v>
      </c>
      <c r="AA92" s="120">
        <v>54</v>
      </c>
      <c r="AB92" s="339"/>
      <c r="AC92" s="348" t="s">
        <v>806</v>
      </c>
      <c r="AD92" s="125">
        <v>173</v>
      </c>
      <c r="AE92" s="339"/>
      <c r="AF92" s="348" t="s">
        <v>807</v>
      </c>
      <c r="AG92" s="120"/>
      <c r="AH92" s="262"/>
      <c r="AI92" s="262"/>
      <c r="AJ92" s="120"/>
      <c r="AK92" s="262"/>
      <c r="AL92" s="262"/>
      <c r="AM92" s="120">
        <v>60</v>
      </c>
      <c r="AN92" s="341"/>
      <c r="AO92" s="350" t="s">
        <v>806</v>
      </c>
      <c r="AP92" s="120">
        <v>56</v>
      </c>
      <c r="AQ92" s="341"/>
      <c r="AR92" s="350" t="s">
        <v>806</v>
      </c>
      <c r="AS92" s="120"/>
      <c r="AT92" s="262"/>
      <c r="AU92" s="262"/>
      <c r="AV92" s="120"/>
      <c r="AW92" s="262"/>
      <c r="AX92" s="262"/>
      <c r="AY92" s="120"/>
      <c r="AZ92" s="262"/>
      <c r="BA92" s="262"/>
      <c r="BB92" s="120"/>
      <c r="BC92" s="134"/>
      <c r="BD92" s="200"/>
      <c r="BE92" s="120"/>
      <c r="BF92" s="134"/>
      <c r="BG92" s="200"/>
      <c r="BH92" s="120"/>
      <c r="BI92" s="134"/>
      <c r="BJ92" s="134"/>
      <c r="BK92" s="120"/>
      <c r="BL92" s="134"/>
      <c r="BM92" s="134"/>
      <c r="BN92" s="120"/>
      <c r="BO92" s="134"/>
      <c r="BP92" s="134"/>
      <c r="BQ92" s="120"/>
      <c r="BR92" s="134"/>
      <c r="BS92" s="134"/>
      <c r="BT92" s="120"/>
      <c r="BU92" s="134"/>
      <c r="BV92" s="200"/>
      <c r="BW92" s="120"/>
      <c r="BX92" s="134"/>
      <c r="BY92" s="200"/>
      <c r="BZ92" s="120"/>
      <c r="CA92" s="134"/>
      <c r="CB92" s="134"/>
      <c r="CC92" s="120"/>
      <c r="CD92" s="134"/>
      <c r="CE92" s="134"/>
      <c r="CF92" s="120"/>
      <c r="CG92" s="134"/>
      <c r="CH92" s="134"/>
      <c r="CI92" s="120"/>
      <c r="CJ92" s="200"/>
      <c r="CK92" s="200"/>
      <c r="CL92" s="120"/>
      <c r="CM92" s="127"/>
      <c r="CN92" s="127"/>
      <c r="CO92" s="120"/>
      <c r="CP92" s="200"/>
      <c r="CQ92" s="200"/>
      <c r="CR92" s="120"/>
      <c r="CS92" s="202"/>
      <c r="CT92" s="202"/>
      <c r="CU92" s="120"/>
      <c r="CV92" s="128"/>
      <c r="CW92" s="128"/>
      <c r="CX92" s="120"/>
      <c r="CY92" s="128"/>
      <c r="CZ92" s="128"/>
      <c r="DA92" s="120"/>
      <c r="DB92" s="128"/>
      <c r="DC92" s="128"/>
      <c r="DD92" s="349"/>
      <c r="DE92" s="128"/>
      <c r="DF92" s="128"/>
      <c r="DG92" s="254"/>
      <c r="DH92" s="129"/>
      <c r="DI92" s="129"/>
      <c r="DJ92" s="259"/>
      <c r="DK92" s="136"/>
      <c r="DL92" s="136"/>
      <c r="DM92" s="120"/>
      <c r="DN92" s="233"/>
      <c r="DO92" s="233"/>
      <c r="DP92" s="120"/>
      <c r="DQ92" s="262"/>
      <c r="DR92" s="262"/>
      <c r="DS92" s="120"/>
      <c r="DT92" s="262"/>
      <c r="DU92" s="262"/>
      <c r="DV92" s="120"/>
      <c r="DW92" s="262"/>
      <c r="DX92" s="262"/>
      <c r="DY92" s="120"/>
      <c r="DZ92" s="262"/>
      <c r="EA92" s="262"/>
      <c r="EB92" s="265"/>
      <c r="EC92" s="262"/>
      <c r="ED92" s="262"/>
      <c r="EE92" s="256"/>
      <c r="EF92" s="233"/>
      <c r="EG92" s="233"/>
      <c r="EH92" s="120"/>
      <c r="EI92" s="262"/>
      <c r="EJ92" s="262"/>
      <c r="EK92" s="120"/>
      <c r="EL92" s="262"/>
      <c r="EM92" s="262"/>
      <c r="EN92" s="120"/>
      <c r="EO92" s="262"/>
      <c r="EP92" s="262"/>
      <c r="EQ92" s="120"/>
      <c r="ER92" s="262"/>
      <c r="ES92" s="262"/>
      <c r="ET92" s="120"/>
      <c r="EU92" s="262"/>
      <c r="EV92" s="262"/>
      <c r="EW92" s="120"/>
      <c r="EX92" s="262"/>
      <c r="EY92" s="262"/>
      <c r="EZ92" s="120"/>
      <c r="FA92" s="262"/>
      <c r="FB92" s="262"/>
      <c r="FC92" s="120"/>
      <c r="FD92" s="262"/>
      <c r="FE92" s="262"/>
      <c r="FF92" s="120"/>
      <c r="FG92" s="262"/>
      <c r="FH92" s="262"/>
      <c r="FI92" s="120"/>
      <c r="FJ92" s="262"/>
      <c r="FK92" s="262"/>
      <c r="FL92" s="120"/>
      <c r="FM92" s="262"/>
      <c r="FN92" s="262"/>
      <c r="FO92" s="120"/>
      <c r="FP92" s="262"/>
      <c r="FQ92" s="262"/>
      <c r="FR92" s="120"/>
      <c r="FS92" s="262"/>
      <c r="FT92" s="262"/>
      <c r="FU92" s="120"/>
      <c r="FV92" s="262"/>
      <c r="FW92" s="262"/>
      <c r="FX92" s="120"/>
      <c r="FY92" s="262"/>
      <c r="FZ92" s="262"/>
      <c r="GA92" s="256"/>
      <c r="GB92" s="233"/>
      <c r="GC92" s="233"/>
      <c r="GJ92" s="121">
        <f t="shared" si="19"/>
        <v>0</v>
      </c>
      <c r="GK92" s="121">
        <f t="shared" si="20"/>
        <v>0</v>
      </c>
      <c r="GM92" s="121">
        <f t="shared" si="21"/>
        <v>1</v>
      </c>
      <c r="GN92" s="121">
        <f t="shared" si="22"/>
        <v>1</v>
      </c>
      <c r="GO92" s="121">
        <f t="shared" si="23"/>
        <v>1</v>
      </c>
      <c r="GP92" s="121">
        <f t="shared" si="24"/>
        <v>2</v>
      </c>
      <c r="GQ92" s="121">
        <f t="shared" si="25"/>
        <v>0</v>
      </c>
      <c r="GR92" s="121">
        <f t="shared" si="26"/>
        <v>0</v>
      </c>
    </row>
    <row r="93" spans="1:200" ht="38.25" customHeight="1" x14ac:dyDescent="0.55000000000000004">
      <c r="B93" s="303" t="s">
        <v>501</v>
      </c>
      <c r="C93" s="198"/>
      <c r="D93" s="198"/>
      <c r="E93" s="198"/>
      <c r="F93" s="198"/>
      <c r="G93" s="198"/>
      <c r="H93" s="198"/>
      <c r="I93" s="142" cm="1">
        <f t="array" ref="I93">SUMPRODUCT(($X$2:$GG$2&lt;&gt;"")*($X93:$GG93&lt;&gt;""))</f>
        <v>0</v>
      </c>
      <c r="J93" s="122">
        <f t="shared" si="10"/>
        <v>0</v>
      </c>
      <c r="K93" s="122">
        <f t="shared" si="11"/>
        <v>0</v>
      </c>
      <c r="L93" s="249">
        <f t="shared" si="27"/>
        <v>7000</v>
      </c>
      <c r="M93" s="144">
        <f t="shared" si="12"/>
        <v>0</v>
      </c>
      <c r="N93" s="405"/>
      <c r="O93" s="145">
        <f t="shared" si="13"/>
        <v>0</v>
      </c>
      <c r="P93" s="145">
        <f t="shared" si="14"/>
        <v>0</v>
      </c>
      <c r="Q93" s="145">
        <f t="shared" si="15"/>
        <v>0</v>
      </c>
      <c r="R93" s="145">
        <f t="shared" si="16"/>
        <v>0</v>
      </c>
      <c r="S93" s="130">
        <f t="shared" si="17"/>
        <v>0</v>
      </c>
      <c r="T93" s="130">
        <f t="shared" si="18"/>
        <v>0</v>
      </c>
      <c r="U93" s="141"/>
      <c r="V93" s="123"/>
      <c r="W93" s="134"/>
      <c r="X93" s="124"/>
      <c r="Y93" s="134"/>
      <c r="Z93" s="200"/>
      <c r="AA93" s="120"/>
      <c r="AB93" s="134"/>
      <c r="AC93" s="200"/>
      <c r="AD93" s="125"/>
      <c r="AE93" s="134"/>
      <c r="AF93" s="200"/>
      <c r="AG93" s="120"/>
      <c r="AH93" s="262"/>
      <c r="AI93" s="262"/>
      <c r="AJ93" s="120"/>
      <c r="AK93" s="262"/>
      <c r="AL93" s="262"/>
      <c r="AM93" s="120"/>
      <c r="AN93" s="262"/>
      <c r="AO93" s="262"/>
      <c r="AP93" s="120"/>
      <c r="AQ93" s="262"/>
      <c r="AR93" s="262"/>
      <c r="AS93" s="120"/>
      <c r="AT93" s="262"/>
      <c r="AU93" s="262"/>
      <c r="AV93" s="120"/>
      <c r="AW93" s="262"/>
      <c r="AX93" s="262"/>
      <c r="AY93" s="120"/>
      <c r="AZ93" s="262"/>
      <c r="BA93" s="262"/>
      <c r="BB93" s="120"/>
      <c r="BC93" s="134"/>
      <c r="BD93" s="200"/>
      <c r="BE93" s="120"/>
      <c r="BF93" s="134"/>
      <c r="BG93" s="200"/>
      <c r="BH93" s="120"/>
      <c r="BI93" s="252"/>
      <c r="BJ93" s="252"/>
      <c r="BK93" s="120"/>
      <c r="BL93" s="134"/>
      <c r="BM93" s="134"/>
      <c r="BN93" s="120"/>
      <c r="BO93" s="252"/>
      <c r="BP93" s="252"/>
      <c r="BQ93" s="120"/>
      <c r="BR93" s="134"/>
      <c r="BS93" s="134"/>
      <c r="BT93" s="120"/>
      <c r="BU93" s="134"/>
      <c r="BV93" s="200"/>
      <c r="BW93" s="120"/>
      <c r="BX93" s="134"/>
      <c r="BY93" s="200"/>
      <c r="BZ93" s="120"/>
      <c r="CA93" s="126"/>
      <c r="CB93" s="126"/>
      <c r="CC93" s="120"/>
      <c r="CD93" s="126"/>
      <c r="CE93" s="126"/>
      <c r="CF93" s="120"/>
      <c r="CG93" s="134"/>
      <c r="CH93" s="134"/>
      <c r="CI93" s="120"/>
      <c r="CJ93" s="200"/>
      <c r="CK93" s="200"/>
      <c r="CL93" s="120"/>
      <c r="CM93" s="200"/>
      <c r="CN93" s="200"/>
      <c r="CO93" s="120"/>
      <c r="CP93" s="134"/>
      <c r="CQ93" s="134"/>
      <c r="CR93" s="120"/>
      <c r="CS93" s="134"/>
      <c r="CT93" s="134"/>
      <c r="CU93" s="120"/>
      <c r="CV93" s="202"/>
      <c r="CW93" s="202"/>
      <c r="CX93" s="120"/>
      <c r="CY93" s="202"/>
      <c r="CZ93" s="202"/>
      <c r="DA93" s="120"/>
      <c r="DB93" s="202"/>
      <c r="DC93" s="202"/>
      <c r="DD93" s="349"/>
      <c r="DE93" s="202"/>
      <c r="DF93" s="202"/>
      <c r="DG93" s="254"/>
      <c r="DH93" s="203"/>
      <c r="DI93" s="203"/>
      <c r="DJ93" s="259"/>
      <c r="DK93" s="136"/>
      <c r="DL93" s="136"/>
      <c r="DM93" s="120"/>
      <c r="DN93" s="233"/>
      <c r="DO93" s="233"/>
      <c r="DP93" s="120"/>
      <c r="DQ93" s="262"/>
      <c r="DR93" s="262"/>
      <c r="DS93" s="120"/>
      <c r="DT93" s="262"/>
      <c r="DU93" s="262"/>
      <c r="DV93" s="120"/>
      <c r="DW93" s="262"/>
      <c r="DX93" s="262"/>
      <c r="DY93" s="120"/>
      <c r="DZ93" s="262"/>
      <c r="EA93" s="262"/>
      <c r="EB93" s="265"/>
      <c r="EC93" s="262"/>
      <c r="ED93" s="262"/>
      <c r="EE93" s="256"/>
      <c r="EF93" s="233"/>
      <c r="EG93" s="233"/>
      <c r="EH93" s="120"/>
      <c r="EI93" s="262"/>
      <c r="EJ93" s="262"/>
      <c r="EK93" s="120"/>
      <c r="EL93" s="262"/>
      <c r="EM93" s="262"/>
      <c r="EN93" s="120"/>
      <c r="EO93" s="262"/>
      <c r="EP93" s="262"/>
      <c r="EQ93" s="120"/>
      <c r="ER93" s="262"/>
      <c r="ES93" s="262"/>
      <c r="ET93" s="120"/>
      <c r="EU93" s="262"/>
      <c r="EV93" s="262"/>
      <c r="EW93" s="120"/>
      <c r="EX93" s="262"/>
      <c r="EY93" s="262"/>
      <c r="EZ93" s="120"/>
      <c r="FA93" s="262"/>
      <c r="FB93" s="262"/>
      <c r="FC93" s="120"/>
      <c r="FD93" s="262"/>
      <c r="FE93" s="262"/>
      <c r="FF93" s="120"/>
      <c r="FG93" s="262"/>
      <c r="FH93" s="262"/>
      <c r="FI93" s="120"/>
      <c r="FJ93" s="262"/>
      <c r="FK93" s="262"/>
      <c r="FL93" s="120"/>
      <c r="FM93" s="262"/>
      <c r="FN93" s="262"/>
      <c r="FO93" s="120"/>
      <c r="FP93" s="262"/>
      <c r="FQ93" s="262"/>
      <c r="FR93" s="120"/>
      <c r="FS93" s="262"/>
      <c r="FT93" s="262"/>
      <c r="FU93" s="120"/>
      <c r="FV93" s="262"/>
      <c r="FW93" s="262"/>
      <c r="FX93" s="120"/>
      <c r="FY93" s="262"/>
      <c r="FZ93" s="262"/>
      <c r="GA93" s="256"/>
      <c r="GB93" s="233"/>
      <c r="GC93" s="233"/>
      <c r="GJ93" s="121">
        <f t="shared" si="19"/>
        <v>0</v>
      </c>
      <c r="GK93" s="121">
        <f t="shared" si="20"/>
        <v>0</v>
      </c>
      <c r="GM93" s="121">
        <f t="shared" si="21"/>
        <v>0</v>
      </c>
      <c r="GN93" s="121">
        <f t="shared" si="22"/>
        <v>0</v>
      </c>
      <c r="GO93" s="121">
        <f t="shared" si="23"/>
        <v>0</v>
      </c>
      <c r="GP93" s="121">
        <f t="shared" si="24"/>
        <v>0</v>
      </c>
      <c r="GQ93" s="121">
        <f t="shared" si="25"/>
        <v>0</v>
      </c>
      <c r="GR93" s="121">
        <f t="shared" si="26"/>
        <v>0</v>
      </c>
    </row>
    <row r="94" spans="1:200" ht="38.25" customHeight="1" x14ac:dyDescent="0.55000000000000004">
      <c r="B94" s="303" t="s">
        <v>502</v>
      </c>
      <c r="C94" s="198"/>
      <c r="D94" s="198"/>
      <c r="E94" s="198"/>
      <c r="F94" s="198"/>
      <c r="G94" s="198"/>
      <c r="H94" s="198"/>
      <c r="I94" s="142" cm="1">
        <f t="array" ref="I94">SUMPRODUCT(($X$2:$GG$2&lt;&gt;"")*($X94:$GG94&lt;&gt;""))</f>
        <v>0</v>
      </c>
      <c r="J94" s="122">
        <f t="shared" si="10"/>
        <v>0</v>
      </c>
      <c r="K94" s="122">
        <f t="shared" si="11"/>
        <v>0</v>
      </c>
      <c r="L94" s="249">
        <f t="shared" si="27"/>
        <v>7000</v>
      </c>
      <c r="M94" s="144">
        <f t="shared" si="12"/>
        <v>0</v>
      </c>
      <c r="N94" s="405"/>
      <c r="O94" s="145">
        <f t="shared" si="13"/>
        <v>0</v>
      </c>
      <c r="P94" s="145">
        <f t="shared" si="14"/>
        <v>0</v>
      </c>
      <c r="Q94" s="145">
        <f t="shared" si="15"/>
        <v>0</v>
      </c>
      <c r="R94" s="145">
        <f t="shared" si="16"/>
        <v>0</v>
      </c>
      <c r="S94" s="130">
        <f t="shared" si="17"/>
        <v>0</v>
      </c>
      <c r="T94" s="130">
        <f t="shared" si="18"/>
        <v>0</v>
      </c>
      <c r="U94" s="141"/>
      <c r="V94" s="123"/>
      <c r="W94" s="134"/>
      <c r="X94" s="124"/>
      <c r="Y94" s="134"/>
      <c r="Z94" s="200"/>
      <c r="AA94" s="120"/>
      <c r="AB94" s="134"/>
      <c r="AC94" s="200"/>
      <c r="AD94" s="125"/>
      <c r="AE94" s="134"/>
      <c r="AF94" s="200"/>
      <c r="AG94" s="120"/>
      <c r="AH94" s="262"/>
      <c r="AI94" s="262"/>
      <c r="AJ94" s="120"/>
      <c r="AK94" s="262"/>
      <c r="AL94" s="262"/>
      <c r="AM94" s="120"/>
      <c r="AN94" s="262"/>
      <c r="AO94" s="262"/>
      <c r="AP94" s="120"/>
      <c r="AQ94" s="262"/>
      <c r="AR94" s="262"/>
      <c r="AS94" s="120"/>
      <c r="AT94" s="262"/>
      <c r="AU94" s="262"/>
      <c r="AV94" s="120"/>
      <c r="AW94" s="262"/>
      <c r="AX94" s="262"/>
      <c r="AY94" s="120"/>
      <c r="AZ94" s="262"/>
      <c r="BA94" s="262"/>
      <c r="BB94" s="120"/>
      <c r="BC94" s="134"/>
      <c r="BD94" s="200"/>
      <c r="BE94" s="120"/>
      <c r="BF94" s="134"/>
      <c r="BG94" s="200"/>
      <c r="BH94" s="120"/>
      <c r="BI94" s="252"/>
      <c r="BJ94" s="252"/>
      <c r="BK94" s="120"/>
      <c r="BL94" s="134"/>
      <c r="BM94" s="134"/>
      <c r="BN94" s="120"/>
      <c r="BO94" s="252"/>
      <c r="BP94" s="252"/>
      <c r="BQ94" s="120"/>
      <c r="BR94" s="134"/>
      <c r="BS94" s="134"/>
      <c r="BT94" s="120"/>
      <c r="BU94" s="134"/>
      <c r="BV94" s="200"/>
      <c r="BW94" s="120"/>
      <c r="BX94" s="134"/>
      <c r="BY94" s="200"/>
      <c r="BZ94" s="120"/>
      <c r="CA94" s="126"/>
      <c r="CB94" s="126"/>
      <c r="CC94" s="120"/>
      <c r="CD94" s="126"/>
      <c r="CE94" s="126"/>
      <c r="CF94" s="120"/>
      <c r="CG94" s="134"/>
      <c r="CH94" s="134"/>
      <c r="CI94" s="120"/>
      <c r="CJ94" s="200"/>
      <c r="CK94" s="200"/>
      <c r="CL94" s="120"/>
      <c r="CM94" s="200"/>
      <c r="CN94" s="200"/>
      <c r="CO94" s="120"/>
      <c r="CP94" s="134"/>
      <c r="CQ94" s="134"/>
      <c r="CR94" s="120"/>
      <c r="CS94" s="134"/>
      <c r="CT94" s="134"/>
      <c r="CU94" s="120"/>
      <c r="CV94" s="202"/>
      <c r="CW94" s="202"/>
      <c r="CX94" s="120"/>
      <c r="CY94" s="202"/>
      <c r="CZ94" s="202"/>
      <c r="DA94" s="120"/>
      <c r="DB94" s="202"/>
      <c r="DC94" s="202"/>
      <c r="DD94" s="349"/>
      <c r="DE94" s="202"/>
      <c r="DF94" s="202"/>
      <c r="DG94" s="254"/>
      <c r="DH94" s="203"/>
      <c r="DI94" s="203"/>
      <c r="DJ94" s="259"/>
      <c r="DK94" s="136"/>
      <c r="DL94" s="136"/>
      <c r="DM94" s="120"/>
      <c r="DN94" s="233"/>
      <c r="DO94" s="233"/>
      <c r="DP94" s="120"/>
      <c r="DQ94" s="262"/>
      <c r="DR94" s="262"/>
      <c r="DS94" s="120"/>
      <c r="DT94" s="262"/>
      <c r="DU94" s="262"/>
      <c r="DV94" s="120"/>
      <c r="DW94" s="262"/>
      <c r="DX94" s="262"/>
      <c r="DY94" s="120"/>
      <c r="DZ94" s="262"/>
      <c r="EA94" s="262"/>
      <c r="EB94" s="265"/>
      <c r="EC94" s="262"/>
      <c r="ED94" s="262"/>
      <c r="EE94" s="256"/>
      <c r="EF94" s="233"/>
      <c r="EG94" s="233"/>
      <c r="EH94" s="120"/>
      <c r="EI94" s="262"/>
      <c r="EJ94" s="262"/>
      <c r="EK94" s="120"/>
      <c r="EL94" s="262"/>
      <c r="EM94" s="262"/>
      <c r="EN94" s="120"/>
      <c r="EO94" s="262"/>
      <c r="EP94" s="262"/>
      <c r="EQ94" s="120"/>
      <c r="ER94" s="262"/>
      <c r="ES94" s="262"/>
      <c r="ET94" s="120"/>
      <c r="EU94" s="262"/>
      <c r="EV94" s="262"/>
      <c r="EW94" s="120"/>
      <c r="EX94" s="262"/>
      <c r="EY94" s="262"/>
      <c r="EZ94" s="120"/>
      <c r="FA94" s="262"/>
      <c r="FB94" s="262"/>
      <c r="FC94" s="120"/>
      <c r="FD94" s="262"/>
      <c r="FE94" s="262"/>
      <c r="FF94" s="120"/>
      <c r="FG94" s="262"/>
      <c r="FH94" s="262"/>
      <c r="FI94" s="120"/>
      <c r="FJ94" s="262"/>
      <c r="FK94" s="262"/>
      <c r="FL94" s="120"/>
      <c r="FM94" s="262"/>
      <c r="FN94" s="262"/>
      <c r="FO94" s="120"/>
      <c r="FP94" s="262"/>
      <c r="FQ94" s="262"/>
      <c r="FR94" s="120"/>
      <c r="FS94" s="262"/>
      <c r="FT94" s="262"/>
      <c r="FU94" s="120"/>
      <c r="FV94" s="262"/>
      <c r="FW94" s="262"/>
      <c r="FX94" s="120"/>
      <c r="FY94" s="262"/>
      <c r="FZ94" s="262"/>
      <c r="GA94" s="256"/>
      <c r="GB94" s="233"/>
      <c r="GC94" s="233"/>
      <c r="GJ94" s="121">
        <f t="shared" si="19"/>
        <v>0</v>
      </c>
      <c r="GK94" s="121">
        <f t="shared" si="20"/>
        <v>0</v>
      </c>
      <c r="GM94" s="121">
        <f t="shared" si="21"/>
        <v>0</v>
      </c>
      <c r="GN94" s="121">
        <f t="shared" si="22"/>
        <v>0</v>
      </c>
      <c r="GO94" s="121">
        <f t="shared" si="23"/>
        <v>0</v>
      </c>
      <c r="GP94" s="121">
        <f t="shared" si="24"/>
        <v>0</v>
      </c>
      <c r="GQ94" s="121">
        <f t="shared" si="25"/>
        <v>0</v>
      </c>
      <c r="GR94" s="121">
        <f t="shared" si="26"/>
        <v>0</v>
      </c>
    </row>
    <row r="95" spans="1:200" ht="38.25" customHeight="1" x14ac:dyDescent="0.55000000000000004">
      <c r="B95" s="303" t="s">
        <v>494</v>
      </c>
      <c r="C95" s="198"/>
      <c r="D95" s="198"/>
      <c r="E95" s="198"/>
      <c r="F95" s="198"/>
      <c r="G95" s="198"/>
      <c r="H95" s="198"/>
      <c r="I95" s="142" cm="1">
        <f t="array" ref="I95">SUMPRODUCT(($X$2:$GG$2&lt;&gt;"")*($X95:$GG95&lt;&gt;""))</f>
        <v>0</v>
      </c>
      <c r="J95" s="122">
        <f t="shared" si="10"/>
        <v>0</v>
      </c>
      <c r="K95" s="122">
        <f t="shared" si="11"/>
        <v>0</v>
      </c>
      <c r="L95" s="249">
        <f t="shared" si="27"/>
        <v>7000</v>
      </c>
      <c r="M95" s="144">
        <f t="shared" si="12"/>
        <v>0</v>
      </c>
      <c r="N95" s="405"/>
      <c r="O95" s="145">
        <f t="shared" si="13"/>
        <v>0</v>
      </c>
      <c r="P95" s="145">
        <f t="shared" si="14"/>
        <v>0</v>
      </c>
      <c r="Q95" s="145">
        <f t="shared" si="15"/>
        <v>0</v>
      </c>
      <c r="R95" s="145">
        <f t="shared" si="16"/>
        <v>0</v>
      </c>
      <c r="S95" s="130">
        <f t="shared" si="17"/>
        <v>0</v>
      </c>
      <c r="T95" s="130">
        <f t="shared" si="18"/>
        <v>0</v>
      </c>
      <c r="U95" s="141"/>
      <c r="V95" s="123"/>
      <c r="W95" s="134"/>
      <c r="X95" s="124"/>
      <c r="Y95" s="134"/>
      <c r="Z95" s="200"/>
      <c r="AA95" s="120"/>
      <c r="AB95" s="134"/>
      <c r="AC95" s="200"/>
      <c r="AD95" s="125"/>
      <c r="AE95" s="134"/>
      <c r="AF95" s="200"/>
      <c r="AG95" s="120"/>
      <c r="AH95" s="262"/>
      <c r="AI95" s="262"/>
      <c r="AJ95" s="120"/>
      <c r="AK95" s="262"/>
      <c r="AL95" s="262"/>
      <c r="AM95" s="120"/>
      <c r="AN95" s="262"/>
      <c r="AO95" s="262"/>
      <c r="AP95" s="120"/>
      <c r="AQ95" s="262"/>
      <c r="AR95" s="262"/>
      <c r="AS95" s="120"/>
      <c r="AT95" s="262"/>
      <c r="AU95" s="262"/>
      <c r="AV95" s="120"/>
      <c r="AW95" s="262"/>
      <c r="AX95" s="262"/>
      <c r="AY95" s="120"/>
      <c r="AZ95" s="262"/>
      <c r="BA95" s="262"/>
      <c r="BB95" s="120"/>
      <c r="BC95" s="134"/>
      <c r="BD95" s="200"/>
      <c r="BE95" s="120"/>
      <c r="BF95" s="134"/>
      <c r="BG95" s="200"/>
      <c r="BH95" s="120"/>
      <c r="BI95" s="252"/>
      <c r="BJ95" s="252"/>
      <c r="BK95" s="120"/>
      <c r="BL95" s="134"/>
      <c r="BM95" s="134"/>
      <c r="BN95" s="120"/>
      <c r="BO95" s="252"/>
      <c r="BP95" s="252"/>
      <c r="BQ95" s="120"/>
      <c r="BR95" s="134"/>
      <c r="BS95" s="134"/>
      <c r="BT95" s="120"/>
      <c r="BU95" s="134"/>
      <c r="BV95" s="200"/>
      <c r="BW95" s="120"/>
      <c r="BX95" s="134"/>
      <c r="BY95" s="200"/>
      <c r="BZ95" s="120"/>
      <c r="CA95" s="126"/>
      <c r="CB95" s="126"/>
      <c r="CC95" s="120"/>
      <c r="CD95" s="126"/>
      <c r="CE95" s="126"/>
      <c r="CF95" s="120"/>
      <c r="CG95" s="134"/>
      <c r="CH95" s="134"/>
      <c r="CI95" s="120"/>
      <c r="CJ95" s="200"/>
      <c r="CK95" s="200"/>
      <c r="CL95" s="120"/>
      <c r="CM95" s="200"/>
      <c r="CN95" s="200"/>
      <c r="CO95" s="120"/>
      <c r="CP95" s="134"/>
      <c r="CQ95" s="134"/>
      <c r="CR95" s="120"/>
      <c r="CS95" s="134"/>
      <c r="CT95" s="134"/>
      <c r="CU95" s="120"/>
      <c r="CV95" s="202"/>
      <c r="CW95" s="202"/>
      <c r="CX95" s="120"/>
      <c r="CY95" s="202"/>
      <c r="CZ95" s="202"/>
      <c r="DA95" s="120"/>
      <c r="DB95" s="202"/>
      <c r="DC95" s="202"/>
      <c r="DD95" s="349"/>
      <c r="DE95" s="202"/>
      <c r="DF95" s="202"/>
      <c r="DG95" s="254"/>
      <c r="DH95" s="203"/>
      <c r="DI95" s="203"/>
      <c r="DJ95" s="259"/>
      <c r="DK95" s="136"/>
      <c r="DL95" s="136"/>
      <c r="DM95" s="120"/>
      <c r="DN95" s="233"/>
      <c r="DO95" s="233"/>
      <c r="DP95" s="120"/>
      <c r="DQ95" s="262"/>
      <c r="DR95" s="262"/>
      <c r="DS95" s="120"/>
      <c r="DT95" s="262"/>
      <c r="DU95" s="262"/>
      <c r="DV95" s="120"/>
      <c r="DW95" s="262"/>
      <c r="DX95" s="262"/>
      <c r="DY95" s="120"/>
      <c r="DZ95" s="262"/>
      <c r="EA95" s="262"/>
      <c r="EB95" s="265"/>
      <c r="EC95" s="262"/>
      <c r="ED95" s="262"/>
      <c r="EE95" s="256"/>
      <c r="EF95" s="233"/>
      <c r="EG95" s="233"/>
      <c r="EH95" s="120"/>
      <c r="EI95" s="262"/>
      <c r="EJ95" s="262"/>
      <c r="EK95" s="120"/>
      <c r="EL95" s="262"/>
      <c r="EM95" s="262"/>
      <c r="EN95" s="120"/>
      <c r="EO95" s="262"/>
      <c r="EP95" s="262"/>
      <c r="EQ95" s="120"/>
      <c r="ER95" s="262"/>
      <c r="ES95" s="262"/>
      <c r="ET95" s="120"/>
      <c r="EU95" s="262"/>
      <c r="EV95" s="262"/>
      <c r="EW95" s="120"/>
      <c r="EX95" s="262"/>
      <c r="EY95" s="262"/>
      <c r="EZ95" s="120"/>
      <c r="FA95" s="262"/>
      <c r="FB95" s="262"/>
      <c r="FC95" s="120"/>
      <c r="FD95" s="262"/>
      <c r="FE95" s="262"/>
      <c r="FF95" s="120"/>
      <c r="FG95" s="262"/>
      <c r="FH95" s="262"/>
      <c r="FI95" s="120"/>
      <c r="FJ95" s="262"/>
      <c r="FK95" s="262"/>
      <c r="FL95" s="120"/>
      <c r="FM95" s="262"/>
      <c r="FN95" s="262"/>
      <c r="FO95" s="120"/>
      <c r="FP95" s="262"/>
      <c r="FQ95" s="262"/>
      <c r="FR95" s="120"/>
      <c r="FS95" s="262"/>
      <c r="FT95" s="262"/>
      <c r="FU95" s="120"/>
      <c r="FV95" s="262"/>
      <c r="FW95" s="262"/>
      <c r="FX95" s="120"/>
      <c r="FY95" s="262"/>
      <c r="FZ95" s="262"/>
      <c r="GA95" s="256"/>
      <c r="GB95" s="233"/>
      <c r="GC95" s="233"/>
      <c r="GJ95" s="121">
        <f t="shared" si="19"/>
        <v>0</v>
      </c>
      <c r="GK95" s="121">
        <f t="shared" si="20"/>
        <v>0</v>
      </c>
      <c r="GM95" s="121">
        <f t="shared" si="21"/>
        <v>0</v>
      </c>
      <c r="GN95" s="121">
        <f t="shared" si="22"/>
        <v>0</v>
      </c>
      <c r="GO95" s="121">
        <f t="shared" si="23"/>
        <v>0</v>
      </c>
      <c r="GP95" s="121">
        <f t="shared" si="24"/>
        <v>0</v>
      </c>
      <c r="GQ95" s="121">
        <f t="shared" si="25"/>
        <v>0</v>
      </c>
      <c r="GR95" s="121">
        <f t="shared" si="26"/>
        <v>0</v>
      </c>
    </row>
    <row r="96" spans="1:200" ht="38.25" customHeight="1" x14ac:dyDescent="0.55000000000000004">
      <c r="B96" s="303" t="s">
        <v>507</v>
      </c>
      <c r="C96" s="198"/>
      <c r="D96" s="198"/>
      <c r="E96" s="198"/>
      <c r="F96" s="198"/>
      <c r="G96" s="198"/>
      <c r="H96" s="198"/>
      <c r="I96" s="142" cm="1">
        <f t="array" ref="I96">SUMPRODUCT(($X$2:$GG$2&lt;&gt;"")*($X96:$GG96&lt;&gt;""))</f>
        <v>0</v>
      </c>
      <c r="J96" s="122">
        <f t="shared" ref="J96:J159" si="28">I96*C96</f>
        <v>0</v>
      </c>
      <c r="K96" s="122">
        <f t="shared" ref="K96:K159" si="29">($L$1/$K$2)*J96</f>
        <v>0</v>
      </c>
      <c r="L96" s="249">
        <f t="shared" si="27"/>
        <v>7000</v>
      </c>
      <c r="M96" s="144">
        <f t="shared" ref="M96:M159" si="30">IFERROR(IF(N(Y96)=0,0,(X96/Y96)*L96*(C96+D96+E96+I96)),0)</f>
        <v>0</v>
      </c>
      <c r="N96" s="405"/>
      <c r="O96" s="145">
        <f t="shared" ref="O96:O159" si="31">IFERROR(IF(N(AE96)=0,0,(AD96/AE96)*L96*(C96+D96+E96+I96)),0)</f>
        <v>0</v>
      </c>
      <c r="P96" s="145">
        <f t="shared" ref="P96:P159" si="32">(IFERROR(AA96/AB96,0)+IFERROR(AG96/AH96,0)+IFERROR(AJ96/AK96,0)+IFERROR(AM96/AN96,0)+IFERROR(AP96/AQ96,0)+IFERROR(AS96/AT96,0)+IFERROR(AV96/AW96,0)+IFERROR(AY96/AZ96,0)+IFERROR(BB96/BC96,0)+IFERROR(BE96/BF96,0)+IFERROR(BH96/BI96,0)+IFERROR(BK96/BL96,0)+IFERROR(BN96/BO96,0)+IFERROR(BQ96/BR96,0)+IFERROR(BT96/BU96,0)+IFERROR(BW96/BX96,0)+IFERROR(BZ96/CA96,0)+IFERROR(CC96/CD96,0)+IFERROR(CF96/CG96,0)+IFERROR(CI96/CJ96,0)+IFERROR(CL96/CM96,0)+IFERROR(CO96/CP96,0)+IFERROR(CR96/CS96,0)+IFERROR(CU96/CV96,0)+IFERROR(CX96/CY96,0)+IFERROR(DA96/DB96,0)+IFERROR(DM96/DN96,0)+IFERROR(DP96/DQ96,0)+IFERROR(DS96/DT96,0)+IFERROR(DV96/DW96,0)+IFERROR(DY96/DZ96,0)+IFERROR(EH96/EI96,0)+IFERROR(EK96/EL96,0)+IFERROR(EN96/EO96,0)+IFERROR(EQ96/ER96,0)+IFERROR(ET96/EU96,0)+IFERROR(EW96/EX96,0)+IFERROR(EZ96/FA96,0)+IFERROR(FC96/FD96,0)+IFERROR(FF96/FG96,0)+IFERROR(FI96/FJ96,0)+IFERROR(FL96/FM96,0)+IFERROR(FO96/FP96,0)+IFERROR(FR96/FS96,0)+IFERROR(FU96/FV96,0)+IFERROR(FX96/FY96,0))*L96*(C96+D96+E96+I96)</f>
        <v>0</v>
      </c>
      <c r="Q96" s="145">
        <f t="shared" ref="Q96:Q159" si="33">IFERROR(IF(N(EC96)=0,0,(EB96/EC96)*L96*(C96+D96+E96+I96)),0)</f>
        <v>0</v>
      </c>
      <c r="R96" s="145">
        <f t="shared" ref="R96:R159" si="34">(IFERROR(DJ96/DK96,0)+IFERROR(DG96/DH96,0)+IFERROR(EE96/EF96,0)+IFERROR(GA96/GB96,0))*L96*(C96+D96+E96+I96)</f>
        <v>0</v>
      </c>
      <c r="S96" s="130">
        <f t="shared" ref="S96:S159" si="35">IFERROR(IF(N(W96)=0,0,(V96/W96)*L96*(C96+D96+E96+I96)),0)</f>
        <v>0</v>
      </c>
      <c r="T96" s="130">
        <f t="shared" ref="T96:T159" si="36">IFERROR(IF(N(DE96)=0,0,(DD96/DE96)*L96*(C96+D96+E96+I96)),0)</f>
        <v>0</v>
      </c>
      <c r="U96" s="141"/>
      <c r="V96" s="123"/>
      <c r="W96" s="134"/>
      <c r="X96" s="124"/>
      <c r="Y96" s="134"/>
      <c r="Z96" s="200"/>
      <c r="AA96" s="120"/>
      <c r="AB96" s="134"/>
      <c r="AC96" s="200"/>
      <c r="AD96" s="125"/>
      <c r="AE96" s="134"/>
      <c r="AF96" s="200"/>
      <c r="AG96" s="120"/>
      <c r="AH96" s="262"/>
      <c r="AI96" s="262"/>
      <c r="AJ96" s="120"/>
      <c r="AK96" s="262"/>
      <c r="AL96" s="262"/>
      <c r="AM96" s="120"/>
      <c r="AN96" s="262"/>
      <c r="AO96" s="262"/>
      <c r="AP96" s="120"/>
      <c r="AQ96" s="262"/>
      <c r="AR96" s="262"/>
      <c r="AS96" s="120"/>
      <c r="AT96" s="262"/>
      <c r="AU96" s="262"/>
      <c r="AV96" s="120"/>
      <c r="AW96" s="262"/>
      <c r="AX96" s="262"/>
      <c r="AY96" s="120"/>
      <c r="AZ96" s="262"/>
      <c r="BA96" s="262"/>
      <c r="BB96" s="120"/>
      <c r="BC96" s="134"/>
      <c r="BD96" s="200"/>
      <c r="BE96" s="120"/>
      <c r="BF96" s="134"/>
      <c r="BG96" s="200"/>
      <c r="BH96" s="120"/>
      <c r="BI96" s="252"/>
      <c r="BJ96" s="252"/>
      <c r="BK96" s="120"/>
      <c r="BL96" s="134"/>
      <c r="BM96" s="134"/>
      <c r="BN96" s="120"/>
      <c r="BO96" s="252"/>
      <c r="BP96" s="252"/>
      <c r="BQ96" s="120"/>
      <c r="BR96" s="134"/>
      <c r="BS96" s="134"/>
      <c r="BT96" s="120"/>
      <c r="BU96" s="134"/>
      <c r="BV96" s="200"/>
      <c r="BW96" s="120"/>
      <c r="BX96" s="134"/>
      <c r="BY96" s="200"/>
      <c r="BZ96" s="120"/>
      <c r="CA96" s="126"/>
      <c r="CB96" s="126"/>
      <c r="CC96" s="120"/>
      <c r="CD96" s="126"/>
      <c r="CE96" s="126"/>
      <c r="CF96" s="120"/>
      <c r="CG96" s="134"/>
      <c r="CH96" s="134"/>
      <c r="CI96" s="120"/>
      <c r="CJ96" s="200"/>
      <c r="CK96" s="200"/>
      <c r="CL96" s="120"/>
      <c r="CM96" s="200"/>
      <c r="CN96" s="200"/>
      <c r="CO96" s="120"/>
      <c r="CP96" s="134"/>
      <c r="CQ96" s="134"/>
      <c r="CR96" s="120"/>
      <c r="CS96" s="134"/>
      <c r="CT96" s="134"/>
      <c r="CU96" s="120"/>
      <c r="CV96" s="202"/>
      <c r="CW96" s="202"/>
      <c r="CX96" s="120"/>
      <c r="CY96" s="202"/>
      <c r="CZ96" s="202"/>
      <c r="DA96" s="120"/>
      <c r="DB96" s="202"/>
      <c r="DC96" s="202"/>
      <c r="DD96" s="349"/>
      <c r="DE96" s="202"/>
      <c r="DF96" s="202"/>
      <c r="DG96" s="254"/>
      <c r="DH96" s="203"/>
      <c r="DI96" s="203"/>
      <c r="DJ96" s="259"/>
      <c r="DK96" s="136"/>
      <c r="DL96" s="136"/>
      <c r="DM96" s="120"/>
      <c r="DN96" s="233"/>
      <c r="DO96" s="233"/>
      <c r="DP96" s="120"/>
      <c r="DQ96" s="262"/>
      <c r="DR96" s="262"/>
      <c r="DS96" s="120"/>
      <c r="DT96" s="262"/>
      <c r="DU96" s="262"/>
      <c r="DV96" s="120"/>
      <c r="DW96" s="262"/>
      <c r="DX96" s="262"/>
      <c r="DY96" s="120"/>
      <c r="DZ96" s="262"/>
      <c r="EA96" s="262"/>
      <c r="EB96" s="265"/>
      <c r="EC96" s="262"/>
      <c r="ED96" s="262"/>
      <c r="EE96" s="256"/>
      <c r="EF96" s="233"/>
      <c r="EG96" s="233"/>
      <c r="EH96" s="120"/>
      <c r="EI96" s="262"/>
      <c r="EJ96" s="262"/>
      <c r="EK96" s="120"/>
      <c r="EL96" s="262"/>
      <c r="EM96" s="262"/>
      <c r="EN96" s="120"/>
      <c r="EO96" s="262"/>
      <c r="EP96" s="262"/>
      <c r="EQ96" s="120"/>
      <c r="ER96" s="262"/>
      <c r="ES96" s="262"/>
      <c r="ET96" s="120"/>
      <c r="EU96" s="262"/>
      <c r="EV96" s="262"/>
      <c r="EW96" s="120"/>
      <c r="EX96" s="262"/>
      <c r="EY96" s="262"/>
      <c r="EZ96" s="120"/>
      <c r="FA96" s="262"/>
      <c r="FB96" s="262"/>
      <c r="FC96" s="120"/>
      <c r="FD96" s="262"/>
      <c r="FE96" s="262"/>
      <c r="FF96" s="120"/>
      <c r="FG96" s="262"/>
      <c r="FH96" s="262"/>
      <c r="FI96" s="120"/>
      <c r="FJ96" s="262"/>
      <c r="FK96" s="262"/>
      <c r="FL96" s="120"/>
      <c r="FM96" s="262"/>
      <c r="FN96" s="262"/>
      <c r="FO96" s="120"/>
      <c r="FP96" s="262"/>
      <c r="FQ96" s="262"/>
      <c r="FR96" s="120"/>
      <c r="FS96" s="262"/>
      <c r="FT96" s="262"/>
      <c r="FU96" s="120"/>
      <c r="FV96" s="262"/>
      <c r="FW96" s="262"/>
      <c r="FX96" s="120"/>
      <c r="FY96" s="262"/>
      <c r="FZ96" s="262"/>
      <c r="GA96" s="256"/>
      <c r="GB96" s="233"/>
      <c r="GC96" s="233"/>
      <c r="GJ96" s="121">
        <f t="shared" ref="GJ96:GJ159" si="37">IFERROR(IF(N(GE96)=0,0,(GD96/GE96)*L96*(C96+D96+E96+I96)),0)</f>
        <v>0</v>
      </c>
      <c r="GK96" s="121">
        <f t="shared" ref="GK96:GK159" si="38">IFERROR(IF(N(GH96)=0,0,(GG96/GH96)*L96*(C96+D96+E96+I96)),0)</f>
        <v>0</v>
      </c>
      <c r="GM96" s="121">
        <f t="shared" ref="GM96:GM159" si="39">(N(X96)&gt;0)*(Z96&lt;&gt;"")</f>
        <v>0</v>
      </c>
      <c r="GN96" s="121">
        <f t="shared" ref="GN96:GN159" si="40">(N(AA96)&gt;0)*(AC96&lt;&gt;"")</f>
        <v>0</v>
      </c>
      <c r="GO96" s="121">
        <f t="shared" ref="GO96:GO159" si="41">(N(AD96)&gt;0)*(AF96&lt;&gt;"")</f>
        <v>0</v>
      </c>
      <c r="GP96" s="121">
        <f t="shared" ref="GP96:GP159" si="42">((N(AG96)&gt;0)*(AI96&lt;&gt;"")+(N(AJ96)&gt;0)*(AL96&lt;&gt;"")+(N(AM96)&gt;0)*(AO96&lt;&gt;"")+(N(AP96)&gt;0)*(AR96&lt;&gt;"")+(N(AS96)&gt;0)*(AU96&lt;&gt;"")+(N(AV96)&gt;0)*(AX96&lt;&gt;"")+(N(AY96)&gt;0)*(BA96&lt;&gt;"")+(N(BB96)&gt;0)*(BD96&lt;&gt;"")+(N(BE96)&gt;0)*(BG96&lt;&gt;"")+(N(BH96)&gt;0)*(BJ96&lt;&gt;"")+(N(BK96)&gt;0)*(BM96&lt;&gt;"")+(N(BN96)&gt;0)*(BP96&lt;&gt;"")+(N(BQ96)&gt;0)*(BS96&lt;&gt;"")+(N(BT96)&gt;0)*(BV96&lt;&gt;"")+(N(BW96)&gt;0)*(BY96&lt;&gt;"")+(N(BZ96)&gt;0)*(CB96&lt;&gt;"")+(N(CC96)&gt;0)*(CE96&lt;&gt;"")+(N(CF96)&gt;0)*(CH96&lt;&gt;"")+(N(CI96)&gt;0)*(CK96&lt;&gt;"")+(N(CL96)&gt;0)*(CN96&lt;&gt;"")+(N(CO96)&gt;0)*(CQ96&lt;&gt;"")+(N(CR96)&gt;0)*(CT96&lt;&gt;"")+(N(CU96)&gt;0)*(CW96&lt;&gt;"")+(N(CX96)&gt;0)*(CZ96&lt;&gt;"")+(N(DA96)&gt;0)*(DC96&lt;&gt;"")+(N(DM96)&gt;0)*(DO96&lt;&gt;"")+(N(DP96)&gt;0)*(DR96&lt;&gt;"")+(N(DS96)&gt;0)*(DU96&lt;&gt;"")+(N(DV96)&gt;0)*(DX96&lt;&gt;"")+(N(DY96)&gt;0)*(EA96&lt;&gt;"")+(N(EH96)&gt;0)*(EJ96&lt;&gt;"")+(N(EK96)&gt;0)*(EM96&lt;&gt;"")+(N(EN96)&gt;0)*(EP96&lt;&gt;"")+(N(EQ96)&gt;0)*(ES96&lt;&gt;"")+(N(ET96)&gt;0)*(EV96&lt;&gt;"")+(N(EW96)&gt;0)*(EY96&lt;&gt;"")+(N(EZ96)&gt;0)*(FB96&lt;&gt;"")+(N(FC96)&gt;0)*(FE96&lt;&gt;"")+(N(FF96)&gt;0)*(FH96&lt;&gt;"")+(N(FI96)&gt;0)*(FK96&lt;&gt;"")+(N(FL96)&gt;0)*(FN96&lt;&gt;"")+(N(FO96)&gt;0)*(FQ96&lt;&gt;"")+(N(FR96)&gt;0)*(FT96&lt;&gt;"")+(N(FU96)&gt;0)*(FW96&lt;&gt;"")+(N(FX96)&gt;0)*(FZ96&lt;&gt;""))</f>
        <v>0</v>
      </c>
      <c r="GQ96" s="121">
        <f t="shared" ref="GQ96:GQ159" si="43">(N(DD96)&gt;0)*(DF96&lt;&gt;"")</f>
        <v>0</v>
      </c>
      <c r="GR96" s="121">
        <f t="shared" ref="GR96:GR159" si="44">(N(V96)&gt;0)*(N(W96)&gt;0)</f>
        <v>0</v>
      </c>
    </row>
    <row r="97" spans="1:200" ht="38.25" customHeight="1" x14ac:dyDescent="0.55000000000000004">
      <c r="B97" s="303" t="s">
        <v>493</v>
      </c>
      <c r="C97" s="198"/>
      <c r="D97" s="198"/>
      <c r="E97" s="198"/>
      <c r="F97" s="198"/>
      <c r="G97" s="198"/>
      <c r="H97" s="198"/>
      <c r="I97" s="142" cm="1">
        <f t="array" ref="I97">SUMPRODUCT(($X$2:$GG$2&lt;&gt;"")*($X97:$GG97&lt;&gt;""))</f>
        <v>0</v>
      </c>
      <c r="J97" s="122">
        <f t="shared" si="28"/>
        <v>0</v>
      </c>
      <c r="K97" s="122">
        <f t="shared" si="29"/>
        <v>0</v>
      </c>
      <c r="L97" s="249">
        <f t="shared" si="27"/>
        <v>7000</v>
      </c>
      <c r="M97" s="144">
        <f t="shared" si="30"/>
        <v>0</v>
      </c>
      <c r="N97" s="405"/>
      <c r="O97" s="145">
        <f t="shared" si="31"/>
        <v>0</v>
      </c>
      <c r="P97" s="145">
        <f t="shared" si="32"/>
        <v>0</v>
      </c>
      <c r="Q97" s="145">
        <f t="shared" si="33"/>
        <v>0</v>
      </c>
      <c r="R97" s="145">
        <f t="shared" si="34"/>
        <v>0</v>
      </c>
      <c r="S97" s="130">
        <f t="shared" si="35"/>
        <v>0</v>
      </c>
      <c r="T97" s="130">
        <f t="shared" si="36"/>
        <v>0</v>
      </c>
      <c r="U97" s="141"/>
      <c r="V97" s="123"/>
      <c r="W97" s="134"/>
      <c r="X97" s="124"/>
      <c r="Y97" s="134"/>
      <c r="Z97" s="200"/>
      <c r="AA97" s="120"/>
      <c r="AB97" s="134"/>
      <c r="AC97" s="200"/>
      <c r="AD97" s="125"/>
      <c r="AE97" s="134"/>
      <c r="AF97" s="200"/>
      <c r="AG97" s="120"/>
      <c r="AH97" s="262"/>
      <c r="AI97" s="262"/>
      <c r="AJ97" s="120"/>
      <c r="AK97" s="262"/>
      <c r="AL97" s="262"/>
      <c r="AM97" s="120"/>
      <c r="AN97" s="262"/>
      <c r="AO97" s="262"/>
      <c r="AP97" s="120"/>
      <c r="AQ97" s="262"/>
      <c r="AR97" s="262"/>
      <c r="AS97" s="120"/>
      <c r="AT97" s="262"/>
      <c r="AU97" s="262"/>
      <c r="AV97" s="120"/>
      <c r="AW97" s="262"/>
      <c r="AX97" s="262"/>
      <c r="AY97" s="120"/>
      <c r="AZ97" s="262"/>
      <c r="BA97" s="262"/>
      <c r="BB97" s="120"/>
      <c r="BC97" s="134"/>
      <c r="BD97" s="200"/>
      <c r="BE97" s="120"/>
      <c r="BF97" s="134"/>
      <c r="BG97" s="200"/>
      <c r="BH97" s="120"/>
      <c r="BI97" s="252"/>
      <c r="BJ97" s="252"/>
      <c r="BK97" s="120"/>
      <c r="BL97" s="134"/>
      <c r="BM97" s="134"/>
      <c r="BN97" s="120"/>
      <c r="BO97" s="252"/>
      <c r="BP97" s="252"/>
      <c r="BQ97" s="120"/>
      <c r="BR97" s="134"/>
      <c r="BS97" s="134"/>
      <c r="BT97" s="120"/>
      <c r="BU97" s="134"/>
      <c r="BV97" s="200"/>
      <c r="BW97" s="120"/>
      <c r="BX97" s="134"/>
      <c r="BY97" s="200"/>
      <c r="BZ97" s="120"/>
      <c r="CA97" s="126"/>
      <c r="CB97" s="126"/>
      <c r="CC97" s="120"/>
      <c r="CD97" s="126"/>
      <c r="CE97" s="126"/>
      <c r="CF97" s="120"/>
      <c r="CG97" s="134"/>
      <c r="CH97" s="134"/>
      <c r="CI97" s="120"/>
      <c r="CJ97" s="200"/>
      <c r="CK97" s="200"/>
      <c r="CL97" s="120"/>
      <c r="CM97" s="200"/>
      <c r="CN97" s="200"/>
      <c r="CO97" s="120"/>
      <c r="CP97" s="134"/>
      <c r="CQ97" s="134"/>
      <c r="CR97" s="120"/>
      <c r="CS97" s="134"/>
      <c r="CT97" s="134"/>
      <c r="CU97" s="120"/>
      <c r="CV97" s="202"/>
      <c r="CW97" s="202"/>
      <c r="CX97" s="120"/>
      <c r="CY97" s="202"/>
      <c r="CZ97" s="202"/>
      <c r="DA97" s="120"/>
      <c r="DB97" s="202"/>
      <c r="DC97" s="202"/>
      <c r="DD97" s="349"/>
      <c r="DE97" s="202"/>
      <c r="DF97" s="202"/>
      <c r="DG97" s="254"/>
      <c r="DH97" s="203"/>
      <c r="DI97" s="203"/>
      <c r="DJ97" s="259"/>
      <c r="DK97" s="136"/>
      <c r="DL97" s="136"/>
      <c r="DM97" s="120"/>
      <c r="DN97" s="233"/>
      <c r="DO97" s="233"/>
      <c r="DP97" s="120"/>
      <c r="DQ97" s="262"/>
      <c r="DR97" s="262"/>
      <c r="DS97" s="120"/>
      <c r="DT97" s="262"/>
      <c r="DU97" s="262"/>
      <c r="DV97" s="120"/>
      <c r="DW97" s="262"/>
      <c r="DX97" s="262"/>
      <c r="DY97" s="120"/>
      <c r="DZ97" s="262"/>
      <c r="EA97" s="262"/>
      <c r="EB97" s="265"/>
      <c r="EC97" s="262"/>
      <c r="ED97" s="262"/>
      <c r="EE97" s="256"/>
      <c r="EF97" s="233"/>
      <c r="EG97" s="233"/>
      <c r="EH97" s="120"/>
      <c r="EI97" s="262"/>
      <c r="EJ97" s="262"/>
      <c r="EK97" s="120"/>
      <c r="EL97" s="262"/>
      <c r="EM97" s="262"/>
      <c r="EN97" s="120"/>
      <c r="EO97" s="262"/>
      <c r="EP97" s="262"/>
      <c r="EQ97" s="120"/>
      <c r="ER97" s="262"/>
      <c r="ES97" s="262"/>
      <c r="ET97" s="120"/>
      <c r="EU97" s="262"/>
      <c r="EV97" s="262"/>
      <c r="EW97" s="120"/>
      <c r="EX97" s="262"/>
      <c r="EY97" s="262"/>
      <c r="EZ97" s="120"/>
      <c r="FA97" s="262"/>
      <c r="FB97" s="262"/>
      <c r="FC97" s="120"/>
      <c r="FD97" s="262"/>
      <c r="FE97" s="262"/>
      <c r="FF97" s="120"/>
      <c r="FG97" s="262"/>
      <c r="FH97" s="262"/>
      <c r="FI97" s="120"/>
      <c r="FJ97" s="262"/>
      <c r="FK97" s="262"/>
      <c r="FL97" s="120"/>
      <c r="FM97" s="262"/>
      <c r="FN97" s="262"/>
      <c r="FO97" s="120"/>
      <c r="FP97" s="262"/>
      <c r="FQ97" s="262"/>
      <c r="FR97" s="120"/>
      <c r="FS97" s="262"/>
      <c r="FT97" s="262"/>
      <c r="FU97" s="120"/>
      <c r="FV97" s="262"/>
      <c r="FW97" s="262"/>
      <c r="FX97" s="120"/>
      <c r="FY97" s="262"/>
      <c r="FZ97" s="262"/>
      <c r="GA97" s="256"/>
      <c r="GB97" s="233"/>
      <c r="GC97" s="233"/>
      <c r="GJ97" s="121">
        <f t="shared" si="37"/>
        <v>0</v>
      </c>
      <c r="GK97" s="121">
        <f t="shared" si="38"/>
        <v>0</v>
      </c>
      <c r="GM97" s="121">
        <f t="shared" si="39"/>
        <v>0</v>
      </c>
      <c r="GN97" s="121">
        <f t="shared" si="40"/>
        <v>0</v>
      </c>
      <c r="GO97" s="121">
        <f t="shared" si="41"/>
        <v>0</v>
      </c>
      <c r="GP97" s="121">
        <f t="shared" si="42"/>
        <v>0</v>
      </c>
      <c r="GQ97" s="121">
        <f t="shared" si="43"/>
        <v>0</v>
      </c>
      <c r="GR97" s="121">
        <f t="shared" si="44"/>
        <v>0</v>
      </c>
    </row>
    <row r="98" spans="1:200" ht="38.25" customHeight="1" x14ac:dyDescent="0.55000000000000004">
      <c r="B98" s="303" t="s">
        <v>497</v>
      </c>
      <c r="C98" s="198"/>
      <c r="D98" s="198"/>
      <c r="E98" s="198"/>
      <c r="F98" s="198"/>
      <c r="G98" s="198"/>
      <c r="H98" s="198"/>
      <c r="I98" s="142" cm="1">
        <f t="array" ref="I98">SUMPRODUCT(($X$2:$GG$2&lt;&gt;"")*($X98:$GG98&lt;&gt;""))</f>
        <v>0</v>
      </c>
      <c r="J98" s="122">
        <f t="shared" si="28"/>
        <v>0</v>
      </c>
      <c r="K98" s="122">
        <f t="shared" si="29"/>
        <v>0</v>
      </c>
      <c r="L98" s="249">
        <f t="shared" si="27"/>
        <v>7000</v>
      </c>
      <c r="M98" s="144">
        <f t="shared" si="30"/>
        <v>0</v>
      </c>
      <c r="N98" s="405"/>
      <c r="O98" s="145">
        <f t="shared" si="31"/>
        <v>0</v>
      </c>
      <c r="P98" s="145">
        <f t="shared" si="32"/>
        <v>0</v>
      </c>
      <c r="Q98" s="145">
        <f t="shared" si="33"/>
        <v>0</v>
      </c>
      <c r="R98" s="145">
        <f t="shared" si="34"/>
        <v>0</v>
      </c>
      <c r="S98" s="130">
        <f t="shared" si="35"/>
        <v>0</v>
      </c>
      <c r="T98" s="130">
        <f t="shared" si="36"/>
        <v>0</v>
      </c>
      <c r="U98" s="141"/>
      <c r="V98" s="123"/>
      <c r="W98" s="134"/>
      <c r="X98" s="124"/>
      <c r="Y98" s="134"/>
      <c r="Z98" s="200"/>
      <c r="AA98" s="120"/>
      <c r="AB98" s="134"/>
      <c r="AC98" s="200"/>
      <c r="AD98" s="125"/>
      <c r="AE98" s="134"/>
      <c r="AF98" s="200"/>
      <c r="AG98" s="120"/>
      <c r="AH98" s="262"/>
      <c r="AI98" s="262"/>
      <c r="AJ98" s="120"/>
      <c r="AK98" s="262"/>
      <c r="AL98" s="262"/>
      <c r="AM98" s="120"/>
      <c r="AN98" s="262"/>
      <c r="AO98" s="262"/>
      <c r="AP98" s="120"/>
      <c r="AQ98" s="262"/>
      <c r="AR98" s="262"/>
      <c r="AS98" s="120"/>
      <c r="AT98" s="262"/>
      <c r="AU98" s="262"/>
      <c r="AV98" s="120"/>
      <c r="AW98" s="262"/>
      <c r="AX98" s="262"/>
      <c r="AY98" s="120"/>
      <c r="AZ98" s="262"/>
      <c r="BA98" s="262"/>
      <c r="BB98" s="120"/>
      <c r="BC98" s="134"/>
      <c r="BD98" s="200"/>
      <c r="BE98" s="120"/>
      <c r="BF98" s="134"/>
      <c r="BG98" s="200"/>
      <c r="BH98" s="120"/>
      <c r="BI98" s="252"/>
      <c r="BJ98" s="252"/>
      <c r="BK98" s="120"/>
      <c r="BL98" s="134"/>
      <c r="BM98" s="134"/>
      <c r="BN98" s="120"/>
      <c r="BO98" s="252"/>
      <c r="BP98" s="252"/>
      <c r="BQ98" s="120"/>
      <c r="BR98" s="134"/>
      <c r="BS98" s="134"/>
      <c r="BT98" s="120"/>
      <c r="BU98" s="134"/>
      <c r="BV98" s="200"/>
      <c r="BW98" s="120"/>
      <c r="BX98" s="134"/>
      <c r="BY98" s="200"/>
      <c r="BZ98" s="120"/>
      <c r="CA98" s="126"/>
      <c r="CB98" s="126"/>
      <c r="CC98" s="120"/>
      <c r="CD98" s="126"/>
      <c r="CE98" s="126"/>
      <c r="CF98" s="120"/>
      <c r="CG98" s="134"/>
      <c r="CH98" s="134"/>
      <c r="CI98" s="120"/>
      <c r="CJ98" s="200"/>
      <c r="CK98" s="200"/>
      <c r="CL98" s="120"/>
      <c r="CM98" s="200"/>
      <c r="CN98" s="200"/>
      <c r="CO98" s="120"/>
      <c r="CP98" s="134"/>
      <c r="CQ98" s="134"/>
      <c r="CR98" s="120"/>
      <c r="CS98" s="134"/>
      <c r="CT98" s="134"/>
      <c r="CU98" s="120"/>
      <c r="CV98" s="202"/>
      <c r="CW98" s="202"/>
      <c r="CX98" s="120"/>
      <c r="CY98" s="202"/>
      <c r="CZ98" s="202"/>
      <c r="DA98" s="120"/>
      <c r="DB98" s="202"/>
      <c r="DC98" s="202"/>
      <c r="DD98" s="349"/>
      <c r="DE98" s="202"/>
      <c r="DF98" s="202"/>
      <c r="DG98" s="254"/>
      <c r="DH98" s="203"/>
      <c r="DI98" s="203"/>
      <c r="DJ98" s="259"/>
      <c r="DK98" s="136"/>
      <c r="DL98" s="136"/>
      <c r="DM98" s="120"/>
      <c r="DN98" s="233"/>
      <c r="DO98" s="233"/>
      <c r="DP98" s="120"/>
      <c r="DQ98" s="262"/>
      <c r="DR98" s="262"/>
      <c r="DS98" s="120"/>
      <c r="DT98" s="262"/>
      <c r="DU98" s="262"/>
      <c r="DV98" s="120"/>
      <c r="DW98" s="262"/>
      <c r="DX98" s="262"/>
      <c r="DY98" s="120"/>
      <c r="DZ98" s="262"/>
      <c r="EA98" s="262"/>
      <c r="EB98" s="265"/>
      <c r="EC98" s="262"/>
      <c r="ED98" s="262"/>
      <c r="EE98" s="256"/>
      <c r="EF98" s="233"/>
      <c r="EG98" s="233"/>
      <c r="EH98" s="120"/>
      <c r="EI98" s="262"/>
      <c r="EJ98" s="262"/>
      <c r="EK98" s="120"/>
      <c r="EL98" s="262"/>
      <c r="EM98" s="262"/>
      <c r="EN98" s="120"/>
      <c r="EO98" s="262"/>
      <c r="EP98" s="262"/>
      <c r="EQ98" s="120"/>
      <c r="ER98" s="262"/>
      <c r="ES98" s="262"/>
      <c r="ET98" s="120"/>
      <c r="EU98" s="262"/>
      <c r="EV98" s="262"/>
      <c r="EW98" s="120"/>
      <c r="EX98" s="262"/>
      <c r="EY98" s="262"/>
      <c r="EZ98" s="120"/>
      <c r="FA98" s="262"/>
      <c r="FB98" s="262"/>
      <c r="FC98" s="120"/>
      <c r="FD98" s="262"/>
      <c r="FE98" s="262"/>
      <c r="FF98" s="120"/>
      <c r="FG98" s="262"/>
      <c r="FH98" s="262"/>
      <c r="FI98" s="120"/>
      <c r="FJ98" s="262"/>
      <c r="FK98" s="262"/>
      <c r="FL98" s="120"/>
      <c r="FM98" s="262"/>
      <c r="FN98" s="262"/>
      <c r="FO98" s="120"/>
      <c r="FP98" s="262"/>
      <c r="FQ98" s="262"/>
      <c r="FR98" s="120"/>
      <c r="FS98" s="262"/>
      <c r="FT98" s="262"/>
      <c r="FU98" s="120"/>
      <c r="FV98" s="262"/>
      <c r="FW98" s="262"/>
      <c r="FX98" s="120"/>
      <c r="FY98" s="262"/>
      <c r="FZ98" s="262"/>
      <c r="GA98" s="256"/>
      <c r="GB98" s="233"/>
      <c r="GC98" s="233"/>
      <c r="GJ98" s="121">
        <f t="shared" si="37"/>
        <v>0</v>
      </c>
      <c r="GK98" s="121">
        <f t="shared" si="38"/>
        <v>0</v>
      </c>
      <c r="GM98" s="121">
        <f t="shared" si="39"/>
        <v>0</v>
      </c>
      <c r="GN98" s="121">
        <f t="shared" si="40"/>
        <v>0</v>
      </c>
      <c r="GO98" s="121">
        <f t="shared" si="41"/>
        <v>0</v>
      </c>
      <c r="GP98" s="121">
        <f t="shared" si="42"/>
        <v>0</v>
      </c>
      <c r="GQ98" s="121">
        <f t="shared" si="43"/>
        <v>0</v>
      </c>
      <c r="GR98" s="121">
        <f t="shared" si="44"/>
        <v>0</v>
      </c>
    </row>
    <row r="99" spans="1:200" ht="38.25" customHeight="1" x14ac:dyDescent="0.55000000000000004">
      <c r="B99" s="306" t="s">
        <v>506</v>
      </c>
      <c r="C99" s="198"/>
      <c r="D99" s="198"/>
      <c r="E99" s="198"/>
      <c r="F99" s="198"/>
      <c r="G99" s="198"/>
      <c r="H99" s="198"/>
      <c r="I99" s="142" cm="1">
        <f t="array" ref="I99">SUMPRODUCT(($X$2:$GG$2&lt;&gt;"")*($X99:$GG99&lt;&gt;""))</f>
        <v>5</v>
      </c>
      <c r="J99" s="122">
        <f t="shared" si="28"/>
        <v>0</v>
      </c>
      <c r="K99" s="122">
        <f t="shared" si="29"/>
        <v>0</v>
      </c>
      <c r="L99" s="249">
        <f t="shared" si="27"/>
        <v>7000</v>
      </c>
      <c r="M99" s="144">
        <f t="shared" si="30"/>
        <v>0</v>
      </c>
      <c r="N99" s="405"/>
      <c r="O99" s="145">
        <f t="shared" si="31"/>
        <v>0</v>
      </c>
      <c r="P99" s="145">
        <f t="shared" si="32"/>
        <v>0</v>
      </c>
      <c r="Q99" s="145">
        <f t="shared" si="33"/>
        <v>0</v>
      </c>
      <c r="R99" s="145">
        <f t="shared" si="34"/>
        <v>0</v>
      </c>
      <c r="S99" s="130">
        <f t="shared" si="35"/>
        <v>0</v>
      </c>
      <c r="T99" s="130">
        <f t="shared" si="36"/>
        <v>0</v>
      </c>
      <c r="U99" s="141">
        <v>60</v>
      </c>
      <c r="V99" s="123">
        <v>15</v>
      </c>
      <c r="W99" s="134"/>
      <c r="X99" s="124">
        <v>8.6</v>
      </c>
      <c r="Y99" s="339"/>
      <c r="Z99" s="200" t="s">
        <v>525</v>
      </c>
      <c r="AA99" s="120">
        <v>8</v>
      </c>
      <c r="AB99" s="339"/>
      <c r="AC99" s="348" t="s">
        <v>806</v>
      </c>
      <c r="AD99" s="125">
        <v>65</v>
      </c>
      <c r="AE99" s="339"/>
      <c r="AF99" s="200" t="s">
        <v>527</v>
      </c>
      <c r="AG99" s="120"/>
      <c r="AH99" s="262"/>
      <c r="AI99" s="262"/>
      <c r="AJ99" s="120"/>
      <c r="AK99" s="262"/>
      <c r="AL99" s="262"/>
      <c r="AM99" s="120"/>
      <c r="AN99" s="262"/>
      <c r="AO99" s="262"/>
      <c r="AP99" s="120"/>
      <c r="AQ99" s="262"/>
      <c r="AR99" s="262"/>
      <c r="AS99" s="120"/>
      <c r="AT99" s="262"/>
      <c r="AU99" s="262"/>
      <c r="AV99" s="120"/>
      <c r="AW99" s="262"/>
      <c r="AX99" s="262"/>
      <c r="AY99" s="120"/>
      <c r="AZ99" s="262"/>
      <c r="BA99" s="262"/>
      <c r="BB99" s="120">
        <v>8</v>
      </c>
      <c r="BC99" s="339"/>
      <c r="BD99" s="200" t="s">
        <v>526</v>
      </c>
      <c r="BE99" s="120">
        <v>8</v>
      </c>
      <c r="BF99" s="339"/>
      <c r="BG99" s="200" t="s">
        <v>526</v>
      </c>
      <c r="BH99" s="120"/>
      <c r="BI99" s="252"/>
      <c r="BJ99" s="252"/>
      <c r="BK99" s="120"/>
      <c r="BL99" s="134"/>
      <c r="BM99" s="134"/>
      <c r="BN99" s="120"/>
      <c r="BO99" s="252"/>
      <c r="BP99" s="252"/>
      <c r="BQ99" s="120"/>
      <c r="BR99" s="134"/>
      <c r="BS99" s="134"/>
      <c r="BT99" s="120"/>
      <c r="BU99" s="134"/>
      <c r="BV99" s="200"/>
      <c r="BW99" s="120"/>
      <c r="BX99" s="134"/>
      <c r="BY99" s="200"/>
      <c r="BZ99" s="120"/>
      <c r="CA99" s="126"/>
      <c r="CB99" s="126"/>
      <c r="CC99" s="120"/>
      <c r="CD99" s="126"/>
      <c r="CE99" s="126"/>
      <c r="CF99" s="120"/>
      <c r="CG99" s="134"/>
      <c r="CH99" s="134"/>
      <c r="CI99" s="120"/>
      <c r="CJ99" s="200"/>
      <c r="CK99" s="200"/>
      <c r="CL99" s="120"/>
      <c r="CM99" s="200"/>
      <c r="CN99" s="200"/>
      <c r="CO99" s="120"/>
      <c r="CP99" s="134"/>
      <c r="CQ99" s="134"/>
      <c r="CR99" s="120"/>
      <c r="CS99" s="134"/>
      <c r="CT99" s="134"/>
      <c r="CU99" s="120"/>
      <c r="CV99" s="202"/>
      <c r="CW99" s="202"/>
      <c r="CX99" s="120"/>
      <c r="CY99" s="202"/>
      <c r="CZ99" s="202"/>
      <c r="DA99" s="120"/>
      <c r="DB99" s="202"/>
      <c r="DC99" s="202"/>
      <c r="DD99" s="349"/>
      <c r="DE99" s="202"/>
      <c r="DF99" s="202"/>
      <c r="DG99" s="254"/>
      <c r="DH99" s="203"/>
      <c r="DI99" s="203"/>
      <c r="DJ99" s="259"/>
      <c r="DK99" s="136"/>
      <c r="DL99" s="136"/>
      <c r="DM99" s="120"/>
      <c r="DN99" s="233"/>
      <c r="DO99" s="233"/>
      <c r="DP99" s="120"/>
      <c r="DQ99" s="262"/>
      <c r="DR99" s="262"/>
      <c r="DS99" s="120"/>
      <c r="DT99" s="262"/>
      <c r="DU99" s="262"/>
      <c r="DV99" s="120"/>
      <c r="DW99" s="262"/>
      <c r="DX99" s="262"/>
      <c r="DY99" s="120"/>
      <c r="DZ99" s="262"/>
      <c r="EA99" s="262"/>
      <c r="EB99" s="265"/>
      <c r="EC99" s="262"/>
      <c r="ED99" s="262"/>
      <c r="EE99" s="256"/>
      <c r="EF99" s="233"/>
      <c r="EG99" s="233"/>
      <c r="EH99" s="120"/>
      <c r="EI99" s="262"/>
      <c r="EJ99" s="262"/>
      <c r="EK99" s="120"/>
      <c r="EL99" s="262"/>
      <c r="EM99" s="262"/>
      <c r="EN99" s="120"/>
      <c r="EO99" s="262"/>
      <c r="EP99" s="262"/>
      <c r="EQ99" s="120"/>
      <c r="ER99" s="262"/>
      <c r="ES99" s="262"/>
      <c r="ET99" s="120"/>
      <c r="EU99" s="262"/>
      <c r="EV99" s="262"/>
      <c r="EW99" s="120"/>
      <c r="EX99" s="262"/>
      <c r="EY99" s="262"/>
      <c r="EZ99" s="120"/>
      <c r="FA99" s="262"/>
      <c r="FB99" s="262"/>
      <c r="FC99" s="120"/>
      <c r="FD99" s="262"/>
      <c r="FE99" s="262"/>
      <c r="FF99" s="120"/>
      <c r="FG99" s="262"/>
      <c r="FH99" s="262"/>
      <c r="FI99" s="120"/>
      <c r="FJ99" s="262"/>
      <c r="FK99" s="262"/>
      <c r="FL99" s="120"/>
      <c r="FM99" s="262"/>
      <c r="FN99" s="262"/>
      <c r="FO99" s="120"/>
      <c r="FP99" s="262"/>
      <c r="FQ99" s="262"/>
      <c r="FR99" s="120"/>
      <c r="FS99" s="262"/>
      <c r="FT99" s="262"/>
      <c r="FU99" s="120"/>
      <c r="FV99" s="262"/>
      <c r="FW99" s="262"/>
      <c r="FX99" s="120"/>
      <c r="FY99" s="262"/>
      <c r="FZ99" s="262"/>
      <c r="GA99" s="256"/>
      <c r="GB99" s="233"/>
      <c r="GC99" s="233"/>
      <c r="GJ99" s="121">
        <f t="shared" si="37"/>
        <v>0</v>
      </c>
      <c r="GK99" s="121">
        <f t="shared" si="38"/>
        <v>0</v>
      </c>
      <c r="GM99" s="121">
        <f t="shared" si="39"/>
        <v>1</v>
      </c>
      <c r="GN99" s="121">
        <f t="shared" si="40"/>
        <v>1</v>
      </c>
      <c r="GO99" s="121">
        <f t="shared" si="41"/>
        <v>1</v>
      </c>
      <c r="GP99" s="121">
        <f t="shared" si="42"/>
        <v>2</v>
      </c>
      <c r="GQ99" s="121">
        <f t="shared" si="43"/>
        <v>0</v>
      </c>
      <c r="GR99" s="121">
        <f t="shared" si="44"/>
        <v>0</v>
      </c>
    </row>
    <row r="100" spans="1:200" ht="38.25" customHeight="1" x14ac:dyDescent="0.55000000000000004">
      <c r="B100" s="303" t="s">
        <v>357</v>
      </c>
      <c r="C100" s="198">
        <v>3</v>
      </c>
      <c r="D100" s="404">
        <v>3</v>
      </c>
      <c r="E100" s="404">
        <v>3</v>
      </c>
      <c r="F100" s="198"/>
      <c r="G100" s="198"/>
      <c r="H100" s="198"/>
      <c r="I100" s="142" cm="1">
        <f t="array" ref="I100">SUMPRODUCT(($X$2:$GG$2&lt;&gt;"")*($X100:$GG100&lt;&gt;""))</f>
        <v>1</v>
      </c>
      <c r="J100" s="122">
        <f t="shared" si="28"/>
        <v>3</v>
      </c>
      <c r="K100" s="122">
        <f t="shared" si="29"/>
        <v>42</v>
      </c>
      <c r="L100" s="249">
        <f t="shared" si="27"/>
        <v>7000</v>
      </c>
      <c r="M100" s="144">
        <f t="shared" si="30"/>
        <v>5600</v>
      </c>
      <c r="N100" s="405"/>
      <c r="O100" s="145">
        <f t="shared" si="31"/>
        <v>0</v>
      </c>
      <c r="P100" s="145">
        <f t="shared" si="32"/>
        <v>0</v>
      </c>
      <c r="Q100" s="145">
        <f t="shared" si="33"/>
        <v>0</v>
      </c>
      <c r="R100" s="145">
        <f t="shared" si="34"/>
        <v>0</v>
      </c>
      <c r="S100" s="130">
        <f t="shared" si="35"/>
        <v>0</v>
      </c>
      <c r="T100" s="130">
        <f t="shared" si="36"/>
        <v>0</v>
      </c>
      <c r="U100" s="141"/>
      <c r="V100" s="123"/>
      <c r="W100" s="134"/>
      <c r="X100" s="347">
        <v>20</v>
      </c>
      <c r="Y100" s="347">
        <v>250</v>
      </c>
      <c r="Z100" s="348" t="s">
        <v>576</v>
      </c>
      <c r="AA100" s="120"/>
      <c r="AB100" s="134"/>
      <c r="AC100" s="200"/>
      <c r="AD100" s="125"/>
      <c r="AE100" s="134"/>
      <c r="AF100" s="200"/>
      <c r="AG100" s="120"/>
      <c r="AH100" s="262"/>
      <c r="AI100" s="262"/>
      <c r="AJ100" s="120"/>
      <c r="AK100" s="262"/>
      <c r="AL100" s="262"/>
      <c r="AM100" s="120"/>
      <c r="AN100" s="262"/>
      <c r="AO100" s="262"/>
      <c r="AP100" s="120"/>
      <c r="AQ100" s="262"/>
      <c r="AR100" s="262"/>
      <c r="AS100" s="120"/>
      <c r="AT100" s="262"/>
      <c r="AU100" s="262"/>
      <c r="AV100" s="120"/>
      <c r="AW100" s="262"/>
      <c r="AX100" s="262"/>
      <c r="AY100" s="120"/>
      <c r="AZ100" s="262"/>
      <c r="BA100" s="262"/>
      <c r="BB100" s="120"/>
      <c r="BC100" s="134"/>
      <c r="BD100" s="200"/>
      <c r="BE100" s="120"/>
      <c r="BF100" s="134"/>
      <c r="BG100" s="200"/>
      <c r="BH100" s="120"/>
      <c r="BI100" s="126"/>
      <c r="BJ100" s="126"/>
      <c r="BK100" s="120"/>
      <c r="BL100" s="134"/>
      <c r="BM100" s="134"/>
      <c r="BN100" s="120"/>
      <c r="BO100" s="252"/>
      <c r="BP100" s="252"/>
      <c r="BQ100" s="120"/>
      <c r="BR100" s="134"/>
      <c r="BS100" s="134"/>
      <c r="BT100" s="120"/>
      <c r="BU100" s="134"/>
      <c r="BV100" s="200"/>
      <c r="BW100" s="120"/>
      <c r="BX100" s="134"/>
      <c r="BY100" s="200"/>
      <c r="BZ100" s="120"/>
      <c r="CA100" s="126"/>
      <c r="CB100" s="126"/>
      <c r="CC100" s="120"/>
      <c r="CD100" s="126"/>
      <c r="CE100" s="126"/>
      <c r="CF100" s="120"/>
      <c r="CG100" s="134"/>
      <c r="CH100" s="134"/>
      <c r="CI100" s="120"/>
      <c r="CJ100" s="200"/>
      <c r="CK100" s="200"/>
      <c r="CL100" s="120"/>
      <c r="CM100" s="200"/>
      <c r="CN100" s="200"/>
      <c r="CO100" s="120"/>
      <c r="CP100" s="134"/>
      <c r="CQ100" s="134"/>
      <c r="CR100" s="120"/>
      <c r="CS100" s="134"/>
      <c r="CT100" s="134"/>
      <c r="CU100" s="120"/>
      <c r="CV100" s="202"/>
      <c r="CW100" s="202"/>
      <c r="CX100" s="120"/>
      <c r="CY100" s="202"/>
      <c r="CZ100" s="202"/>
      <c r="DA100" s="120"/>
      <c r="DB100" s="202"/>
      <c r="DC100" s="202"/>
      <c r="DD100" s="349"/>
      <c r="DE100" s="202"/>
      <c r="DF100" s="202"/>
      <c r="DG100" s="254"/>
      <c r="DH100" s="203"/>
      <c r="DI100" s="203"/>
      <c r="DJ100" s="259"/>
      <c r="DK100" s="136"/>
      <c r="DL100" s="136"/>
      <c r="DM100" s="120"/>
      <c r="DN100" s="233"/>
      <c r="DO100" s="233"/>
      <c r="DP100" s="120"/>
      <c r="DQ100" s="262"/>
      <c r="DR100" s="262"/>
      <c r="DS100" s="120"/>
      <c r="DT100" s="262"/>
      <c r="DU100" s="262"/>
      <c r="DV100" s="120"/>
      <c r="DW100" s="262"/>
      <c r="DX100" s="262"/>
      <c r="DY100" s="120"/>
      <c r="DZ100" s="262"/>
      <c r="EA100" s="262"/>
      <c r="EB100" s="265"/>
      <c r="EC100" s="262"/>
      <c r="ED100" s="262"/>
      <c r="EE100" s="256"/>
      <c r="EF100" s="200"/>
      <c r="EG100" s="200"/>
      <c r="EH100" s="120"/>
      <c r="EI100" s="262"/>
      <c r="EJ100" s="262"/>
      <c r="EK100" s="120"/>
      <c r="EL100" s="262"/>
      <c r="EM100" s="262"/>
      <c r="EN100" s="120"/>
      <c r="EO100" s="262"/>
      <c r="EP100" s="262"/>
      <c r="EQ100" s="120"/>
      <c r="ER100" s="262"/>
      <c r="ES100" s="262"/>
      <c r="ET100" s="120"/>
      <c r="EU100" s="262"/>
      <c r="EV100" s="262"/>
      <c r="EW100" s="120"/>
      <c r="EX100" s="262"/>
      <c r="EY100" s="262"/>
      <c r="EZ100" s="120"/>
      <c r="FA100" s="262"/>
      <c r="FB100" s="262"/>
      <c r="FC100" s="120"/>
      <c r="FD100" s="262"/>
      <c r="FE100" s="262"/>
      <c r="FF100" s="120"/>
      <c r="FG100" s="262"/>
      <c r="FH100" s="262"/>
      <c r="FI100" s="120"/>
      <c r="FJ100" s="262"/>
      <c r="FK100" s="262"/>
      <c r="FL100" s="120"/>
      <c r="FM100" s="262"/>
      <c r="FN100" s="262"/>
      <c r="FO100" s="120"/>
      <c r="FP100" s="262"/>
      <c r="FQ100" s="262"/>
      <c r="FR100" s="120"/>
      <c r="FS100" s="262"/>
      <c r="FT100" s="262"/>
      <c r="FU100" s="120"/>
      <c r="FV100" s="262"/>
      <c r="FW100" s="262"/>
      <c r="FX100" s="120"/>
      <c r="FY100" s="262"/>
      <c r="FZ100" s="262"/>
      <c r="GA100" s="256"/>
      <c r="GB100" s="233"/>
      <c r="GC100" s="233"/>
      <c r="GJ100" s="121">
        <f t="shared" si="37"/>
        <v>0</v>
      </c>
      <c r="GK100" s="121">
        <f t="shared" si="38"/>
        <v>0</v>
      </c>
      <c r="GM100" s="121">
        <f t="shared" si="39"/>
        <v>1</v>
      </c>
      <c r="GN100" s="121">
        <f t="shared" si="40"/>
        <v>0</v>
      </c>
      <c r="GO100" s="121">
        <f t="shared" si="41"/>
        <v>0</v>
      </c>
      <c r="GP100" s="121">
        <f t="shared" si="42"/>
        <v>0</v>
      </c>
      <c r="GQ100" s="121">
        <f t="shared" si="43"/>
        <v>0</v>
      </c>
      <c r="GR100" s="121">
        <f t="shared" si="44"/>
        <v>0</v>
      </c>
    </row>
    <row r="101" spans="1:200" ht="38.25" customHeight="1" x14ac:dyDescent="0.55000000000000004">
      <c r="B101" s="309" t="s">
        <v>158</v>
      </c>
      <c r="C101" s="361">
        <v>2</v>
      </c>
      <c r="D101" s="404">
        <v>2</v>
      </c>
      <c r="E101" s="404">
        <v>2</v>
      </c>
      <c r="F101" s="142">
        <f>($X$101/$Y$101)*$L$101*C101</f>
        <v>1792</v>
      </c>
      <c r="G101" s="142">
        <f>($X$101/$Y$101)*$L$101*D101</f>
        <v>1792</v>
      </c>
      <c r="H101" s="142">
        <f>($X$101/$Y$101)*$L$101*E101</f>
        <v>1792</v>
      </c>
      <c r="I101" s="142" cm="1">
        <f t="array" ref="I101">SUMPRODUCT(($X$2:$GG$2&lt;&gt;"")*($X101:$GG101&lt;&gt;""))</f>
        <v>6</v>
      </c>
      <c r="J101" s="122">
        <f t="shared" si="28"/>
        <v>12</v>
      </c>
      <c r="K101" s="122">
        <f t="shared" si="29"/>
        <v>168</v>
      </c>
      <c r="L101" s="249">
        <f>$L$1</f>
        <v>7000</v>
      </c>
      <c r="M101" s="144">
        <f t="shared" si="30"/>
        <v>10752</v>
      </c>
      <c r="N101" s="405"/>
      <c r="O101" s="145">
        <f t="shared" si="31"/>
        <v>10080</v>
      </c>
      <c r="P101" s="145">
        <f t="shared" si="32"/>
        <v>6552</v>
      </c>
      <c r="Q101" s="145">
        <f t="shared" si="33"/>
        <v>0</v>
      </c>
      <c r="R101" s="145">
        <f t="shared" si="34"/>
        <v>0</v>
      </c>
      <c r="S101" s="130">
        <f t="shared" si="35"/>
        <v>1470.0000000000002</v>
      </c>
      <c r="T101" s="130">
        <f t="shared" si="36"/>
        <v>0</v>
      </c>
      <c r="U101" s="141">
        <v>1240</v>
      </c>
      <c r="V101" s="123">
        <v>70</v>
      </c>
      <c r="W101" s="263">
        <v>4000</v>
      </c>
      <c r="X101" s="124">
        <v>64</v>
      </c>
      <c r="Y101" s="134">
        <v>500</v>
      </c>
      <c r="Z101" s="200" t="s">
        <v>564</v>
      </c>
      <c r="AA101" s="120"/>
      <c r="AB101" s="134"/>
      <c r="AC101" s="200"/>
      <c r="AD101" s="125">
        <v>480</v>
      </c>
      <c r="AE101" s="263">
        <v>4000</v>
      </c>
      <c r="AF101" s="200" t="s">
        <v>566</v>
      </c>
      <c r="AG101" s="120"/>
      <c r="AH101" s="262"/>
      <c r="AI101" s="262"/>
      <c r="AJ101" s="120"/>
      <c r="AK101" s="262"/>
      <c r="AL101" s="262"/>
      <c r="AM101" s="120"/>
      <c r="AN101" s="262"/>
      <c r="AO101" s="262"/>
      <c r="AP101" s="120"/>
      <c r="AQ101" s="262"/>
      <c r="AR101" s="262"/>
      <c r="AS101" s="120"/>
      <c r="AT101" s="262"/>
      <c r="AU101" s="262"/>
      <c r="AV101" s="120"/>
      <c r="AW101" s="262"/>
      <c r="AX101" s="262"/>
      <c r="AY101" s="120"/>
      <c r="AZ101" s="262"/>
      <c r="BA101" s="262"/>
      <c r="BB101" s="120">
        <v>25</v>
      </c>
      <c r="BC101" s="134">
        <v>1000</v>
      </c>
      <c r="BD101" s="200" t="s">
        <v>565</v>
      </c>
      <c r="BE101" s="120">
        <v>25</v>
      </c>
      <c r="BF101" s="134">
        <v>1000</v>
      </c>
      <c r="BG101" s="200" t="s">
        <v>565</v>
      </c>
      <c r="BH101" s="120"/>
      <c r="BI101" s="134"/>
      <c r="BJ101" s="134"/>
      <c r="BK101" s="120"/>
      <c r="BL101" s="134"/>
      <c r="BM101" s="134"/>
      <c r="BN101" s="120"/>
      <c r="BO101" s="252"/>
      <c r="BP101" s="252"/>
      <c r="BQ101" s="120"/>
      <c r="BR101" s="134"/>
      <c r="BS101" s="134"/>
      <c r="BT101" s="120"/>
      <c r="BU101" s="134"/>
      <c r="BV101" s="200"/>
      <c r="BW101" s="120"/>
      <c r="BX101" s="134"/>
      <c r="BY101" s="200"/>
      <c r="BZ101" s="120"/>
      <c r="CA101" s="126"/>
      <c r="CB101" s="126"/>
      <c r="CC101" s="120"/>
      <c r="CD101" s="126"/>
      <c r="CE101" s="126"/>
      <c r="CF101" s="120"/>
      <c r="CG101" s="134"/>
      <c r="CH101" s="134"/>
      <c r="CI101" s="120"/>
      <c r="CJ101" s="200"/>
      <c r="CK101" s="200"/>
      <c r="CL101" s="120"/>
      <c r="CM101" s="127"/>
      <c r="CN101" s="127"/>
      <c r="CO101" s="120">
        <v>14</v>
      </c>
      <c r="CP101" s="134">
        <v>1000</v>
      </c>
      <c r="CQ101" s="134" t="s">
        <v>565</v>
      </c>
      <c r="CR101" s="120">
        <v>14</v>
      </c>
      <c r="CS101" s="134">
        <v>1000</v>
      </c>
      <c r="CT101" s="134" t="s">
        <v>565</v>
      </c>
      <c r="CU101" s="120"/>
      <c r="CV101" s="128"/>
      <c r="CW101" s="128"/>
      <c r="CX101" s="120"/>
      <c r="CY101" s="128"/>
      <c r="CZ101" s="128"/>
      <c r="DA101" s="120"/>
      <c r="DB101" s="128"/>
      <c r="DC101" s="128"/>
      <c r="DD101" s="349"/>
      <c r="DE101" s="128"/>
      <c r="DF101" s="128"/>
      <c r="DG101" s="254"/>
      <c r="DH101" s="129"/>
      <c r="DI101" s="129"/>
      <c r="DJ101" s="259"/>
      <c r="DK101" s="136"/>
      <c r="DL101" s="136"/>
      <c r="DM101" s="120"/>
      <c r="DN101" s="233"/>
      <c r="DO101" s="233"/>
      <c r="DP101" s="120"/>
      <c r="DQ101" s="262"/>
      <c r="DR101" s="262"/>
      <c r="DS101" s="120"/>
      <c r="DT101" s="262"/>
      <c r="DU101" s="262"/>
      <c r="DV101" s="120"/>
      <c r="DW101" s="262"/>
      <c r="DX101" s="262"/>
      <c r="DY101" s="120"/>
      <c r="DZ101" s="262"/>
      <c r="EA101" s="262"/>
      <c r="EB101" s="265"/>
      <c r="EC101" s="262"/>
      <c r="ED101" s="262"/>
      <c r="EE101" s="256"/>
      <c r="EF101" s="233"/>
      <c r="EG101" s="233"/>
      <c r="EH101" s="120"/>
      <c r="EI101" s="262"/>
      <c r="EJ101" s="262"/>
      <c r="EK101" s="120"/>
      <c r="EL101" s="262"/>
      <c r="EM101" s="262"/>
      <c r="EN101" s="120"/>
      <c r="EO101" s="262"/>
      <c r="EP101" s="262"/>
      <c r="EQ101" s="120"/>
      <c r="ER101" s="262"/>
      <c r="ES101" s="262"/>
      <c r="ET101" s="120"/>
      <c r="EU101" s="262"/>
      <c r="EV101" s="262"/>
      <c r="EW101" s="120"/>
      <c r="EX101" s="262"/>
      <c r="EY101" s="262"/>
      <c r="EZ101" s="120"/>
      <c r="FA101" s="262"/>
      <c r="FB101" s="262"/>
      <c r="FC101" s="120"/>
      <c r="FD101" s="262"/>
      <c r="FE101" s="262"/>
      <c r="FF101" s="120"/>
      <c r="FG101" s="262"/>
      <c r="FH101" s="262"/>
      <c r="FI101" s="120"/>
      <c r="FJ101" s="262"/>
      <c r="FK101" s="262"/>
      <c r="FL101" s="120"/>
      <c r="FM101" s="262"/>
      <c r="FN101" s="262"/>
      <c r="FO101" s="120"/>
      <c r="FP101" s="262"/>
      <c r="FQ101" s="262"/>
      <c r="FR101" s="120"/>
      <c r="FS101" s="262"/>
      <c r="FT101" s="262"/>
      <c r="FU101" s="120"/>
      <c r="FV101" s="262"/>
      <c r="FW101" s="262"/>
      <c r="FX101" s="120"/>
      <c r="FY101" s="262"/>
      <c r="FZ101" s="262"/>
      <c r="GA101" s="256"/>
      <c r="GB101" s="233"/>
      <c r="GC101" s="233"/>
      <c r="GJ101" s="121">
        <f t="shared" si="37"/>
        <v>0</v>
      </c>
      <c r="GK101" s="121">
        <f t="shared" si="38"/>
        <v>0</v>
      </c>
      <c r="GM101" s="121">
        <f t="shared" si="39"/>
        <v>1</v>
      </c>
      <c r="GN101" s="121">
        <f t="shared" si="40"/>
        <v>0</v>
      </c>
      <c r="GO101" s="121">
        <f t="shared" si="41"/>
        <v>1</v>
      </c>
      <c r="GP101" s="121">
        <f t="shared" si="42"/>
        <v>4</v>
      </c>
      <c r="GQ101" s="121">
        <f t="shared" si="43"/>
        <v>0</v>
      </c>
      <c r="GR101" s="121">
        <f t="shared" si="44"/>
        <v>1</v>
      </c>
    </row>
    <row r="102" spans="1:200" ht="38.25" customHeight="1" x14ac:dyDescent="0.55000000000000004">
      <c r="A102" s="121" t="s">
        <v>195</v>
      </c>
      <c r="B102" s="309" t="s">
        <v>161</v>
      </c>
      <c r="C102" s="361">
        <v>4</v>
      </c>
      <c r="D102" s="404">
        <v>4</v>
      </c>
      <c r="E102" s="404">
        <v>4</v>
      </c>
      <c r="F102" s="142">
        <f>($X$102/$Y$102)*$L$102*C102</f>
        <v>1232</v>
      </c>
      <c r="G102" s="142">
        <f>($X$102/$Y$102)*$L$102*D102</f>
        <v>1232</v>
      </c>
      <c r="H102" s="142">
        <f>($X$102/$Y$102)*$L$102*E102</f>
        <v>1232</v>
      </c>
      <c r="I102" s="142" cm="1">
        <f t="array" ref="I102">SUMPRODUCT(($X$2:$GG$2&lt;&gt;"")*($X102:$GG102&lt;&gt;""))</f>
        <v>5</v>
      </c>
      <c r="J102" s="122">
        <f t="shared" si="28"/>
        <v>20</v>
      </c>
      <c r="K102" s="122">
        <f t="shared" si="29"/>
        <v>280</v>
      </c>
      <c r="L102" s="249">
        <f t="shared" ref="L102:L165" si="45">$L$1</f>
        <v>7000</v>
      </c>
      <c r="M102" s="144">
        <f t="shared" si="30"/>
        <v>5236</v>
      </c>
      <c r="N102" s="405"/>
      <c r="O102" s="145">
        <f t="shared" si="31"/>
        <v>9817.5</v>
      </c>
      <c r="P102" s="145">
        <f t="shared" si="32"/>
        <v>12257.000000000002</v>
      </c>
      <c r="Q102" s="145">
        <f t="shared" si="33"/>
        <v>0</v>
      </c>
      <c r="R102" s="145">
        <f t="shared" si="34"/>
        <v>0</v>
      </c>
      <c r="S102" s="130">
        <f t="shared" si="35"/>
        <v>2618</v>
      </c>
      <c r="T102" s="130">
        <f t="shared" si="36"/>
        <v>0</v>
      </c>
      <c r="U102" s="141">
        <v>480</v>
      </c>
      <c r="V102" s="123">
        <v>44</v>
      </c>
      <c r="W102" s="134">
        <v>2000</v>
      </c>
      <c r="X102" s="124">
        <v>22</v>
      </c>
      <c r="Y102" s="134">
        <v>500</v>
      </c>
      <c r="Z102" s="200" t="s">
        <v>569</v>
      </c>
      <c r="AA102" s="120">
        <v>27</v>
      </c>
      <c r="AB102" s="134">
        <v>1000</v>
      </c>
      <c r="AC102" s="200" t="s">
        <v>567</v>
      </c>
      <c r="AD102" s="125">
        <v>165</v>
      </c>
      <c r="AE102" s="134">
        <v>2000</v>
      </c>
      <c r="AF102" s="200" t="s">
        <v>568</v>
      </c>
      <c r="AG102" s="120"/>
      <c r="AH102" s="262"/>
      <c r="AI102" s="262"/>
      <c r="AJ102" s="120"/>
      <c r="AK102" s="262"/>
      <c r="AL102" s="262"/>
      <c r="AM102" s="120"/>
      <c r="AN102" s="262"/>
      <c r="AO102" s="262"/>
      <c r="AP102" s="120"/>
      <c r="AQ102" s="262"/>
      <c r="AR102" s="262"/>
      <c r="AS102" s="120"/>
      <c r="AT102" s="262"/>
      <c r="AU102" s="262"/>
      <c r="AV102" s="120"/>
      <c r="AW102" s="262"/>
      <c r="AX102" s="262"/>
      <c r="AY102" s="120"/>
      <c r="AZ102" s="262"/>
      <c r="BA102" s="262"/>
      <c r="BB102" s="120"/>
      <c r="BC102" s="134"/>
      <c r="BD102" s="200"/>
      <c r="BE102" s="120"/>
      <c r="BF102" s="134"/>
      <c r="BG102" s="200"/>
      <c r="BH102" s="120"/>
      <c r="BI102" s="134"/>
      <c r="BJ102" s="134"/>
      <c r="BK102" s="120"/>
      <c r="BL102" s="134"/>
      <c r="BM102" s="134"/>
      <c r="BN102" s="120"/>
      <c r="BO102" s="252"/>
      <c r="BP102" s="252"/>
      <c r="BQ102" s="120"/>
      <c r="BR102" s="134"/>
      <c r="BS102" s="134"/>
      <c r="BT102" s="120"/>
      <c r="BU102" s="134"/>
      <c r="BV102" s="200"/>
      <c r="BW102" s="120"/>
      <c r="BX102" s="134"/>
      <c r="BY102" s="200"/>
      <c r="BZ102" s="120">
        <v>38</v>
      </c>
      <c r="CA102" s="134">
        <v>1000</v>
      </c>
      <c r="CB102" s="134" t="s">
        <v>570</v>
      </c>
      <c r="CC102" s="120">
        <v>38</v>
      </c>
      <c r="CD102" s="134">
        <v>1000</v>
      </c>
      <c r="CE102" s="134" t="s">
        <v>570</v>
      </c>
      <c r="CF102" s="120"/>
      <c r="CG102" s="134"/>
      <c r="CH102" s="134"/>
      <c r="CI102" s="120"/>
      <c r="CJ102" s="200"/>
      <c r="CK102" s="200"/>
      <c r="CL102" s="120"/>
      <c r="CM102" s="200"/>
      <c r="CN102" s="200"/>
      <c r="CO102" s="120"/>
      <c r="CP102" s="134"/>
      <c r="CQ102" s="134"/>
      <c r="CR102" s="120"/>
      <c r="CS102" s="134"/>
      <c r="CT102" s="134"/>
      <c r="CU102" s="120"/>
      <c r="CV102" s="202"/>
      <c r="CW102" s="202"/>
      <c r="CX102" s="120"/>
      <c r="CY102" s="202"/>
      <c r="CZ102" s="202"/>
      <c r="DA102" s="120"/>
      <c r="DB102" s="202"/>
      <c r="DC102" s="202"/>
      <c r="DD102" s="349"/>
      <c r="DE102" s="202"/>
      <c r="DF102" s="202"/>
      <c r="DG102" s="254"/>
      <c r="DH102" s="203"/>
      <c r="DI102" s="203"/>
      <c r="DJ102" s="259"/>
      <c r="DK102" s="136"/>
      <c r="DL102" s="136"/>
      <c r="DM102" s="120"/>
      <c r="DN102" s="233"/>
      <c r="DO102" s="233"/>
      <c r="DP102" s="120"/>
      <c r="DQ102" s="262"/>
      <c r="DR102" s="262"/>
      <c r="DS102" s="120"/>
      <c r="DT102" s="262"/>
      <c r="DU102" s="262"/>
      <c r="DV102" s="120"/>
      <c r="DW102" s="262"/>
      <c r="DX102" s="262"/>
      <c r="DY102" s="120"/>
      <c r="DZ102" s="262"/>
      <c r="EA102" s="262"/>
      <c r="EB102" s="265"/>
      <c r="EC102" s="262"/>
      <c r="ED102" s="262"/>
      <c r="EE102" s="256"/>
      <c r="EF102" s="200"/>
      <c r="EG102" s="200"/>
      <c r="EH102" s="120"/>
      <c r="EI102" s="262"/>
      <c r="EJ102" s="262"/>
      <c r="EK102" s="120"/>
      <c r="EL102" s="262"/>
      <c r="EM102" s="262"/>
      <c r="EN102" s="120"/>
      <c r="EO102" s="262"/>
      <c r="EP102" s="262"/>
      <c r="EQ102" s="120"/>
      <c r="ER102" s="262"/>
      <c r="ES102" s="262"/>
      <c r="ET102" s="120"/>
      <c r="EU102" s="262"/>
      <c r="EV102" s="262"/>
      <c r="EW102" s="120"/>
      <c r="EX102" s="262"/>
      <c r="EY102" s="262"/>
      <c r="EZ102" s="120"/>
      <c r="FA102" s="262"/>
      <c r="FB102" s="262"/>
      <c r="FC102" s="120"/>
      <c r="FD102" s="262"/>
      <c r="FE102" s="262"/>
      <c r="FF102" s="120"/>
      <c r="FG102" s="262"/>
      <c r="FH102" s="262"/>
      <c r="FI102" s="120"/>
      <c r="FJ102" s="262"/>
      <c r="FK102" s="262"/>
      <c r="FL102" s="120"/>
      <c r="FM102" s="262"/>
      <c r="FN102" s="262"/>
      <c r="FO102" s="120"/>
      <c r="FP102" s="262"/>
      <c r="FQ102" s="262"/>
      <c r="FR102" s="120"/>
      <c r="FS102" s="262"/>
      <c r="FT102" s="262"/>
      <c r="FU102" s="120"/>
      <c r="FV102" s="262"/>
      <c r="FW102" s="262"/>
      <c r="FX102" s="120"/>
      <c r="FY102" s="262"/>
      <c r="FZ102" s="262"/>
      <c r="GA102" s="256"/>
      <c r="GB102" s="233"/>
      <c r="GC102" s="233"/>
      <c r="GJ102" s="121">
        <f t="shared" si="37"/>
        <v>0</v>
      </c>
      <c r="GK102" s="121">
        <f t="shared" si="38"/>
        <v>0</v>
      </c>
      <c r="GM102" s="121">
        <f t="shared" si="39"/>
        <v>1</v>
      </c>
      <c r="GN102" s="121">
        <f t="shared" si="40"/>
        <v>1</v>
      </c>
      <c r="GO102" s="121">
        <f t="shared" si="41"/>
        <v>1</v>
      </c>
      <c r="GP102" s="121">
        <f t="shared" si="42"/>
        <v>2</v>
      </c>
      <c r="GQ102" s="121">
        <f t="shared" si="43"/>
        <v>0</v>
      </c>
      <c r="GR102" s="121">
        <f t="shared" si="44"/>
        <v>1</v>
      </c>
    </row>
    <row r="103" spans="1:200" ht="38.25" customHeight="1" x14ac:dyDescent="0.55000000000000004">
      <c r="B103" s="309" t="s">
        <v>159</v>
      </c>
      <c r="C103" s="361">
        <v>3</v>
      </c>
      <c r="D103" s="404">
        <v>3</v>
      </c>
      <c r="E103" s="404">
        <v>3</v>
      </c>
      <c r="F103" s="142">
        <f>($X$103/$Y$103)*$L$103*C103</f>
        <v>5376</v>
      </c>
      <c r="G103" s="142">
        <f>($X$103/$Y$103)*$L$103*D103</f>
        <v>5376</v>
      </c>
      <c r="H103" s="142">
        <f>($X$103/$Y$103)*$L$103*E103</f>
        <v>5376</v>
      </c>
      <c r="I103" s="142" cm="1">
        <f t="array" ref="I103">SUMPRODUCT(($X$2:$GG$2&lt;&gt;"")*($X103:$GG103&lt;&gt;""))</f>
        <v>6</v>
      </c>
      <c r="J103" s="122">
        <f t="shared" si="28"/>
        <v>18</v>
      </c>
      <c r="K103" s="122">
        <f t="shared" si="29"/>
        <v>252</v>
      </c>
      <c r="L103" s="249">
        <f t="shared" si="45"/>
        <v>7000</v>
      </c>
      <c r="M103" s="144">
        <f t="shared" si="30"/>
        <v>26880</v>
      </c>
      <c r="N103" s="405"/>
      <c r="O103" s="145">
        <f t="shared" si="31"/>
        <v>25200</v>
      </c>
      <c r="P103" s="145">
        <f t="shared" si="32"/>
        <v>8190</v>
      </c>
      <c r="Q103" s="145">
        <f t="shared" si="33"/>
        <v>0</v>
      </c>
      <c r="R103" s="145">
        <f t="shared" si="34"/>
        <v>0</v>
      </c>
      <c r="S103" s="130">
        <f t="shared" si="35"/>
        <v>3675.0000000000005</v>
      </c>
      <c r="T103" s="130">
        <f t="shared" si="36"/>
        <v>0</v>
      </c>
      <c r="U103" s="141">
        <v>1240</v>
      </c>
      <c r="V103" s="123">
        <v>70</v>
      </c>
      <c r="W103" s="134">
        <v>2000</v>
      </c>
      <c r="X103" s="124">
        <v>64</v>
      </c>
      <c r="Y103" s="134">
        <v>250</v>
      </c>
      <c r="Z103" s="200" t="s">
        <v>564</v>
      </c>
      <c r="AA103" s="120"/>
      <c r="AB103" s="134"/>
      <c r="AC103" s="200"/>
      <c r="AD103" s="125">
        <v>480</v>
      </c>
      <c r="AE103" s="134">
        <v>2000</v>
      </c>
      <c r="AF103" s="200" t="s">
        <v>566</v>
      </c>
      <c r="AG103" s="120"/>
      <c r="AH103" s="262"/>
      <c r="AI103" s="262"/>
      <c r="AJ103" s="120"/>
      <c r="AK103" s="262"/>
      <c r="AL103" s="262"/>
      <c r="AM103" s="120"/>
      <c r="AN103" s="262"/>
      <c r="AO103" s="262"/>
      <c r="AP103" s="120"/>
      <c r="AQ103" s="262"/>
      <c r="AR103" s="262"/>
      <c r="AS103" s="120"/>
      <c r="AT103" s="262"/>
      <c r="AU103" s="262"/>
      <c r="AV103" s="120"/>
      <c r="AW103" s="262"/>
      <c r="AX103" s="262"/>
      <c r="AY103" s="120"/>
      <c r="AZ103" s="262"/>
      <c r="BA103" s="262"/>
      <c r="BB103" s="120">
        <v>25</v>
      </c>
      <c r="BC103" s="134">
        <v>1000</v>
      </c>
      <c r="BD103" s="200" t="s">
        <v>571</v>
      </c>
      <c r="BE103" s="120">
        <v>25</v>
      </c>
      <c r="BF103" s="134">
        <v>1000</v>
      </c>
      <c r="BG103" s="200" t="s">
        <v>571</v>
      </c>
      <c r="BH103" s="120"/>
      <c r="BI103" s="134"/>
      <c r="BJ103" s="134"/>
      <c r="BK103" s="120"/>
      <c r="BL103" s="134"/>
      <c r="BM103" s="134"/>
      <c r="BN103" s="120"/>
      <c r="BO103" s="252"/>
      <c r="BP103" s="252"/>
      <c r="BQ103" s="120"/>
      <c r="BR103" s="134"/>
      <c r="BS103" s="134"/>
      <c r="BT103" s="120"/>
      <c r="BU103" s="134"/>
      <c r="BV103" s="200"/>
      <c r="BW103" s="120"/>
      <c r="BX103" s="134"/>
      <c r="BY103" s="200"/>
      <c r="BZ103" s="120"/>
      <c r="CA103" s="126"/>
      <c r="CB103" s="126"/>
      <c r="CC103" s="120"/>
      <c r="CD103" s="126"/>
      <c r="CE103" s="126"/>
      <c r="CF103" s="120"/>
      <c r="CG103" s="134"/>
      <c r="CH103" s="134"/>
      <c r="CI103" s="120"/>
      <c r="CJ103" s="200"/>
      <c r="CK103" s="200"/>
      <c r="CL103" s="120"/>
      <c r="CM103" s="127"/>
      <c r="CN103" s="127"/>
      <c r="CO103" s="120">
        <v>14</v>
      </c>
      <c r="CP103" s="134">
        <v>1000</v>
      </c>
      <c r="CQ103" s="134" t="s">
        <v>571</v>
      </c>
      <c r="CR103" s="120">
        <v>14</v>
      </c>
      <c r="CS103" s="134">
        <v>1000</v>
      </c>
      <c r="CT103" s="134" t="s">
        <v>571</v>
      </c>
      <c r="CU103" s="120"/>
      <c r="CV103" s="128"/>
      <c r="CW103" s="128"/>
      <c r="CX103" s="120"/>
      <c r="CY103" s="128"/>
      <c r="CZ103" s="128"/>
      <c r="DA103" s="120"/>
      <c r="DB103" s="128"/>
      <c r="DC103" s="128"/>
      <c r="DD103" s="349"/>
      <c r="DE103" s="128"/>
      <c r="DF103" s="128"/>
      <c r="DG103" s="254"/>
      <c r="DH103" s="129"/>
      <c r="DI103" s="129"/>
      <c r="DJ103" s="259"/>
      <c r="DK103" s="136"/>
      <c r="DL103" s="136"/>
      <c r="DM103" s="120"/>
      <c r="DN103" s="233"/>
      <c r="DO103" s="233"/>
      <c r="DP103" s="120"/>
      <c r="DQ103" s="262"/>
      <c r="DR103" s="262"/>
      <c r="DS103" s="120"/>
      <c r="DT103" s="262"/>
      <c r="DU103" s="262"/>
      <c r="DV103" s="120"/>
      <c r="DW103" s="262"/>
      <c r="DX103" s="262"/>
      <c r="DY103" s="120"/>
      <c r="DZ103" s="262"/>
      <c r="EA103" s="262"/>
      <c r="EB103" s="265"/>
      <c r="EC103" s="262"/>
      <c r="ED103" s="262"/>
      <c r="EE103" s="256"/>
      <c r="EF103" s="233"/>
      <c r="EG103" s="233"/>
      <c r="EH103" s="120"/>
      <c r="EI103" s="262"/>
      <c r="EJ103" s="262"/>
      <c r="EK103" s="120"/>
      <c r="EL103" s="262"/>
      <c r="EM103" s="262"/>
      <c r="EN103" s="120"/>
      <c r="EO103" s="262"/>
      <c r="EP103" s="262"/>
      <c r="EQ103" s="120"/>
      <c r="ER103" s="262"/>
      <c r="ES103" s="262"/>
      <c r="ET103" s="120"/>
      <c r="EU103" s="262"/>
      <c r="EV103" s="262"/>
      <c r="EW103" s="120"/>
      <c r="EX103" s="262"/>
      <c r="EY103" s="262"/>
      <c r="EZ103" s="120"/>
      <c r="FA103" s="262"/>
      <c r="FB103" s="262"/>
      <c r="FC103" s="120"/>
      <c r="FD103" s="262"/>
      <c r="FE103" s="262"/>
      <c r="FF103" s="120"/>
      <c r="FG103" s="262"/>
      <c r="FH103" s="262"/>
      <c r="FI103" s="120"/>
      <c r="FJ103" s="262"/>
      <c r="FK103" s="262"/>
      <c r="FL103" s="120"/>
      <c r="FM103" s="262"/>
      <c r="FN103" s="262"/>
      <c r="FO103" s="120"/>
      <c r="FP103" s="262"/>
      <c r="FQ103" s="262"/>
      <c r="FR103" s="120"/>
      <c r="FS103" s="262"/>
      <c r="FT103" s="262"/>
      <c r="FU103" s="120"/>
      <c r="FV103" s="262"/>
      <c r="FW103" s="262"/>
      <c r="FX103" s="120"/>
      <c r="FY103" s="262"/>
      <c r="FZ103" s="262"/>
      <c r="GA103" s="256"/>
      <c r="GB103" s="233"/>
      <c r="GC103" s="233"/>
      <c r="GJ103" s="121">
        <f t="shared" si="37"/>
        <v>0</v>
      </c>
      <c r="GK103" s="121">
        <f t="shared" si="38"/>
        <v>0</v>
      </c>
      <c r="GM103" s="121">
        <f t="shared" si="39"/>
        <v>1</v>
      </c>
      <c r="GN103" s="121">
        <f t="shared" si="40"/>
        <v>0</v>
      </c>
      <c r="GO103" s="121">
        <f t="shared" si="41"/>
        <v>1</v>
      </c>
      <c r="GP103" s="121">
        <f t="shared" si="42"/>
        <v>4</v>
      </c>
      <c r="GQ103" s="121">
        <f t="shared" si="43"/>
        <v>0</v>
      </c>
      <c r="GR103" s="121">
        <f t="shared" si="44"/>
        <v>1</v>
      </c>
    </row>
    <row r="104" spans="1:200" ht="38.25" customHeight="1" x14ac:dyDescent="0.55000000000000004">
      <c r="B104" s="309" t="s">
        <v>374</v>
      </c>
      <c r="C104" s="198">
        <v>1</v>
      </c>
      <c r="D104" s="404">
        <v>1</v>
      </c>
      <c r="E104" s="404">
        <v>1</v>
      </c>
      <c r="F104" s="142">
        <f>($X$104/$Y$104)*$L$104*C104</f>
        <v>616</v>
      </c>
      <c r="G104" s="142">
        <f>($X$104/$Y$104)*$L$104*D104</f>
        <v>616</v>
      </c>
      <c r="H104" s="142">
        <f>($X$104/$Y$104)*$L$104*E104</f>
        <v>616</v>
      </c>
      <c r="I104" s="142" cm="1">
        <f t="array" ref="I104">SUMPRODUCT(($X$2:$GG$2&lt;&gt;"")*($X104:$GG104&lt;&gt;""))</f>
        <v>7</v>
      </c>
      <c r="J104" s="122">
        <f t="shared" si="28"/>
        <v>7</v>
      </c>
      <c r="K104" s="122">
        <f t="shared" si="29"/>
        <v>98</v>
      </c>
      <c r="L104" s="249">
        <f t="shared" si="45"/>
        <v>7000</v>
      </c>
      <c r="M104" s="144">
        <f t="shared" si="30"/>
        <v>6160</v>
      </c>
      <c r="N104" s="405"/>
      <c r="O104" s="145">
        <f t="shared" si="31"/>
        <v>10850</v>
      </c>
      <c r="P104" s="145">
        <f t="shared" si="32"/>
        <v>7280.0000000000009</v>
      </c>
      <c r="Q104" s="145">
        <f t="shared" si="33"/>
        <v>0</v>
      </c>
      <c r="R104" s="145">
        <f t="shared" si="34"/>
        <v>0</v>
      </c>
      <c r="S104" s="130">
        <f t="shared" si="35"/>
        <v>735</v>
      </c>
      <c r="T104" s="130">
        <f t="shared" si="36"/>
        <v>0</v>
      </c>
      <c r="U104" s="141">
        <v>340</v>
      </c>
      <c r="V104" s="123">
        <v>42</v>
      </c>
      <c r="W104" s="134">
        <v>4000</v>
      </c>
      <c r="X104" s="124">
        <v>22</v>
      </c>
      <c r="Y104" s="134">
        <v>250</v>
      </c>
      <c r="Z104" s="200" t="s">
        <v>572</v>
      </c>
      <c r="AA104" s="120">
        <v>45</v>
      </c>
      <c r="AB104" s="134">
        <v>1500</v>
      </c>
      <c r="AC104" s="200" t="s">
        <v>575</v>
      </c>
      <c r="AD104" s="125">
        <v>310</v>
      </c>
      <c r="AE104" s="134">
        <v>2000</v>
      </c>
      <c r="AF104" s="200" t="s">
        <v>574</v>
      </c>
      <c r="AG104" s="120"/>
      <c r="AH104" s="262"/>
      <c r="AI104" s="262"/>
      <c r="AJ104" s="120"/>
      <c r="AK104" s="262"/>
      <c r="AL104" s="262"/>
      <c r="AM104" s="120"/>
      <c r="AN104" s="262"/>
      <c r="AO104" s="262"/>
      <c r="AP104" s="120"/>
      <c r="AQ104" s="262"/>
      <c r="AR104" s="262"/>
      <c r="AS104" s="120"/>
      <c r="AT104" s="262"/>
      <c r="AU104" s="262"/>
      <c r="AV104" s="120"/>
      <c r="AW104" s="262"/>
      <c r="AX104" s="262"/>
      <c r="AY104" s="120"/>
      <c r="AZ104" s="262"/>
      <c r="BA104" s="262"/>
      <c r="BB104" s="120">
        <v>37</v>
      </c>
      <c r="BC104" s="134">
        <v>2000</v>
      </c>
      <c r="BD104" s="200" t="s">
        <v>573</v>
      </c>
      <c r="BE104" s="120">
        <v>37</v>
      </c>
      <c r="BF104" s="134">
        <v>2000</v>
      </c>
      <c r="BG104" s="200" t="s">
        <v>573</v>
      </c>
      <c r="BH104" s="120">
        <v>37</v>
      </c>
      <c r="BI104" s="134">
        <v>2000</v>
      </c>
      <c r="BJ104" s="134" t="s">
        <v>573</v>
      </c>
      <c r="BK104" s="120">
        <v>37</v>
      </c>
      <c r="BL104" s="134">
        <v>2000</v>
      </c>
      <c r="BM104" s="134" t="s">
        <v>573</v>
      </c>
      <c r="BN104" s="120"/>
      <c r="BO104" s="252"/>
      <c r="BP104" s="252"/>
      <c r="BQ104" s="120"/>
      <c r="BR104" s="134"/>
      <c r="BS104" s="134"/>
      <c r="BT104" s="120"/>
      <c r="BU104" s="134"/>
      <c r="BV104" s="200"/>
      <c r="BW104" s="120"/>
      <c r="BX104" s="134"/>
      <c r="BY104" s="200"/>
      <c r="BZ104" s="120"/>
      <c r="CA104" s="126"/>
      <c r="CB104" s="126"/>
      <c r="CC104" s="120"/>
      <c r="CD104" s="126"/>
      <c r="CE104" s="126"/>
      <c r="CF104" s="120"/>
      <c r="CG104" s="134"/>
      <c r="CH104" s="134"/>
      <c r="CI104" s="120"/>
      <c r="CJ104" s="200"/>
      <c r="CK104" s="200"/>
      <c r="CL104" s="120"/>
      <c r="CM104" s="200"/>
      <c r="CN104" s="200"/>
      <c r="CO104" s="120"/>
      <c r="CP104" s="134"/>
      <c r="CQ104" s="134"/>
      <c r="CR104" s="120"/>
      <c r="CS104" s="134"/>
      <c r="CT104" s="134"/>
      <c r="CU104" s="120"/>
      <c r="CV104" s="202"/>
      <c r="CW104" s="202"/>
      <c r="CX104" s="120"/>
      <c r="CY104" s="202"/>
      <c r="CZ104" s="202"/>
      <c r="DA104" s="120"/>
      <c r="DB104" s="202"/>
      <c r="DC104" s="202"/>
      <c r="DD104" s="349"/>
      <c r="DE104" s="202"/>
      <c r="DF104" s="202"/>
      <c r="DG104" s="254"/>
      <c r="DH104" s="203"/>
      <c r="DI104" s="203"/>
      <c r="DJ104" s="259"/>
      <c r="DK104" s="136"/>
      <c r="DL104" s="136"/>
      <c r="DM104" s="120"/>
      <c r="DN104" s="233"/>
      <c r="DO104" s="233"/>
      <c r="DP104" s="120"/>
      <c r="DQ104" s="262"/>
      <c r="DR104" s="262"/>
      <c r="DS104" s="120"/>
      <c r="DT104" s="262"/>
      <c r="DU104" s="262"/>
      <c r="DV104" s="120"/>
      <c r="DW104" s="262"/>
      <c r="DX104" s="262"/>
      <c r="DY104" s="120"/>
      <c r="DZ104" s="262"/>
      <c r="EA104" s="262"/>
      <c r="EB104" s="265"/>
      <c r="EC104" s="262"/>
      <c r="ED104" s="262"/>
      <c r="EE104" s="256"/>
      <c r="EF104" s="200"/>
      <c r="EG104" s="200"/>
      <c r="EH104" s="120"/>
      <c r="EI104" s="262"/>
      <c r="EJ104" s="262"/>
      <c r="EK104" s="120"/>
      <c r="EL104" s="262"/>
      <c r="EM104" s="262"/>
      <c r="EN104" s="120"/>
      <c r="EO104" s="262"/>
      <c r="EP104" s="262"/>
      <c r="EQ104" s="120"/>
      <c r="ER104" s="262"/>
      <c r="ES104" s="262"/>
      <c r="ET104" s="120"/>
      <c r="EU104" s="262"/>
      <c r="EV104" s="262"/>
      <c r="EW104" s="120"/>
      <c r="EX104" s="262"/>
      <c r="EY104" s="262"/>
      <c r="EZ104" s="120"/>
      <c r="FA104" s="262"/>
      <c r="FB104" s="262"/>
      <c r="FC104" s="120"/>
      <c r="FD104" s="262"/>
      <c r="FE104" s="262"/>
      <c r="FF104" s="120"/>
      <c r="FG104" s="262"/>
      <c r="FH104" s="262"/>
      <c r="FI104" s="120"/>
      <c r="FJ104" s="262"/>
      <c r="FK104" s="262"/>
      <c r="FL104" s="120"/>
      <c r="FM104" s="262"/>
      <c r="FN104" s="262"/>
      <c r="FO104" s="120"/>
      <c r="FP104" s="262"/>
      <c r="FQ104" s="262"/>
      <c r="FR104" s="120"/>
      <c r="FS104" s="262"/>
      <c r="FT104" s="262"/>
      <c r="FU104" s="120"/>
      <c r="FV104" s="262"/>
      <c r="FW104" s="262"/>
      <c r="FX104" s="120"/>
      <c r="FY104" s="262"/>
      <c r="FZ104" s="262"/>
      <c r="GA104" s="256"/>
      <c r="GB104" s="233"/>
      <c r="GC104" s="233"/>
      <c r="GJ104" s="121">
        <f t="shared" si="37"/>
        <v>0</v>
      </c>
      <c r="GK104" s="121">
        <f t="shared" si="38"/>
        <v>0</v>
      </c>
      <c r="GM104" s="121">
        <f t="shared" si="39"/>
        <v>1</v>
      </c>
      <c r="GN104" s="121">
        <f t="shared" si="40"/>
        <v>1</v>
      </c>
      <c r="GO104" s="121">
        <f t="shared" si="41"/>
        <v>1</v>
      </c>
      <c r="GP104" s="121">
        <f t="shared" si="42"/>
        <v>4</v>
      </c>
      <c r="GQ104" s="121">
        <f t="shared" si="43"/>
        <v>0</v>
      </c>
      <c r="GR104" s="121">
        <f t="shared" si="44"/>
        <v>1</v>
      </c>
    </row>
    <row r="105" spans="1:200" ht="38.25" customHeight="1" x14ac:dyDescent="0.55000000000000004">
      <c r="B105" s="303" t="s">
        <v>444</v>
      </c>
      <c r="C105" s="198"/>
      <c r="D105" s="198"/>
      <c r="E105" s="198"/>
      <c r="F105" s="198"/>
      <c r="G105" s="198"/>
      <c r="H105" s="198"/>
      <c r="I105" s="142" cm="1">
        <f t="array" ref="I105">SUMPRODUCT(($X$2:$GG$2&lt;&gt;"")*($X105:$GG105&lt;&gt;""))</f>
        <v>1</v>
      </c>
      <c r="J105" s="122">
        <f t="shared" si="28"/>
        <v>0</v>
      </c>
      <c r="K105" s="122">
        <f t="shared" si="29"/>
        <v>0</v>
      </c>
      <c r="L105" s="249">
        <f t="shared" si="45"/>
        <v>7000</v>
      </c>
      <c r="M105" s="144">
        <f t="shared" si="30"/>
        <v>336</v>
      </c>
      <c r="N105" s="405"/>
      <c r="O105" s="145">
        <f t="shared" si="31"/>
        <v>0</v>
      </c>
      <c r="P105" s="145">
        <f t="shared" si="32"/>
        <v>0</v>
      </c>
      <c r="Q105" s="145">
        <f t="shared" si="33"/>
        <v>0</v>
      </c>
      <c r="R105" s="145">
        <f t="shared" si="34"/>
        <v>0</v>
      </c>
      <c r="S105" s="130">
        <f t="shared" si="35"/>
        <v>0</v>
      </c>
      <c r="T105" s="130">
        <f t="shared" si="36"/>
        <v>0</v>
      </c>
      <c r="U105" s="141"/>
      <c r="V105" s="123"/>
      <c r="W105" s="134"/>
      <c r="X105" s="347">
        <v>12</v>
      </c>
      <c r="Y105" s="347">
        <v>250</v>
      </c>
      <c r="Z105" s="348" t="s">
        <v>576</v>
      </c>
      <c r="AA105" s="120"/>
      <c r="AB105" s="134"/>
      <c r="AC105" s="200"/>
      <c r="AD105" s="125"/>
      <c r="AE105" s="134"/>
      <c r="AF105" s="200"/>
      <c r="AG105" s="120"/>
      <c r="AH105" s="262"/>
      <c r="AI105" s="262"/>
      <c r="AJ105" s="120"/>
      <c r="AK105" s="262"/>
      <c r="AL105" s="262"/>
      <c r="AM105" s="120"/>
      <c r="AN105" s="262"/>
      <c r="AO105" s="262"/>
      <c r="AP105" s="120"/>
      <c r="AQ105" s="262"/>
      <c r="AR105" s="262"/>
      <c r="AS105" s="120"/>
      <c r="AT105" s="262"/>
      <c r="AU105" s="262"/>
      <c r="AV105" s="120"/>
      <c r="AW105" s="262"/>
      <c r="AX105" s="262"/>
      <c r="AY105" s="120"/>
      <c r="AZ105" s="262"/>
      <c r="BA105" s="262"/>
      <c r="BB105" s="120"/>
      <c r="BC105" s="134"/>
      <c r="BD105" s="200"/>
      <c r="BE105" s="120"/>
      <c r="BF105" s="134"/>
      <c r="BG105" s="200"/>
      <c r="BH105" s="120"/>
      <c r="BI105" s="252"/>
      <c r="BJ105" s="252"/>
      <c r="BK105" s="120"/>
      <c r="BL105" s="134"/>
      <c r="BM105" s="134"/>
      <c r="BN105" s="120"/>
      <c r="BO105" s="252"/>
      <c r="BP105" s="252"/>
      <c r="BQ105" s="120"/>
      <c r="BR105" s="134"/>
      <c r="BS105" s="134"/>
      <c r="BT105" s="120"/>
      <c r="BU105" s="134"/>
      <c r="BV105" s="200"/>
      <c r="BW105" s="120"/>
      <c r="BX105" s="134"/>
      <c r="BY105" s="200"/>
      <c r="BZ105" s="120"/>
      <c r="CA105" s="126"/>
      <c r="CB105" s="126"/>
      <c r="CC105" s="120"/>
      <c r="CD105" s="126"/>
      <c r="CE105" s="126"/>
      <c r="CF105" s="120"/>
      <c r="CG105" s="134"/>
      <c r="CH105" s="134"/>
      <c r="CI105" s="120"/>
      <c r="CJ105" s="200"/>
      <c r="CK105" s="200"/>
      <c r="CL105" s="120"/>
      <c r="CM105" s="200"/>
      <c r="CN105" s="200"/>
      <c r="CO105" s="120"/>
      <c r="CP105" s="134"/>
      <c r="CQ105" s="134"/>
      <c r="CR105" s="120"/>
      <c r="CS105" s="134"/>
      <c r="CT105" s="134"/>
      <c r="CU105" s="120"/>
      <c r="CV105" s="202"/>
      <c r="CW105" s="202"/>
      <c r="CX105" s="120"/>
      <c r="CY105" s="202"/>
      <c r="CZ105" s="202"/>
      <c r="DA105" s="120"/>
      <c r="DB105" s="202"/>
      <c r="DC105" s="202"/>
      <c r="DD105" s="349"/>
      <c r="DE105" s="202"/>
      <c r="DF105" s="202"/>
      <c r="DG105" s="254"/>
      <c r="DH105" s="203"/>
      <c r="DI105" s="203"/>
      <c r="DJ105" s="259"/>
      <c r="DK105" s="136"/>
      <c r="DL105" s="136"/>
      <c r="DM105" s="120"/>
      <c r="DN105" s="233"/>
      <c r="DO105" s="233"/>
      <c r="DP105" s="120"/>
      <c r="DQ105" s="262"/>
      <c r="DR105" s="262"/>
      <c r="DS105" s="120"/>
      <c r="DT105" s="262"/>
      <c r="DU105" s="262"/>
      <c r="DV105" s="120"/>
      <c r="DW105" s="262"/>
      <c r="DX105" s="262"/>
      <c r="DY105" s="120"/>
      <c r="DZ105" s="262"/>
      <c r="EA105" s="262"/>
      <c r="EB105" s="265"/>
      <c r="EC105" s="262"/>
      <c r="ED105" s="262"/>
      <c r="EE105" s="256"/>
      <c r="EF105" s="233"/>
      <c r="EG105" s="233"/>
      <c r="EH105" s="120"/>
      <c r="EI105" s="262"/>
      <c r="EJ105" s="262"/>
      <c r="EK105" s="120"/>
      <c r="EL105" s="262"/>
      <c r="EM105" s="262"/>
      <c r="EN105" s="120"/>
      <c r="EO105" s="262"/>
      <c r="EP105" s="262"/>
      <c r="EQ105" s="120"/>
      <c r="ER105" s="262"/>
      <c r="ES105" s="262"/>
      <c r="ET105" s="120"/>
      <c r="EU105" s="262"/>
      <c r="EV105" s="262"/>
      <c r="EW105" s="120"/>
      <c r="EX105" s="262"/>
      <c r="EY105" s="262"/>
      <c r="EZ105" s="120"/>
      <c r="FA105" s="262"/>
      <c r="FB105" s="262"/>
      <c r="FC105" s="120"/>
      <c r="FD105" s="262"/>
      <c r="FE105" s="262"/>
      <c r="FF105" s="120"/>
      <c r="FG105" s="262"/>
      <c r="FH105" s="262"/>
      <c r="FI105" s="120"/>
      <c r="FJ105" s="262"/>
      <c r="FK105" s="262"/>
      <c r="FL105" s="120"/>
      <c r="FM105" s="262"/>
      <c r="FN105" s="262"/>
      <c r="FO105" s="120"/>
      <c r="FP105" s="262"/>
      <c r="FQ105" s="262"/>
      <c r="FR105" s="120"/>
      <c r="FS105" s="262"/>
      <c r="FT105" s="262"/>
      <c r="FU105" s="120"/>
      <c r="FV105" s="262"/>
      <c r="FW105" s="262"/>
      <c r="FX105" s="120"/>
      <c r="FY105" s="262"/>
      <c r="FZ105" s="262"/>
      <c r="GA105" s="256"/>
      <c r="GB105" s="233"/>
      <c r="GC105" s="233"/>
      <c r="GJ105" s="121">
        <f t="shared" si="37"/>
        <v>0</v>
      </c>
      <c r="GK105" s="121">
        <f t="shared" si="38"/>
        <v>0</v>
      </c>
      <c r="GM105" s="121">
        <f t="shared" si="39"/>
        <v>1</v>
      </c>
      <c r="GN105" s="121">
        <f t="shared" si="40"/>
        <v>0</v>
      </c>
      <c r="GO105" s="121">
        <f t="shared" si="41"/>
        <v>0</v>
      </c>
      <c r="GP105" s="121">
        <f t="shared" si="42"/>
        <v>0</v>
      </c>
      <c r="GQ105" s="121">
        <f t="shared" si="43"/>
        <v>0</v>
      </c>
      <c r="GR105" s="121">
        <f t="shared" si="44"/>
        <v>0</v>
      </c>
    </row>
    <row r="106" spans="1:200" ht="38.25" customHeight="1" x14ac:dyDescent="0.55000000000000004">
      <c r="B106" s="303" t="s">
        <v>445</v>
      </c>
      <c r="C106" s="198"/>
      <c r="D106" s="198"/>
      <c r="E106" s="198"/>
      <c r="F106" s="198"/>
      <c r="G106" s="198"/>
      <c r="H106" s="198"/>
      <c r="I106" s="142" cm="1">
        <f t="array" ref="I106">SUMPRODUCT(($X$2:$GG$2&lt;&gt;"")*($X106:$GG106&lt;&gt;""))</f>
        <v>1</v>
      </c>
      <c r="J106" s="122">
        <f t="shared" si="28"/>
        <v>0</v>
      </c>
      <c r="K106" s="122">
        <f t="shared" si="29"/>
        <v>0</v>
      </c>
      <c r="L106" s="249">
        <f t="shared" si="45"/>
        <v>7000</v>
      </c>
      <c r="M106" s="144">
        <f t="shared" si="30"/>
        <v>336</v>
      </c>
      <c r="N106" s="405"/>
      <c r="O106" s="145">
        <f t="shared" si="31"/>
        <v>0</v>
      </c>
      <c r="P106" s="145">
        <f t="shared" si="32"/>
        <v>0</v>
      </c>
      <c r="Q106" s="145">
        <f t="shared" si="33"/>
        <v>0</v>
      </c>
      <c r="R106" s="145">
        <f t="shared" si="34"/>
        <v>0</v>
      </c>
      <c r="S106" s="130">
        <f t="shared" si="35"/>
        <v>0</v>
      </c>
      <c r="T106" s="130">
        <f t="shared" si="36"/>
        <v>0</v>
      </c>
      <c r="U106" s="141"/>
      <c r="V106" s="123"/>
      <c r="W106" s="134"/>
      <c r="X106" s="347">
        <v>12</v>
      </c>
      <c r="Y106" s="347">
        <v>250</v>
      </c>
      <c r="Z106" s="348" t="s">
        <v>576</v>
      </c>
      <c r="AA106" s="120"/>
      <c r="AB106" s="134"/>
      <c r="AC106" s="200"/>
      <c r="AD106" s="125"/>
      <c r="AE106" s="134"/>
      <c r="AF106" s="200"/>
      <c r="AG106" s="120"/>
      <c r="AH106" s="262"/>
      <c r="AI106" s="262"/>
      <c r="AJ106" s="120"/>
      <c r="AK106" s="262"/>
      <c r="AL106" s="262"/>
      <c r="AM106" s="120"/>
      <c r="AN106" s="262"/>
      <c r="AO106" s="262"/>
      <c r="AP106" s="120"/>
      <c r="AQ106" s="262"/>
      <c r="AR106" s="262"/>
      <c r="AS106" s="120"/>
      <c r="AT106" s="262"/>
      <c r="AU106" s="262"/>
      <c r="AV106" s="120"/>
      <c r="AW106" s="262"/>
      <c r="AX106" s="262"/>
      <c r="AY106" s="120"/>
      <c r="AZ106" s="262"/>
      <c r="BA106" s="262"/>
      <c r="BB106" s="120"/>
      <c r="BC106" s="134"/>
      <c r="BD106" s="200"/>
      <c r="BE106" s="120"/>
      <c r="BF106" s="134"/>
      <c r="BG106" s="200"/>
      <c r="BH106" s="120"/>
      <c r="BI106" s="252"/>
      <c r="BJ106" s="252"/>
      <c r="BK106" s="120"/>
      <c r="BL106" s="134"/>
      <c r="BM106" s="134"/>
      <c r="BN106" s="120"/>
      <c r="BO106" s="252"/>
      <c r="BP106" s="252"/>
      <c r="BQ106" s="120"/>
      <c r="BR106" s="134"/>
      <c r="BS106" s="134"/>
      <c r="BT106" s="120"/>
      <c r="BU106" s="134"/>
      <c r="BV106" s="200"/>
      <c r="BW106" s="120"/>
      <c r="BX106" s="134"/>
      <c r="BY106" s="200"/>
      <c r="BZ106" s="120"/>
      <c r="CA106" s="126"/>
      <c r="CB106" s="126"/>
      <c r="CC106" s="120"/>
      <c r="CD106" s="126"/>
      <c r="CE106" s="126"/>
      <c r="CF106" s="120"/>
      <c r="CG106" s="134"/>
      <c r="CH106" s="134"/>
      <c r="CI106" s="120"/>
      <c r="CJ106" s="200"/>
      <c r="CK106" s="200"/>
      <c r="CL106" s="120"/>
      <c r="CM106" s="200"/>
      <c r="CN106" s="200"/>
      <c r="CO106" s="120"/>
      <c r="CP106" s="134"/>
      <c r="CQ106" s="134"/>
      <c r="CR106" s="120"/>
      <c r="CS106" s="134"/>
      <c r="CT106" s="134"/>
      <c r="CU106" s="120"/>
      <c r="CV106" s="202"/>
      <c r="CW106" s="202"/>
      <c r="CX106" s="120"/>
      <c r="CY106" s="202"/>
      <c r="CZ106" s="202"/>
      <c r="DA106" s="120"/>
      <c r="DB106" s="202"/>
      <c r="DC106" s="202"/>
      <c r="DD106" s="349"/>
      <c r="DE106" s="202"/>
      <c r="DF106" s="202"/>
      <c r="DG106" s="254"/>
      <c r="DH106" s="203"/>
      <c r="DI106" s="203"/>
      <c r="DJ106" s="259"/>
      <c r="DK106" s="136"/>
      <c r="DL106" s="136"/>
      <c r="DM106" s="120"/>
      <c r="DN106" s="233"/>
      <c r="DO106" s="233"/>
      <c r="DP106" s="120"/>
      <c r="DQ106" s="262"/>
      <c r="DR106" s="262"/>
      <c r="DS106" s="120"/>
      <c r="DT106" s="262"/>
      <c r="DU106" s="262"/>
      <c r="DV106" s="120"/>
      <c r="DW106" s="262"/>
      <c r="DX106" s="262"/>
      <c r="DY106" s="120"/>
      <c r="DZ106" s="262"/>
      <c r="EA106" s="262"/>
      <c r="EB106" s="265"/>
      <c r="EC106" s="262"/>
      <c r="ED106" s="262"/>
      <c r="EE106" s="256"/>
      <c r="EF106" s="233"/>
      <c r="EG106" s="233"/>
      <c r="EH106" s="120"/>
      <c r="EI106" s="262"/>
      <c r="EJ106" s="262"/>
      <c r="EK106" s="120"/>
      <c r="EL106" s="262"/>
      <c r="EM106" s="262"/>
      <c r="EN106" s="120"/>
      <c r="EO106" s="262"/>
      <c r="EP106" s="262"/>
      <c r="EQ106" s="120"/>
      <c r="ER106" s="262"/>
      <c r="ES106" s="262"/>
      <c r="ET106" s="120"/>
      <c r="EU106" s="262"/>
      <c r="EV106" s="262"/>
      <c r="EW106" s="120"/>
      <c r="EX106" s="262"/>
      <c r="EY106" s="262"/>
      <c r="EZ106" s="120"/>
      <c r="FA106" s="262"/>
      <c r="FB106" s="262"/>
      <c r="FC106" s="120"/>
      <c r="FD106" s="262"/>
      <c r="FE106" s="262"/>
      <c r="FF106" s="120"/>
      <c r="FG106" s="262"/>
      <c r="FH106" s="262"/>
      <c r="FI106" s="120"/>
      <c r="FJ106" s="262"/>
      <c r="FK106" s="262"/>
      <c r="FL106" s="120"/>
      <c r="FM106" s="262"/>
      <c r="FN106" s="262"/>
      <c r="FO106" s="120"/>
      <c r="FP106" s="262"/>
      <c r="FQ106" s="262"/>
      <c r="FR106" s="120"/>
      <c r="FS106" s="262"/>
      <c r="FT106" s="262"/>
      <c r="FU106" s="120"/>
      <c r="FV106" s="262"/>
      <c r="FW106" s="262"/>
      <c r="FX106" s="120"/>
      <c r="FY106" s="262"/>
      <c r="FZ106" s="262"/>
      <c r="GA106" s="256"/>
      <c r="GB106" s="233"/>
      <c r="GC106" s="233"/>
      <c r="GJ106" s="121">
        <f t="shared" si="37"/>
        <v>0</v>
      </c>
      <c r="GK106" s="121">
        <f t="shared" si="38"/>
        <v>0</v>
      </c>
      <c r="GM106" s="121">
        <f t="shared" si="39"/>
        <v>1</v>
      </c>
      <c r="GN106" s="121">
        <f t="shared" si="40"/>
        <v>0</v>
      </c>
      <c r="GO106" s="121">
        <f t="shared" si="41"/>
        <v>0</v>
      </c>
      <c r="GP106" s="121">
        <f t="shared" si="42"/>
        <v>0</v>
      </c>
      <c r="GQ106" s="121">
        <f t="shared" si="43"/>
        <v>0</v>
      </c>
      <c r="GR106" s="121">
        <f t="shared" si="44"/>
        <v>0</v>
      </c>
    </row>
    <row r="107" spans="1:200" ht="38.25" customHeight="1" x14ac:dyDescent="0.55000000000000004">
      <c r="B107" s="303" t="s">
        <v>446</v>
      </c>
      <c r="C107" s="198"/>
      <c r="D107" s="198"/>
      <c r="E107" s="198"/>
      <c r="F107" s="198"/>
      <c r="G107" s="198"/>
      <c r="H107" s="198"/>
      <c r="I107" s="142" cm="1">
        <f t="array" ref="I107">SUMPRODUCT(($X$2:$GG$2&lt;&gt;"")*($X107:$GG107&lt;&gt;""))</f>
        <v>1</v>
      </c>
      <c r="J107" s="122">
        <f t="shared" si="28"/>
        <v>0</v>
      </c>
      <c r="K107" s="122">
        <f t="shared" si="29"/>
        <v>0</v>
      </c>
      <c r="L107" s="249">
        <f t="shared" si="45"/>
        <v>7000</v>
      </c>
      <c r="M107" s="144">
        <f t="shared" si="30"/>
        <v>336</v>
      </c>
      <c r="N107" s="405"/>
      <c r="O107" s="145">
        <f t="shared" si="31"/>
        <v>0</v>
      </c>
      <c r="P107" s="145">
        <f t="shared" si="32"/>
        <v>0</v>
      </c>
      <c r="Q107" s="145">
        <f t="shared" si="33"/>
        <v>0</v>
      </c>
      <c r="R107" s="145">
        <f t="shared" si="34"/>
        <v>0</v>
      </c>
      <c r="S107" s="130">
        <f t="shared" si="35"/>
        <v>0</v>
      </c>
      <c r="T107" s="130">
        <f t="shared" si="36"/>
        <v>0</v>
      </c>
      <c r="U107" s="141"/>
      <c r="V107" s="123"/>
      <c r="W107" s="134"/>
      <c r="X107" s="347">
        <v>12</v>
      </c>
      <c r="Y107" s="347">
        <v>250</v>
      </c>
      <c r="Z107" s="348" t="s">
        <v>576</v>
      </c>
      <c r="AA107" s="120"/>
      <c r="AB107" s="134"/>
      <c r="AC107" s="200"/>
      <c r="AD107" s="125"/>
      <c r="AE107" s="134"/>
      <c r="AF107" s="200"/>
      <c r="AG107" s="120"/>
      <c r="AH107" s="262"/>
      <c r="AI107" s="262"/>
      <c r="AJ107" s="120"/>
      <c r="AK107" s="262"/>
      <c r="AL107" s="262"/>
      <c r="AM107" s="120"/>
      <c r="AN107" s="262"/>
      <c r="AO107" s="262"/>
      <c r="AP107" s="120"/>
      <c r="AQ107" s="262"/>
      <c r="AR107" s="262"/>
      <c r="AS107" s="120"/>
      <c r="AT107" s="262"/>
      <c r="AU107" s="262"/>
      <c r="AV107" s="120"/>
      <c r="AW107" s="262"/>
      <c r="AX107" s="262"/>
      <c r="AY107" s="120"/>
      <c r="AZ107" s="262"/>
      <c r="BA107" s="262"/>
      <c r="BB107" s="120"/>
      <c r="BC107" s="134"/>
      <c r="BD107" s="200"/>
      <c r="BE107" s="120"/>
      <c r="BF107" s="134"/>
      <c r="BG107" s="200"/>
      <c r="BH107" s="120"/>
      <c r="BI107" s="252"/>
      <c r="BJ107" s="252"/>
      <c r="BK107" s="120"/>
      <c r="BL107" s="134"/>
      <c r="BM107" s="134"/>
      <c r="BN107" s="120"/>
      <c r="BO107" s="252"/>
      <c r="BP107" s="252"/>
      <c r="BQ107" s="120"/>
      <c r="BR107" s="134"/>
      <c r="BS107" s="134"/>
      <c r="BT107" s="120"/>
      <c r="BU107" s="134"/>
      <c r="BV107" s="200"/>
      <c r="BW107" s="120"/>
      <c r="BX107" s="134"/>
      <c r="BY107" s="200"/>
      <c r="BZ107" s="120"/>
      <c r="CA107" s="126"/>
      <c r="CB107" s="126"/>
      <c r="CC107" s="120"/>
      <c r="CD107" s="126"/>
      <c r="CE107" s="126"/>
      <c r="CF107" s="120"/>
      <c r="CG107" s="134"/>
      <c r="CH107" s="134"/>
      <c r="CI107" s="120"/>
      <c r="CJ107" s="200"/>
      <c r="CK107" s="200"/>
      <c r="CL107" s="120"/>
      <c r="CM107" s="200"/>
      <c r="CN107" s="200"/>
      <c r="CO107" s="120"/>
      <c r="CP107" s="134"/>
      <c r="CQ107" s="134"/>
      <c r="CR107" s="120"/>
      <c r="CS107" s="134"/>
      <c r="CT107" s="134"/>
      <c r="CU107" s="120"/>
      <c r="CV107" s="202"/>
      <c r="CW107" s="202"/>
      <c r="CX107" s="120"/>
      <c r="CY107" s="202"/>
      <c r="CZ107" s="202"/>
      <c r="DA107" s="120"/>
      <c r="DB107" s="202"/>
      <c r="DC107" s="202"/>
      <c r="DD107" s="349"/>
      <c r="DE107" s="202"/>
      <c r="DF107" s="202"/>
      <c r="DG107" s="254"/>
      <c r="DH107" s="203"/>
      <c r="DI107" s="203"/>
      <c r="DJ107" s="259"/>
      <c r="DK107" s="136"/>
      <c r="DL107" s="136"/>
      <c r="DM107" s="120"/>
      <c r="DN107" s="233"/>
      <c r="DO107" s="233"/>
      <c r="DP107" s="120"/>
      <c r="DQ107" s="262"/>
      <c r="DR107" s="262"/>
      <c r="DS107" s="120"/>
      <c r="DT107" s="262"/>
      <c r="DU107" s="262"/>
      <c r="DV107" s="120"/>
      <c r="DW107" s="262"/>
      <c r="DX107" s="262"/>
      <c r="DY107" s="120"/>
      <c r="DZ107" s="262"/>
      <c r="EA107" s="262"/>
      <c r="EB107" s="265"/>
      <c r="EC107" s="262"/>
      <c r="ED107" s="262"/>
      <c r="EE107" s="256"/>
      <c r="EF107" s="233"/>
      <c r="EG107" s="233"/>
      <c r="EH107" s="120"/>
      <c r="EI107" s="262"/>
      <c r="EJ107" s="262"/>
      <c r="EK107" s="120"/>
      <c r="EL107" s="262"/>
      <c r="EM107" s="262"/>
      <c r="EN107" s="120"/>
      <c r="EO107" s="262"/>
      <c r="EP107" s="262"/>
      <c r="EQ107" s="120"/>
      <c r="ER107" s="262"/>
      <c r="ES107" s="262"/>
      <c r="ET107" s="120"/>
      <c r="EU107" s="262"/>
      <c r="EV107" s="262"/>
      <c r="EW107" s="120"/>
      <c r="EX107" s="262"/>
      <c r="EY107" s="262"/>
      <c r="EZ107" s="120"/>
      <c r="FA107" s="262"/>
      <c r="FB107" s="262"/>
      <c r="FC107" s="120"/>
      <c r="FD107" s="262"/>
      <c r="FE107" s="262"/>
      <c r="FF107" s="120"/>
      <c r="FG107" s="262"/>
      <c r="FH107" s="262"/>
      <c r="FI107" s="120"/>
      <c r="FJ107" s="262"/>
      <c r="FK107" s="262"/>
      <c r="FL107" s="120"/>
      <c r="FM107" s="262"/>
      <c r="FN107" s="262"/>
      <c r="FO107" s="120"/>
      <c r="FP107" s="262"/>
      <c r="FQ107" s="262"/>
      <c r="FR107" s="120"/>
      <c r="FS107" s="262"/>
      <c r="FT107" s="262"/>
      <c r="FU107" s="120"/>
      <c r="FV107" s="262"/>
      <c r="FW107" s="262"/>
      <c r="FX107" s="120"/>
      <c r="FY107" s="262"/>
      <c r="FZ107" s="262"/>
      <c r="GA107" s="256"/>
      <c r="GB107" s="233"/>
      <c r="GC107" s="233"/>
      <c r="GJ107" s="121">
        <f t="shared" si="37"/>
        <v>0</v>
      </c>
      <c r="GK107" s="121">
        <f t="shared" si="38"/>
        <v>0</v>
      </c>
      <c r="GM107" s="121">
        <f t="shared" si="39"/>
        <v>1</v>
      </c>
      <c r="GN107" s="121">
        <f t="shared" si="40"/>
        <v>0</v>
      </c>
      <c r="GO107" s="121">
        <f t="shared" si="41"/>
        <v>0</v>
      </c>
      <c r="GP107" s="121">
        <f t="shared" si="42"/>
        <v>0</v>
      </c>
      <c r="GQ107" s="121">
        <f t="shared" si="43"/>
        <v>0</v>
      </c>
      <c r="GR107" s="121">
        <f t="shared" si="44"/>
        <v>0</v>
      </c>
    </row>
    <row r="108" spans="1:200" ht="38.25" customHeight="1" x14ac:dyDescent="0.55000000000000004">
      <c r="B108" s="303" t="s">
        <v>447</v>
      </c>
      <c r="C108" s="198"/>
      <c r="D108" s="198"/>
      <c r="E108" s="198"/>
      <c r="F108" s="198"/>
      <c r="G108" s="198"/>
      <c r="H108" s="198"/>
      <c r="I108" s="142" cm="1">
        <f t="array" ref="I108">SUMPRODUCT(($X$2:$GG$2&lt;&gt;"")*($X108:$GG108&lt;&gt;""))</f>
        <v>1</v>
      </c>
      <c r="J108" s="122">
        <f t="shared" si="28"/>
        <v>0</v>
      </c>
      <c r="K108" s="122">
        <f t="shared" si="29"/>
        <v>0</v>
      </c>
      <c r="L108" s="249">
        <f t="shared" si="45"/>
        <v>7000</v>
      </c>
      <c r="M108" s="144">
        <f t="shared" si="30"/>
        <v>336</v>
      </c>
      <c r="N108" s="405"/>
      <c r="O108" s="145">
        <f t="shared" si="31"/>
        <v>0</v>
      </c>
      <c r="P108" s="145">
        <f t="shared" si="32"/>
        <v>0</v>
      </c>
      <c r="Q108" s="145">
        <f t="shared" si="33"/>
        <v>0</v>
      </c>
      <c r="R108" s="145">
        <f t="shared" si="34"/>
        <v>0</v>
      </c>
      <c r="S108" s="130">
        <f t="shared" si="35"/>
        <v>0</v>
      </c>
      <c r="T108" s="130">
        <f t="shared" si="36"/>
        <v>0</v>
      </c>
      <c r="U108" s="141"/>
      <c r="V108" s="123"/>
      <c r="W108" s="134"/>
      <c r="X108" s="347">
        <v>12</v>
      </c>
      <c r="Y108" s="347">
        <v>250</v>
      </c>
      <c r="Z108" s="348" t="s">
        <v>576</v>
      </c>
      <c r="AA108" s="120"/>
      <c r="AB108" s="134"/>
      <c r="AC108" s="200"/>
      <c r="AD108" s="125"/>
      <c r="AE108" s="134"/>
      <c r="AF108" s="200"/>
      <c r="AG108" s="120"/>
      <c r="AH108" s="262"/>
      <c r="AI108" s="262"/>
      <c r="AJ108" s="120"/>
      <c r="AK108" s="262"/>
      <c r="AL108" s="262"/>
      <c r="AM108" s="120"/>
      <c r="AN108" s="262"/>
      <c r="AO108" s="262"/>
      <c r="AP108" s="120"/>
      <c r="AQ108" s="262"/>
      <c r="AR108" s="262"/>
      <c r="AS108" s="120"/>
      <c r="AT108" s="262"/>
      <c r="AU108" s="262"/>
      <c r="AV108" s="120"/>
      <c r="AW108" s="262"/>
      <c r="AX108" s="262"/>
      <c r="AY108" s="120"/>
      <c r="AZ108" s="262"/>
      <c r="BA108" s="262"/>
      <c r="BB108" s="120"/>
      <c r="BC108" s="134"/>
      <c r="BD108" s="200"/>
      <c r="BE108" s="120"/>
      <c r="BF108" s="134"/>
      <c r="BG108" s="200"/>
      <c r="BH108" s="120"/>
      <c r="BI108" s="252"/>
      <c r="BJ108" s="252"/>
      <c r="BK108" s="120"/>
      <c r="BL108" s="134"/>
      <c r="BM108" s="134"/>
      <c r="BN108" s="120"/>
      <c r="BO108" s="252"/>
      <c r="BP108" s="252"/>
      <c r="BQ108" s="120"/>
      <c r="BR108" s="134"/>
      <c r="BS108" s="134"/>
      <c r="BT108" s="120"/>
      <c r="BU108" s="134"/>
      <c r="BV108" s="200"/>
      <c r="BW108" s="120"/>
      <c r="BX108" s="134"/>
      <c r="BY108" s="200"/>
      <c r="BZ108" s="120"/>
      <c r="CA108" s="126"/>
      <c r="CB108" s="126"/>
      <c r="CC108" s="120"/>
      <c r="CD108" s="126"/>
      <c r="CE108" s="126"/>
      <c r="CF108" s="120"/>
      <c r="CG108" s="134"/>
      <c r="CH108" s="134"/>
      <c r="CI108" s="120"/>
      <c r="CJ108" s="200"/>
      <c r="CK108" s="200"/>
      <c r="CL108" s="120"/>
      <c r="CM108" s="200"/>
      <c r="CN108" s="200"/>
      <c r="CO108" s="120"/>
      <c r="CP108" s="134"/>
      <c r="CQ108" s="134"/>
      <c r="CR108" s="120"/>
      <c r="CS108" s="134"/>
      <c r="CT108" s="134"/>
      <c r="CU108" s="120"/>
      <c r="CV108" s="202"/>
      <c r="CW108" s="202"/>
      <c r="CX108" s="120"/>
      <c r="CY108" s="202"/>
      <c r="CZ108" s="202"/>
      <c r="DA108" s="120"/>
      <c r="DB108" s="202"/>
      <c r="DC108" s="202"/>
      <c r="DD108" s="349"/>
      <c r="DE108" s="202"/>
      <c r="DF108" s="202"/>
      <c r="DG108" s="254"/>
      <c r="DH108" s="203"/>
      <c r="DI108" s="203"/>
      <c r="DJ108" s="259"/>
      <c r="DK108" s="136"/>
      <c r="DL108" s="136"/>
      <c r="DM108" s="120"/>
      <c r="DN108" s="233"/>
      <c r="DO108" s="233"/>
      <c r="DP108" s="120"/>
      <c r="DQ108" s="262"/>
      <c r="DR108" s="262"/>
      <c r="DS108" s="120"/>
      <c r="DT108" s="262"/>
      <c r="DU108" s="262"/>
      <c r="DV108" s="120"/>
      <c r="DW108" s="262"/>
      <c r="DX108" s="262"/>
      <c r="DY108" s="120"/>
      <c r="DZ108" s="262"/>
      <c r="EA108" s="262"/>
      <c r="EB108" s="265"/>
      <c r="EC108" s="262"/>
      <c r="ED108" s="262"/>
      <c r="EE108" s="256"/>
      <c r="EF108" s="233"/>
      <c r="EG108" s="233"/>
      <c r="EH108" s="120"/>
      <c r="EI108" s="262"/>
      <c r="EJ108" s="262"/>
      <c r="EK108" s="120"/>
      <c r="EL108" s="262"/>
      <c r="EM108" s="262"/>
      <c r="EN108" s="120"/>
      <c r="EO108" s="262"/>
      <c r="EP108" s="262"/>
      <c r="EQ108" s="120"/>
      <c r="ER108" s="262"/>
      <c r="ES108" s="262"/>
      <c r="ET108" s="120"/>
      <c r="EU108" s="262"/>
      <c r="EV108" s="262"/>
      <c r="EW108" s="120"/>
      <c r="EX108" s="262"/>
      <c r="EY108" s="262"/>
      <c r="EZ108" s="120"/>
      <c r="FA108" s="262"/>
      <c r="FB108" s="262"/>
      <c r="FC108" s="120"/>
      <c r="FD108" s="262"/>
      <c r="FE108" s="262"/>
      <c r="FF108" s="120"/>
      <c r="FG108" s="262"/>
      <c r="FH108" s="262"/>
      <c r="FI108" s="120"/>
      <c r="FJ108" s="262"/>
      <c r="FK108" s="262"/>
      <c r="FL108" s="120"/>
      <c r="FM108" s="262"/>
      <c r="FN108" s="262"/>
      <c r="FO108" s="120"/>
      <c r="FP108" s="262"/>
      <c r="FQ108" s="262"/>
      <c r="FR108" s="120"/>
      <c r="FS108" s="262"/>
      <c r="FT108" s="262"/>
      <c r="FU108" s="120"/>
      <c r="FV108" s="262"/>
      <c r="FW108" s="262"/>
      <c r="FX108" s="120"/>
      <c r="FY108" s="262"/>
      <c r="FZ108" s="262"/>
      <c r="GA108" s="256"/>
      <c r="GB108" s="233"/>
      <c r="GC108" s="233"/>
      <c r="GJ108" s="121">
        <f t="shared" si="37"/>
        <v>0</v>
      </c>
      <c r="GK108" s="121">
        <f t="shared" si="38"/>
        <v>0</v>
      </c>
      <c r="GM108" s="121">
        <f t="shared" si="39"/>
        <v>1</v>
      </c>
      <c r="GN108" s="121">
        <f t="shared" si="40"/>
        <v>0</v>
      </c>
      <c r="GO108" s="121">
        <f t="shared" si="41"/>
        <v>0</v>
      </c>
      <c r="GP108" s="121">
        <f t="shared" si="42"/>
        <v>0</v>
      </c>
      <c r="GQ108" s="121">
        <f t="shared" si="43"/>
        <v>0</v>
      </c>
      <c r="GR108" s="121">
        <f t="shared" si="44"/>
        <v>0</v>
      </c>
    </row>
    <row r="109" spans="1:200" ht="38.25" customHeight="1" x14ac:dyDescent="0.55000000000000004">
      <c r="B109" s="303" t="s">
        <v>448</v>
      </c>
      <c r="C109" s="198"/>
      <c r="D109" s="198"/>
      <c r="E109" s="198"/>
      <c r="F109" s="198"/>
      <c r="G109" s="198"/>
      <c r="H109" s="198"/>
      <c r="I109" s="142" cm="1">
        <f t="array" ref="I109">SUMPRODUCT(($X$2:$GG$2&lt;&gt;"")*($X109:$GG109&lt;&gt;""))</f>
        <v>1</v>
      </c>
      <c r="J109" s="122">
        <f t="shared" si="28"/>
        <v>0</v>
      </c>
      <c r="K109" s="122">
        <f t="shared" si="29"/>
        <v>0</v>
      </c>
      <c r="L109" s="249">
        <f t="shared" si="45"/>
        <v>7000</v>
      </c>
      <c r="M109" s="144">
        <f t="shared" si="30"/>
        <v>336</v>
      </c>
      <c r="N109" s="405"/>
      <c r="O109" s="145">
        <f t="shared" si="31"/>
        <v>0</v>
      </c>
      <c r="P109" s="145">
        <f t="shared" si="32"/>
        <v>0</v>
      </c>
      <c r="Q109" s="145">
        <f t="shared" si="33"/>
        <v>0</v>
      </c>
      <c r="R109" s="145">
        <f t="shared" si="34"/>
        <v>0</v>
      </c>
      <c r="S109" s="130">
        <f t="shared" si="35"/>
        <v>0</v>
      </c>
      <c r="T109" s="130">
        <f t="shared" si="36"/>
        <v>0</v>
      </c>
      <c r="U109" s="141"/>
      <c r="V109" s="123"/>
      <c r="W109" s="134"/>
      <c r="X109" s="347">
        <v>12</v>
      </c>
      <c r="Y109" s="347">
        <v>250</v>
      </c>
      <c r="Z109" s="348" t="s">
        <v>576</v>
      </c>
      <c r="AA109" s="120"/>
      <c r="AB109" s="134"/>
      <c r="AC109" s="200"/>
      <c r="AD109" s="125"/>
      <c r="AE109" s="134"/>
      <c r="AF109" s="200"/>
      <c r="AG109" s="120"/>
      <c r="AH109" s="262"/>
      <c r="AI109" s="262"/>
      <c r="AJ109" s="120"/>
      <c r="AK109" s="262"/>
      <c r="AL109" s="262"/>
      <c r="AM109" s="120"/>
      <c r="AN109" s="262"/>
      <c r="AO109" s="262"/>
      <c r="AP109" s="120"/>
      <c r="AQ109" s="262"/>
      <c r="AR109" s="262"/>
      <c r="AS109" s="120"/>
      <c r="AT109" s="262"/>
      <c r="AU109" s="262"/>
      <c r="AV109" s="120"/>
      <c r="AW109" s="262"/>
      <c r="AX109" s="262"/>
      <c r="AY109" s="120"/>
      <c r="AZ109" s="262"/>
      <c r="BA109" s="262"/>
      <c r="BB109" s="120"/>
      <c r="BC109" s="134"/>
      <c r="BD109" s="200"/>
      <c r="BE109" s="120"/>
      <c r="BF109" s="134"/>
      <c r="BG109" s="200"/>
      <c r="BH109" s="120"/>
      <c r="BI109" s="252"/>
      <c r="BJ109" s="252"/>
      <c r="BK109" s="120"/>
      <c r="BL109" s="134"/>
      <c r="BM109" s="134"/>
      <c r="BN109" s="120"/>
      <c r="BO109" s="252"/>
      <c r="BP109" s="252"/>
      <c r="BQ109" s="120"/>
      <c r="BR109" s="134"/>
      <c r="BS109" s="134"/>
      <c r="BT109" s="120"/>
      <c r="BU109" s="134"/>
      <c r="BV109" s="200"/>
      <c r="BW109" s="120"/>
      <c r="BX109" s="134"/>
      <c r="BY109" s="200"/>
      <c r="BZ109" s="120"/>
      <c r="CA109" s="126"/>
      <c r="CB109" s="126"/>
      <c r="CC109" s="120"/>
      <c r="CD109" s="126"/>
      <c r="CE109" s="126"/>
      <c r="CF109" s="120"/>
      <c r="CG109" s="134"/>
      <c r="CH109" s="134"/>
      <c r="CI109" s="120"/>
      <c r="CJ109" s="200"/>
      <c r="CK109" s="200"/>
      <c r="CL109" s="120"/>
      <c r="CM109" s="200"/>
      <c r="CN109" s="200"/>
      <c r="CO109" s="120"/>
      <c r="CP109" s="134"/>
      <c r="CQ109" s="134"/>
      <c r="CR109" s="120"/>
      <c r="CS109" s="134"/>
      <c r="CT109" s="134"/>
      <c r="CU109" s="120"/>
      <c r="CV109" s="202"/>
      <c r="CW109" s="202"/>
      <c r="CX109" s="120"/>
      <c r="CY109" s="202"/>
      <c r="CZ109" s="202"/>
      <c r="DA109" s="120"/>
      <c r="DB109" s="202"/>
      <c r="DC109" s="202"/>
      <c r="DD109" s="349"/>
      <c r="DE109" s="202"/>
      <c r="DF109" s="202"/>
      <c r="DG109" s="254"/>
      <c r="DH109" s="203"/>
      <c r="DI109" s="203"/>
      <c r="DJ109" s="259"/>
      <c r="DK109" s="136"/>
      <c r="DL109" s="136"/>
      <c r="DM109" s="120"/>
      <c r="DN109" s="233"/>
      <c r="DO109" s="233"/>
      <c r="DP109" s="120"/>
      <c r="DQ109" s="262"/>
      <c r="DR109" s="262"/>
      <c r="DS109" s="120"/>
      <c r="DT109" s="262"/>
      <c r="DU109" s="262"/>
      <c r="DV109" s="120"/>
      <c r="DW109" s="262"/>
      <c r="DX109" s="262"/>
      <c r="DY109" s="120"/>
      <c r="DZ109" s="262"/>
      <c r="EA109" s="262"/>
      <c r="EB109" s="265"/>
      <c r="EC109" s="262"/>
      <c r="ED109" s="262"/>
      <c r="EE109" s="256"/>
      <c r="EF109" s="233"/>
      <c r="EG109" s="233"/>
      <c r="EH109" s="120"/>
      <c r="EI109" s="262"/>
      <c r="EJ109" s="262"/>
      <c r="EK109" s="120"/>
      <c r="EL109" s="262"/>
      <c r="EM109" s="262"/>
      <c r="EN109" s="120"/>
      <c r="EO109" s="262"/>
      <c r="EP109" s="262"/>
      <c r="EQ109" s="120"/>
      <c r="ER109" s="262"/>
      <c r="ES109" s="262"/>
      <c r="ET109" s="120"/>
      <c r="EU109" s="262"/>
      <c r="EV109" s="262"/>
      <c r="EW109" s="120"/>
      <c r="EX109" s="262"/>
      <c r="EY109" s="262"/>
      <c r="EZ109" s="120"/>
      <c r="FA109" s="262"/>
      <c r="FB109" s="262"/>
      <c r="FC109" s="120"/>
      <c r="FD109" s="262"/>
      <c r="FE109" s="262"/>
      <c r="FF109" s="120"/>
      <c r="FG109" s="262"/>
      <c r="FH109" s="262"/>
      <c r="FI109" s="120"/>
      <c r="FJ109" s="262"/>
      <c r="FK109" s="262"/>
      <c r="FL109" s="120"/>
      <c r="FM109" s="262"/>
      <c r="FN109" s="262"/>
      <c r="FO109" s="120"/>
      <c r="FP109" s="262"/>
      <c r="FQ109" s="262"/>
      <c r="FR109" s="120"/>
      <c r="FS109" s="262"/>
      <c r="FT109" s="262"/>
      <c r="FU109" s="120"/>
      <c r="FV109" s="262"/>
      <c r="FW109" s="262"/>
      <c r="FX109" s="120"/>
      <c r="FY109" s="262"/>
      <c r="FZ109" s="262"/>
      <c r="GA109" s="256"/>
      <c r="GB109" s="233"/>
      <c r="GC109" s="233"/>
      <c r="GJ109" s="121">
        <f t="shared" si="37"/>
        <v>0</v>
      </c>
      <c r="GK109" s="121">
        <f t="shared" si="38"/>
        <v>0</v>
      </c>
      <c r="GM109" s="121">
        <f t="shared" si="39"/>
        <v>1</v>
      </c>
      <c r="GN109" s="121">
        <f t="shared" si="40"/>
        <v>0</v>
      </c>
      <c r="GO109" s="121">
        <f t="shared" si="41"/>
        <v>0</v>
      </c>
      <c r="GP109" s="121">
        <f t="shared" si="42"/>
        <v>0</v>
      </c>
      <c r="GQ109" s="121">
        <f t="shared" si="43"/>
        <v>0</v>
      </c>
      <c r="GR109" s="121">
        <f t="shared" si="44"/>
        <v>0</v>
      </c>
    </row>
    <row r="110" spans="1:200" ht="38.25" customHeight="1" x14ac:dyDescent="0.55000000000000004">
      <c r="B110" s="303" t="s">
        <v>449</v>
      </c>
      <c r="C110" s="198"/>
      <c r="D110" s="198"/>
      <c r="E110" s="198"/>
      <c r="F110" s="198"/>
      <c r="G110" s="198"/>
      <c r="H110" s="198"/>
      <c r="I110" s="142" cm="1">
        <f t="array" ref="I110">SUMPRODUCT(($X$2:$GG$2&lt;&gt;"")*($X110:$GG110&lt;&gt;""))</f>
        <v>1</v>
      </c>
      <c r="J110" s="122">
        <f t="shared" si="28"/>
        <v>0</v>
      </c>
      <c r="K110" s="122">
        <f t="shared" si="29"/>
        <v>0</v>
      </c>
      <c r="L110" s="249">
        <f t="shared" si="45"/>
        <v>7000</v>
      </c>
      <c r="M110" s="144">
        <f t="shared" si="30"/>
        <v>280</v>
      </c>
      <c r="N110" s="405"/>
      <c r="O110" s="145">
        <f t="shared" si="31"/>
        <v>0</v>
      </c>
      <c r="P110" s="145">
        <f t="shared" si="32"/>
        <v>0</v>
      </c>
      <c r="Q110" s="145">
        <f t="shared" si="33"/>
        <v>0</v>
      </c>
      <c r="R110" s="145">
        <f t="shared" si="34"/>
        <v>0</v>
      </c>
      <c r="S110" s="130">
        <f t="shared" si="35"/>
        <v>0</v>
      </c>
      <c r="T110" s="130">
        <f t="shared" si="36"/>
        <v>0</v>
      </c>
      <c r="U110" s="141"/>
      <c r="V110" s="123"/>
      <c r="W110" s="134"/>
      <c r="X110" s="347">
        <v>10</v>
      </c>
      <c r="Y110" s="347">
        <v>250</v>
      </c>
      <c r="Z110" s="348" t="s">
        <v>576</v>
      </c>
      <c r="AA110" s="120"/>
      <c r="AB110" s="134"/>
      <c r="AC110" s="200"/>
      <c r="AD110" s="125"/>
      <c r="AE110" s="134"/>
      <c r="AF110" s="200"/>
      <c r="AG110" s="120"/>
      <c r="AH110" s="262"/>
      <c r="AI110" s="262"/>
      <c r="AJ110" s="120"/>
      <c r="AK110" s="262"/>
      <c r="AL110" s="262"/>
      <c r="AM110" s="120"/>
      <c r="AN110" s="262"/>
      <c r="AO110" s="262"/>
      <c r="AP110" s="120"/>
      <c r="AQ110" s="262"/>
      <c r="AR110" s="262"/>
      <c r="AS110" s="120"/>
      <c r="AT110" s="262"/>
      <c r="AU110" s="262"/>
      <c r="AV110" s="120"/>
      <c r="AW110" s="262"/>
      <c r="AX110" s="262"/>
      <c r="AY110" s="120"/>
      <c r="AZ110" s="262"/>
      <c r="BA110" s="262"/>
      <c r="BB110" s="120"/>
      <c r="BC110" s="134"/>
      <c r="BD110" s="200"/>
      <c r="BE110" s="120"/>
      <c r="BF110" s="134"/>
      <c r="BG110" s="200"/>
      <c r="BH110" s="120"/>
      <c r="BI110" s="252"/>
      <c r="BJ110" s="252"/>
      <c r="BK110" s="120"/>
      <c r="BL110" s="134"/>
      <c r="BM110" s="134"/>
      <c r="BN110" s="120"/>
      <c r="BO110" s="252"/>
      <c r="BP110" s="252"/>
      <c r="BQ110" s="120"/>
      <c r="BR110" s="134"/>
      <c r="BS110" s="134"/>
      <c r="BT110" s="120"/>
      <c r="BU110" s="134"/>
      <c r="BV110" s="200"/>
      <c r="BW110" s="120"/>
      <c r="BX110" s="134"/>
      <c r="BY110" s="200"/>
      <c r="BZ110" s="120"/>
      <c r="CA110" s="126"/>
      <c r="CB110" s="126"/>
      <c r="CC110" s="120"/>
      <c r="CD110" s="126"/>
      <c r="CE110" s="126"/>
      <c r="CF110" s="120"/>
      <c r="CG110" s="134"/>
      <c r="CH110" s="134"/>
      <c r="CI110" s="120"/>
      <c r="CJ110" s="200"/>
      <c r="CK110" s="200"/>
      <c r="CL110" s="120"/>
      <c r="CM110" s="200"/>
      <c r="CN110" s="200"/>
      <c r="CO110" s="120"/>
      <c r="CP110" s="134"/>
      <c r="CQ110" s="134"/>
      <c r="CR110" s="120"/>
      <c r="CS110" s="134"/>
      <c r="CT110" s="134"/>
      <c r="CU110" s="120"/>
      <c r="CV110" s="202"/>
      <c r="CW110" s="202"/>
      <c r="CX110" s="120"/>
      <c r="CY110" s="202"/>
      <c r="CZ110" s="202"/>
      <c r="DA110" s="120"/>
      <c r="DB110" s="202"/>
      <c r="DC110" s="202"/>
      <c r="DD110" s="349"/>
      <c r="DE110" s="202"/>
      <c r="DF110" s="202"/>
      <c r="DG110" s="254"/>
      <c r="DH110" s="203"/>
      <c r="DI110" s="203"/>
      <c r="DJ110" s="259"/>
      <c r="DK110" s="136"/>
      <c r="DL110" s="136"/>
      <c r="DM110" s="120"/>
      <c r="DN110" s="233"/>
      <c r="DO110" s="233"/>
      <c r="DP110" s="120"/>
      <c r="DQ110" s="262"/>
      <c r="DR110" s="262"/>
      <c r="DS110" s="120"/>
      <c r="DT110" s="262"/>
      <c r="DU110" s="262"/>
      <c r="DV110" s="120"/>
      <c r="DW110" s="262"/>
      <c r="DX110" s="262"/>
      <c r="DY110" s="120"/>
      <c r="DZ110" s="262"/>
      <c r="EA110" s="262"/>
      <c r="EB110" s="265"/>
      <c r="EC110" s="262"/>
      <c r="ED110" s="262"/>
      <c r="EE110" s="256"/>
      <c r="EF110" s="233"/>
      <c r="EG110" s="233"/>
      <c r="EH110" s="120"/>
      <c r="EI110" s="262"/>
      <c r="EJ110" s="262"/>
      <c r="EK110" s="120"/>
      <c r="EL110" s="262"/>
      <c r="EM110" s="262"/>
      <c r="EN110" s="120"/>
      <c r="EO110" s="262"/>
      <c r="EP110" s="262"/>
      <c r="EQ110" s="120"/>
      <c r="ER110" s="262"/>
      <c r="ES110" s="262"/>
      <c r="ET110" s="120"/>
      <c r="EU110" s="262"/>
      <c r="EV110" s="262"/>
      <c r="EW110" s="120"/>
      <c r="EX110" s="262"/>
      <c r="EY110" s="262"/>
      <c r="EZ110" s="120"/>
      <c r="FA110" s="262"/>
      <c r="FB110" s="262"/>
      <c r="FC110" s="120"/>
      <c r="FD110" s="262"/>
      <c r="FE110" s="262"/>
      <c r="FF110" s="120"/>
      <c r="FG110" s="262"/>
      <c r="FH110" s="262"/>
      <c r="FI110" s="120"/>
      <c r="FJ110" s="262"/>
      <c r="FK110" s="262"/>
      <c r="FL110" s="120"/>
      <c r="FM110" s="262"/>
      <c r="FN110" s="262"/>
      <c r="FO110" s="120"/>
      <c r="FP110" s="262"/>
      <c r="FQ110" s="262"/>
      <c r="FR110" s="120"/>
      <c r="FS110" s="262"/>
      <c r="FT110" s="262"/>
      <c r="FU110" s="120"/>
      <c r="FV110" s="262"/>
      <c r="FW110" s="262"/>
      <c r="FX110" s="120"/>
      <c r="FY110" s="262"/>
      <c r="FZ110" s="262"/>
      <c r="GA110" s="256"/>
      <c r="GB110" s="233"/>
      <c r="GC110" s="233"/>
      <c r="GJ110" s="121">
        <f t="shared" si="37"/>
        <v>0</v>
      </c>
      <c r="GK110" s="121">
        <f t="shared" si="38"/>
        <v>0</v>
      </c>
      <c r="GM110" s="121">
        <f t="shared" si="39"/>
        <v>1</v>
      </c>
      <c r="GN110" s="121">
        <f t="shared" si="40"/>
        <v>0</v>
      </c>
      <c r="GO110" s="121">
        <f t="shared" si="41"/>
        <v>0</v>
      </c>
      <c r="GP110" s="121">
        <f t="shared" si="42"/>
        <v>0</v>
      </c>
      <c r="GQ110" s="121">
        <f t="shared" si="43"/>
        <v>0</v>
      </c>
      <c r="GR110" s="121">
        <f t="shared" si="44"/>
        <v>0</v>
      </c>
    </row>
    <row r="111" spans="1:200" ht="38.25" customHeight="1" x14ac:dyDescent="0.55000000000000004">
      <c r="B111" s="303" t="s">
        <v>450</v>
      </c>
      <c r="C111" s="198"/>
      <c r="D111" s="198"/>
      <c r="E111" s="198"/>
      <c r="F111" s="198"/>
      <c r="G111" s="198"/>
      <c r="H111" s="198"/>
      <c r="I111" s="142" cm="1">
        <f t="array" ref="I111">SUMPRODUCT(($X$2:$GG$2&lt;&gt;"")*($X111:$GG111&lt;&gt;""))</f>
        <v>1</v>
      </c>
      <c r="J111" s="122">
        <f t="shared" si="28"/>
        <v>0</v>
      </c>
      <c r="K111" s="122">
        <f t="shared" si="29"/>
        <v>0</v>
      </c>
      <c r="L111" s="249">
        <f t="shared" si="45"/>
        <v>7000</v>
      </c>
      <c r="M111" s="144">
        <f t="shared" si="30"/>
        <v>784</v>
      </c>
      <c r="N111" s="405"/>
      <c r="O111" s="145">
        <f t="shared" si="31"/>
        <v>0</v>
      </c>
      <c r="P111" s="145">
        <f t="shared" si="32"/>
        <v>0</v>
      </c>
      <c r="Q111" s="145">
        <f t="shared" si="33"/>
        <v>0</v>
      </c>
      <c r="R111" s="145">
        <f t="shared" si="34"/>
        <v>0</v>
      </c>
      <c r="S111" s="130">
        <f t="shared" si="35"/>
        <v>0</v>
      </c>
      <c r="T111" s="130">
        <f t="shared" si="36"/>
        <v>0</v>
      </c>
      <c r="U111" s="141"/>
      <c r="V111" s="123"/>
      <c r="W111" s="134"/>
      <c r="X111" s="347">
        <v>28</v>
      </c>
      <c r="Y111" s="347">
        <v>250</v>
      </c>
      <c r="Z111" s="348" t="s">
        <v>576</v>
      </c>
      <c r="AA111" s="120"/>
      <c r="AB111" s="134"/>
      <c r="AC111" s="200"/>
      <c r="AD111" s="125"/>
      <c r="AE111" s="134"/>
      <c r="AF111" s="200"/>
      <c r="AG111" s="120"/>
      <c r="AH111" s="262"/>
      <c r="AI111" s="262"/>
      <c r="AJ111" s="120"/>
      <c r="AK111" s="262"/>
      <c r="AL111" s="262"/>
      <c r="AM111" s="120"/>
      <c r="AN111" s="262"/>
      <c r="AO111" s="262"/>
      <c r="AP111" s="120"/>
      <c r="AQ111" s="262"/>
      <c r="AR111" s="262"/>
      <c r="AS111" s="120"/>
      <c r="AT111" s="262"/>
      <c r="AU111" s="262"/>
      <c r="AV111" s="120"/>
      <c r="AW111" s="262"/>
      <c r="AX111" s="262"/>
      <c r="AY111" s="120"/>
      <c r="AZ111" s="262"/>
      <c r="BA111" s="262"/>
      <c r="BB111" s="120"/>
      <c r="BC111" s="134"/>
      <c r="BD111" s="200"/>
      <c r="BE111" s="120"/>
      <c r="BF111" s="134"/>
      <c r="BG111" s="200"/>
      <c r="BH111" s="120"/>
      <c r="BI111" s="252"/>
      <c r="BJ111" s="252"/>
      <c r="BK111" s="120"/>
      <c r="BL111" s="134"/>
      <c r="BM111" s="134"/>
      <c r="BN111" s="120"/>
      <c r="BO111" s="252"/>
      <c r="BP111" s="252"/>
      <c r="BQ111" s="120"/>
      <c r="BR111" s="134"/>
      <c r="BS111" s="134"/>
      <c r="BT111" s="120"/>
      <c r="BU111" s="134"/>
      <c r="BV111" s="200"/>
      <c r="BW111" s="120"/>
      <c r="BX111" s="134"/>
      <c r="BY111" s="200"/>
      <c r="BZ111" s="120"/>
      <c r="CA111" s="126"/>
      <c r="CB111" s="126"/>
      <c r="CC111" s="120"/>
      <c r="CD111" s="126"/>
      <c r="CE111" s="126"/>
      <c r="CF111" s="120"/>
      <c r="CG111" s="134"/>
      <c r="CH111" s="134"/>
      <c r="CI111" s="120"/>
      <c r="CJ111" s="200"/>
      <c r="CK111" s="200"/>
      <c r="CL111" s="120"/>
      <c r="CM111" s="200"/>
      <c r="CN111" s="200"/>
      <c r="CO111" s="120"/>
      <c r="CP111" s="134"/>
      <c r="CQ111" s="134"/>
      <c r="CR111" s="120"/>
      <c r="CS111" s="134"/>
      <c r="CT111" s="134"/>
      <c r="CU111" s="120"/>
      <c r="CV111" s="202"/>
      <c r="CW111" s="202"/>
      <c r="CX111" s="120"/>
      <c r="CY111" s="202"/>
      <c r="CZ111" s="202"/>
      <c r="DA111" s="120"/>
      <c r="DB111" s="202"/>
      <c r="DC111" s="202"/>
      <c r="DD111" s="349"/>
      <c r="DE111" s="202"/>
      <c r="DF111" s="202"/>
      <c r="DG111" s="254"/>
      <c r="DH111" s="203"/>
      <c r="DI111" s="203"/>
      <c r="DJ111" s="259"/>
      <c r="DK111" s="136"/>
      <c r="DL111" s="136"/>
      <c r="DM111" s="120"/>
      <c r="DN111" s="233"/>
      <c r="DO111" s="233"/>
      <c r="DP111" s="120"/>
      <c r="DQ111" s="262"/>
      <c r="DR111" s="262"/>
      <c r="DS111" s="120"/>
      <c r="DT111" s="262"/>
      <c r="DU111" s="262"/>
      <c r="DV111" s="120"/>
      <c r="DW111" s="262"/>
      <c r="DX111" s="262"/>
      <c r="DY111" s="120"/>
      <c r="DZ111" s="262"/>
      <c r="EA111" s="262"/>
      <c r="EB111" s="265"/>
      <c r="EC111" s="262"/>
      <c r="ED111" s="262"/>
      <c r="EE111" s="256"/>
      <c r="EF111" s="233"/>
      <c r="EG111" s="233"/>
      <c r="EH111" s="120"/>
      <c r="EI111" s="262"/>
      <c r="EJ111" s="262"/>
      <c r="EK111" s="120"/>
      <c r="EL111" s="262"/>
      <c r="EM111" s="262"/>
      <c r="EN111" s="120"/>
      <c r="EO111" s="262"/>
      <c r="EP111" s="262"/>
      <c r="EQ111" s="120"/>
      <c r="ER111" s="262"/>
      <c r="ES111" s="262"/>
      <c r="ET111" s="120"/>
      <c r="EU111" s="262"/>
      <c r="EV111" s="262"/>
      <c r="EW111" s="120"/>
      <c r="EX111" s="262"/>
      <c r="EY111" s="262"/>
      <c r="EZ111" s="120"/>
      <c r="FA111" s="262"/>
      <c r="FB111" s="262"/>
      <c r="FC111" s="120"/>
      <c r="FD111" s="262"/>
      <c r="FE111" s="262"/>
      <c r="FF111" s="120"/>
      <c r="FG111" s="262"/>
      <c r="FH111" s="262"/>
      <c r="FI111" s="120"/>
      <c r="FJ111" s="262"/>
      <c r="FK111" s="262"/>
      <c r="FL111" s="120"/>
      <c r="FM111" s="262"/>
      <c r="FN111" s="262"/>
      <c r="FO111" s="120"/>
      <c r="FP111" s="262"/>
      <c r="FQ111" s="262"/>
      <c r="FR111" s="120"/>
      <c r="FS111" s="262"/>
      <c r="FT111" s="262"/>
      <c r="FU111" s="120"/>
      <c r="FV111" s="262"/>
      <c r="FW111" s="262"/>
      <c r="FX111" s="120"/>
      <c r="FY111" s="262"/>
      <c r="FZ111" s="262"/>
      <c r="GA111" s="256"/>
      <c r="GB111" s="233"/>
      <c r="GC111" s="233"/>
      <c r="GJ111" s="121">
        <f t="shared" si="37"/>
        <v>0</v>
      </c>
      <c r="GK111" s="121">
        <f t="shared" si="38"/>
        <v>0</v>
      </c>
      <c r="GM111" s="121">
        <f t="shared" si="39"/>
        <v>1</v>
      </c>
      <c r="GN111" s="121">
        <f t="shared" si="40"/>
        <v>0</v>
      </c>
      <c r="GO111" s="121">
        <f t="shared" si="41"/>
        <v>0</v>
      </c>
      <c r="GP111" s="121">
        <f t="shared" si="42"/>
        <v>0</v>
      </c>
      <c r="GQ111" s="121">
        <f t="shared" si="43"/>
        <v>0</v>
      </c>
      <c r="GR111" s="121">
        <f t="shared" si="44"/>
        <v>0</v>
      </c>
    </row>
    <row r="112" spans="1:200" ht="38.25" customHeight="1" x14ac:dyDescent="0.55000000000000004">
      <c r="B112" s="309" t="s">
        <v>177</v>
      </c>
      <c r="C112" s="198">
        <v>1</v>
      </c>
      <c r="D112" s="198">
        <v>1</v>
      </c>
      <c r="E112" s="198">
        <v>1</v>
      </c>
      <c r="F112" s="142">
        <f>(X112/Y112)*L112*C112</f>
        <v>840</v>
      </c>
      <c r="G112" s="142" t="e">
        <f t="shared" ref="G112" si="46">(Y112/Z112)*M112*D112</f>
        <v>#VALUE!</v>
      </c>
      <c r="H112" s="142" t="e">
        <f t="shared" ref="H112" si="47">(Z112/AA112)*O112*E112</f>
        <v>#VALUE!</v>
      </c>
      <c r="I112" s="142" cm="1">
        <f t="array" ref="I112">SUMPRODUCT(($X$2:$GG$2&lt;&gt;"")*($X112:$GG112&lt;&gt;""))</f>
        <v>2</v>
      </c>
      <c r="J112" s="122">
        <f t="shared" si="28"/>
        <v>2</v>
      </c>
      <c r="K112" s="122">
        <f t="shared" si="29"/>
        <v>28</v>
      </c>
      <c r="L112" s="249">
        <f t="shared" si="45"/>
        <v>7000</v>
      </c>
      <c r="M112" s="144">
        <f t="shared" si="30"/>
        <v>4200</v>
      </c>
      <c r="N112" s="405"/>
      <c r="O112" s="145">
        <f t="shared" si="31"/>
        <v>21000</v>
      </c>
      <c r="P112" s="145">
        <f t="shared" si="32"/>
        <v>0</v>
      </c>
      <c r="Q112" s="145">
        <f t="shared" si="33"/>
        <v>0</v>
      </c>
      <c r="R112" s="145">
        <f t="shared" si="34"/>
        <v>0</v>
      </c>
      <c r="S112" s="130">
        <f t="shared" si="35"/>
        <v>0</v>
      </c>
      <c r="T112" s="130">
        <f t="shared" si="36"/>
        <v>0</v>
      </c>
      <c r="U112" s="141">
        <v>635</v>
      </c>
      <c r="V112" s="123"/>
      <c r="W112" s="134"/>
      <c r="X112" s="124">
        <v>30</v>
      </c>
      <c r="Y112" s="134">
        <v>250</v>
      </c>
      <c r="Z112" s="200" t="s">
        <v>525</v>
      </c>
      <c r="AA112" s="120"/>
      <c r="AB112" s="134"/>
      <c r="AC112" s="200"/>
      <c r="AD112" s="125">
        <v>1200</v>
      </c>
      <c r="AE112" s="134">
        <v>2000</v>
      </c>
      <c r="AF112" s="348" t="s">
        <v>807</v>
      </c>
      <c r="AG112" s="120"/>
      <c r="AH112" s="262"/>
      <c r="AI112" s="262"/>
      <c r="AJ112" s="120"/>
      <c r="AK112" s="262"/>
      <c r="AL112" s="262"/>
      <c r="AM112" s="120"/>
      <c r="AN112" s="262"/>
      <c r="AO112" s="262"/>
      <c r="AP112" s="120"/>
      <c r="AQ112" s="262"/>
      <c r="AR112" s="262"/>
      <c r="AS112" s="120"/>
      <c r="AT112" s="262"/>
      <c r="AU112" s="262"/>
      <c r="AV112" s="120"/>
      <c r="AW112" s="262"/>
      <c r="AX112" s="262"/>
      <c r="AY112" s="120"/>
      <c r="AZ112" s="262"/>
      <c r="BA112" s="262"/>
      <c r="BB112" s="120"/>
      <c r="BC112" s="134"/>
      <c r="BD112" s="200"/>
      <c r="BE112" s="120"/>
      <c r="BF112" s="134"/>
      <c r="BG112" s="200"/>
      <c r="BH112" s="120"/>
      <c r="BI112" s="134"/>
      <c r="BJ112" s="134"/>
      <c r="BK112" s="120"/>
      <c r="BL112" s="134"/>
      <c r="BM112" s="134"/>
      <c r="BN112" s="120"/>
      <c r="BO112" s="252"/>
      <c r="BP112" s="252"/>
      <c r="BQ112" s="120"/>
      <c r="BR112" s="134"/>
      <c r="BS112" s="134"/>
      <c r="BT112" s="120"/>
      <c r="BU112" s="134"/>
      <c r="BV112" s="200"/>
      <c r="BW112" s="120"/>
      <c r="BX112" s="134"/>
      <c r="BY112" s="200"/>
      <c r="BZ112" s="120"/>
      <c r="CA112" s="126"/>
      <c r="CB112" s="126"/>
      <c r="CC112" s="120"/>
      <c r="CD112" s="126"/>
      <c r="CE112" s="126"/>
      <c r="CF112" s="120"/>
      <c r="CG112" s="134"/>
      <c r="CH112" s="134"/>
      <c r="CI112" s="120"/>
      <c r="CJ112" s="200"/>
      <c r="CK112" s="200"/>
      <c r="CL112" s="120"/>
      <c r="CM112" s="200"/>
      <c r="CN112" s="200"/>
      <c r="CO112" s="120"/>
      <c r="CP112" s="134"/>
      <c r="CQ112" s="134"/>
      <c r="CR112" s="120"/>
      <c r="CS112" s="134"/>
      <c r="CT112" s="134"/>
      <c r="CU112" s="120"/>
      <c r="CV112" s="202"/>
      <c r="CW112" s="202"/>
      <c r="CX112" s="120"/>
      <c r="CY112" s="202"/>
      <c r="CZ112" s="202"/>
      <c r="DA112" s="120"/>
      <c r="DB112" s="202"/>
      <c r="DC112" s="202"/>
      <c r="DD112" s="349"/>
      <c r="DE112" s="202"/>
      <c r="DF112" s="202"/>
      <c r="DG112" s="254"/>
      <c r="DH112" s="203"/>
      <c r="DI112" s="203"/>
      <c r="DJ112" s="259"/>
      <c r="DK112" s="136"/>
      <c r="DL112" s="136"/>
      <c r="DM112" s="120"/>
      <c r="DN112" s="233"/>
      <c r="DO112" s="233"/>
      <c r="DP112" s="120"/>
      <c r="DQ112" s="262"/>
      <c r="DR112" s="262"/>
      <c r="DS112" s="120"/>
      <c r="DT112" s="262"/>
      <c r="DU112" s="262"/>
      <c r="DV112" s="120"/>
      <c r="DW112" s="262"/>
      <c r="DX112" s="262"/>
      <c r="DY112" s="120"/>
      <c r="DZ112" s="262"/>
      <c r="EA112" s="262"/>
      <c r="EB112" s="265"/>
      <c r="EC112" s="262"/>
      <c r="ED112" s="262"/>
      <c r="EE112" s="256"/>
      <c r="EF112" s="233"/>
      <c r="EG112" s="233"/>
      <c r="EH112" s="120"/>
      <c r="EI112" s="262"/>
      <c r="EJ112" s="262"/>
      <c r="EK112" s="120"/>
      <c r="EL112" s="262"/>
      <c r="EM112" s="262"/>
      <c r="EN112" s="120"/>
      <c r="EO112" s="262"/>
      <c r="EP112" s="262"/>
      <c r="EQ112" s="120"/>
      <c r="ER112" s="262"/>
      <c r="ES112" s="262"/>
      <c r="ET112" s="120"/>
      <c r="EU112" s="262"/>
      <c r="EV112" s="262"/>
      <c r="EW112" s="120"/>
      <c r="EX112" s="262"/>
      <c r="EY112" s="262"/>
      <c r="EZ112" s="120"/>
      <c r="FA112" s="262"/>
      <c r="FB112" s="262"/>
      <c r="FC112" s="120"/>
      <c r="FD112" s="262"/>
      <c r="FE112" s="262"/>
      <c r="FF112" s="120"/>
      <c r="FG112" s="262"/>
      <c r="FH112" s="262"/>
      <c r="FI112" s="120"/>
      <c r="FJ112" s="262"/>
      <c r="FK112" s="262"/>
      <c r="FL112" s="120"/>
      <c r="FM112" s="262"/>
      <c r="FN112" s="262"/>
      <c r="FO112" s="120"/>
      <c r="FP112" s="262"/>
      <c r="FQ112" s="262"/>
      <c r="FR112" s="120"/>
      <c r="FS112" s="262"/>
      <c r="FT112" s="262"/>
      <c r="FU112" s="120"/>
      <c r="FV112" s="262"/>
      <c r="FW112" s="262"/>
      <c r="FX112" s="120"/>
      <c r="FY112" s="262"/>
      <c r="FZ112" s="262"/>
      <c r="GA112" s="256"/>
      <c r="GB112" s="233"/>
      <c r="GC112" s="233"/>
      <c r="GJ112" s="121">
        <f t="shared" si="37"/>
        <v>0</v>
      </c>
      <c r="GK112" s="121">
        <f t="shared" si="38"/>
        <v>0</v>
      </c>
      <c r="GM112" s="121">
        <f t="shared" si="39"/>
        <v>1</v>
      </c>
      <c r="GN112" s="121">
        <f t="shared" si="40"/>
        <v>0</v>
      </c>
      <c r="GO112" s="121">
        <f t="shared" si="41"/>
        <v>1</v>
      </c>
      <c r="GP112" s="121">
        <f t="shared" si="42"/>
        <v>0</v>
      </c>
      <c r="GQ112" s="121">
        <f t="shared" si="43"/>
        <v>0</v>
      </c>
      <c r="GR112" s="121">
        <f t="shared" si="44"/>
        <v>0</v>
      </c>
    </row>
    <row r="113" spans="1:200" ht="38.25" customHeight="1" x14ac:dyDescent="0.55000000000000004">
      <c r="B113" s="309" t="s">
        <v>178</v>
      </c>
      <c r="C113" s="198">
        <v>1</v>
      </c>
      <c r="D113" s="198">
        <v>1</v>
      </c>
      <c r="E113" s="198">
        <v>1</v>
      </c>
      <c r="F113" s="142">
        <f>($X$113/$Y$113)*$L$113*C113</f>
        <v>140</v>
      </c>
      <c r="G113" s="142">
        <f>($X$113/$Y$113)*$L$113*D113</f>
        <v>140</v>
      </c>
      <c r="H113" s="142">
        <f>($X$113/$Y$113)*$L$113*E113</f>
        <v>140</v>
      </c>
      <c r="I113" s="142" cm="1">
        <f t="array" ref="I113">SUMPRODUCT(($X$2:$GG$2&lt;&gt;"")*($X113:$GG113&lt;&gt;""))</f>
        <v>2</v>
      </c>
      <c r="J113" s="122">
        <f t="shared" si="28"/>
        <v>2</v>
      </c>
      <c r="K113" s="122">
        <f t="shared" si="29"/>
        <v>28</v>
      </c>
      <c r="L113" s="249">
        <f t="shared" si="45"/>
        <v>7000</v>
      </c>
      <c r="M113" s="144">
        <f t="shared" si="30"/>
        <v>700</v>
      </c>
      <c r="N113" s="405"/>
      <c r="O113" s="145">
        <f t="shared" si="31"/>
        <v>24500</v>
      </c>
      <c r="P113" s="145">
        <f t="shared" si="32"/>
        <v>0</v>
      </c>
      <c r="Q113" s="145">
        <f t="shared" si="33"/>
        <v>0</v>
      </c>
      <c r="R113" s="145">
        <f t="shared" si="34"/>
        <v>0</v>
      </c>
      <c r="S113" s="130">
        <f t="shared" si="35"/>
        <v>0</v>
      </c>
      <c r="T113" s="130">
        <f t="shared" si="36"/>
        <v>0</v>
      </c>
      <c r="U113" s="141">
        <v>765</v>
      </c>
      <c r="V113" s="123"/>
      <c r="W113" s="134"/>
      <c r="X113" s="124">
        <v>5</v>
      </c>
      <c r="Y113" s="134">
        <v>250</v>
      </c>
      <c r="Z113" s="200" t="s">
        <v>525</v>
      </c>
      <c r="AA113" s="120"/>
      <c r="AB113" s="134"/>
      <c r="AC113" s="200"/>
      <c r="AD113" s="125">
        <v>1400</v>
      </c>
      <c r="AE113" s="134">
        <v>2000</v>
      </c>
      <c r="AF113" s="348" t="s">
        <v>807</v>
      </c>
      <c r="AG113" s="120"/>
      <c r="AH113" s="262"/>
      <c r="AI113" s="262"/>
      <c r="AJ113" s="120"/>
      <c r="AK113" s="262"/>
      <c r="AL113" s="262"/>
      <c r="AM113" s="120"/>
      <c r="AN113" s="262"/>
      <c r="AO113" s="262"/>
      <c r="AP113" s="120"/>
      <c r="AQ113" s="262"/>
      <c r="AR113" s="262"/>
      <c r="AS113" s="120"/>
      <c r="AT113" s="262"/>
      <c r="AU113" s="262"/>
      <c r="AV113" s="120"/>
      <c r="AW113" s="262"/>
      <c r="AX113" s="262"/>
      <c r="AY113" s="120"/>
      <c r="AZ113" s="262"/>
      <c r="BA113" s="262"/>
      <c r="BB113" s="120"/>
      <c r="BC113" s="134"/>
      <c r="BD113" s="200"/>
      <c r="BE113" s="120"/>
      <c r="BF113" s="134"/>
      <c r="BG113" s="200"/>
      <c r="BH113" s="120"/>
      <c r="BI113" s="134"/>
      <c r="BJ113" s="134"/>
      <c r="BK113" s="120"/>
      <c r="BL113" s="134"/>
      <c r="BM113" s="134"/>
      <c r="BN113" s="120"/>
      <c r="BO113" s="252"/>
      <c r="BP113" s="252"/>
      <c r="BQ113" s="120"/>
      <c r="BR113" s="134"/>
      <c r="BS113" s="134"/>
      <c r="BT113" s="120"/>
      <c r="BU113" s="134"/>
      <c r="BV113" s="200"/>
      <c r="BW113" s="120"/>
      <c r="BX113" s="134"/>
      <c r="BY113" s="200"/>
      <c r="BZ113" s="120"/>
      <c r="CA113" s="126"/>
      <c r="CB113" s="126"/>
      <c r="CC113" s="120"/>
      <c r="CD113" s="126"/>
      <c r="CE113" s="126"/>
      <c r="CF113" s="120"/>
      <c r="CG113" s="134"/>
      <c r="CH113" s="134"/>
      <c r="CI113" s="120"/>
      <c r="CJ113" s="200"/>
      <c r="CK113" s="200"/>
      <c r="CL113" s="120"/>
      <c r="CM113" s="200"/>
      <c r="CN113" s="200"/>
      <c r="CO113" s="120"/>
      <c r="CP113" s="134"/>
      <c r="CQ113" s="134"/>
      <c r="CR113" s="120"/>
      <c r="CS113" s="134"/>
      <c r="CT113" s="134"/>
      <c r="CU113" s="120"/>
      <c r="CV113" s="202"/>
      <c r="CW113" s="202"/>
      <c r="CX113" s="120"/>
      <c r="CY113" s="202"/>
      <c r="CZ113" s="202"/>
      <c r="DA113" s="120"/>
      <c r="DB113" s="202"/>
      <c r="DC113" s="202"/>
      <c r="DD113" s="349"/>
      <c r="DE113" s="202"/>
      <c r="DF113" s="202"/>
      <c r="DG113" s="254"/>
      <c r="DH113" s="203"/>
      <c r="DI113" s="203"/>
      <c r="DJ113" s="259"/>
      <c r="DK113" s="136"/>
      <c r="DL113" s="136"/>
      <c r="DM113" s="120"/>
      <c r="DN113" s="233"/>
      <c r="DO113" s="233"/>
      <c r="DP113" s="120"/>
      <c r="DQ113" s="262"/>
      <c r="DR113" s="262"/>
      <c r="DS113" s="120"/>
      <c r="DT113" s="262"/>
      <c r="DU113" s="262"/>
      <c r="DV113" s="120"/>
      <c r="DW113" s="262"/>
      <c r="DX113" s="262"/>
      <c r="DY113" s="120"/>
      <c r="DZ113" s="262"/>
      <c r="EA113" s="262"/>
      <c r="EB113" s="265"/>
      <c r="EC113" s="262"/>
      <c r="ED113" s="262"/>
      <c r="EE113" s="256"/>
      <c r="EF113" s="233"/>
      <c r="EG113" s="233"/>
      <c r="EH113" s="120"/>
      <c r="EI113" s="262"/>
      <c r="EJ113" s="262"/>
      <c r="EK113" s="120"/>
      <c r="EL113" s="262"/>
      <c r="EM113" s="262"/>
      <c r="EN113" s="120"/>
      <c r="EO113" s="262"/>
      <c r="EP113" s="262"/>
      <c r="EQ113" s="120"/>
      <c r="ER113" s="262"/>
      <c r="ES113" s="262"/>
      <c r="ET113" s="120"/>
      <c r="EU113" s="262"/>
      <c r="EV113" s="262"/>
      <c r="EW113" s="120"/>
      <c r="EX113" s="262"/>
      <c r="EY113" s="262"/>
      <c r="EZ113" s="120"/>
      <c r="FA113" s="262"/>
      <c r="FB113" s="262"/>
      <c r="FC113" s="120"/>
      <c r="FD113" s="262"/>
      <c r="FE113" s="262"/>
      <c r="FF113" s="120"/>
      <c r="FG113" s="262"/>
      <c r="FH113" s="262"/>
      <c r="FI113" s="120"/>
      <c r="FJ113" s="262"/>
      <c r="FK113" s="262"/>
      <c r="FL113" s="120"/>
      <c r="FM113" s="262"/>
      <c r="FN113" s="262"/>
      <c r="FO113" s="120"/>
      <c r="FP113" s="262"/>
      <c r="FQ113" s="262"/>
      <c r="FR113" s="120"/>
      <c r="FS113" s="262"/>
      <c r="FT113" s="262"/>
      <c r="FU113" s="120"/>
      <c r="FV113" s="262"/>
      <c r="FW113" s="262"/>
      <c r="FX113" s="120"/>
      <c r="FY113" s="262"/>
      <c r="FZ113" s="262"/>
      <c r="GA113" s="256"/>
      <c r="GB113" s="233"/>
      <c r="GC113" s="233"/>
      <c r="GJ113" s="121">
        <f t="shared" si="37"/>
        <v>0</v>
      </c>
      <c r="GK113" s="121">
        <f t="shared" si="38"/>
        <v>0</v>
      </c>
      <c r="GM113" s="121">
        <f t="shared" si="39"/>
        <v>1</v>
      </c>
      <c r="GN113" s="121">
        <f t="shared" si="40"/>
        <v>0</v>
      </c>
      <c r="GO113" s="121">
        <f t="shared" si="41"/>
        <v>1</v>
      </c>
      <c r="GP113" s="121">
        <f t="shared" si="42"/>
        <v>0</v>
      </c>
      <c r="GQ113" s="121">
        <f t="shared" si="43"/>
        <v>0</v>
      </c>
      <c r="GR113" s="121">
        <f t="shared" si="44"/>
        <v>0</v>
      </c>
    </row>
    <row r="114" spans="1:200" ht="38.25" customHeight="1" x14ac:dyDescent="0.55000000000000004">
      <c r="B114" s="309" t="s">
        <v>175</v>
      </c>
      <c r="C114" s="198">
        <v>1</v>
      </c>
      <c r="D114" s="198">
        <v>1</v>
      </c>
      <c r="E114" s="198">
        <v>1</v>
      </c>
      <c r="F114" s="142">
        <f>($X$114/$Y$114)*$L$114*C114</f>
        <v>840</v>
      </c>
      <c r="G114" s="142">
        <f>($X$114/$Y$114)*$L$114*D114</f>
        <v>840</v>
      </c>
      <c r="H114" s="142">
        <f>($X$114/$Y$114)*$L$114*E114</f>
        <v>840</v>
      </c>
      <c r="I114" s="142" cm="1">
        <f t="array" ref="I114">SUMPRODUCT(($X$2:$GG$2&lt;&gt;"")*($X114:$GG114&lt;&gt;""))</f>
        <v>2</v>
      </c>
      <c r="J114" s="122">
        <f t="shared" si="28"/>
        <v>2</v>
      </c>
      <c r="K114" s="122">
        <f t="shared" si="29"/>
        <v>28</v>
      </c>
      <c r="L114" s="249">
        <f t="shared" si="45"/>
        <v>7000</v>
      </c>
      <c r="M114" s="144">
        <f t="shared" si="30"/>
        <v>4200</v>
      </c>
      <c r="N114" s="405"/>
      <c r="O114" s="145">
        <f t="shared" si="31"/>
        <v>63000</v>
      </c>
      <c r="P114" s="145">
        <f t="shared" si="32"/>
        <v>0</v>
      </c>
      <c r="Q114" s="145">
        <f t="shared" si="33"/>
        <v>0</v>
      </c>
      <c r="R114" s="145">
        <f t="shared" si="34"/>
        <v>0</v>
      </c>
      <c r="S114" s="130">
        <f t="shared" si="35"/>
        <v>0</v>
      </c>
      <c r="T114" s="130">
        <f t="shared" si="36"/>
        <v>0</v>
      </c>
      <c r="U114" s="141">
        <v>800</v>
      </c>
      <c r="V114" s="123"/>
      <c r="W114" s="134"/>
      <c r="X114" s="347">
        <v>30</v>
      </c>
      <c r="Y114" s="347">
        <v>250</v>
      </c>
      <c r="Z114" s="348" t="s">
        <v>576</v>
      </c>
      <c r="AA114" s="120"/>
      <c r="AB114" s="134"/>
      <c r="AC114" s="200"/>
      <c r="AD114" s="125">
        <v>1800</v>
      </c>
      <c r="AE114" s="134">
        <v>1000</v>
      </c>
      <c r="AF114" s="348" t="s">
        <v>807</v>
      </c>
      <c r="AG114" s="120"/>
      <c r="AH114" s="262"/>
      <c r="AI114" s="262"/>
      <c r="AJ114" s="120"/>
      <c r="AK114" s="262"/>
      <c r="AL114" s="262"/>
      <c r="AM114" s="120"/>
      <c r="AN114" s="262"/>
      <c r="AO114" s="262"/>
      <c r="AP114" s="120"/>
      <c r="AQ114" s="262"/>
      <c r="AR114" s="262"/>
      <c r="AS114" s="120"/>
      <c r="AT114" s="262"/>
      <c r="AU114" s="262"/>
      <c r="AV114" s="120"/>
      <c r="AW114" s="262"/>
      <c r="AX114" s="262"/>
      <c r="AY114" s="120"/>
      <c r="AZ114" s="262"/>
      <c r="BA114" s="262"/>
      <c r="BB114" s="120"/>
      <c r="BC114" s="134"/>
      <c r="BD114" s="200"/>
      <c r="BE114" s="120"/>
      <c r="BF114" s="134"/>
      <c r="BG114" s="200"/>
      <c r="BH114" s="120"/>
      <c r="BI114" s="134"/>
      <c r="BJ114" s="134"/>
      <c r="BK114" s="120"/>
      <c r="BL114" s="134"/>
      <c r="BM114" s="134"/>
      <c r="BN114" s="120"/>
      <c r="BO114" s="252"/>
      <c r="BP114" s="252"/>
      <c r="BQ114" s="120"/>
      <c r="BR114" s="134"/>
      <c r="BS114" s="134"/>
      <c r="BT114" s="120"/>
      <c r="BU114" s="134"/>
      <c r="BV114" s="200"/>
      <c r="BW114" s="120"/>
      <c r="BX114" s="134"/>
      <c r="BY114" s="200"/>
      <c r="BZ114" s="120"/>
      <c r="CA114" s="126"/>
      <c r="CB114" s="126"/>
      <c r="CC114" s="120"/>
      <c r="CD114" s="126"/>
      <c r="CE114" s="126"/>
      <c r="CF114" s="120"/>
      <c r="CG114" s="134"/>
      <c r="CH114" s="134"/>
      <c r="CI114" s="120"/>
      <c r="CJ114" s="200"/>
      <c r="CK114" s="200"/>
      <c r="CL114" s="120"/>
      <c r="CM114" s="200"/>
      <c r="CN114" s="200"/>
      <c r="CO114" s="120"/>
      <c r="CP114" s="134"/>
      <c r="CQ114" s="134"/>
      <c r="CR114" s="120"/>
      <c r="CS114" s="134"/>
      <c r="CT114" s="134"/>
      <c r="CU114" s="120"/>
      <c r="CV114" s="202"/>
      <c r="CW114" s="202"/>
      <c r="CX114" s="120"/>
      <c r="CY114" s="202"/>
      <c r="CZ114" s="202"/>
      <c r="DA114" s="120"/>
      <c r="DB114" s="202"/>
      <c r="DC114" s="202"/>
      <c r="DD114" s="349"/>
      <c r="DE114" s="202"/>
      <c r="DF114" s="202"/>
      <c r="DG114" s="254"/>
      <c r="DH114" s="203"/>
      <c r="DI114" s="203"/>
      <c r="DJ114" s="259"/>
      <c r="DK114" s="136"/>
      <c r="DL114" s="136"/>
      <c r="DM114" s="120"/>
      <c r="DN114" s="233"/>
      <c r="DO114" s="233"/>
      <c r="DP114" s="120"/>
      <c r="DQ114" s="262"/>
      <c r="DR114" s="262"/>
      <c r="DS114" s="120"/>
      <c r="DT114" s="262"/>
      <c r="DU114" s="262"/>
      <c r="DV114" s="120"/>
      <c r="DW114" s="262"/>
      <c r="DX114" s="262"/>
      <c r="DY114" s="120"/>
      <c r="DZ114" s="262"/>
      <c r="EA114" s="262"/>
      <c r="EB114" s="265"/>
      <c r="EC114" s="262"/>
      <c r="ED114" s="262"/>
      <c r="EE114" s="256"/>
      <c r="EF114" s="200"/>
      <c r="EG114" s="200"/>
      <c r="EH114" s="120"/>
      <c r="EI114" s="262"/>
      <c r="EJ114" s="262"/>
      <c r="EK114" s="120"/>
      <c r="EL114" s="262"/>
      <c r="EM114" s="262"/>
      <c r="EN114" s="120"/>
      <c r="EO114" s="262"/>
      <c r="EP114" s="262"/>
      <c r="EQ114" s="120"/>
      <c r="ER114" s="262"/>
      <c r="ES114" s="262"/>
      <c r="ET114" s="120"/>
      <c r="EU114" s="262"/>
      <c r="EV114" s="262"/>
      <c r="EW114" s="120"/>
      <c r="EX114" s="262"/>
      <c r="EY114" s="262"/>
      <c r="EZ114" s="120"/>
      <c r="FA114" s="262"/>
      <c r="FB114" s="262"/>
      <c r="FC114" s="120"/>
      <c r="FD114" s="262"/>
      <c r="FE114" s="262"/>
      <c r="FF114" s="120"/>
      <c r="FG114" s="262"/>
      <c r="FH114" s="262"/>
      <c r="FI114" s="120"/>
      <c r="FJ114" s="262"/>
      <c r="FK114" s="262"/>
      <c r="FL114" s="120"/>
      <c r="FM114" s="262"/>
      <c r="FN114" s="262"/>
      <c r="FO114" s="120"/>
      <c r="FP114" s="262"/>
      <c r="FQ114" s="262"/>
      <c r="FR114" s="120"/>
      <c r="FS114" s="262"/>
      <c r="FT114" s="262"/>
      <c r="FU114" s="120"/>
      <c r="FV114" s="262"/>
      <c r="FW114" s="262"/>
      <c r="FX114" s="120"/>
      <c r="FY114" s="262"/>
      <c r="FZ114" s="262"/>
      <c r="GA114" s="256"/>
      <c r="GB114" s="233"/>
      <c r="GC114" s="233"/>
      <c r="GJ114" s="121">
        <f t="shared" si="37"/>
        <v>0</v>
      </c>
      <c r="GK114" s="121">
        <f t="shared" si="38"/>
        <v>0</v>
      </c>
      <c r="GM114" s="121">
        <f t="shared" si="39"/>
        <v>1</v>
      </c>
      <c r="GN114" s="121">
        <f t="shared" si="40"/>
        <v>0</v>
      </c>
      <c r="GO114" s="121">
        <f t="shared" si="41"/>
        <v>1</v>
      </c>
      <c r="GP114" s="121">
        <f t="shared" si="42"/>
        <v>0</v>
      </c>
      <c r="GQ114" s="121">
        <f t="shared" si="43"/>
        <v>0</v>
      </c>
      <c r="GR114" s="121">
        <f t="shared" si="44"/>
        <v>0</v>
      </c>
    </row>
    <row r="115" spans="1:200" ht="38.25" customHeight="1" x14ac:dyDescent="0.55000000000000004">
      <c r="B115" s="309" t="s">
        <v>176</v>
      </c>
      <c r="C115" s="198">
        <v>1</v>
      </c>
      <c r="D115" s="198">
        <v>1</v>
      </c>
      <c r="E115" s="198">
        <v>1</v>
      </c>
      <c r="F115" s="142">
        <f>($X$115/$Y$115)*$L$115*C115</f>
        <v>840</v>
      </c>
      <c r="G115" s="142">
        <f>($X$115/$Y$115)*$L$115*D115</f>
        <v>840</v>
      </c>
      <c r="H115" s="142">
        <f>($X$115/$Y$115)*$L$115*E115</f>
        <v>840</v>
      </c>
      <c r="I115" s="142" cm="1">
        <f t="array" ref="I115">SUMPRODUCT(($X$2:$GG$2&lt;&gt;"")*($X115:$GG115&lt;&gt;""))</f>
        <v>2</v>
      </c>
      <c r="J115" s="122">
        <f t="shared" si="28"/>
        <v>2</v>
      </c>
      <c r="K115" s="122">
        <f t="shared" si="29"/>
        <v>28</v>
      </c>
      <c r="L115" s="249">
        <f t="shared" si="45"/>
        <v>7000</v>
      </c>
      <c r="M115" s="144">
        <f t="shared" si="30"/>
        <v>4200</v>
      </c>
      <c r="N115" s="405"/>
      <c r="O115" s="145">
        <f t="shared" si="31"/>
        <v>1750</v>
      </c>
      <c r="P115" s="145">
        <f t="shared" si="32"/>
        <v>0</v>
      </c>
      <c r="Q115" s="145">
        <f t="shared" si="33"/>
        <v>0</v>
      </c>
      <c r="R115" s="145">
        <f t="shared" si="34"/>
        <v>0</v>
      </c>
      <c r="S115" s="130">
        <f t="shared" si="35"/>
        <v>0</v>
      </c>
      <c r="T115" s="130">
        <f t="shared" si="36"/>
        <v>0</v>
      </c>
      <c r="U115" s="141">
        <v>800</v>
      </c>
      <c r="V115" s="123"/>
      <c r="W115" s="134"/>
      <c r="X115" s="347">
        <v>30</v>
      </c>
      <c r="Y115" s="347">
        <v>250</v>
      </c>
      <c r="Z115" s="348" t="s">
        <v>576</v>
      </c>
      <c r="AA115" s="120"/>
      <c r="AB115" s="134"/>
      <c r="AC115" s="200"/>
      <c r="AD115" s="125">
        <v>100</v>
      </c>
      <c r="AE115" s="134">
        <v>2000</v>
      </c>
      <c r="AF115" s="348" t="s">
        <v>807</v>
      </c>
      <c r="AG115" s="120"/>
      <c r="AH115" s="262"/>
      <c r="AI115" s="262"/>
      <c r="AJ115" s="120"/>
      <c r="AK115" s="262"/>
      <c r="AL115" s="262"/>
      <c r="AM115" s="120"/>
      <c r="AN115" s="262"/>
      <c r="AO115" s="262"/>
      <c r="AP115" s="120"/>
      <c r="AQ115" s="262"/>
      <c r="AR115" s="262"/>
      <c r="AS115" s="120"/>
      <c r="AT115" s="262"/>
      <c r="AU115" s="262"/>
      <c r="AV115" s="120"/>
      <c r="AW115" s="262"/>
      <c r="AX115" s="262"/>
      <c r="AY115" s="120"/>
      <c r="AZ115" s="262"/>
      <c r="BA115" s="262"/>
      <c r="BB115" s="120"/>
      <c r="BC115" s="134"/>
      <c r="BD115" s="200"/>
      <c r="BE115" s="120"/>
      <c r="BF115" s="134"/>
      <c r="BG115" s="200"/>
      <c r="BH115" s="120"/>
      <c r="BI115" s="134"/>
      <c r="BJ115" s="134"/>
      <c r="BK115" s="120"/>
      <c r="BL115" s="134"/>
      <c r="BM115" s="134"/>
      <c r="BN115" s="120"/>
      <c r="BO115" s="252"/>
      <c r="BP115" s="252"/>
      <c r="BQ115" s="120"/>
      <c r="BR115" s="134"/>
      <c r="BS115" s="134"/>
      <c r="BT115" s="120"/>
      <c r="BU115" s="134"/>
      <c r="BV115" s="200"/>
      <c r="BW115" s="120"/>
      <c r="BX115" s="134"/>
      <c r="BY115" s="200"/>
      <c r="BZ115" s="120"/>
      <c r="CA115" s="126"/>
      <c r="CB115" s="126"/>
      <c r="CC115" s="120"/>
      <c r="CD115" s="126"/>
      <c r="CE115" s="126"/>
      <c r="CF115" s="120"/>
      <c r="CG115" s="134"/>
      <c r="CH115" s="134"/>
      <c r="CI115" s="120"/>
      <c r="CJ115" s="200"/>
      <c r="CK115" s="200"/>
      <c r="CL115" s="120"/>
      <c r="CM115" s="200"/>
      <c r="CN115" s="200"/>
      <c r="CO115" s="120"/>
      <c r="CP115" s="134"/>
      <c r="CQ115" s="134"/>
      <c r="CR115" s="120"/>
      <c r="CS115" s="134"/>
      <c r="CT115" s="134"/>
      <c r="CU115" s="120"/>
      <c r="CV115" s="202"/>
      <c r="CW115" s="202"/>
      <c r="CX115" s="120"/>
      <c r="CY115" s="202"/>
      <c r="CZ115" s="202"/>
      <c r="DA115" s="120"/>
      <c r="DB115" s="202"/>
      <c r="DC115" s="202"/>
      <c r="DD115" s="349"/>
      <c r="DE115" s="202"/>
      <c r="DF115" s="202"/>
      <c r="DG115" s="254"/>
      <c r="DH115" s="203"/>
      <c r="DI115" s="203"/>
      <c r="DJ115" s="259"/>
      <c r="DK115" s="136"/>
      <c r="DL115" s="136"/>
      <c r="DM115" s="120"/>
      <c r="DN115" s="233"/>
      <c r="DO115" s="233"/>
      <c r="DP115" s="120"/>
      <c r="DQ115" s="262"/>
      <c r="DR115" s="262"/>
      <c r="DS115" s="120"/>
      <c r="DT115" s="262"/>
      <c r="DU115" s="262"/>
      <c r="DV115" s="120"/>
      <c r="DW115" s="262"/>
      <c r="DX115" s="262"/>
      <c r="DY115" s="120"/>
      <c r="DZ115" s="262"/>
      <c r="EA115" s="262"/>
      <c r="EB115" s="265"/>
      <c r="EC115" s="262"/>
      <c r="ED115" s="262"/>
      <c r="EE115" s="256"/>
      <c r="EF115" s="233"/>
      <c r="EG115" s="233"/>
      <c r="EH115" s="120"/>
      <c r="EI115" s="262"/>
      <c r="EJ115" s="262"/>
      <c r="EK115" s="120"/>
      <c r="EL115" s="262"/>
      <c r="EM115" s="262"/>
      <c r="EN115" s="120"/>
      <c r="EO115" s="262"/>
      <c r="EP115" s="262"/>
      <c r="EQ115" s="120"/>
      <c r="ER115" s="262"/>
      <c r="ES115" s="262"/>
      <c r="ET115" s="120"/>
      <c r="EU115" s="262"/>
      <c r="EV115" s="262"/>
      <c r="EW115" s="120"/>
      <c r="EX115" s="262"/>
      <c r="EY115" s="262"/>
      <c r="EZ115" s="120"/>
      <c r="FA115" s="262"/>
      <c r="FB115" s="262"/>
      <c r="FC115" s="120"/>
      <c r="FD115" s="262"/>
      <c r="FE115" s="262"/>
      <c r="FF115" s="120"/>
      <c r="FG115" s="262"/>
      <c r="FH115" s="262"/>
      <c r="FI115" s="120"/>
      <c r="FJ115" s="262"/>
      <c r="FK115" s="262"/>
      <c r="FL115" s="120"/>
      <c r="FM115" s="262"/>
      <c r="FN115" s="262"/>
      <c r="FO115" s="120"/>
      <c r="FP115" s="262"/>
      <c r="FQ115" s="262"/>
      <c r="FR115" s="120"/>
      <c r="FS115" s="262"/>
      <c r="FT115" s="262"/>
      <c r="FU115" s="120"/>
      <c r="FV115" s="262"/>
      <c r="FW115" s="262"/>
      <c r="FX115" s="120"/>
      <c r="FY115" s="262"/>
      <c r="FZ115" s="262"/>
      <c r="GA115" s="256"/>
      <c r="GB115" s="233"/>
      <c r="GC115" s="233"/>
      <c r="GJ115" s="121">
        <f t="shared" si="37"/>
        <v>0</v>
      </c>
      <c r="GK115" s="121">
        <f t="shared" si="38"/>
        <v>0</v>
      </c>
      <c r="GM115" s="121">
        <f t="shared" si="39"/>
        <v>1</v>
      </c>
      <c r="GN115" s="121">
        <f t="shared" si="40"/>
        <v>0</v>
      </c>
      <c r="GO115" s="121">
        <f t="shared" si="41"/>
        <v>1</v>
      </c>
      <c r="GP115" s="121">
        <f t="shared" si="42"/>
        <v>0</v>
      </c>
      <c r="GQ115" s="121">
        <f t="shared" si="43"/>
        <v>0</v>
      </c>
      <c r="GR115" s="121">
        <f t="shared" si="44"/>
        <v>0</v>
      </c>
    </row>
    <row r="116" spans="1:200" ht="38.25" customHeight="1" x14ac:dyDescent="0.55000000000000004">
      <c r="B116" s="303" t="s">
        <v>179</v>
      </c>
      <c r="C116" s="198">
        <v>2</v>
      </c>
      <c r="D116" s="404">
        <v>2</v>
      </c>
      <c r="E116" s="404">
        <v>2</v>
      </c>
      <c r="F116" s="198"/>
      <c r="G116" s="198"/>
      <c r="H116" s="198"/>
      <c r="I116" s="142" cm="1">
        <f t="array" ref="I116">SUMPRODUCT(($X$2:$GG$2&lt;&gt;"")*($X116:$GG116&lt;&gt;""))</f>
        <v>0</v>
      </c>
      <c r="J116" s="122">
        <f t="shared" si="28"/>
        <v>0</v>
      </c>
      <c r="K116" s="122">
        <f t="shared" si="29"/>
        <v>0</v>
      </c>
      <c r="L116" s="249">
        <f t="shared" si="45"/>
        <v>7000</v>
      </c>
      <c r="M116" s="144">
        <f t="shared" si="30"/>
        <v>0</v>
      </c>
      <c r="N116" s="405"/>
      <c r="O116" s="145">
        <f t="shared" si="31"/>
        <v>0</v>
      </c>
      <c r="P116" s="145">
        <f t="shared" si="32"/>
        <v>0</v>
      </c>
      <c r="Q116" s="145">
        <f t="shared" si="33"/>
        <v>0</v>
      </c>
      <c r="R116" s="145">
        <f t="shared" si="34"/>
        <v>0</v>
      </c>
      <c r="S116" s="130">
        <f t="shared" si="35"/>
        <v>0</v>
      </c>
      <c r="T116" s="130">
        <f t="shared" si="36"/>
        <v>0</v>
      </c>
      <c r="U116" s="141"/>
      <c r="V116" s="123"/>
      <c r="W116" s="134"/>
      <c r="X116" s="124"/>
      <c r="Y116" s="134"/>
      <c r="Z116" s="200"/>
      <c r="AA116" s="120"/>
      <c r="AB116" s="134"/>
      <c r="AC116" s="200"/>
      <c r="AD116" s="125"/>
      <c r="AE116" s="134"/>
      <c r="AF116" s="200"/>
      <c r="AG116" s="120"/>
      <c r="AH116" s="262"/>
      <c r="AI116" s="262"/>
      <c r="AJ116" s="120"/>
      <c r="AK116" s="262"/>
      <c r="AL116" s="262"/>
      <c r="AM116" s="120"/>
      <c r="AN116" s="262"/>
      <c r="AO116" s="262"/>
      <c r="AP116" s="120"/>
      <c r="AQ116" s="262"/>
      <c r="AR116" s="262"/>
      <c r="AS116" s="120"/>
      <c r="AT116" s="262"/>
      <c r="AU116" s="262"/>
      <c r="AV116" s="120"/>
      <c r="AW116" s="262"/>
      <c r="AX116" s="262"/>
      <c r="AY116" s="120"/>
      <c r="AZ116" s="262"/>
      <c r="BA116" s="262"/>
      <c r="BB116" s="120"/>
      <c r="BC116" s="134"/>
      <c r="BD116" s="200"/>
      <c r="BE116" s="120"/>
      <c r="BF116" s="134"/>
      <c r="BG116" s="200"/>
      <c r="BH116" s="120"/>
      <c r="BI116" s="252"/>
      <c r="BJ116" s="252"/>
      <c r="BK116" s="120"/>
      <c r="BL116" s="134"/>
      <c r="BM116" s="134"/>
      <c r="BN116" s="120"/>
      <c r="BO116" s="252"/>
      <c r="BP116" s="252"/>
      <c r="BQ116" s="120"/>
      <c r="BR116" s="134"/>
      <c r="BS116" s="134"/>
      <c r="BT116" s="120"/>
      <c r="BU116" s="134"/>
      <c r="BV116" s="200"/>
      <c r="BW116" s="120"/>
      <c r="BX116" s="134"/>
      <c r="BY116" s="200"/>
      <c r="BZ116" s="120"/>
      <c r="CA116" s="126"/>
      <c r="CB116" s="126"/>
      <c r="CC116" s="120"/>
      <c r="CD116" s="126"/>
      <c r="CE116" s="126"/>
      <c r="CF116" s="120"/>
      <c r="CG116" s="134"/>
      <c r="CH116" s="134"/>
      <c r="CI116" s="120"/>
      <c r="CJ116" s="200"/>
      <c r="CK116" s="200"/>
      <c r="CL116" s="120"/>
      <c r="CM116" s="200"/>
      <c r="CN116" s="200"/>
      <c r="CO116" s="120"/>
      <c r="CP116" s="134"/>
      <c r="CQ116" s="134"/>
      <c r="CR116" s="120"/>
      <c r="CS116" s="134"/>
      <c r="CT116" s="134"/>
      <c r="CU116" s="120"/>
      <c r="CV116" s="202"/>
      <c r="CW116" s="202"/>
      <c r="CX116" s="120"/>
      <c r="CY116" s="202"/>
      <c r="CZ116" s="202"/>
      <c r="DA116" s="120"/>
      <c r="DB116" s="202"/>
      <c r="DC116" s="202"/>
      <c r="DD116" s="349"/>
      <c r="DE116" s="202"/>
      <c r="DF116" s="202"/>
      <c r="DG116" s="254"/>
      <c r="DH116" s="203"/>
      <c r="DI116" s="203"/>
      <c r="DJ116" s="259"/>
      <c r="DK116" s="136"/>
      <c r="DL116" s="136"/>
      <c r="DM116" s="120"/>
      <c r="DN116" s="233"/>
      <c r="DO116" s="233"/>
      <c r="DP116" s="120"/>
      <c r="DQ116" s="262"/>
      <c r="DR116" s="262"/>
      <c r="DS116" s="120"/>
      <c r="DT116" s="262"/>
      <c r="DU116" s="262"/>
      <c r="DV116" s="120"/>
      <c r="DW116" s="262"/>
      <c r="DX116" s="262"/>
      <c r="DY116" s="120"/>
      <c r="DZ116" s="262"/>
      <c r="EA116" s="262"/>
      <c r="EB116" s="265"/>
      <c r="EC116" s="262"/>
      <c r="ED116" s="262"/>
      <c r="EE116" s="256"/>
      <c r="EF116" s="233"/>
      <c r="EG116" s="233"/>
      <c r="EH116" s="120"/>
      <c r="EI116" s="262"/>
      <c r="EJ116" s="262"/>
      <c r="EK116" s="120"/>
      <c r="EL116" s="262"/>
      <c r="EM116" s="262"/>
      <c r="EN116" s="120"/>
      <c r="EO116" s="262"/>
      <c r="EP116" s="262"/>
      <c r="EQ116" s="120"/>
      <c r="ER116" s="262"/>
      <c r="ES116" s="262"/>
      <c r="ET116" s="120"/>
      <c r="EU116" s="262"/>
      <c r="EV116" s="262"/>
      <c r="EW116" s="120"/>
      <c r="EX116" s="262"/>
      <c r="EY116" s="262"/>
      <c r="EZ116" s="120"/>
      <c r="FA116" s="262"/>
      <c r="FB116" s="262"/>
      <c r="FC116" s="120"/>
      <c r="FD116" s="262"/>
      <c r="FE116" s="262"/>
      <c r="FF116" s="120"/>
      <c r="FG116" s="262"/>
      <c r="FH116" s="262"/>
      <c r="FI116" s="120"/>
      <c r="FJ116" s="262"/>
      <c r="FK116" s="262"/>
      <c r="FL116" s="120"/>
      <c r="FM116" s="262"/>
      <c r="FN116" s="262"/>
      <c r="FO116" s="120"/>
      <c r="FP116" s="262"/>
      <c r="FQ116" s="262"/>
      <c r="FR116" s="120"/>
      <c r="FS116" s="262"/>
      <c r="FT116" s="262"/>
      <c r="FU116" s="120"/>
      <c r="FV116" s="262"/>
      <c r="FW116" s="262"/>
      <c r="FX116" s="120"/>
      <c r="FY116" s="262"/>
      <c r="FZ116" s="262"/>
      <c r="GA116" s="256"/>
      <c r="GB116" s="233"/>
      <c r="GC116" s="233"/>
      <c r="GJ116" s="121">
        <f t="shared" si="37"/>
        <v>0</v>
      </c>
      <c r="GK116" s="121">
        <f t="shared" si="38"/>
        <v>0</v>
      </c>
      <c r="GM116" s="121">
        <f t="shared" si="39"/>
        <v>0</v>
      </c>
      <c r="GN116" s="121">
        <f t="shared" si="40"/>
        <v>0</v>
      </c>
      <c r="GO116" s="121">
        <f t="shared" si="41"/>
        <v>0</v>
      </c>
      <c r="GP116" s="121">
        <f t="shared" si="42"/>
        <v>0</v>
      </c>
      <c r="GQ116" s="121">
        <f t="shared" si="43"/>
        <v>0</v>
      </c>
      <c r="GR116" s="121">
        <f t="shared" si="44"/>
        <v>0</v>
      </c>
    </row>
    <row r="117" spans="1:200" ht="38.25" customHeight="1" x14ac:dyDescent="0.55000000000000004">
      <c r="B117" s="303" t="s">
        <v>490</v>
      </c>
      <c r="C117" s="198"/>
      <c r="D117" s="198"/>
      <c r="E117" s="198"/>
      <c r="F117" s="198"/>
      <c r="G117" s="198"/>
      <c r="H117" s="198"/>
      <c r="I117" s="142" cm="1">
        <f t="array" ref="I117">SUMPRODUCT(($X$2:$GG$2&lt;&gt;"")*($X117:$GG117&lt;&gt;""))</f>
        <v>0</v>
      </c>
      <c r="J117" s="122">
        <f t="shared" si="28"/>
        <v>0</v>
      </c>
      <c r="K117" s="122">
        <f t="shared" si="29"/>
        <v>0</v>
      </c>
      <c r="L117" s="249">
        <f t="shared" si="45"/>
        <v>7000</v>
      </c>
      <c r="M117" s="144">
        <f t="shared" si="30"/>
        <v>0</v>
      </c>
      <c r="N117" s="405"/>
      <c r="O117" s="145">
        <f t="shared" si="31"/>
        <v>0</v>
      </c>
      <c r="P117" s="145">
        <f t="shared" si="32"/>
        <v>0</v>
      </c>
      <c r="Q117" s="145">
        <f t="shared" si="33"/>
        <v>0</v>
      </c>
      <c r="R117" s="145">
        <f t="shared" si="34"/>
        <v>0</v>
      </c>
      <c r="S117" s="130">
        <f t="shared" si="35"/>
        <v>0</v>
      </c>
      <c r="T117" s="130">
        <f t="shared" si="36"/>
        <v>0</v>
      </c>
      <c r="U117" s="141"/>
      <c r="V117" s="123"/>
      <c r="W117" s="134"/>
      <c r="X117" s="124"/>
      <c r="Y117" s="134"/>
      <c r="Z117" s="200"/>
      <c r="AA117" s="120"/>
      <c r="AB117" s="134"/>
      <c r="AC117" s="200"/>
      <c r="AD117" s="125"/>
      <c r="AE117" s="134"/>
      <c r="AF117" s="200"/>
      <c r="AG117" s="120"/>
      <c r="AH117" s="262"/>
      <c r="AI117" s="262"/>
      <c r="AJ117" s="120"/>
      <c r="AK117" s="262"/>
      <c r="AL117" s="262"/>
      <c r="AM117" s="120"/>
      <c r="AN117" s="262"/>
      <c r="AO117" s="262"/>
      <c r="AP117" s="120"/>
      <c r="AQ117" s="262"/>
      <c r="AR117" s="262"/>
      <c r="AS117" s="120"/>
      <c r="AT117" s="262"/>
      <c r="AU117" s="262"/>
      <c r="AV117" s="120"/>
      <c r="AW117" s="262"/>
      <c r="AX117" s="262"/>
      <c r="AY117" s="120"/>
      <c r="AZ117" s="262"/>
      <c r="BA117" s="262"/>
      <c r="BB117" s="120"/>
      <c r="BC117" s="134"/>
      <c r="BD117" s="200"/>
      <c r="BE117" s="120"/>
      <c r="BF117" s="134"/>
      <c r="BG117" s="200"/>
      <c r="BH117" s="120"/>
      <c r="BI117" s="252"/>
      <c r="BJ117" s="252"/>
      <c r="BK117" s="120"/>
      <c r="BL117" s="134"/>
      <c r="BM117" s="134"/>
      <c r="BN117" s="120"/>
      <c r="BO117" s="252"/>
      <c r="BP117" s="252"/>
      <c r="BQ117" s="120"/>
      <c r="BR117" s="134"/>
      <c r="BS117" s="134"/>
      <c r="BT117" s="120"/>
      <c r="BU117" s="134"/>
      <c r="BV117" s="200"/>
      <c r="BW117" s="120"/>
      <c r="BX117" s="134"/>
      <c r="BY117" s="200"/>
      <c r="BZ117" s="120"/>
      <c r="CA117" s="126"/>
      <c r="CB117" s="126"/>
      <c r="CC117" s="120"/>
      <c r="CD117" s="126"/>
      <c r="CE117" s="126"/>
      <c r="CF117" s="120"/>
      <c r="CG117" s="134"/>
      <c r="CH117" s="134"/>
      <c r="CI117" s="120"/>
      <c r="CJ117" s="200"/>
      <c r="CK117" s="200"/>
      <c r="CL117" s="120"/>
      <c r="CM117" s="200"/>
      <c r="CN117" s="200"/>
      <c r="CO117" s="120"/>
      <c r="CP117" s="134"/>
      <c r="CQ117" s="134"/>
      <c r="CR117" s="120"/>
      <c r="CS117" s="134"/>
      <c r="CT117" s="134"/>
      <c r="CU117" s="120"/>
      <c r="CV117" s="202"/>
      <c r="CW117" s="202"/>
      <c r="CX117" s="120"/>
      <c r="CY117" s="202"/>
      <c r="CZ117" s="202"/>
      <c r="DA117" s="120"/>
      <c r="DB117" s="202"/>
      <c r="DC117" s="202"/>
      <c r="DD117" s="349"/>
      <c r="DE117" s="202"/>
      <c r="DF117" s="202"/>
      <c r="DG117" s="254"/>
      <c r="DH117" s="203"/>
      <c r="DI117" s="203"/>
      <c r="DJ117" s="259"/>
      <c r="DK117" s="136"/>
      <c r="DL117" s="136"/>
      <c r="DM117" s="120"/>
      <c r="DN117" s="233"/>
      <c r="DO117" s="233"/>
      <c r="DP117" s="120"/>
      <c r="DQ117" s="262"/>
      <c r="DR117" s="262"/>
      <c r="DS117" s="120"/>
      <c r="DT117" s="262"/>
      <c r="DU117" s="262"/>
      <c r="DV117" s="120"/>
      <c r="DW117" s="262"/>
      <c r="DX117" s="262"/>
      <c r="DY117" s="120"/>
      <c r="DZ117" s="262"/>
      <c r="EA117" s="262"/>
      <c r="EB117" s="265"/>
      <c r="EC117" s="262"/>
      <c r="ED117" s="262"/>
      <c r="EE117" s="256"/>
      <c r="EF117" s="233"/>
      <c r="EG117" s="233"/>
      <c r="EH117" s="120"/>
      <c r="EI117" s="262"/>
      <c r="EJ117" s="262"/>
      <c r="EK117" s="120"/>
      <c r="EL117" s="262"/>
      <c r="EM117" s="262"/>
      <c r="EN117" s="120"/>
      <c r="EO117" s="262"/>
      <c r="EP117" s="262"/>
      <c r="EQ117" s="120"/>
      <c r="ER117" s="262"/>
      <c r="ES117" s="262"/>
      <c r="ET117" s="120"/>
      <c r="EU117" s="262"/>
      <c r="EV117" s="262"/>
      <c r="EW117" s="120"/>
      <c r="EX117" s="262"/>
      <c r="EY117" s="262"/>
      <c r="EZ117" s="120"/>
      <c r="FA117" s="262"/>
      <c r="FB117" s="262"/>
      <c r="FC117" s="120"/>
      <c r="FD117" s="262"/>
      <c r="FE117" s="262"/>
      <c r="FF117" s="120"/>
      <c r="FG117" s="262"/>
      <c r="FH117" s="262"/>
      <c r="FI117" s="120"/>
      <c r="FJ117" s="262"/>
      <c r="FK117" s="262"/>
      <c r="FL117" s="120"/>
      <c r="FM117" s="262"/>
      <c r="FN117" s="262"/>
      <c r="FO117" s="120"/>
      <c r="FP117" s="262"/>
      <c r="FQ117" s="262"/>
      <c r="FR117" s="120"/>
      <c r="FS117" s="262"/>
      <c r="FT117" s="262"/>
      <c r="FU117" s="120"/>
      <c r="FV117" s="262"/>
      <c r="FW117" s="262"/>
      <c r="FX117" s="120"/>
      <c r="FY117" s="262"/>
      <c r="FZ117" s="262"/>
      <c r="GA117" s="256"/>
      <c r="GB117" s="233"/>
      <c r="GC117" s="233"/>
      <c r="GJ117" s="121">
        <f t="shared" si="37"/>
        <v>0</v>
      </c>
      <c r="GK117" s="121">
        <f t="shared" si="38"/>
        <v>0</v>
      </c>
      <c r="GM117" s="121">
        <f t="shared" si="39"/>
        <v>0</v>
      </c>
      <c r="GN117" s="121">
        <f t="shared" si="40"/>
        <v>0</v>
      </c>
      <c r="GO117" s="121">
        <f t="shared" si="41"/>
        <v>0</v>
      </c>
      <c r="GP117" s="121">
        <f t="shared" si="42"/>
        <v>0</v>
      </c>
      <c r="GQ117" s="121">
        <f t="shared" si="43"/>
        <v>0</v>
      </c>
      <c r="GR117" s="121">
        <f t="shared" si="44"/>
        <v>0</v>
      </c>
    </row>
    <row r="118" spans="1:200" ht="38.25" customHeight="1" x14ac:dyDescent="0.55000000000000004">
      <c r="B118" s="303" t="s">
        <v>451</v>
      </c>
      <c r="C118" s="198"/>
      <c r="D118" s="198"/>
      <c r="E118" s="198"/>
      <c r="F118" s="198"/>
      <c r="G118" s="198"/>
      <c r="H118" s="198"/>
      <c r="I118" s="142" cm="1">
        <f t="array" ref="I118">SUMPRODUCT(($X$2:$GG$2&lt;&gt;"")*($X118:$GG118&lt;&gt;""))</f>
        <v>1</v>
      </c>
      <c r="J118" s="122">
        <f t="shared" si="28"/>
        <v>0</v>
      </c>
      <c r="K118" s="122">
        <f t="shared" si="29"/>
        <v>0</v>
      </c>
      <c r="L118" s="249">
        <f t="shared" si="45"/>
        <v>7000</v>
      </c>
      <c r="M118" s="144">
        <f t="shared" si="30"/>
        <v>336</v>
      </c>
      <c r="N118" s="405"/>
      <c r="O118" s="145">
        <f t="shared" si="31"/>
        <v>0</v>
      </c>
      <c r="P118" s="145">
        <f t="shared" si="32"/>
        <v>0</v>
      </c>
      <c r="Q118" s="145">
        <f t="shared" si="33"/>
        <v>0</v>
      </c>
      <c r="R118" s="145">
        <f t="shared" si="34"/>
        <v>0</v>
      </c>
      <c r="S118" s="130">
        <f t="shared" si="35"/>
        <v>0</v>
      </c>
      <c r="T118" s="130">
        <f t="shared" si="36"/>
        <v>0</v>
      </c>
      <c r="U118" s="141"/>
      <c r="V118" s="123"/>
      <c r="W118" s="134"/>
      <c r="X118" s="347">
        <v>12</v>
      </c>
      <c r="Y118" s="347">
        <v>250</v>
      </c>
      <c r="Z118" s="348" t="s">
        <v>576</v>
      </c>
      <c r="AA118" s="120"/>
      <c r="AB118" s="134"/>
      <c r="AC118" s="200"/>
      <c r="AD118" s="125"/>
      <c r="AE118" s="134"/>
      <c r="AF118" s="200"/>
      <c r="AG118" s="120"/>
      <c r="AH118" s="262"/>
      <c r="AI118" s="262"/>
      <c r="AJ118" s="120"/>
      <c r="AK118" s="262"/>
      <c r="AL118" s="262"/>
      <c r="AM118" s="120"/>
      <c r="AN118" s="262"/>
      <c r="AO118" s="262"/>
      <c r="AP118" s="120"/>
      <c r="AQ118" s="262"/>
      <c r="AR118" s="262"/>
      <c r="AS118" s="120"/>
      <c r="AT118" s="262"/>
      <c r="AU118" s="262"/>
      <c r="AV118" s="120"/>
      <c r="AW118" s="262"/>
      <c r="AX118" s="262"/>
      <c r="AY118" s="120"/>
      <c r="AZ118" s="262"/>
      <c r="BA118" s="262"/>
      <c r="BB118" s="120"/>
      <c r="BC118" s="134"/>
      <c r="BD118" s="200"/>
      <c r="BE118" s="120"/>
      <c r="BF118" s="134"/>
      <c r="BG118" s="200"/>
      <c r="BH118" s="120"/>
      <c r="BI118" s="252"/>
      <c r="BJ118" s="252"/>
      <c r="BK118" s="120"/>
      <c r="BL118" s="134"/>
      <c r="BM118" s="134"/>
      <c r="BN118" s="120"/>
      <c r="BO118" s="252"/>
      <c r="BP118" s="252"/>
      <c r="BQ118" s="120"/>
      <c r="BR118" s="134"/>
      <c r="BS118" s="134"/>
      <c r="BT118" s="120"/>
      <c r="BU118" s="134"/>
      <c r="BV118" s="200"/>
      <c r="BW118" s="120"/>
      <c r="BX118" s="134"/>
      <c r="BY118" s="200"/>
      <c r="BZ118" s="120"/>
      <c r="CA118" s="126"/>
      <c r="CB118" s="126"/>
      <c r="CC118" s="120"/>
      <c r="CD118" s="126"/>
      <c r="CE118" s="126"/>
      <c r="CF118" s="120"/>
      <c r="CG118" s="134"/>
      <c r="CH118" s="134"/>
      <c r="CI118" s="120"/>
      <c r="CJ118" s="200"/>
      <c r="CK118" s="200"/>
      <c r="CL118" s="120"/>
      <c r="CM118" s="200"/>
      <c r="CN118" s="200"/>
      <c r="CO118" s="120"/>
      <c r="CP118" s="134"/>
      <c r="CQ118" s="134"/>
      <c r="CR118" s="120"/>
      <c r="CS118" s="134"/>
      <c r="CT118" s="134"/>
      <c r="CU118" s="120"/>
      <c r="CV118" s="202"/>
      <c r="CW118" s="202"/>
      <c r="CX118" s="120"/>
      <c r="CY118" s="202"/>
      <c r="CZ118" s="202"/>
      <c r="DA118" s="120"/>
      <c r="DB118" s="202"/>
      <c r="DC118" s="202"/>
      <c r="DD118" s="349"/>
      <c r="DE118" s="202"/>
      <c r="DF118" s="202"/>
      <c r="DG118" s="254"/>
      <c r="DH118" s="203"/>
      <c r="DI118" s="203"/>
      <c r="DJ118" s="259"/>
      <c r="DK118" s="136"/>
      <c r="DL118" s="136"/>
      <c r="DM118" s="120"/>
      <c r="DN118" s="233"/>
      <c r="DO118" s="233"/>
      <c r="DP118" s="120"/>
      <c r="DQ118" s="262"/>
      <c r="DR118" s="262"/>
      <c r="DS118" s="120"/>
      <c r="DT118" s="262"/>
      <c r="DU118" s="262"/>
      <c r="DV118" s="120"/>
      <c r="DW118" s="262"/>
      <c r="DX118" s="262"/>
      <c r="DY118" s="120"/>
      <c r="DZ118" s="262"/>
      <c r="EA118" s="262"/>
      <c r="EB118" s="265"/>
      <c r="EC118" s="262"/>
      <c r="ED118" s="262"/>
      <c r="EE118" s="256"/>
      <c r="EF118" s="233"/>
      <c r="EG118" s="233"/>
      <c r="EH118" s="120"/>
      <c r="EI118" s="262"/>
      <c r="EJ118" s="262"/>
      <c r="EK118" s="120"/>
      <c r="EL118" s="262"/>
      <c r="EM118" s="262"/>
      <c r="EN118" s="120"/>
      <c r="EO118" s="262"/>
      <c r="EP118" s="262"/>
      <c r="EQ118" s="120"/>
      <c r="ER118" s="262"/>
      <c r="ES118" s="262"/>
      <c r="ET118" s="120"/>
      <c r="EU118" s="262"/>
      <c r="EV118" s="262"/>
      <c r="EW118" s="120"/>
      <c r="EX118" s="262"/>
      <c r="EY118" s="262"/>
      <c r="EZ118" s="120"/>
      <c r="FA118" s="262"/>
      <c r="FB118" s="262"/>
      <c r="FC118" s="120"/>
      <c r="FD118" s="262"/>
      <c r="FE118" s="262"/>
      <c r="FF118" s="120"/>
      <c r="FG118" s="262"/>
      <c r="FH118" s="262"/>
      <c r="FI118" s="120"/>
      <c r="FJ118" s="262"/>
      <c r="FK118" s="262"/>
      <c r="FL118" s="120"/>
      <c r="FM118" s="262"/>
      <c r="FN118" s="262"/>
      <c r="FO118" s="120"/>
      <c r="FP118" s="262"/>
      <c r="FQ118" s="262"/>
      <c r="FR118" s="120"/>
      <c r="FS118" s="262"/>
      <c r="FT118" s="262"/>
      <c r="FU118" s="120"/>
      <c r="FV118" s="262"/>
      <c r="FW118" s="262"/>
      <c r="FX118" s="120"/>
      <c r="FY118" s="262"/>
      <c r="FZ118" s="262"/>
      <c r="GA118" s="256"/>
      <c r="GB118" s="233"/>
      <c r="GC118" s="233"/>
      <c r="GJ118" s="121">
        <f t="shared" si="37"/>
        <v>0</v>
      </c>
      <c r="GK118" s="121">
        <f t="shared" si="38"/>
        <v>0</v>
      </c>
      <c r="GM118" s="121">
        <f t="shared" si="39"/>
        <v>1</v>
      </c>
      <c r="GN118" s="121">
        <f t="shared" si="40"/>
        <v>0</v>
      </c>
      <c r="GO118" s="121">
        <f t="shared" si="41"/>
        <v>0</v>
      </c>
      <c r="GP118" s="121">
        <f t="shared" si="42"/>
        <v>0</v>
      </c>
      <c r="GQ118" s="121">
        <f t="shared" si="43"/>
        <v>0</v>
      </c>
      <c r="GR118" s="121">
        <f t="shared" si="44"/>
        <v>0</v>
      </c>
    </row>
    <row r="119" spans="1:200" ht="38.25" customHeight="1" x14ac:dyDescent="0.55000000000000004">
      <c r="B119" s="305" t="s">
        <v>133</v>
      </c>
      <c r="C119" s="142">
        <v>1</v>
      </c>
      <c r="D119" s="142">
        <v>13</v>
      </c>
      <c r="E119" s="142">
        <v>13</v>
      </c>
      <c r="F119" s="142">
        <f>($X$119/$Y$119)*$L$119*C119</f>
        <v>5936</v>
      </c>
      <c r="G119" s="142">
        <f>($X$119/$Y$119)*$L$119*D119</f>
        <v>77168</v>
      </c>
      <c r="H119" s="142">
        <f>($X$119/$Y$119)*$L$119*E119</f>
        <v>77168</v>
      </c>
      <c r="I119" s="142" cm="1">
        <f t="array" ref="I119">SUMPRODUCT(($X$2:$GG$2&lt;&gt;"")*($X119:$GG119&lt;&gt;""))</f>
        <v>8</v>
      </c>
      <c r="J119" s="122">
        <f t="shared" si="28"/>
        <v>8</v>
      </c>
      <c r="K119" s="122">
        <f t="shared" si="29"/>
        <v>112</v>
      </c>
      <c r="L119" s="249">
        <f t="shared" si="45"/>
        <v>7000</v>
      </c>
      <c r="M119" s="144">
        <f t="shared" si="30"/>
        <v>207760</v>
      </c>
      <c r="N119" s="405"/>
      <c r="O119" s="145">
        <f t="shared" si="31"/>
        <v>0</v>
      </c>
      <c r="P119" s="145">
        <f t="shared" si="32"/>
        <v>0</v>
      </c>
      <c r="Q119" s="145">
        <f t="shared" si="33"/>
        <v>0</v>
      </c>
      <c r="R119" s="145">
        <f t="shared" si="34"/>
        <v>0</v>
      </c>
      <c r="S119" s="130">
        <f t="shared" si="35"/>
        <v>29400</v>
      </c>
      <c r="T119" s="130">
        <f t="shared" si="36"/>
        <v>0</v>
      </c>
      <c r="U119" s="141">
        <v>2200</v>
      </c>
      <c r="V119" s="123">
        <v>480</v>
      </c>
      <c r="W119" s="134">
        <v>4000</v>
      </c>
      <c r="X119" s="124">
        <v>212</v>
      </c>
      <c r="Y119" s="134">
        <v>250</v>
      </c>
      <c r="Z119" s="200" t="s">
        <v>532</v>
      </c>
      <c r="AA119" s="120"/>
      <c r="AB119" s="200"/>
      <c r="AC119" s="200"/>
      <c r="AD119" s="125">
        <v>1170</v>
      </c>
      <c r="AE119" s="339"/>
      <c r="AF119" s="200" t="s">
        <v>538</v>
      </c>
      <c r="AG119" s="120"/>
      <c r="AH119" s="262"/>
      <c r="AI119" s="262"/>
      <c r="AJ119" s="120"/>
      <c r="AK119" s="262"/>
      <c r="AL119" s="262"/>
      <c r="AM119" s="120"/>
      <c r="AN119" s="262"/>
      <c r="AO119" s="262"/>
      <c r="AP119" s="120"/>
      <c r="AQ119" s="262"/>
      <c r="AR119" s="262"/>
      <c r="AS119" s="120"/>
      <c r="AT119" s="262"/>
      <c r="AU119" s="262"/>
      <c r="AV119" s="120">
        <v>50</v>
      </c>
      <c r="AW119" s="341"/>
      <c r="AX119" s="262" t="s">
        <v>537</v>
      </c>
      <c r="AY119" s="120">
        <v>50</v>
      </c>
      <c r="AZ119" s="342"/>
      <c r="BA119" s="262" t="s">
        <v>537</v>
      </c>
      <c r="BB119" s="120"/>
      <c r="BC119" s="134"/>
      <c r="BD119" s="200"/>
      <c r="BE119" s="120"/>
      <c r="BF119" s="134"/>
      <c r="BG119" s="200"/>
      <c r="BH119" s="120">
        <v>25</v>
      </c>
      <c r="BI119" s="339"/>
      <c r="BJ119" s="347" t="s">
        <v>806</v>
      </c>
      <c r="BK119" s="120">
        <v>25</v>
      </c>
      <c r="BL119" s="339"/>
      <c r="BM119" s="347" t="s">
        <v>806</v>
      </c>
      <c r="BN119" s="120"/>
      <c r="BO119" s="126"/>
      <c r="BP119" s="126"/>
      <c r="BQ119" s="120"/>
      <c r="BR119" s="134"/>
      <c r="BS119" s="134"/>
      <c r="BT119" s="120"/>
      <c r="BU119" s="134"/>
      <c r="BV119" s="200"/>
      <c r="BW119" s="120"/>
      <c r="BX119" s="134"/>
      <c r="BY119" s="200"/>
      <c r="BZ119" s="120"/>
      <c r="CA119" s="126"/>
      <c r="CB119" s="126"/>
      <c r="CC119" s="120"/>
      <c r="CD119" s="126"/>
      <c r="CE119" s="126"/>
      <c r="CF119" s="120"/>
      <c r="CG119" s="134"/>
      <c r="CH119" s="134"/>
      <c r="CI119" s="120"/>
      <c r="CJ119" s="134"/>
      <c r="CK119" s="134"/>
      <c r="CL119" s="120"/>
      <c r="CM119" s="127"/>
      <c r="CN119" s="127"/>
      <c r="CO119" s="120"/>
      <c r="CP119" s="200"/>
      <c r="CQ119" s="200"/>
      <c r="CR119" s="120"/>
      <c r="CS119" s="202"/>
      <c r="CT119" s="202"/>
      <c r="CU119" s="120"/>
      <c r="CV119" s="128"/>
      <c r="CW119" s="128"/>
      <c r="CX119" s="120"/>
      <c r="CY119" s="126"/>
      <c r="CZ119" s="126"/>
      <c r="DA119" s="120"/>
      <c r="DB119" s="128"/>
      <c r="DC119" s="128"/>
      <c r="DD119" s="356"/>
      <c r="DE119" s="129"/>
      <c r="DF119" s="129"/>
      <c r="DG119" s="254"/>
      <c r="DH119" s="129"/>
      <c r="DI119" s="129"/>
      <c r="DJ119" s="259">
        <v>30</v>
      </c>
      <c r="DK119" s="344"/>
      <c r="DL119" s="136" t="s">
        <v>539</v>
      </c>
      <c r="DM119" s="120"/>
      <c r="DN119" s="233"/>
      <c r="DO119" s="233"/>
      <c r="DP119" s="120"/>
      <c r="DQ119" s="262"/>
      <c r="DR119" s="262"/>
      <c r="DS119" s="120"/>
      <c r="DT119" s="262"/>
      <c r="DU119" s="262"/>
      <c r="DV119" s="120"/>
      <c r="DW119" s="262"/>
      <c r="DX119" s="262"/>
      <c r="DY119" s="120"/>
      <c r="DZ119" s="262"/>
      <c r="EA119" s="262"/>
      <c r="EB119" s="265"/>
      <c r="EC119" s="262"/>
      <c r="ED119" s="262"/>
      <c r="EE119" s="256"/>
      <c r="EF119" s="233"/>
      <c r="EG119" s="233"/>
      <c r="EH119" s="120"/>
      <c r="EI119" s="262"/>
      <c r="EJ119" s="262"/>
      <c r="EK119" s="120"/>
      <c r="EL119" s="262"/>
      <c r="EM119" s="262"/>
      <c r="EN119" s="120"/>
      <c r="EO119" s="262"/>
      <c r="EP119" s="262"/>
      <c r="EQ119" s="120"/>
      <c r="ER119" s="262"/>
      <c r="ES119" s="262"/>
      <c r="ET119" s="120"/>
      <c r="EU119" s="262"/>
      <c r="EV119" s="262"/>
      <c r="EW119" s="120"/>
      <c r="EX119" s="262"/>
      <c r="EY119" s="262"/>
      <c r="EZ119" s="120"/>
      <c r="FA119" s="262"/>
      <c r="FB119" s="262"/>
      <c r="FC119" s="120"/>
      <c r="FD119" s="262"/>
      <c r="FE119" s="262"/>
      <c r="FF119" s="120"/>
      <c r="FG119" s="262"/>
      <c r="FH119" s="262"/>
      <c r="FI119" s="120"/>
      <c r="FJ119" s="262"/>
      <c r="FK119" s="262"/>
      <c r="FL119" s="120"/>
      <c r="FM119" s="262"/>
      <c r="FN119" s="262"/>
      <c r="FO119" s="120"/>
      <c r="FP119" s="262"/>
      <c r="FQ119" s="262"/>
      <c r="FR119" s="120"/>
      <c r="FS119" s="262"/>
      <c r="FT119" s="262"/>
      <c r="FU119" s="120"/>
      <c r="FV119" s="262"/>
      <c r="FW119" s="262"/>
      <c r="FX119" s="120"/>
      <c r="FY119" s="262"/>
      <c r="FZ119" s="262"/>
      <c r="GA119" s="256">
        <v>36</v>
      </c>
      <c r="GB119" s="346"/>
      <c r="GC119" s="264" t="s">
        <v>541</v>
      </c>
      <c r="GJ119" s="121">
        <f t="shared" si="37"/>
        <v>0</v>
      </c>
      <c r="GK119" s="121">
        <f t="shared" si="38"/>
        <v>0</v>
      </c>
      <c r="GM119" s="121">
        <f t="shared" si="39"/>
        <v>1</v>
      </c>
      <c r="GN119" s="121">
        <f t="shared" si="40"/>
        <v>0</v>
      </c>
      <c r="GO119" s="121">
        <f t="shared" si="41"/>
        <v>1</v>
      </c>
      <c r="GP119" s="121">
        <f t="shared" si="42"/>
        <v>4</v>
      </c>
      <c r="GQ119" s="121">
        <f t="shared" si="43"/>
        <v>0</v>
      </c>
      <c r="GR119" s="121">
        <f t="shared" si="44"/>
        <v>1</v>
      </c>
    </row>
    <row r="120" spans="1:200" ht="38.25" customHeight="1" x14ac:dyDescent="0.55000000000000004">
      <c r="B120" s="310" t="s">
        <v>132</v>
      </c>
      <c r="C120" s="142">
        <v>0</v>
      </c>
      <c r="D120" s="142">
        <v>18</v>
      </c>
      <c r="E120" s="142">
        <v>32</v>
      </c>
      <c r="F120" s="142">
        <f>($X$120/$Y$120)*$L$120*C120</f>
        <v>0</v>
      </c>
      <c r="G120" s="142">
        <f>($X$120/$Y$120)*$L$120*D120</f>
        <v>158760</v>
      </c>
      <c r="H120" s="142">
        <f>($X$120/$Y$120)*$L$120*E120</f>
        <v>282240</v>
      </c>
      <c r="I120" s="142" cm="1">
        <f t="array" ref="I120">SUMPRODUCT(($X$2:$GG$2&lt;&gt;"")*($X120:$GG120&lt;&gt;""))</f>
        <v>7</v>
      </c>
      <c r="J120" s="122">
        <f>I120*C120</f>
        <v>0</v>
      </c>
      <c r="K120" s="122">
        <f>($L$1/$K$2)*J120</f>
        <v>0</v>
      </c>
      <c r="L120" s="249">
        <f t="shared" si="45"/>
        <v>7000</v>
      </c>
      <c r="M120" s="144">
        <f t="shared" si="30"/>
        <v>502740</v>
      </c>
      <c r="N120" s="405"/>
      <c r="O120" s="145">
        <f t="shared" si="31"/>
        <v>0</v>
      </c>
      <c r="P120" s="145">
        <f t="shared" si="32"/>
        <v>0</v>
      </c>
      <c r="Q120" s="145">
        <f t="shared" si="33"/>
        <v>0</v>
      </c>
      <c r="R120" s="145">
        <f t="shared" si="34"/>
        <v>0</v>
      </c>
      <c r="S120" s="130">
        <f t="shared" si="35"/>
        <v>104737.5</v>
      </c>
      <c r="T120" s="130">
        <f t="shared" si="36"/>
        <v>0</v>
      </c>
      <c r="U120" s="141">
        <v>5300</v>
      </c>
      <c r="V120" s="123">
        <v>1050</v>
      </c>
      <c r="W120" s="134">
        <v>4000</v>
      </c>
      <c r="X120" s="124">
        <v>315</v>
      </c>
      <c r="Y120" s="134">
        <v>250</v>
      </c>
      <c r="Z120" s="200" t="s">
        <v>576</v>
      </c>
      <c r="AA120" s="120"/>
      <c r="AB120" s="200" t="s">
        <v>577</v>
      </c>
      <c r="AC120" s="200"/>
      <c r="AD120" s="125">
        <v>1200</v>
      </c>
      <c r="AE120" s="339"/>
      <c r="AF120" s="348" t="s">
        <v>807</v>
      </c>
      <c r="AG120" s="120"/>
      <c r="AH120" s="262"/>
      <c r="AI120" s="262"/>
      <c r="AJ120" s="120"/>
      <c r="AK120" s="262"/>
      <c r="AL120" s="262"/>
      <c r="AM120" s="120"/>
      <c r="AN120" s="262"/>
      <c r="AO120" s="262"/>
      <c r="AP120" s="120"/>
      <c r="AQ120" s="262"/>
      <c r="AR120" s="262"/>
      <c r="AS120" s="120"/>
      <c r="AT120" s="262"/>
      <c r="AU120" s="262"/>
      <c r="AV120" s="120">
        <v>60</v>
      </c>
      <c r="AW120" s="341"/>
      <c r="AX120" s="262" t="s">
        <v>578</v>
      </c>
      <c r="AY120" s="120">
        <v>60</v>
      </c>
      <c r="AZ120" s="341"/>
      <c r="BA120" s="262" t="s">
        <v>578</v>
      </c>
      <c r="BB120" s="120"/>
      <c r="BC120" s="134"/>
      <c r="BD120" s="200"/>
      <c r="BE120" s="120"/>
      <c r="BF120" s="134"/>
      <c r="BG120" s="200"/>
      <c r="BH120" s="120">
        <v>120</v>
      </c>
      <c r="BI120" s="339"/>
      <c r="BJ120" s="262" t="s">
        <v>578</v>
      </c>
      <c r="BK120" s="120">
        <v>120</v>
      </c>
      <c r="BL120" s="339"/>
      <c r="BM120" s="262" t="s">
        <v>578</v>
      </c>
      <c r="BN120" s="120"/>
      <c r="BO120" s="126"/>
      <c r="BP120" s="126"/>
      <c r="BQ120" s="120"/>
      <c r="BR120" s="134"/>
      <c r="BS120" s="134"/>
      <c r="BT120" s="120"/>
      <c r="BU120" s="134"/>
      <c r="BV120" s="200"/>
      <c r="BW120" s="120"/>
      <c r="BX120" s="134"/>
      <c r="BY120" s="200"/>
      <c r="BZ120" s="120"/>
      <c r="CA120" s="126"/>
      <c r="CB120" s="126"/>
      <c r="CC120" s="120"/>
      <c r="CD120" s="126"/>
      <c r="CE120" s="126"/>
      <c r="CF120" s="120"/>
      <c r="CG120" s="134"/>
      <c r="CH120" s="134"/>
      <c r="CI120" s="120"/>
      <c r="CJ120" s="134"/>
      <c r="CK120" s="134"/>
      <c r="CL120" s="120"/>
      <c r="CM120" s="127"/>
      <c r="CN120" s="127"/>
      <c r="CO120" s="120"/>
      <c r="CP120" s="200"/>
      <c r="CQ120" s="200"/>
      <c r="CR120" s="120"/>
      <c r="CS120" s="202"/>
      <c r="CT120" s="202"/>
      <c r="CU120" s="120"/>
      <c r="CV120" s="128"/>
      <c r="CW120" s="128"/>
      <c r="CX120" s="120"/>
      <c r="CY120" s="126"/>
      <c r="CZ120" s="126"/>
      <c r="DA120" s="120"/>
      <c r="DB120" s="128"/>
      <c r="DC120" s="128"/>
      <c r="DD120" s="356"/>
      <c r="DE120" s="129"/>
      <c r="DF120" s="129"/>
      <c r="DG120" s="254"/>
      <c r="DH120" s="129"/>
      <c r="DI120" s="129"/>
      <c r="DJ120" s="259">
        <v>41</v>
      </c>
      <c r="DK120" s="344"/>
      <c r="DL120" s="136" t="s">
        <v>579</v>
      </c>
      <c r="DM120" s="120"/>
      <c r="DN120" s="233"/>
      <c r="DO120" s="233"/>
      <c r="DP120" s="120"/>
      <c r="DQ120" s="262"/>
      <c r="DR120" s="262"/>
      <c r="DS120" s="120"/>
      <c r="DT120" s="262"/>
      <c r="DU120" s="262"/>
      <c r="DV120" s="120"/>
      <c r="DW120" s="262"/>
      <c r="DX120" s="262"/>
      <c r="DY120" s="120"/>
      <c r="DZ120" s="262"/>
      <c r="EA120" s="262"/>
      <c r="EB120" s="265"/>
      <c r="EC120" s="262"/>
      <c r="ED120" s="262"/>
      <c r="EE120" s="256"/>
      <c r="EF120" s="233"/>
      <c r="EG120" s="233"/>
      <c r="EH120" s="120"/>
      <c r="EI120" s="262"/>
      <c r="EJ120" s="262"/>
      <c r="EK120" s="120"/>
      <c r="EL120" s="262"/>
      <c r="EM120" s="262"/>
      <c r="EN120" s="120"/>
      <c r="EO120" s="262"/>
      <c r="EP120" s="262"/>
      <c r="EQ120" s="120"/>
      <c r="ER120" s="262"/>
      <c r="ES120" s="262"/>
      <c r="ET120" s="120"/>
      <c r="EU120" s="262"/>
      <c r="EV120" s="262"/>
      <c r="EW120" s="120"/>
      <c r="EX120" s="262"/>
      <c r="EY120" s="262"/>
      <c r="EZ120" s="120"/>
      <c r="FA120" s="262"/>
      <c r="FB120" s="262"/>
      <c r="FC120" s="120"/>
      <c r="FD120" s="262"/>
      <c r="FE120" s="262"/>
      <c r="FF120" s="120"/>
      <c r="FG120" s="262"/>
      <c r="FH120" s="262"/>
      <c r="FI120" s="120"/>
      <c r="FJ120" s="262"/>
      <c r="FK120" s="262"/>
      <c r="FL120" s="120"/>
      <c r="FM120" s="262"/>
      <c r="FN120" s="262"/>
      <c r="FO120" s="120"/>
      <c r="FP120" s="262"/>
      <c r="FQ120" s="262"/>
      <c r="FR120" s="120"/>
      <c r="FS120" s="262"/>
      <c r="FT120" s="262"/>
      <c r="FU120" s="120"/>
      <c r="FV120" s="262"/>
      <c r="FW120" s="262"/>
      <c r="FX120" s="120"/>
      <c r="FY120" s="262"/>
      <c r="FZ120" s="262"/>
      <c r="GA120" s="256"/>
      <c r="GB120" s="233"/>
      <c r="GC120" s="233"/>
      <c r="GJ120" s="121">
        <f t="shared" si="37"/>
        <v>0</v>
      </c>
      <c r="GK120" s="121">
        <f t="shared" si="38"/>
        <v>0</v>
      </c>
      <c r="GM120" s="121">
        <f t="shared" si="39"/>
        <v>1</v>
      </c>
      <c r="GN120" s="121">
        <f t="shared" si="40"/>
        <v>0</v>
      </c>
      <c r="GO120" s="121">
        <f t="shared" si="41"/>
        <v>1</v>
      </c>
      <c r="GP120" s="121">
        <f t="shared" si="42"/>
        <v>4</v>
      </c>
      <c r="GQ120" s="121">
        <f t="shared" si="43"/>
        <v>0</v>
      </c>
      <c r="GR120" s="121">
        <f t="shared" si="44"/>
        <v>1</v>
      </c>
    </row>
    <row r="121" spans="1:200" ht="38.25" customHeight="1" x14ac:dyDescent="0.55000000000000004">
      <c r="A121" s="121" t="s">
        <v>184</v>
      </c>
      <c r="B121" s="305" t="s">
        <v>131</v>
      </c>
      <c r="C121" s="142">
        <v>16</v>
      </c>
      <c r="D121" s="142">
        <v>16</v>
      </c>
      <c r="E121" s="142">
        <v>16</v>
      </c>
      <c r="F121" s="142">
        <f>($X$121/$Y$121)*$L$121*C121</f>
        <v>31360.000000000004</v>
      </c>
      <c r="G121" s="142">
        <f>($X$121/$Y$121)*$L$121*D121</f>
        <v>31360.000000000004</v>
      </c>
      <c r="H121" s="142">
        <f>($X$121/$Y$121)*$L$121*E121</f>
        <v>31360.000000000004</v>
      </c>
      <c r="I121" s="142" cm="1">
        <f t="array" ref="I121">SUMPRODUCT(($X$2:$GG$2&lt;&gt;"")*($X121:$GG121&lt;&gt;""))</f>
        <v>9</v>
      </c>
      <c r="J121" s="122">
        <f t="shared" si="28"/>
        <v>144</v>
      </c>
      <c r="K121" s="122">
        <f t="shared" si="29"/>
        <v>2016</v>
      </c>
      <c r="L121" s="249">
        <f t="shared" si="45"/>
        <v>7000</v>
      </c>
      <c r="M121" s="144">
        <f t="shared" si="30"/>
        <v>111720.00000000001</v>
      </c>
      <c r="N121" s="405"/>
      <c r="O121" s="145">
        <f t="shared" si="31"/>
        <v>106732.5</v>
      </c>
      <c r="P121" s="145">
        <f t="shared" si="32"/>
        <v>56391.999999999993</v>
      </c>
      <c r="Q121" s="145">
        <f t="shared" si="33"/>
        <v>0</v>
      </c>
      <c r="R121" s="145">
        <f t="shared" si="34"/>
        <v>0</v>
      </c>
      <c r="S121" s="130">
        <f t="shared" si="35"/>
        <v>15960</v>
      </c>
      <c r="T121" s="130">
        <f t="shared" si="36"/>
        <v>0</v>
      </c>
      <c r="U121" s="141">
        <v>606</v>
      </c>
      <c r="V121" s="123">
        <v>160</v>
      </c>
      <c r="W121" s="134">
        <v>4000</v>
      </c>
      <c r="X121" s="124">
        <v>70</v>
      </c>
      <c r="Y121" s="134">
        <v>250</v>
      </c>
      <c r="Z121" s="200" t="s">
        <v>580</v>
      </c>
      <c r="AA121" s="120">
        <v>130</v>
      </c>
      <c r="AB121" s="134">
        <v>2000</v>
      </c>
      <c r="AC121" s="200" t="s">
        <v>581</v>
      </c>
      <c r="AD121" s="125">
        <v>535</v>
      </c>
      <c r="AE121" s="134">
        <v>2000</v>
      </c>
      <c r="AF121" s="200" t="s">
        <v>581</v>
      </c>
      <c r="AG121" s="120">
        <v>72</v>
      </c>
      <c r="AH121" s="262">
        <v>2000</v>
      </c>
      <c r="AI121" s="409"/>
      <c r="AJ121" s="120">
        <v>52</v>
      </c>
      <c r="AK121" s="262">
        <v>2000</v>
      </c>
      <c r="AL121" s="262" t="s">
        <v>582</v>
      </c>
      <c r="AM121" s="120"/>
      <c r="AN121" s="262"/>
      <c r="AO121" s="262"/>
      <c r="AP121" s="120"/>
      <c r="AQ121" s="262"/>
      <c r="AR121" s="262"/>
      <c r="AS121" s="120"/>
      <c r="AT121" s="262"/>
      <c r="AU121" s="262"/>
      <c r="AV121" s="120"/>
      <c r="AW121" s="262"/>
      <c r="AX121" s="262"/>
      <c r="AY121" s="120"/>
      <c r="AZ121" s="262"/>
      <c r="BA121" s="262"/>
      <c r="BB121" s="120"/>
      <c r="BC121" s="134"/>
      <c r="BD121" s="200"/>
      <c r="BE121" s="120"/>
      <c r="BF121" s="134"/>
      <c r="BG121" s="200"/>
      <c r="BH121" s="120">
        <v>21.5</v>
      </c>
      <c r="BI121" s="262">
        <v>3000</v>
      </c>
      <c r="BJ121" s="262" t="s">
        <v>582</v>
      </c>
      <c r="BK121" s="120">
        <v>21.5</v>
      </c>
      <c r="BL121" s="262">
        <v>3000</v>
      </c>
      <c r="BM121" s="262" t="s">
        <v>582</v>
      </c>
      <c r="BN121" s="120"/>
      <c r="BO121" s="126"/>
      <c r="BP121" s="126"/>
      <c r="BQ121" s="120"/>
      <c r="BR121" s="134"/>
      <c r="BS121" s="134"/>
      <c r="BT121" s="120"/>
      <c r="BU121" s="200"/>
      <c r="BV121" s="200"/>
      <c r="BW121" s="120"/>
      <c r="BX121" s="200"/>
      <c r="BY121" s="200"/>
      <c r="BZ121" s="120"/>
      <c r="CA121" s="127"/>
      <c r="CB121" s="127"/>
      <c r="CC121" s="120"/>
      <c r="CD121" s="127"/>
      <c r="CE121" s="127"/>
      <c r="CF121" s="120"/>
      <c r="CG121" s="177"/>
      <c r="CH121" s="177"/>
      <c r="CI121" s="120"/>
      <c r="CJ121" s="200"/>
      <c r="CK121" s="200"/>
      <c r="CL121" s="120"/>
      <c r="CM121" s="127"/>
      <c r="CN121" s="127"/>
      <c r="CO121" s="120"/>
      <c r="CP121" s="200"/>
      <c r="CQ121" s="200"/>
      <c r="CR121" s="120"/>
      <c r="CS121" s="202"/>
      <c r="CT121" s="202"/>
      <c r="CU121" s="120"/>
      <c r="CV121" s="128"/>
      <c r="CW121" s="128"/>
      <c r="CX121" s="120"/>
      <c r="CY121" s="126"/>
      <c r="CZ121" s="126"/>
      <c r="DA121" s="120"/>
      <c r="DB121" s="128"/>
      <c r="DC121" s="128"/>
      <c r="DD121" s="355">
        <v>0.125</v>
      </c>
      <c r="DE121" s="343"/>
      <c r="DF121" s="356" t="s">
        <v>809</v>
      </c>
      <c r="DG121" s="254"/>
      <c r="DH121" s="129"/>
      <c r="DI121" s="129"/>
      <c r="DJ121" s="259">
        <v>6</v>
      </c>
      <c r="DK121" s="344"/>
      <c r="DL121" s="352" t="s">
        <v>808</v>
      </c>
      <c r="DM121" s="120"/>
      <c r="DN121" s="233"/>
      <c r="DO121" s="233"/>
      <c r="DP121" s="120"/>
      <c r="DQ121" s="262"/>
      <c r="DR121" s="262"/>
      <c r="DS121" s="120"/>
      <c r="DT121" s="262"/>
      <c r="DU121" s="262"/>
      <c r="DV121" s="120"/>
      <c r="DW121" s="262"/>
      <c r="DX121" s="262"/>
      <c r="DY121" s="120"/>
      <c r="DZ121" s="262"/>
      <c r="EA121" s="262"/>
      <c r="EB121" s="265"/>
      <c r="EC121" s="262"/>
      <c r="ED121" s="262"/>
      <c r="EE121" s="256"/>
      <c r="EF121" s="233"/>
      <c r="EG121" s="233"/>
      <c r="EH121" s="120"/>
      <c r="EI121" s="262"/>
      <c r="EJ121" s="262"/>
      <c r="EK121" s="120"/>
      <c r="EL121" s="262"/>
      <c r="EM121" s="262"/>
      <c r="EN121" s="120"/>
      <c r="EO121" s="262"/>
      <c r="EP121" s="262"/>
      <c r="EQ121" s="120"/>
      <c r="ER121" s="262"/>
      <c r="ES121" s="262"/>
      <c r="ET121" s="120"/>
      <c r="EU121" s="262"/>
      <c r="EV121" s="262"/>
      <c r="EW121" s="120"/>
      <c r="EX121" s="262"/>
      <c r="EY121" s="262"/>
      <c r="EZ121" s="120"/>
      <c r="FA121" s="262"/>
      <c r="FB121" s="262"/>
      <c r="FC121" s="120"/>
      <c r="FD121" s="262"/>
      <c r="FE121" s="262"/>
      <c r="FF121" s="120"/>
      <c r="FG121" s="262"/>
      <c r="FH121" s="262"/>
      <c r="FI121" s="120"/>
      <c r="FJ121" s="262"/>
      <c r="FK121" s="262"/>
      <c r="FL121" s="120"/>
      <c r="FM121" s="262"/>
      <c r="FN121" s="262"/>
      <c r="FO121" s="120"/>
      <c r="FP121" s="262"/>
      <c r="FQ121" s="262"/>
      <c r="FR121" s="120"/>
      <c r="FS121" s="262"/>
      <c r="FT121" s="262"/>
      <c r="FU121" s="120"/>
      <c r="FV121" s="262"/>
      <c r="FW121" s="262"/>
      <c r="FX121" s="120"/>
      <c r="FY121" s="262"/>
      <c r="FZ121" s="262"/>
      <c r="GA121" s="256"/>
      <c r="GB121" s="233"/>
      <c r="GC121" s="233"/>
      <c r="GJ121" s="121">
        <f t="shared" si="37"/>
        <v>0</v>
      </c>
      <c r="GK121" s="121">
        <f t="shared" si="38"/>
        <v>0</v>
      </c>
      <c r="GM121" s="121">
        <f t="shared" si="39"/>
        <v>1</v>
      </c>
      <c r="GN121" s="121">
        <f t="shared" si="40"/>
        <v>1</v>
      </c>
      <c r="GO121" s="121">
        <f t="shared" si="41"/>
        <v>1</v>
      </c>
      <c r="GP121" s="121">
        <f t="shared" si="42"/>
        <v>3</v>
      </c>
      <c r="GQ121" s="121">
        <f t="shared" si="43"/>
        <v>1</v>
      </c>
      <c r="GR121" s="121">
        <f t="shared" si="44"/>
        <v>1</v>
      </c>
    </row>
    <row r="122" spans="1:200" ht="38.25" customHeight="1" x14ac:dyDescent="0.55000000000000004">
      <c r="B122" s="311" t="s">
        <v>181</v>
      </c>
      <c r="C122" s="198">
        <v>2</v>
      </c>
      <c r="D122" s="198">
        <v>2</v>
      </c>
      <c r="E122" s="198">
        <v>2</v>
      </c>
      <c r="F122" s="142">
        <f>($X$122/$Y$122)*$L$122*C122</f>
        <v>1680</v>
      </c>
      <c r="G122" s="142">
        <f>($X$122/$Y$122)*$L$122*D122</f>
        <v>1680</v>
      </c>
      <c r="H122" s="142">
        <f>($X$122/$Y$122)*$L$122*E122</f>
        <v>1680</v>
      </c>
      <c r="I122" s="142" cm="1">
        <f t="array" ref="I122">SUMPRODUCT(($X$2:$GG$2&lt;&gt;"")*($X122:$GG122&lt;&gt;""))</f>
        <v>2</v>
      </c>
      <c r="J122" s="122">
        <f t="shared" si="28"/>
        <v>4</v>
      </c>
      <c r="K122" s="122">
        <f t="shared" si="29"/>
        <v>56</v>
      </c>
      <c r="L122" s="249">
        <f t="shared" si="45"/>
        <v>7000</v>
      </c>
      <c r="M122" s="144">
        <f t="shared" si="30"/>
        <v>6720</v>
      </c>
      <c r="N122" s="405"/>
      <c r="O122" s="145">
        <f t="shared" si="31"/>
        <v>8960</v>
      </c>
      <c r="P122" s="145">
        <f t="shared" si="32"/>
        <v>0</v>
      </c>
      <c r="Q122" s="145">
        <f t="shared" si="33"/>
        <v>0</v>
      </c>
      <c r="R122" s="145">
        <f t="shared" si="34"/>
        <v>0</v>
      </c>
      <c r="S122" s="130">
        <f t="shared" si="35"/>
        <v>0</v>
      </c>
      <c r="T122" s="130">
        <f t="shared" si="36"/>
        <v>0</v>
      </c>
      <c r="U122" s="141">
        <v>650</v>
      </c>
      <c r="V122" s="123"/>
      <c r="W122" s="134"/>
      <c r="X122" s="124">
        <v>30</v>
      </c>
      <c r="Y122" s="134">
        <v>250</v>
      </c>
      <c r="Z122" s="348" t="s">
        <v>576</v>
      </c>
      <c r="AA122" s="120"/>
      <c r="AB122" s="134"/>
      <c r="AC122" s="200"/>
      <c r="AD122" s="125">
        <v>320</v>
      </c>
      <c r="AE122" s="134">
        <v>2000</v>
      </c>
      <c r="AF122" s="348" t="s">
        <v>807</v>
      </c>
      <c r="AG122" s="120"/>
      <c r="AH122" s="262"/>
      <c r="AI122" s="262"/>
      <c r="AJ122" s="120"/>
      <c r="AK122" s="262"/>
      <c r="AL122" s="262"/>
      <c r="AM122" s="120"/>
      <c r="AN122" s="262"/>
      <c r="AO122" s="262"/>
      <c r="AP122" s="120"/>
      <c r="AQ122" s="262"/>
      <c r="AR122" s="262"/>
      <c r="AS122" s="120"/>
      <c r="AT122" s="262"/>
      <c r="AU122" s="262"/>
      <c r="AV122" s="120"/>
      <c r="AW122" s="262"/>
      <c r="AX122" s="262"/>
      <c r="AY122" s="120"/>
      <c r="AZ122" s="262"/>
      <c r="BA122" s="262"/>
      <c r="BB122" s="120"/>
      <c r="BC122" s="134"/>
      <c r="BD122" s="200"/>
      <c r="BE122" s="120"/>
      <c r="BF122" s="134"/>
      <c r="BG122" s="200"/>
      <c r="BH122" s="120"/>
      <c r="BI122" s="134"/>
      <c r="BJ122" s="134"/>
      <c r="BK122" s="120"/>
      <c r="BL122" s="134"/>
      <c r="BM122" s="134"/>
      <c r="BN122" s="120"/>
      <c r="BO122" s="252"/>
      <c r="BP122" s="252"/>
      <c r="BQ122" s="120"/>
      <c r="BR122" s="134"/>
      <c r="BS122" s="134"/>
      <c r="BT122" s="120"/>
      <c r="BU122" s="134"/>
      <c r="BV122" s="200"/>
      <c r="BW122" s="120"/>
      <c r="BX122" s="134"/>
      <c r="BY122" s="200"/>
      <c r="BZ122" s="120"/>
      <c r="CA122" s="126"/>
      <c r="CB122" s="126"/>
      <c r="CC122" s="120"/>
      <c r="CD122" s="126"/>
      <c r="CE122" s="126"/>
      <c r="CF122" s="120"/>
      <c r="CG122" s="134"/>
      <c r="CH122" s="134"/>
      <c r="CI122" s="120"/>
      <c r="CJ122" s="200"/>
      <c r="CK122" s="200"/>
      <c r="CL122" s="120"/>
      <c r="CM122" s="200"/>
      <c r="CN122" s="200"/>
      <c r="CO122" s="120"/>
      <c r="CP122" s="134"/>
      <c r="CQ122" s="134"/>
      <c r="CR122" s="120"/>
      <c r="CS122" s="134"/>
      <c r="CT122" s="134"/>
      <c r="CU122" s="120"/>
      <c r="CV122" s="202"/>
      <c r="CW122" s="202"/>
      <c r="CX122" s="120"/>
      <c r="CY122" s="202"/>
      <c r="CZ122" s="202"/>
      <c r="DA122" s="120"/>
      <c r="DB122" s="202"/>
      <c r="DC122" s="202"/>
      <c r="DD122" s="349"/>
      <c r="DE122" s="202"/>
      <c r="DF122" s="202"/>
      <c r="DG122" s="254"/>
      <c r="DH122" s="203"/>
      <c r="DI122" s="203"/>
      <c r="DJ122" s="259"/>
      <c r="DK122" s="136"/>
      <c r="DL122" s="136"/>
      <c r="DM122" s="120"/>
      <c r="DN122" s="233"/>
      <c r="DO122" s="233"/>
      <c r="DP122" s="120"/>
      <c r="DQ122" s="262"/>
      <c r="DR122" s="262"/>
      <c r="DS122" s="120"/>
      <c r="DT122" s="262"/>
      <c r="DU122" s="262"/>
      <c r="DV122" s="120"/>
      <c r="DW122" s="262"/>
      <c r="DX122" s="262"/>
      <c r="DY122" s="120"/>
      <c r="DZ122" s="262"/>
      <c r="EA122" s="262"/>
      <c r="EB122" s="265"/>
      <c r="EC122" s="262"/>
      <c r="ED122" s="262"/>
      <c r="EE122" s="256"/>
      <c r="EF122" s="233"/>
      <c r="EG122" s="233"/>
      <c r="EH122" s="120"/>
      <c r="EI122" s="262"/>
      <c r="EJ122" s="262"/>
      <c r="EK122" s="120"/>
      <c r="EL122" s="262"/>
      <c r="EM122" s="262"/>
      <c r="EN122" s="120"/>
      <c r="EO122" s="262"/>
      <c r="EP122" s="262"/>
      <c r="EQ122" s="120"/>
      <c r="ER122" s="262"/>
      <c r="ES122" s="262"/>
      <c r="ET122" s="120"/>
      <c r="EU122" s="262"/>
      <c r="EV122" s="262"/>
      <c r="EW122" s="120"/>
      <c r="EX122" s="262"/>
      <c r="EY122" s="262"/>
      <c r="EZ122" s="120"/>
      <c r="FA122" s="262"/>
      <c r="FB122" s="262"/>
      <c r="FC122" s="120"/>
      <c r="FD122" s="262"/>
      <c r="FE122" s="262"/>
      <c r="FF122" s="120"/>
      <c r="FG122" s="262"/>
      <c r="FH122" s="262"/>
      <c r="FI122" s="120"/>
      <c r="FJ122" s="262"/>
      <c r="FK122" s="262"/>
      <c r="FL122" s="120"/>
      <c r="FM122" s="262"/>
      <c r="FN122" s="262"/>
      <c r="FO122" s="120"/>
      <c r="FP122" s="262"/>
      <c r="FQ122" s="262"/>
      <c r="FR122" s="120"/>
      <c r="FS122" s="262"/>
      <c r="FT122" s="262"/>
      <c r="FU122" s="120"/>
      <c r="FV122" s="262"/>
      <c r="FW122" s="262"/>
      <c r="FX122" s="120"/>
      <c r="FY122" s="262"/>
      <c r="FZ122" s="262"/>
      <c r="GA122" s="256"/>
      <c r="GB122" s="233"/>
      <c r="GC122" s="233"/>
      <c r="GJ122" s="121">
        <f t="shared" si="37"/>
        <v>0</v>
      </c>
      <c r="GK122" s="121">
        <f t="shared" si="38"/>
        <v>0</v>
      </c>
      <c r="GM122" s="121">
        <f t="shared" si="39"/>
        <v>1</v>
      </c>
      <c r="GN122" s="121">
        <f t="shared" si="40"/>
        <v>0</v>
      </c>
      <c r="GO122" s="121">
        <f t="shared" si="41"/>
        <v>1</v>
      </c>
      <c r="GP122" s="121">
        <f t="shared" si="42"/>
        <v>0</v>
      </c>
      <c r="GQ122" s="121">
        <f t="shared" si="43"/>
        <v>0</v>
      </c>
      <c r="GR122" s="121">
        <f t="shared" si="44"/>
        <v>0</v>
      </c>
    </row>
    <row r="123" spans="1:200" ht="38.25" customHeight="1" x14ac:dyDescent="0.55000000000000004">
      <c r="B123" s="311" t="s">
        <v>182</v>
      </c>
      <c r="C123" s="198">
        <v>2</v>
      </c>
      <c r="D123" s="198">
        <v>2</v>
      </c>
      <c r="E123" s="198">
        <v>2</v>
      </c>
      <c r="F123" s="142">
        <f>($X$123/$Y$123)*$L$123*C123</f>
        <v>336</v>
      </c>
      <c r="G123" s="142">
        <f>($X$123/$Y$123)*$L$123*D123</f>
        <v>336</v>
      </c>
      <c r="H123" s="142">
        <f>($X$123/$Y$123)*$L$123*E123</f>
        <v>336</v>
      </c>
      <c r="I123" s="142" cm="1">
        <f t="array" ref="I123">SUMPRODUCT(($X$2:$GG$2&lt;&gt;"")*($X123:$GG123&lt;&gt;""))</f>
        <v>2</v>
      </c>
      <c r="J123" s="122">
        <f t="shared" si="28"/>
        <v>4</v>
      </c>
      <c r="K123" s="122">
        <f t="shared" si="29"/>
        <v>56</v>
      </c>
      <c r="L123" s="249">
        <f t="shared" si="45"/>
        <v>7000</v>
      </c>
      <c r="M123" s="144">
        <f t="shared" si="30"/>
        <v>1344</v>
      </c>
      <c r="N123" s="405"/>
      <c r="O123" s="145">
        <f t="shared" si="31"/>
        <v>9240</v>
      </c>
      <c r="P123" s="145">
        <f t="shared" si="32"/>
        <v>0</v>
      </c>
      <c r="Q123" s="145">
        <f t="shared" si="33"/>
        <v>0</v>
      </c>
      <c r="R123" s="145">
        <f t="shared" si="34"/>
        <v>0</v>
      </c>
      <c r="S123" s="130">
        <f t="shared" si="35"/>
        <v>0</v>
      </c>
      <c r="T123" s="130">
        <f t="shared" si="36"/>
        <v>0</v>
      </c>
      <c r="U123" s="141"/>
      <c r="V123" s="123"/>
      <c r="W123" s="134"/>
      <c r="X123" s="124">
        <v>6</v>
      </c>
      <c r="Y123" s="134">
        <v>250</v>
      </c>
      <c r="Z123" s="348" t="s">
        <v>576</v>
      </c>
      <c r="AA123" s="120"/>
      <c r="AB123" s="134"/>
      <c r="AC123" s="200"/>
      <c r="AD123" s="125">
        <v>330</v>
      </c>
      <c r="AE123" s="134">
        <v>2000</v>
      </c>
      <c r="AF123" s="348" t="s">
        <v>807</v>
      </c>
      <c r="AG123" s="120"/>
      <c r="AH123" s="262"/>
      <c r="AI123" s="262"/>
      <c r="AJ123" s="120"/>
      <c r="AK123" s="262"/>
      <c r="AL123" s="262"/>
      <c r="AM123" s="120"/>
      <c r="AN123" s="262"/>
      <c r="AO123" s="262"/>
      <c r="AP123" s="120"/>
      <c r="AQ123" s="262"/>
      <c r="AR123" s="262"/>
      <c r="AS123" s="120"/>
      <c r="AT123" s="262"/>
      <c r="AU123" s="262"/>
      <c r="AV123" s="120"/>
      <c r="AW123" s="262"/>
      <c r="AX123" s="262"/>
      <c r="AY123" s="120"/>
      <c r="AZ123" s="262"/>
      <c r="BA123" s="262"/>
      <c r="BB123" s="120"/>
      <c r="BC123" s="134"/>
      <c r="BD123" s="200"/>
      <c r="BE123" s="120"/>
      <c r="BF123" s="134"/>
      <c r="BG123" s="200"/>
      <c r="BH123" s="120"/>
      <c r="BI123" s="134"/>
      <c r="BJ123" s="134"/>
      <c r="BK123" s="120"/>
      <c r="BL123" s="134"/>
      <c r="BM123" s="134"/>
      <c r="BN123" s="120"/>
      <c r="BO123" s="252"/>
      <c r="BP123" s="252"/>
      <c r="BQ123" s="120"/>
      <c r="BR123" s="134"/>
      <c r="BS123" s="134"/>
      <c r="BT123" s="120"/>
      <c r="BU123" s="134"/>
      <c r="BV123" s="200"/>
      <c r="BW123" s="120"/>
      <c r="BX123" s="134"/>
      <c r="BY123" s="200"/>
      <c r="BZ123" s="120"/>
      <c r="CA123" s="126"/>
      <c r="CB123" s="126"/>
      <c r="CC123" s="120"/>
      <c r="CD123" s="126"/>
      <c r="CE123" s="126"/>
      <c r="CF123" s="120"/>
      <c r="CG123" s="134"/>
      <c r="CH123" s="134"/>
      <c r="CI123" s="120"/>
      <c r="CJ123" s="200"/>
      <c r="CK123" s="200"/>
      <c r="CL123" s="120"/>
      <c r="CM123" s="200"/>
      <c r="CN123" s="200"/>
      <c r="CO123" s="120"/>
      <c r="CP123" s="134"/>
      <c r="CQ123" s="134"/>
      <c r="CR123" s="120"/>
      <c r="CS123" s="134"/>
      <c r="CT123" s="134"/>
      <c r="CU123" s="120"/>
      <c r="CV123" s="202"/>
      <c r="CW123" s="202"/>
      <c r="CX123" s="120"/>
      <c r="CY123" s="202"/>
      <c r="CZ123" s="202"/>
      <c r="DA123" s="120"/>
      <c r="DB123" s="202"/>
      <c r="DC123" s="202"/>
      <c r="DD123" s="349"/>
      <c r="DE123" s="202"/>
      <c r="DF123" s="202"/>
      <c r="DG123" s="254"/>
      <c r="DH123" s="203"/>
      <c r="DI123" s="203"/>
      <c r="DJ123" s="259"/>
      <c r="DK123" s="136"/>
      <c r="DL123" s="136"/>
      <c r="DM123" s="120"/>
      <c r="DN123" s="233"/>
      <c r="DO123" s="233"/>
      <c r="DP123" s="120"/>
      <c r="DQ123" s="262"/>
      <c r="DR123" s="262"/>
      <c r="DS123" s="120"/>
      <c r="DT123" s="262"/>
      <c r="DU123" s="262"/>
      <c r="DV123" s="120"/>
      <c r="DW123" s="262"/>
      <c r="DX123" s="262"/>
      <c r="DY123" s="120"/>
      <c r="DZ123" s="262"/>
      <c r="EA123" s="262"/>
      <c r="EB123" s="265"/>
      <c r="EC123" s="262"/>
      <c r="ED123" s="262"/>
      <c r="EE123" s="256"/>
      <c r="EF123" s="233"/>
      <c r="EG123" s="233"/>
      <c r="EH123" s="120"/>
      <c r="EI123" s="262"/>
      <c r="EJ123" s="262"/>
      <c r="EK123" s="120"/>
      <c r="EL123" s="262"/>
      <c r="EM123" s="262"/>
      <c r="EN123" s="120"/>
      <c r="EO123" s="262"/>
      <c r="EP123" s="262"/>
      <c r="EQ123" s="120"/>
      <c r="ER123" s="262"/>
      <c r="ES123" s="262"/>
      <c r="ET123" s="120"/>
      <c r="EU123" s="262"/>
      <c r="EV123" s="262"/>
      <c r="EW123" s="120"/>
      <c r="EX123" s="262"/>
      <c r="EY123" s="262"/>
      <c r="EZ123" s="120"/>
      <c r="FA123" s="262"/>
      <c r="FB123" s="262"/>
      <c r="FC123" s="120"/>
      <c r="FD123" s="262"/>
      <c r="FE123" s="262"/>
      <c r="FF123" s="120"/>
      <c r="FG123" s="262"/>
      <c r="FH123" s="262"/>
      <c r="FI123" s="120"/>
      <c r="FJ123" s="262"/>
      <c r="FK123" s="262"/>
      <c r="FL123" s="120"/>
      <c r="FM123" s="262"/>
      <c r="FN123" s="262"/>
      <c r="FO123" s="120"/>
      <c r="FP123" s="262"/>
      <c r="FQ123" s="262"/>
      <c r="FR123" s="120"/>
      <c r="FS123" s="262"/>
      <c r="FT123" s="262"/>
      <c r="FU123" s="120"/>
      <c r="FV123" s="262"/>
      <c r="FW123" s="262"/>
      <c r="FX123" s="120"/>
      <c r="FY123" s="262"/>
      <c r="FZ123" s="262"/>
      <c r="GA123" s="256"/>
      <c r="GB123" s="233"/>
      <c r="GC123" s="233"/>
      <c r="GJ123" s="121">
        <f t="shared" si="37"/>
        <v>0</v>
      </c>
      <c r="GK123" s="121">
        <f t="shared" si="38"/>
        <v>0</v>
      </c>
      <c r="GM123" s="121">
        <f t="shared" si="39"/>
        <v>1</v>
      </c>
      <c r="GN123" s="121">
        <f t="shared" si="40"/>
        <v>0</v>
      </c>
      <c r="GO123" s="121">
        <f t="shared" si="41"/>
        <v>1</v>
      </c>
      <c r="GP123" s="121">
        <f t="shared" si="42"/>
        <v>0</v>
      </c>
      <c r="GQ123" s="121">
        <f t="shared" si="43"/>
        <v>0</v>
      </c>
      <c r="GR123" s="121">
        <f t="shared" si="44"/>
        <v>0</v>
      </c>
    </row>
    <row r="124" spans="1:200" ht="38.25" customHeight="1" x14ac:dyDescent="0.55000000000000004">
      <c r="B124" s="311" t="s">
        <v>180</v>
      </c>
      <c r="C124" s="198">
        <v>2</v>
      </c>
      <c r="D124" s="198">
        <v>2</v>
      </c>
      <c r="E124" s="198">
        <v>2</v>
      </c>
      <c r="F124" s="142">
        <f t="shared" ref="F124" si="48">(X124/Y124)*L124*C124</f>
        <v>1680</v>
      </c>
      <c r="G124" s="142" t="e">
        <f t="shared" ref="G124" si="49">(Y124/Z124)*M124*D124</f>
        <v>#VALUE!</v>
      </c>
      <c r="H124" s="142" t="e">
        <f t="shared" ref="H124" si="50">(Z124/AA124)*O124*E124</f>
        <v>#VALUE!</v>
      </c>
      <c r="I124" s="142" cm="1">
        <f t="array" ref="I124">SUMPRODUCT(($X$2:$GG$2&lt;&gt;"")*($X124:$GG124&lt;&gt;""))</f>
        <v>2</v>
      </c>
      <c r="J124" s="122">
        <f t="shared" si="28"/>
        <v>4</v>
      </c>
      <c r="K124" s="122">
        <f t="shared" si="29"/>
        <v>56</v>
      </c>
      <c r="L124" s="249">
        <f t="shared" si="45"/>
        <v>7000</v>
      </c>
      <c r="M124" s="144">
        <f t="shared" si="30"/>
        <v>6720</v>
      </c>
      <c r="N124" s="405"/>
      <c r="O124" s="145">
        <f t="shared" si="31"/>
        <v>22400</v>
      </c>
      <c r="P124" s="145">
        <f t="shared" si="32"/>
        <v>0</v>
      </c>
      <c r="Q124" s="145">
        <f t="shared" si="33"/>
        <v>0</v>
      </c>
      <c r="R124" s="145">
        <f t="shared" si="34"/>
        <v>0</v>
      </c>
      <c r="S124" s="130">
        <f t="shared" si="35"/>
        <v>0</v>
      </c>
      <c r="T124" s="130">
        <f t="shared" si="36"/>
        <v>0</v>
      </c>
      <c r="U124" s="141">
        <v>1300</v>
      </c>
      <c r="V124" s="123"/>
      <c r="W124" s="134"/>
      <c r="X124" s="124">
        <v>30</v>
      </c>
      <c r="Y124" s="134">
        <v>250</v>
      </c>
      <c r="Z124" s="348" t="s">
        <v>576</v>
      </c>
      <c r="AA124" s="120"/>
      <c r="AB124" s="134"/>
      <c r="AC124" s="200"/>
      <c r="AD124" s="125">
        <v>400</v>
      </c>
      <c r="AE124" s="134">
        <v>1000</v>
      </c>
      <c r="AF124" s="348" t="s">
        <v>807</v>
      </c>
      <c r="AG124" s="120"/>
      <c r="AH124" s="262"/>
      <c r="AI124" s="262"/>
      <c r="AJ124" s="120"/>
      <c r="AK124" s="262"/>
      <c r="AL124" s="262"/>
      <c r="AM124" s="120"/>
      <c r="AN124" s="262"/>
      <c r="AO124" s="262"/>
      <c r="AP124" s="120"/>
      <c r="AQ124" s="262"/>
      <c r="AR124" s="262"/>
      <c r="AS124" s="120"/>
      <c r="AT124" s="262"/>
      <c r="AU124" s="262"/>
      <c r="AV124" s="120"/>
      <c r="AW124" s="262"/>
      <c r="AX124" s="262"/>
      <c r="AY124" s="120"/>
      <c r="AZ124" s="262"/>
      <c r="BA124" s="262"/>
      <c r="BB124" s="120"/>
      <c r="BC124" s="134"/>
      <c r="BD124" s="200"/>
      <c r="BE124" s="120"/>
      <c r="BF124" s="134"/>
      <c r="BG124" s="200"/>
      <c r="BH124" s="120"/>
      <c r="BI124" s="134"/>
      <c r="BJ124" s="134"/>
      <c r="BK124" s="120"/>
      <c r="BL124" s="134"/>
      <c r="BM124" s="134"/>
      <c r="BN124" s="120"/>
      <c r="BO124" s="252"/>
      <c r="BP124" s="252"/>
      <c r="BQ124" s="120"/>
      <c r="BR124" s="134"/>
      <c r="BS124" s="134"/>
      <c r="BT124" s="120"/>
      <c r="BU124" s="134"/>
      <c r="BV124" s="200"/>
      <c r="BW124" s="120"/>
      <c r="BX124" s="134"/>
      <c r="BY124" s="200"/>
      <c r="BZ124" s="120"/>
      <c r="CA124" s="126"/>
      <c r="CB124" s="126"/>
      <c r="CC124" s="120"/>
      <c r="CD124" s="126"/>
      <c r="CE124" s="126"/>
      <c r="CF124" s="120"/>
      <c r="CG124" s="134"/>
      <c r="CH124" s="134"/>
      <c r="CI124" s="120"/>
      <c r="CJ124" s="200"/>
      <c r="CK124" s="200"/>
      <c r="CL124" s="120"/>
      <c r="CM124" s="200"/>
      <c r="CN124" s="200"/>
      <c r="CO124" s="120"/>
      <c r="CP124" s="134"/>
      <c r="CQ124" s="134"/>
      <c r="CR124" s="120"/>
      <c r="CS124" s="134"/>
      <c r="CT124" s="134"/>
      <c r="CU124" s="120"/>
      <c r="CV124" s="202"/>
      <c r="CW124" s="202"/>
      <c r="CX124" s="120"/>
      <c r="CY124" s="202"/>
      <c r="CZ124" s="202"/>
      <c r="DA124" s="120"/>
      <c r="DB124" s="202"/>
      <c r="DC124" s="202"/>
      <c r="DD124" s="349"/>
      <c r="DE124" s="202"/>
      <c r="DF124" s="202"/>
      <c r="DG124" s="254"/>
      <c r="DH124" s="203"/>
      <c r="DI124" s="203"/>
      <c r="DJ124" s="259"/>
      <c r="DK124" s="136"/>
      <c r="DL124" s="136"/>
      <c r="DM124" s="120"/>
      <c r="DN124" s="233"/>
      <c r="DO124" s="233"/>
      <c r="DP124" s="120"/>
      <c r="DQ124" s="262"/>
      <c r="DR124" s="262"/>
      <c r="DS124" s="120"/>
      <c r="DT124" s="262"/>
      <c r="DU124" s="262"/>
      <c r="DV124" s="120"/>
      <c r="DW124" s="262"/>
      <c r="DX124" s="262"/>
      <c r="DY124" s="120"/>
      <c r="DZ124" s="262"/>
      <c r="EA124" s="262"/>
      <c r="EB124" s="265"/>
      <c r="EC124" s="262"/>
      <c r="ED124" s="262"/>
      <c r="EE124" s="256"/>
      <c r="EF124" s="233"/>
      <c r="EG124" s="233"/>
      <c r="EH124" s="120"/>
      <c r="EI124" s="262"/>
      <c r="EJ124" s="262"/>
      <c r="EK124" s="120"/>
      <c r="EL124" s="262"/>
      <c r="EM124" s="262"/>
      <c r="EN124" s="120"/>
      <c r="EO124" s="262"/>
      <c r="EP124" s="262"/>
      <c r="EQ124" s="120"/>
      <c r="ER124" s="262"/>
      <c r="ES124" s="262"/>
      <c r="ET124" s="120"/>
      <c r="EU124" s="262"/>
      <c r="EV124" s="262"/>
      <c r="EW124" s="120"/>
      <c r="EX124" s="262"/>
      <c r="EY124" s="262"/>
      <c r="EZ124" s="120"/>
      <c r="FA124" s="262"/>
      <c r="FB124" s="262"/>
      <c r="FC124" s="120"/>
      <c r="FD124" s="262"/>
      <c r="FE124" s="262"/>
      <c r="FF124" s="120"/>
      <c r="FG124" s="262"/>
      <c r="FH124" s="262"/>
      <c r="FI124" s="120"/>
      <c r="FJ124" s="262"/>
      <c r="FK124" s="262"/>
      <c r="FL124" s="120"/>
      <c r="FM124" s="262"/>
      <c r="FN124" s="262"/>
      <c r="FO124" s="120"/>
      <c r="FP124" s="262"/>
      <c r="FQ124" s="262"/>
      <c r="FR124" s="120"/>
      <c r="FS124" s="262"/>
      <c r="FT124" s="262"/>
      <c r="FU124" s="120"/>
      <c r="FV124" s="262"/>
      <c r="FW124" s="262"/>
      <c r="FX124" s="120"/>
      <c r="FY124" s="262"/>
      <c r="FZ124" s="262"/>
      <c r="GA124" s="256"/>
      <c r="GB124" s="233"/>
      <c r="GC124" s="233"/>
      <c r="GJ124" s="121">
        <f t="shared" si="37"/>
        <v>0</v>
      </c>
      <c r="GK124" s="121">
        <f t="shared" si="38"/>
        <v>0</v>
      </c>
      <c r="GM124" s="121">
        <f t="shared" si="39"/>
        <v>1</v>
      </c>
      <c r="GN124" s="121">
        <f t="shared" si="40"/>
        <v>0</v>
      </c>
      <c r="GO124" s="121">
        <f t="shared" si="41"/>
        <v>1</v>
      </c>
      <c r="GP124" s="121">
        <f t="shared" si="42"/>
        <v>0</v>
      </c>
      <c r="GQ124" s="121">
        <f t="shared" si="43"/>
        <v>0</v>
      </c>
      <c r="GR124" s="121">
        <f t="shared" si="44"/>
        <v>0</v>
      </c>
    </row>
    <row r="125" spans="1:200" ht="38.25" customHeight="1" x14ac:dyDescent="0.55000000000000004">
      <c r="B125" s="303" t="s">
        <v>452</v>
      </c>
      <c r="C125" s="198"/>
      <c r="D125" s="198"/>
      <c r="E125" s="198"/>
      <c r="F125" s="198"/>
      <c r="G125" s="198"/>
      <c r="H125" s="198"/>
      <c r="I125" s="142" cm="1">
        <f t="array" ref="I125">SUMPRODUCT(($X$2:$GG$2&lt;&gt;"")*($X125:$GG125&lt;&gt;""))</f>
        <v>0</v>
      </c>
      <c r="J125" s="122">
        <f t="shared" si="28"/>
        <v>0</v>
      </c>
      <c r="K125" s="122">
        <f t="shared" si="29"/>
        <v>0</v>
      </c>
      <c r="L125" s="249">
        <f t="shared" si="45"/>
        <v>7000</v>
      </c>
      <c r="M125" s="144">
        <f t="shared" si="30"/>
        <v>0</v>
      </c>
      <c r="N125" s="405"/>
      <c r="O125" s="145">
        <f t="shared" si="31"/>
        <v>0</v>
      </c>
      <c r="P125" s="145">
        <f t="shared" si="32"/>
        <v>0</v>
      </c>
      <c r="Q125" s="145">
        <f t="shared" si="33"/>
        <v>0</v>
      </c>
      <c r="R125" s="145">
        <f t="shared" si="34"/>
        <v>0</v>
      </c>
      <c r="S125" s="130">
        <f t="shared" si="35"/>
        <v>0</v>
      </c>
      <c r="T125" s="130">
        <f t="shared" si="36"/>
        <v>0</v>
      </c>
      <c r="U125" s="141"/>
      <c r="V125" s="123"/>
      <c r="W125" s="134"/>
      <c r="X125" s="124"/>
      <c r="Y125" s="134"/>
      <c r="Z125" s="200"/>
      <c r="AA125" s="120"/>
      <c r="AB125" s="134"/>
      <c r="AC125" s="200"/>
      <c r="AD125" s="125"/>
      <c r="AE125" s="134"/>
      <c r="AF125" s="200"/>
      <c r="AG125" s="120"/>
      <c r="AH125" s="262"/>
      <c r="AI125" s="262"/>
      <c r="AJ125" s="120"/>
      <c r="AK125" s="262"/>
      <c r="AL125" s="262"/>
      <c r="AM125" s="120"/>
      <c r="AN125" s="262"/>
      <c r="AO125" s="262"/>
      <c r="AP125" s="120"/>
      <c r="AQ125" s="262"/>
      <c r="AR125" s="262"/>
      <c r="AS125" s="120"/>
      <c r="AT125" s="262"/>
      <c r="AU125" s="262"/>
      <c r="AV125" s="120"/>
      <c r="AW125" s="262"/>
      <c r="AX125" s="262"/>
      <c r="AY125" s="120"/>
      <c r="AZ125" s="262"/>
      <c r="BA125" s="262"/>
      <c r="BB125" s="120"/>
      <c r="BC125" s="134"/>
      <c r="BD125" s="200"/>
      <c r="BE125" s="120"/>
      <c r="BF125" s="134"/>
      <c r="BG125" s="200"/>
      <c r="BH125" s="120"/>
      <c r="BI125" s="252"/>
      <c r="BJ125" s="252"/>
      <c r="BK125" s="120"/>
      <c r="BL125" s="134"/>
      <c r="BM125" s="134"/>
      <c r="BN125" s="120"/>
      <c r="BO125" s="252"/>
      <c r="BP125" s="252"/>
      <c r="BQ125" s="120"/>
      <c r="BR125" s="134"/>
      <c r="BS125" s="134"/>
      <c r="BT125" s="120"/>
      <c r="BU125" s="134"/>
      <c r="BV125" s="200"/>
      <c r="BW125" s="120"/>
      <c r="BX125" s="134"/>
      <c r="BY125" s="200"/>
      <c r="BZ125" s="120"/>
      <c r="CA125" s="126"/>
      <c r="CB125" s="126"/>
      <c r="CC125" s="120"/>
      <c r="CD125" s="126"/>
      <c r="CE125" s="126"/>
      <c r="CF125" s="120"/>
      <c r="CG125" s="134"/>
      <c r="CH125" s="134"/>
      <c r="CI125" s="120"/>
      <c r="CJ125" s="200"/>
      <c r="CK125" s="200"/>
      <c r="CL125" s="120"/>
      <c r="CM125" s="200"/>
      <c r="CN125" s="200"/>
      <c r="CO125" s="120"/>
      <c r="CP125" s="134"/>
      <c r="CQ125" s="134"/>
      <c r="CR125" s="120"/>
      <c r="CS125" s="134"/>
      <c r="CT125" s="134"/>
      <c r="CU125" s="120"/>
      <c r="CV125" s="202"/>
      <c r="CW125" s="202"/>
      <c r="CX125" s="120"/>
      <c r="CY125" s="202"/>
      <c r="CZ125" s="202"/>
      <c r="DA125" s="120"/>
      <c r="DB125" s="202"/>
      <c r="DC125" s="202"/>
      <c r="DD125" s="349"/>
      <c r="DE125" s="202"/>
      <c r="DF125" s="202"/>
      <c r="DG125" s="254"/>
      <c r="DH125" s="203"/>
      <c r="DI125" s="203"/>
      <c r="DJ125" s="259"/>
      <c r="DK125" s="136"/>
      <c r="DL125" s="136"/>
      <c r="DM125" s="120"/>
      <c r="DN125" s="233"/>
      <c r="DO125" s="233"/>
      <c r="DP125" s="120"/>
      <c r="DQ125" s="262"/>
      <c r="DR125" s="262"/>
      <c r="DS125" s="120"/>
      <c r="DT125" s="262"/>
      <c r="DU125" s="262"/>
      <c r="DV125" s="120"/>
      <c r="DW125" s="262"/>
      <c r="DX125" s="262"/>
      <c r="DY125" s="120"/>
      <c r="DZ125" s="262"/>
      <c r="EA125" s="262"/>
      <c r="EB125" s="265"/>
      <c r="EC125" s="262"/>
      <c r="ED125" s="262"/>
      <c r="EE125" s="256"/>
      <c r="EF125" s="233"/>
      <c r="EG125" s="233"/>
      <c r="EH125" s="120"/>
      <c r="EI125" s="262"/>
      <c r="EJ125" s="262"/>
      <c r="EK125" s="120"/>
      <c r="EL125" s="262"/>
      <c r="EM125" s="262"/>
      <c r="EN125" s="120"/>
      <c r="EO125" s="262"/>
      <c r="EP125" s="262"/>
      <c r="EQ125" s="120"/>
      <c r="ER125" s="262"/>
      <c r="ES125" s="262"/>
      <c r="ET125" s="120"/>
      <c r="EU125" s="262"/>
      <c r="EV125" s="262"/>
      <c r="EW125" s="120"/>
      <c r="EX125" s="262"/>
      <c r="EY125" s="262"/>
      <c r="EZ125" s="120"/>
      <c r="FA125" s="262"/>
      <c r="FB125" s="262"/>
      <c r="FC125" s="120"/>
      <c r="FD125" s="262"/>
      <c r="FE125" s="262"/>
      <c r="FF125" s="120"/>
      <c r="FG125" s="262"/>
      <c r="FH125" s="262"/>
      <c r="FI125" s="120"/>
      <c r="FJ125" s="262"/>
      <c r="FK125" s="262"/>
      <c r="FL125" s="120"/>
      <c r="FM125" s="262"/>
      <c r="FN125" s="262"/>
      <c r="FO125" s="120"/>
      <c r="FP125" s="262"/>
      <c r="FQ125" s="262"/>
      <c r="FR125" s="120"/>
      <c r="FS125" s="262"/>
      <c r="FT125" s="262"/>
      <c r="FU125" s="120"/>
      <c r="FV125" s="262"/>
      <c r="FW125" s="262"/>
      <c r="FX125" s="120"/>
      <c r="FY125" s="262"/>
      <c r="FZ125" s="262"/>
      <c r="GA125" s="256"/>
      <c r="GB125" s="233"/>
      <c r="GC125" s="233"/>
      <c r="GJ125" s="121">
        <f t="shared" si="37"/>
        <v>0</v>
      </c>
      <c r="GK125" s="121">
        <f t="shared" si="38"/>
        <v>0</v>
      </c>
      <c r="GM125" s="121">
        <f t="shared" si="39"/>
        <v>0</v>
      </c>
      <c r="GN125" s="121">
        <f t="shared" si="40"/>
        <v>0</v>
      </c>
      <c r="GO125" s="121">
        <f t="shared" si="41"/>
        <v>0</v>
      </c>
      <c r="GP125" s="121">
        <f t="shared" si="42"/>
        <v>0</v>
      </c>
      <c r="GQ125" s="121">
        <f t="shared" si="43"/>
        <v>0</v>
      </c>
      <c r="GR125" s="121">
        <f t="shared" si="44"/>
        <v>0</v>
      </c>
    </row>
    <row r="126" spans="1:200" ht="38.25" customHeight="1" x14ac:dyDescent="0.55000000000000004">
      <c r="B126" s="303" t="s">
        <v>453</v>
      </c>
      <c r="C126" s="198"/>
      <c r="D126" s="198"/>
      <c r="E126" s="198"/>
      <c r="F126" s="198"/>
      <c r="G126" s="198"/>
      <c r="H126" s="198"/>
      <c r="I126" s="142" cm="1">
        <f t="array" ref="I126">SUMPRODUCT(($X$2:$GG$2&lt;&gt;"")*($X126:$GG126&lt;&gt;""))</f>
        <v>6</v>
      </c>
      <c r="J126" s="122">
        <f t="shared" si="28"/>
        <v>0</v>
      </c>
      <c r="K126" s="122">
        <f t="shared" si="29"/>
        <v>0</v>
      </c>
      <c r="L126" s="249">
        <f t="shared" si="45"/>
        <v>7000</v>
      </c>
      <c r="M126" s="144">
        <f t="shared" si="30"/>
        <v>0</v>
      </c>
      <c r="N126" s="405"/>
      <c r="O126" s="145">
        <f t="shared" si="31"/>
        <v>0</v>
      </c>
      <c r="P126" s="145">
        <f t="shared" si="32"/>
        <v>0</v>
      </c>
      <c r="Q126" s="145">
        <f t="shared" si="33"/>
        <v>0</v>
      </c>
      <c r="R126" s="145">
        <f t="shared" si="34"/>
        <v>0</v>
      </c>
      <c r="S126" s="130">
        <f t="shared" si="35"/>
        <v>0</v>
      </c>
      <c r="T126" s="130">
        <f t="shared" si="36"/>
        <v>0</v>
      </c>
      <c r="U126" s="141">
        <v>300</v>
      </c>
      <c r="V126" s="123">
        <v>51</v>
      </c>
      <c r="W126" s="134"/>
      <c r="X126" s="124">
        <v>15</v>
      </c>
      <c r="Y126" s="339"/>
      <c r="Z126" s="348" t="s">
        <v>576</v>
      </c>
      <c r="AA126" s="120">
        <v>40</v>
      </c>
      <c r="AB126" s="339"/>
      <c r="AC126" s="348" t="s">
        <v>806</v>
      </c>
      <c r="AD126" s="125">
        <v>1120</v>
      </c>
      <c r="AE126" s="339"/>
      <c r="AF126" s="348" t="s">
        <v>807</v>
      </c>
      <c r="AG126" s="120"/>
      <c r="AH126" s="262"/>
      <c r="AI126" s="262"/>
      <c r="AJ126" s="120">
        <v>18.899999999999999</v>
      </c>
      <c r="AK126" s="341"/>
      <c r="AL126" s="350" t="s">
        <v>806</v>
      </c>
      <c r="AM126" s="120"/>
      <c r="AN126" s="262"/>
      <c r="AO126" s="262"/>
      <c r="AP126" s="120"/>
      <c r="AQ126" s="262"/>
      <c r="AR126" s="262"/>
      <c r="AS126" s="120"/>
      <c r="AT126" s="262"/>
      <c r="AU126" s="262"/>
      <c r="AV126" s="120"/>
      <c r="AW126" s="262"/>
      <c r="AX126" s="262"/>
      <c r="AY126" s="120"/>
      <c r="AZ126" s="262"/>
      <c r="BA126" s="262"/>
      <c r="BB126" s="120"/>
      <c r="BC126" s="134"/>
      <c r="BD126" s="200"/>
      <c r="BE126" s="120"/>
      <c r="BF126" s="134"/>
      <c r="BG126" s="200"/>
      <c r="BH126" s="120"/>
      <c r="BI126" s="252"/>
      <c r="BJ126" s="252"/>
      <c r="BK126" s="120"/>
      <c r="BL126" s="134"/>
      <c r="BM126" s="134"/>
      <c r="BN126" s="120"/>
      <c r="BO126" s="252"/>
      <c r="BP126" s="252"/>
      <c r="BQ126" s="120"/>
      <c r="BR126" s="134"/>
      <c r="BS126" s="134"/>
      <c r="BT126" s="120"/>
      <c r="BU126" s="134"/>
      <c r="BV126" s="200"/>
      <c r="BW126" s="120"/>
      <c r="BX126" s="134"/>
      <c r="BY126" s="200"/>
      <c r="BZ126" s="120"/>
      <c r="CA126" s="126"/>
      <c r="CB126" s="126"/>
      <c r="CC126" s="120"/>
      <c r="CD126" s="126"/>
      <c r="CE126" s="126"/>
      <c r="CF126" s="120"/>
      <c r="CG126" s="134"/>
      <c r="CH126" s="134"/>
      <c r="CI126" s="120"/>
      <c r="CJ126" s="200"/>
      <c r="CK126" s="200"/>
      <c r="CL126" s="120"/>
      <c r="CM126" s="200"/>
      <c r="CN126" s="200"/>
      <c r="CO126" s="120"/>
      <c r="CP126" s="134"/>
      <c r="CQ126" s="134"/>
      <c r="CR126" s="120"/>
      <c r="CS126" s="134"/>
      <c r="CT126" s="134"/>
      <c r="CU126" s="120"/>
      <c r="CV126" s="202"/>
      <c r="CW126" s="202"/>
      <c r="CX126" s="120"/>
      <c r="CY126" s="202"/>
      <c r="CZ126" s="202"/>
      <c r="DA126" s="120"/>
      <c r="DB126" s="202"/>
      <c r="DC126" s="202"/>
      <c r="DD126" s="349"/>
      <c r="DE126" s="202"/>
      <c r="DF126" s="202"/>
      <c r="DG126" s="254"/>
      <c r="DH126" s="203"/>
      <c r="DI126" s="203"/>
      <c r="DJ126" s="259"/>
      <c r="DK126" s="136"/>
      <c r="DL126" s="136"/>
      <c r="DM126" s="120"/>
      <c r="DN126" s="233"/>
      <c r="DO126" s="233"/>
      <c r="DP126" s="120"/>
      <c r="DQ126" s="262"/>
      <c r="DR126" s="262"/>
      <c r="DS126" s="120"/>
      <c r="DT126" s="262"/>
      <c r="DU126" s="262"/>
      <c r="DV126" s="120"/>
      <c r="DW126" s="262"/>
      <c r="DX126" s="262"/>
      <c r="DY126" s="120"/>
      <c r="DZ126" s="262"/>
      <c r="EA126" s="262"/>
      <c r="EB126" s="265"/>
      <c r="EC126" s="262"/>
      <c r="ED126" s="262"/>
      <c r="EE126" s="256"/>
      <c r="EF126" s="233"/>
      <c r="EG126" s="233"/>
      <c r="EH126" s="120"/>
      <c r="EI126" s="262"/>
      <c r="EJ126" s="262"/>
      <c r="EK126" s="120">
        <v>51</v>
      </c>
      <c r="EL126" s="341"/>
      <c r="EM126" s="350" t="s">
        <v>806</v>
      </c>
      <c r="EN126" s="120"/>
      <c r="EO126" s="262"/>
      <c r="EP126" s="262"/>
      <c r="EQ126" s="120"/>
      <c r="ER126" s="262"/>
      <c r="ES126" s="262"/>
      <c r="ET126" s="120"/>
      <c r="EU126" s="262"/>
      <c r="EV126" s="262"/>
      <c r="EW126" s="120"/>
      <c r="EX126" s="262"/>
      <c r="EY126" s="262"/>
      <c r="EZ126" s="120"/>
      <c r="FA126" s="262"/>
      <c r="FB126" s="262"/>
      <c r="FC126" s="120"/>
      <c r="FD126" s="262"/>
      <c r="FE126" s="262"/>
      <c r="FF126" s="120"/>
      <c r="FG126" s="262"/>
      <c r="FH126" s="262"/>
      <c r="FI126" s="120"/>
      <c r="FJ126" s="262"/>
      <c r="FK126" s="262"/>
      <c r="FL126" s="120"/>
      <c r="FM126" s="262"/>
      <c r="FN126" s="262"/>
      <c r="FO126" s="120"/>
      <c r="FP126" s="262"/>
      <c r="FQ126" s="262"/>
      <c r="FR126" s="120"/>
      <c r="FS126" s="262"/>
      <c r="FT126" s="262"/>
      <c r="FU126" s="120"/>
      <c r="FV126" s="262"/>
      <c r="FW126" s="262"/>
      <c r="FX126" s="120"/>
      <c r="FY126" s="262"/>
      <c r="FZ126" s="262"/>
      <c r="GA126" s="256"/>
      <c r="GB126" s="233"/>
      <c r="GC126" s="233"/>
      <c r="GD126" s="351">
        <v>40</v>
      </c>
      <c r="GE126" s="351">
        <v>1000</v>
      </c>
      <c r="GF126" s="351" t="s">
        <v>800</v>
      </c>
      <c r="GJ126" s="121">
        <f t="shared" si="37"/>
        <v>1680</v>
      </c>
      <c r="GK126" s="121">
        <f t="shared" si="38"/>
        <v>0</v>
      </c>
      <c r="GM126" s="121">
        <f t="shared" si="39"/>
        <v>1</v>
      </c>
      <c r="GN126" s="121">
        <f t="shared" si="40"/>
        <v>1</v>
      </c>
      <c r="GO126" s="121">
        <f t="shared" si="41"/>
        <v>1</v>
      </c>
      <c r="GP126" s="121">
        <f t="shared" si="42"/>
        <v>2</v>
      </c>
      <c r="GQ126" s="121">
        <f t="shared" si="43"/>
        <v>0</v>
      </c>
      <c r="GR126" s="121">
        <f t="shared" si="44"/>
        <v>0</v>
      </c>
    </row>
    <row r="127" spans="1:200" ht="38.25" customHeight="1" x14ac:dyDescent="0.55000000000000004">
      <c r="B127" s="303" t="s">
        <v>454</v>
      </c>
      <c r="C127" s="198"/>
      <c r="D127" s="198"/>
      <c r="E127" s="198"/>
      <c r="F127" s="198"/>
      <c r="G127" s="198"/>
      <c r="H127" s="198"/>
      <c r="I127" s="142" cm="1">
        <f t="array" ref="I127">SUMPRODUCT(($X$2:$GG$2&lt;&gt;"")*($X127:$GG127&lt;&gt;""))</f>
        <v>6</v>
      </c>
      <c r="J127" s="122">
        <f t="shared" si="28"/>
        <v>0</v>
      </c>
      <c r="K127" s="122">
        <f t="shared" si="29"/>
        <v>0</v>
      </c>
      <c r="L127" s="249">
        <f t="shared" si="45"/>
        <v>7000</v>
      </c>
      <c r="M127" s="144">
        <f>IFERROR(IF(N(Y127)=0,0,(X127/Y127)*L127*(C127+D127+E127+I127)),0)</f>
        <v>0</v>
      </c>
      <c r="N127" s="405"/>
      <c r="O127" s="145">
        <f t="shared" si="31"/>
        <v>0</v>
      </c>
      <c r="P127" s="145">
        <f t="shared" si="32"/>
        <v>0</v>
      </c>
      <c r="Q127" s="145">
        <f t="shared" si="33"/>
        <v>0</v>
      </c>
      <c r="R127" s="145">
        <f t="shared" si="34"/>
        <v>0</v>
      </c>
      <c r="S127" s="130">
        <f t="shared" si="35"/>
        <v>0</v>
      </c>
      <c r="T127" s="130">
        <f t="shared" si="36"/>
        <v>0</v>
      </c>
      <c r="U127" s="141">
        <v>350</v>
      </c>
      <c r="V127" s="123">
        <v>50</v>
      </c>
      <c r="W127" s="134"/>
      <c r="X127" s="124">
        <v>18</v>
      </c>
      <c r="Y127" s="339"/>
      <c r="Z127" s="348" t="s">
        <v>576</v>
      </c>
      <c r="AA127" s="120">
        <v>58</v>
      </c>
      <c r="AB127" s="339"/>
      <c r="AC127" s="200" t="s">
        <v>606</v>
      </c>
      <c r="AD127" s="125">
        <v>1250</v>
      </c>
      <c r="AE127" s="339"/>
      <c r="AF127" s="200" t="s">
        <v>604</v>
      </c>
      <c r="AG127" s="120"/>
      <c r="AH127" s="262"/>
      <c r="AI127" s="262"/>
      <c r="AJ127" s="120"/>
      <c r="AK127" s="262"/>
      <c r="AL127" s="262"/>
      <c r="AM127" s="120"/>
      <c r="AN127" s="262"/>
      <c r="AO127" s="262"/>
      <c r="AP127" s="120"/>
      <c r="AQ127" s="262"/>
      <c r="AR127" s="262"/>
      <c r="AS127" s="120"/>
      <c r="AT127" s="262"/>
      <c r="AU127" s="262"/>
      <c r="AV127" s="120"/>
      <c r="AW127" s="262"/>
      <c r="AX127" s="262"/>
      <c r="AY127" s="120"/>
      <c r="AZ127" s="262"/>
      <c r="BA127" s="262"/>
      <c r="BB127" s="120">
        <v>18</v>
      </c>
      <c r="BC127" s="339"/>
      <c r="BD127" s="200" t="s">
        <v>605</v>
      </c>
      <c r="BE127" s="120">
        <v>18</v>
      </c>
      <c r="BF127" s="339"/>
      <c r="BG127" s="200" t="s">
        <v>605</v>
      </c>
      <c r="BH127" s="120"/>
      <c r="BI127" s="252"/>
      <c r="BJ127" s="252"/>
      <c r="BK127" s="120"/>
      <c r="BL127" s="134"/>
      <c r="BM127" s="134"/>
      <c r="BN127" s="120"/>
      <c r="BO127" s="252"/>
      <c r="BP127" s="252"/>
      <c r="BQ127" s="120"/>
      <c r="BR127" s="134"/>
      <c r="BS127" s="134"/>
      <c r="BT127" s="120"/>
      <c r="BU127" s="134"/>
      <c r="BV127" s="200"/>
      <c r="BW127" s="120"/>
      <c r="BX127" s="134"/>
      <c r="BY127" s="200"/>
      <c r="BZ127" s="120"/>
      <c r="CA127" s="126"/>
      <c r="CB127" s="126"/>
      <c r="CC127" s="120"/>
      <c r="CD127" s="126"/>
      <c r="CE127" s="126"/>
      <c r="CF127" s="120"/>
      <c r="CG127" s="134"/>
      <c r="CH127" s="134"/>
      <c r="CI127" s="120"/>
      <c r="CJ127" s="200"/>
      <c r="CK127" s="200"/>
      <c r="CL127" s="120"/>
      <c r="CM127" s="200"/>
      <c r="CN127" s="200"/>
      <c r="CO127" s="120"/>
      <c r="CP127" s="134"/>
      <c r="CQ127" s="134"/>
      <c r="CR127" s="120"/>
      <c r="CS127" s="134"/>
      <c r="CT127" s="134"/>
      <c r="CU127" s="120"/>
      <c r="CV127" s="202"/>
      <c r="CW127" s="202"/>
      <c r="CX127" s="120"/>
      <c r="CY127" s="202"/>
      <c r="CZ127" s="202"/>
      <c r="DA127" s="120"/>
      <c r="DB127" s="202"/>
      <c r="DC127" s="202"/>
      <c r="DD127" s="349"/>
      <c r="DE127" s="202"/>
      <c r="DF127" s="202"/>
      <c r="DG127" s="254"/>
      <c r="DH127" s="203"/>
      <c r="DI127" s="203"/>
      <c r="DJ127" s="259"/>
      <c r="DK127" s="136"/>
      <c r="DL127" s="136"/>
      <c r="DM127" s="120"/>
      <c r="DN127" s="233"/>
      <c r="DO127" s="233"/>
      <c r="DP127" s="120"/>
      <c r="DQ127" s="262"/>
      <c r="DR127" s="262"/>
      <c r="DS127" s="120"/>
      <c r="DT127" s="262"/>
      <c r="DU127" s="262"/>
      <c r="DV127" s="120"/>
      <c r="DW127" s="262"/>
      <c r="DX127" s="262"/>
      <c r="DY127" s="120"/>
      <c r="DZ127" s="262"/>
      <c r="EA127" s="262"/>
      <c r="EB127" s="265"/>
      <c r="EC127" s="262"/>
      <c r="ED127" s="262"/>
      <c r="EE127" s="256"/>
      <c r="EF127" s="233"/>
      <c r="EG127" s="233"/>
      <c r="EH127" s="120"/>
      <c r="EI127" s="262"/>
      <c r="EJ127" s="262"/>
      <c r="EK127" s="120"/>
      <c r="EL127" s="262"/>
      <c r="EM127" s="262"/>
      <c r="EN127" s="120"/>
      <c r="EO127" s="262"/>
      <c r="EP127" s="262"/>
      <c r="EQ127" s="120"/>
      <c r="ER127" s="262"/>
      <c r="ES127" s="262"/>
      <c r="ET127" s="120"/>
      <c r="EU127" s="262"/>
      <c r="EV127" s="262"/>
      <c r="EW127" s="120"/>
      <c r="EX127" s="262"/>
      <c r="EY127" s="262"/>
      <c r="EZ127" s="120"/>
      <c r="FA127" s="262"/>
      <c r="FB127" s="262"/>
      <c r="FC127" s="120"/>
      <c r="FD127" s="262"/>
      <c r="FE127" s="262"/>
      <c r="FF127" s="120"/>
      <c r="FG127" s="262"/>
      <c r="FH127" s="262"/>
      <c r="FI127" s="120"/>
      <c r="FJ127" s="262"/>
      <c r="FK127" s="262"/>
      <c r="FL127" s="120"/>
      <c r="FM127" s="262"/>
      <c r="FN127" s="262"/>
      <c r="FO127" s="120"/>
      <c r="FP127" s="262"/>
      <c r="FQ127" s="262"/>
      <c r="FR127" s="120"/>
      <c r="FS127" s="262"/>
      <c r="FT127" s="262"/>
      <c r="FU127" s="120"/>
      <c r="FV127" s="262"/>
      <c r="FW127" s="262"/>
      <c r="FX127" s="120"/>
      <c r="FY127" s="262"/>
      <c r="FZ127" s="262"/>
      <c r="GA127" s="256"/>
      <c r="GB127" s="233"/>
      <c r="GC127" s="233"/>
      <c r="GD127" s="351">
        <v>40</v>
      </c>
      <c r="GE127" s="351">
        <v>1000</v>
      </c>
      <c r="GF127" s="351" t="s">
        <v>800</v>
      </c>
      <c r="GJ127" s="121">
        <f t="shared" si="37"/>
        <v>1680</v>
      </c>
      <c r="GK127" s="121">
        <f t="shared" si="38"/>
        <v>0</v>
      </c>
      <c r="GM127" s="121">
        <f t="shared" si="39"/>
        <v>1</v>
      </c>
      <c r="GN127" s="121">
        <f t="shared" si="40"/>
        <v>1</v>
      </c>
      <c r="GO127" s="121">
        <f t="shared" si="41"/>
        <v>1</v>
      </c>
      <c r="GP127" s="121">
        <f t="shared" si="42"/>
        <v>2</v>
      </c>
      <c r="GQ127" s="121">
        <f t="shared" si="43"/>
        <v>0</v>
      </c>
      <c r="GR127" s="121">
        <f t="shared" si="44"/>
        <v>0</v>
      </c>
    </row>
    <row r="128" spans="1:200" ht="38.25" customHeight="1" x14ac:dyDescent="0.55000000000000004">
      <c r="B128" s="309" t="s">
        <v>170</v>
      </c>
      <c r="C128" s="198">
        <v>5</v>
      </c>
      <c r="D128" s="198">
        <v>5</v>
      </c>
      <c r="E128" s="198">
        <v>5</v>
      </c>
      <c r="F128" s="142">
        <f>($X$128/$Y$128)*$L$128*C128</f>
        <v>6580</v>
      </c>
      <c r="G128" s="142">
        <f>($X$128/$Y$128)*$L$128*D128</f>
        <v>6580</v>
      </c>
      <c r="H128" s="142">
        <f>($X$128/$Y$128)*$L$128*E128</f>
        <v>6580</v>
      </c>
      <c r="I128" s="142" cm="1">
        <f t="array" ref="I128">SUMPRODUCT(($X$2:$GG$2&lt;&gt;"")*($X128:$GG128&lt;&gt;""))</f>
        <v>5</v>
      </c>
      <c r="J128" s="122">
        <f t="shared" si="28"/>
        <v>25</v>
      </c>
      <c r="K128" s="122">
        <f t="shared" si="29"/>
        <v>350</v>
      </c>
      <c r="L128" s="249">
        <f t="shared" si="45"/>
        <v>7000</v>
      </c>
      <c r="M128" s="144">
        <f>IFERROR(IF(N(Y128)=0,0,(X128/Y128)*L128*(C128+D128+E128+I128)),0)</f>
        <v>26320</v>
      </c>
      <c r="N128" s="405"/>
      <c r="O128" s="145">
        <f t="shared" si="31"/>
        <v>22960</v>
      </c>
      <c r="P128" s="145">
        <f t="shared" si="32"/>
        <v>41300</v>
      </c>
      <c r="Q128" s="145">
        <f t="shared" si="33"/>
        <v>0</v>
      </c>
      <c r="R128" s="145">
        <f t="shared" si="34"/>
        <v>0</v>
      </c>
      <c r="S128" s="130">
        <f t="shared" si="35"/>
        <v>4235</v>
      </c>
      <c r="T128" s="130">
        <f t="shared" si="36"/>
        <v>0</v>
      </c>
      <c r="U128" s="141">
        <v>600</v>
      </c>
      <c r="V128" s="123">
        <v>121</v>
      </c>
      <c r="W128" s="134">
        <v>4000</v>
      </c>
      <c r="X128" s="124">
        <v>47</v>
      </c>
      <c r="Y128" s="134">
        <v>250</v>
      </c>
      <c r="Z128" s="200" t="s">
        <v>583</v>
      </c>
      <c r="AA128" s="120">
        <v>185</v>
      </c>
      <c r="AB128" s="134">
        <v>1000</v>
      </c>
      <c r="AC128" s="200" t="s">
        <v>583</v>
      </c>
      <c r="AD128" s="125">
        <v>164</v>
      </c>
      <c r="AE128" s="134">
        <v>1000</v>
      </c>
      <c r="AF128" s="200" t="s">
        <v>583</v>
      </c>
      <c r="AG128" s="120"/>
      <c r="AH128" s="262"/>
      <c r="AI128" s="262"/>
      <c r="AJ128" s="120"/>
      <c r="AK128" s="262"/>
      <c r="AL128" s="262"/>
      <c r="AM128" s="120"/>
      <c r="AN128" s="262"/>
      <c r="AO128" s="262"/>
      <c r="AP128" s="120"/>
      <c r="AQ128" s="262"/>
      <c r="AR128" s="262"/>
      <c r="AS128" s="120"/>
      <c r="AT128" s="262"/>
      <c r="AU128" s="262"/>
      <c r="AV128" s="120"/>
      <c r="AW128" s="262"/>
      <c r="AX128" s="262"/>
      <c r="AY128" s="120"/>
      <c r="AZ128" s="262"/>
      <c r="BA128" s="262"/>
      <c r="BB128" s="120">
        <v>55</v>
      </c>
      <c r="BC128" s="134">
        <v>1000</v>
      </c>
      <c r="BD128" s="200" t="s">
        <v>583</v>
      </c>
      <c r="BE128" s="120">
        <v>55</v>
      </c>
      <c r="BF128" s="134">
        <v>1000</v>
      </c>
      <c r="BG128" s="200" t="s">
        <v>583</v>
      </c>
      <c r="BH128" s="120"/>
      <c r="BI128" s="134"/>
      <c r="BJ128" s="134"/>
      <c r="BK128" s="120"/>
      <c r="BL128" s="134"/>
      <c r="BM128" s="134"/>
      <c r="BN128" s="120"/>
      <c r="BO128" s="252"/>
      <c r="BP128" s="252"/>
      <c r="BQ128" s="120"/>
      <c r="BR128" s="134"/>
      <c r="BS128" s="134"/>
      <c r="BT128" s="120"/>
      <c r="BU128" s="134"/>
      <c r="BV128" s="200"/>
      <c r="BW128" s="120"/>
      <c r="BX128" s="134"/>
      <c r="BY128" s="200"/>
      <c r="BZ128" s="120"/>
      <c r="CA128" s="126"/>
      <c r="CB128" s="126"/>
      <c r="CC128" s="120"/>
      <c r="CD128" s="126"/>
      <c r="CE128" s="126"/>
      <c r="CF128" s="120"/>
      <c r="CG128" s="134"/>
      <c r="CH128" s="134"/>
      <c r="CI128" s="120"/>
      <c r="CJ128" s="200"/>
      <c r="CK128" s="200"/>
      <c r="CL128" s="120"/>
      <c r="CM128" s="200"/>
      <c r="CN128" s="200"/>
      <c r="CO128" s="120"/>
      <c r="CP128" s="134"/>
      <c r="CQ128" s="134"/>
      <c r="CR128" s="120"/>
      <c r="CS128" s="134"/>
      <c r="CT128" s="134"/>
      <c r="CU128" s="120"/>
      <c r="CV128" s="202"/>
      <c r="CW128" s="202"/>
      <c r="CX128" s="120"/>
      <c r="CY128" s="202"/>
      <c r="CZ128" s="202"/>
      <c r="DA128" s="120"/>
      <c r="DB128" s="202"/>
      <c r="DC128" s="202"/>
      <c r="DD128" s="349"/>
      <c r="DE128" s="202"/>
      <c r="DF128" s="202"/>
      <c r="DG128" s="254"/>
      <c r="DH128" s="203"/>
      <c r="DI128" s="203"/>
      <c r="DJ128" s="259"/>
      <c r="DK128" s="136"/>
      <c r="DL128" s="136"/>
      <c r="DM128" s="120"/>
      <c r="DN128" s="233"/>
      <c r="DO128" s="233"/>
      <c r="DP128" s="120"/>
      <c r="DQ128" s="262"/>
      <c r="DR128" s="262"/>
      <c r="DS128" s="120"/>
      <c r="DT128" s="262"/>
      <c r="DU128" s="262"/>
      <c r="DV128" s="120"/>
      <c r="DW128" s="262"/>
      <c r="DX128" s="262"/>
      <c r="DY128" s="120"/>
      <c r="DZ128" s="262"/>
      <c r="EA128" s="262"/>
      <c r="EB128" s="265"/>
      <c r="EC128" s="262"/>
      <c r="ED128" s="262"/>
      <c r="EE128" s="256"/>
      <c r="EF128" s="200"/>
      <c r="EG128" s="200"/>
      <c r="EH128" s="120"/>
      <c r="EI128" s="262"/>
      <c r="EJ128" s="262"/>
      <c r="EK128" s="120"/>
      <c r="EL128" s="262"/>
      <c r="EM128" s="262"/>
      <c r="EN128" s="120"/>
      <c r="EO128" s="262"/>
      <c r="EP128" s="262"/>
      <c r="EQ128" s="120"/>
      <c r="ER128" s="262"/>
      <c r="ES128" s="262"/>
      <c r="ET128" s="120"/>
      <c r="EU128" s="262"/>
      <c r="EV128" s="262"/>
      <c r="EW128" s="120"/>
      <c r="EX128" s="262"/>
      <c r="EY128" s="262"/>
      <c r="EZ128" s="120"/>
      <c r="FA128" s="262"/>
      <c r="FB128" s="262"/>
      <c r="FC128" s="120"/>
      <c r="FD128" s="262"/>
      <c r="FE128" s="262"/>
      <c r="FF128" s="120"/>
      <c r="FG128" s="262"/>
      <c r="FH128" s="262"/>
      <c r="FI128" s="120"/>
      <c r="FJ128" s="262"/>
      <c r="FK128" s="262"/>
      <c r="FL128" s="120"/>
      <c r="FM128" s="262"/>
      <c r="FN128" s="262"/>
      <c r="FO128" s="120"/>
      <c r="FP128" s="262"/>
      <c r="FQ128" s="262"/>
      <c r="FR128" s="120"/>
      <c r="FS128" s="262"/>
      <c r="FT128" s="262"/>
      <c r="FU128" s="120"/>
      <c r="FV128" s="262"/>
      <c r="FW128" s="262"/>
      <c r="FX128" s="120"/>
      <c r="FY128" s="262"/>
      <c r="FZ128" s="262"/>
      <c r="GA128" s="256"/>
      <c r="GB128" s="233"/>
      <c r="GC128" s="233"/>
      <c r="GJ128" s="121">
        <f t="shared" si="37"/>
        <v>0</v>
      </c>
      <c r="GK128" s="121">
        <f t="shared" si="38"/>
        <v>0</v>
      </c>
      <c r="GM128" s="121">
        <f t="shared" si="39"/>
        <v>1</v>
      </c>
      <c r="GN128" s="121">
        <f t="shared" si="40"/>
        <v>1</v>
      </c>
      <c r="GO128" s="121">
        <f t="shared" si="41"/>
        <v>1</v>
      </c>
      <c r="GP128" s="121">
        <f t="shared" si="42"/>
        <v>2</v>
      </c>
      <c r="GQ128" s="121">
        <f t="shared" si="43"/>
        <v>0</v>
      </c>
      <c r="GR128" s="121">
        <f t="shared" si="44"/>
        <v>1</v>
      </c>
    </row>
    <row r="129" spans="1:200" ht="38.25" customHeight="1" x14ac:dyDescent="0.55000000000000004">
      <c r="A129" s="121" t="s">
        <v>129</v>
      </c>
      <c r="B129" s="309" t="s">
        <v>169</v>
      </c>
      <c r="C129" s="198">
        <v>2</v>
      </c>
      <c r="D129" s="198">
        <v>1</v>
      </c>
      <c r="E129" s="198">
        <v>1</v>
      </c>
      <c r="F129" s="142">
        <f>($X$129/$Y$129)*$L$129*C129</f>
        <v>2632</v>
      </c>
      <c r="G129" s="142">
        <f>($X$129/$Y$129)*$L$129*D129</f>
        <v>1316</v>
      </c>
      <c r="H129" s="142">
        <f>($X$129/$Y$129)*$L$129*E129</f>
        <v>1316</v>
      </c>
      <c r="I129" s="142" cm="1">
        <f t="array" ref="I129">SUMPRODUCT(($X$2:$GG$2&lt;&gt;"")*($X129:$GG129&lt;&gt;""))</f>
        <v>5</v>
      </c>
      <c r="J129" s="122">
        <f t="shared" si="28"/>
        <v>10</v>
      </c>
      <c r="K129" s="122">
        <f t="shared" si="29"/>
        <v>140</v>
      </c>
      <c r="L129" s="249">
        <f t="shared" si="45"/>
        <v>7000</v>
      </c>
      <c r="M129" s="144">
        <f t="shared" si="30"/>
        <v>11844</v>
      </c>
      <c r="N129" s="405"/>
      <c r="O129" s="145">
        <f t="shared" si="31"/>
        <v>4032</v>
      </c>
      <c r="P129" s="145">
        <f t="shared" si="32"/>
        <v>18585</v>
      </c>
      <c r="Q129" s="145">
        <f t="shared" si="33"/>
        <v>0</v>
      </c>
      <c r="R129" s="145">
        <f t="shared" si="34"/>
        <v>0</v>
      </c>
      <c r="S129" s="130">
        <f t="shared" si="35"/>
        <v>2677.5</v>
      </c>
      <c r="T129" s="130">
        <f t="shared" si="36"/>
        <v>0</v>
      </c>
      <c r="U129" s="141">
        <v>620</v>
      </c>
      <c r="V129" s="123">
        <v>85</v>
      </c>
      <c r="W129" s="134">
        <v>2000</v>
      </c>
      <c r="X129" s="124">
        <v>47</v>
      </c>
      <c r="Y129" s="134">
        <v>250</v>
      </c>
      <c r="Z129" s="200" t="s">
        <v>584</v>
      </c>
      <c r="AA129" s="120">
        <v>185</v>
      </c>
      <c r="AB129" s="134">
        <v>1000</v>
      </c>
      <c r="AC129" s="200" t="s">
        <v>586</v>
      </c>
      <c r="AD129" s="125">
        <v>128</v>
      </c>
      <c r="AE129" s="134">
        <v>2000</v>
      </c>
      <c r="AF129" s="200" t="s">
        <v>585</v>
      </c>
      <c r="AG129" s="120"/>
      <c r="AH129" s="262"/>
      <c r="AI129" s="262"/>
      <c r="AJ129" s="120"/>
      <c r="AK129" s="262"/>
      <c r="AL129" s="262"/>
      <c r="AM129" s="120"/>
      <c r="AN129" s="262"/>
      <c r="AO129" s="262"/>
      <c r="AP129" s="120"/>
      <c r="AQ129" s="262"/>
      <c r="AR129" s="262"/>
      <c r="AS129" s="120"/>
      <c r="AT129" s="262"/>
      <c r="AU129" s="262"/>
      <c r="AV129" s="120"/>
      <c r="AW129" s="262"/>
      <c r="AX129" s="262"/>
      <c r="AY129" s="120"/>
      <c r="AZ129" s="262"/>
      <c r="BA129" s="262"/>
      <c r="BB129" s="120">
        <v>55</v>
      </c>
      <c r="BC129" s="134">
        <v>1000</v>
      </c>
      <c r="BD129" s="200" t="s">
        <v>586</v>
      </c>
      <c r="BE129" s="120">
        <v>55</v>
      </c>
      <c r="BF129" s="134">
        <v>1000</v>
      </c>
      <c r="BG129" s="200" t="s">
        <v>586</v>
      </c>
      <c r="BH129" s="120"/>
      <c r="BI129" s="134"/>
      <c r="BJ129" s="134"/>
      <c r="BK129" s="120"/>
      <c r="BL129" s="134"/>
      <c r="BM129" s="134"/>
      <c r="BN129" s="120"/>
      <c r="BO129" s="252"/>
      <c r="BP129" s="252"/>
      <c r="BQ129" s="120"/>
      <c r="BR129" s="134"/>
      <c r="BS129" s="134"/>
      <c r="BT129" s="120"/>
      <c r="BU129" s="134"/>
      <c r="BV129" s="200"/>
      <c r="BW129" s="120"/>
      <c r="BX129" s="134"/>
      <c r="BY129" s="200"/>
      <c r="BZ129" s="120"/>
      <c r="CA129" s="126"/>
      <c r="CB129" s="126"/>
      <c r="CC129" s="120"/>
      <c r="CD129" s="126"/>
      <c r="CE129" s="126"/>
      <c r="CF129" s="120"/>
      <c r="CG129" s="134"/>
      <c r="CH129" s="134"/>
      <c r="CI129" s="120"/>
      <c r="CJ129" s="200"/>
      <c r="CK129" s="200"/>
      <c r="CL129" s="120"/>
      <c r="CM129" s="200"/>
      <c r="CN129" s="200"/>
      <c r="CO129" s="120"/>
      <c r="CP129" s="134"/>
      <c r="CQ129" s="134"/>
      <c r="CR129" s="120"/>
      <c r="CS129" s="134"/>
      <c r="CT129" s="134"/>
      <c r="CU129" s="120"/>
      <c r="CV129" s="202"/>
      <c r="CW129" s="202"/>
      <c r="CX129" s="120"/>
      <c r="CY129" s="202"/>
      <c r="CZ129" s="202"/>
      <c r="DA129" s="120"/>
      <c r="DB129" s="202"/>
      <c r="DC129" s="202"/>
      <c r="DD129" s="349"/>
      <c r="DE129" s="202"/>
      <c r="DF129" s="202"/>
      <c r="DG129" s="254"/>
      <c r="DH129" s="203"/>
      <c r="DI129" s="203"/>
      <c r="DJ129" s="259"/>
      <c r="DK129" s="136"/>
      <c r="DL129" s="136"/>
      <c r="DM129" s="120"/>
      <c r="DN129" s="233"/>
      <c r="DO129" s="233"/>
      <c r="DP129" s="120"/>
      <c r="DQ129" s="262"/>
      <c r="DR129" s="262"/>
      <c r="DS129" s="120"/>
      <c r="DT129" s="262"/>
      <c r="DU129" s="262"/>
      <c r="DV129" s="120"/>
      <c r="DW129" s="262"/>
      <c r="DX129" s="262"/>
      <c r="DY129" s="120"/>
      <c r="DZ129" s="262"/>
      <c r="EA129" s="262"/>
      <c r="EB129" s="265"/>
      <c r="EC129" s="262"/>
      <c r="ED129" s="262"/>
      <c r="EE129" s="256"/>
      <c r="EF129" s="200"/>
      <c r="EG129" s="200"/>
      <c r="EH129" s="120"/>
      <c r="EI129" s="262"/>
      <c r="EJ129" s="262"/>
      <c r="EK129" s="120"/>
      <c r="EL129" s="262"/>
      <c r="EM129" s="262"/>
      <c r="EN129" s="120"/>
      <c r="EO129" s="262"/>
      <c r="EP129" s="262"/>
      <c r="EQ129" s="120"/>
      <c r="ER129" s="262"/>
      <c r="ES129" s="262"/>
      <c r="ET129" s="120"/>
      <c r="EU129" s="262"/>
      <c r="EV129" s="262"/>
      <c r="EW129" s="120"/>
      <c r="EX129" s="262"/>
      <c r="EY129" s="262"/>
      <c r="EZ129" s="120"/>
      <c r="FA129" s="262"/>
      <c r="FB129" s="262"/>
      <c r="FC129" s="120"/>
      <c r="FD129" s="262"/>
      <c r="FE129" s="262"/>
      <c r="FF129" s="120"/>
      <c r="FG129" s="262"/>
      <c r="FH129" s="262"/>
      <c r="FI129" s="120"/>
      <c r="FJ129" s="262"/>
      <c r="FK129" s="262"/>
      <c r="FL129" s="120"/>
      <c r="FM129" s="262"/>
      <c r="FN129" s="262"/>
      <c r="FO129" s="120"/>
      <c r="FP129" s="262"/>
      <c r="FQ129" s="262"/>
      <c r="FR129" s="120"/>
      <c r="FS129" s="262"/>
      <c r="FT129" s="262"/>
      <c r="FU129" s="120"/>
      <c r="FV129" s="262"/>
      <c r="FW129" s="262"/>
      <c r="FX129" s="120"/>
      <c r="FY129" s="262"/>
      <c r="FZ129" s="262"/>
      <c r="GA129" s="256"/>
      <c r="GB129" s="233"/>
      <c r="GC129" s="233"/>
      <c r="GJ129" s="121">
        <f t="shared" si="37"/>
        <v>0</v>
      </c>
      <c r="GK129" s="121">
        <f t="shared" si="38"/>
        <v>0</v>
      </c>
      <c r="GM129" s="121">
        <f t="shared" si="39"/>
        <v>1</v>
      </c>
      <c r="GN129" s="121">
        <f t="shared" si="40"/>
        <v>1</v>
      </c>
      <c r="GO129" s="121">
        <f t="shared" si="41"/>
        <v>1</v>
      </c>
      <c r="GP129" s="121">
        <f t="shared" si="42"/>
        <v>2</v>
      </c>
      <c r="GQ129" s="121">
        <f t="shared" si="43"/>
        <v>0</v>
      </c>
      <c r="GR129" s="121">
        <f t="shared" si="44"/>
        <v>1</v>
      </c>
    </row>
    <row r="130" spans="1:200" ht="38.25" customHeight="1" x14ac:dyDescent="0.55000000000000004">
      <c r="B130" s="309" t="s">
        <v>168</v>
      </c>
      <c r="C130" s="198">
        <v>5</v>
      </c>
      <c r="D130" s="198">
        <v>6</v>
      </c>
      <c r="E130" s="198">
        <v>7</v>
      </c>
      <c r="F130" s="142">
        <f>($X$130/$Y$130)*$L$130*C130</f>
        <v>9800.0000000000018</v>
      </c>
      <c r="G130" s="142">
        <f>($X$130/$Y$130)*$L$130*D130</f>
        <v>11760.000000000002</v>
      </c>
      <c r="H130" s="142">
        <f>($X$130/$Y$130)*$L$130*E130</f>
        <v>13720.000000000002</v>
      </c>
      <c r="I130" s="142" cm="1">
        <f t="array" ref="I130">SUMPRODUCT(($X$2:$GG$2&lt;&gt;"")*($X130:$GG130&lt;&gt;""))</f>
        <v>9</v>
      </c>
      <c r="J130" s="122">
        <f t="shared" si="28"/>
        <v>45</v>
      </c>
      <c r="K130" s="122">
        <f t="shared" si="29"/>
        <v>630</v>
      </c>
      <c r="L130" s="249">
        <f t="shared" si="45"/>
        <v>7000</v>
      </c>
      <c r="M130" s="144">
        <f t="shared" si="30"/>
        <v>52920.000000000007</v>
      </c>
      <c r="N130" s="405"/>
      <c r="O130" s="145">
        <f t="shared" si="31"/>
        <v>26460.000000000004</v>
      </c>
      <c r="P130" s="145">
        <f t="shared" si="32"/>
        <v>63702.45</v>
      </c>
      <c r="Q130" s="145">
        <f t="shared" si="33"/>
        <v>0</v>
      </c>
      <c r="R130" s="145">
        <f t="shared" si="34"/>
        <v>0</v>
      </c>
      <c r="S130" s="130">
        <f t="shared" si="35"/>
        <v>11529</v>
      </c>
      <c r="T130" s="130">
        <f t="shared" si="36"/>
        <v>0</v>
      </c>
      <c r="U130" s="141">
        <v>1150</v>
      </c>
      <c r="V130" s="123">
        <v>122</v>
      </c>
      <c r="W130" s="134">
        <v>2000</v>
      </c>
      <c r="X130" s="124">
        <v>70</v>
      </c>
      <c r="Y130" s="134">
        <v>250</v>
      </c>
      <c r="Z130" s="200" t="s">
        <v>587</v>
      </c>
      <c r="AA130" s="120">
        <v>275</v>
      </c>
      <c r="AB130" s="134">
        <v>1000</v>
      </c>
      <c r="AC130" s="200" t="s">
        <v>536</v>
      </c>
      <c r="AD130" s="125">
        <v>280</v>
      </c>
      <c r="AE130" s="134">
        <v>2000</v>
      </c>
      <c r="AF130" s="200" t="s">
        <v>587</v>
      </c>
      <c r="AG130" s="120"/>
      <c r="AH130" s="262"/>
      <c r="AI130" s="262"/>
      <c r="AJ130" s="120"/>
      <c r="AK130" s="262"/>
      <c r="AL130" s="262"/>
      <c r="AM130" s="120"/>
      <c r="AN130" s="262"/>
      <c r="AO130" s="262"/>
      <c r="AP130" s="120"/>
      <c r="AQ130" s="262"/>
      <c r="AR130" s="262"/>
      <c r="AS130" s="120"/>
      <c r="AT130" s="262"/>
      <c r="AU130" s="262"/>
      <c r="AV130" s="120"/>
      <c r="AW130" s="262"/>
      <c r="AX130" s="262"/>
      <c r="AY130" s="120"/>
      <c r="AZ130" s="262"/>
      <c r="BA130" s="262"/>
      <c r="BB130" s="120">
        <v>61</v>
      </c>
      <c r="BC130" s="134">
        <v>2000</v>
      </c>
      <c r="BD130" s="200" t="s">
        <v>588</v>
      </c>
      <c r="BE130" s="120">
        <v>61</v>
      </c>
      <c r="BF130" s="134">
        <v>2000</v>
      </c>
      <c r="BG130" s="200" t="s">
        <v>588</v>
      </c>
      <c r="BH130" s="120"/>
      <c r="BI130" s="134"/>
      <c r="BJ130" s="134"/>
      <c r="BK130" s="120"/>
      <c r="BL130" s="134"/>
      <c r="BM130" s="134"/>
      <c r="BN130" s="120"/>
      <c r="BO130" s="252"/>
      <c r="BP130" s="252"/>
      <c r="BQ130" s="120"/>
      <c r="BR130" s="134"/>
      <c r="BS130" s="134"/>
      <c r="BT130" s="120"/>
      <c r="BU130" s="134"/>
      <c r="BV130" s="200"/>
      <c r="BW130" s="120"/>
      <c r="BX130" s="134"/>
      <c r="BY130" s="200"/>
      <c r="BZ130" s="120"/>
      <c r="CA130" s="126"/>
      <c r="CB130" s="126"/>
      <c r="CC130" s="120"/>
      <c r="CD130" s="126"/>
      <c r="CE130" s="126"/>
      <c r="CF130" s="120"/>
      <c r="CG130" s="134"/>
      <c r="CH130" s="134"/>
      <c r="CI130" s="120"/>
      <c r="CJ130" s="200"/>
      <c r="CK130" s="200"/>
      <c r="CL130" s="120"/>
      <c r="CM130" s="200"/>
      <c r="CN130" s="200"/>
      <c r="CO130" s="120"/>
      <c r="CP130" s="134"/>
      <c r="CQ130" s="134"/>
      <c r="CR130" s="120"/>
      <c r="CS130" s="134"/>
      <c r="CT130" s="134"/>
      <c r="CU130" s="120"/>
      <c r="CV130" s="202"/>
      <c r="CW130" s="202"/>
      <c r="CX130" s="120"/>
      <c r="CY130" s="202"/>
      <c r="CZ130" s="202"/>
      <c r="DA130" s="120"/>
      <c r="DB130" s="202"/>
      <c r="DC130" s="202"/>
      <c r="DD130" s="349"/>
      <c r="DE130" s="202"/>
      <c r="DF130" s="202"/>
      <c r="DG130" s="254"/>
      <c r="DH130" s="203"/>
      <c r="DI130" s="203"/>
      <c r="DJ130" s="259"/>
      <c r="DK130" s="136"/>
      <c r="DL130" s="136"/>
      <c r="DM130" s="120"/>
      <c r="DN130" s="233"/>
      <c r="DO130" s="233"/>
      <c r="DP130" s="120"/>
      <c r="DQ130" s="262"/>
      <c r="DR130" s="262"/>
      <c r="DS130" s="120"/>
      <c r="DT130" s="262"/>
      <c r="DU130" s="262"/>
      <c r="DV130" s="120"/>
      <c r="DW130" s="262"/>
      <c r="DX130" s="262"/>
      <c r="DY130" s="120"/>
      <c r="DZ130" s="262"/>
      <c r="EA130" s="262"/>
      <c r="EB130" s="265"/>
      <c r="EC130" s="262"/>
      <c r="ED130" s="262"/>
      <c r="EE130" s="256"/>
      <c r="EF130" s="200"/>
      <c r="EG130" s="200"/>
      <c r="EH130" s="120"/>
      <c r="EI130" s="262"/>
      <c r="EJ130" s="262"/>
      <c r="EK130" s="120"/>
      <c r="EL130" s="262"/>
      <c r="EM130" s="262"/>
      <c r="EN130" s="120"/>
      <c r="EO130" s="262"/>
      <c r="EP130" s="262"/>
      <c r="EQ130" s="120">
        <v>2.1</v>
      </c>
      <c r="ER130" s="262">
        <v>2000</v>
      </c>
      <c r="ES130" s="262" t="s">
        <v>588</v>
      </c>
      <c r="ET130" s="120"/>
      <c r="EU130" s="262"/>
      <c r="EV130" s="262" t="s">
        <v>588</v>
      </c>
      <c r="EW130" s="120">
        <v>1</v>
      </c>
      <c r="EX130" s="341"/>
      <c r="EY130" s="350" t="s">
        <v>806</v>
      </c>
      <c r="EZ130" s="120">
        <v>1.4</v>
      </c>
      <c r="FA130" s="341"/>
      <c r="FB130" s="262" t="s">
        <v>588</v>
      </c>
      <c r="FC130" s="120"/>
      <c r="FD130" s="262"/>
      <c r="FE130" s="262"/>
      <c r="FF130" s="120">
        <v>18</v>
      </c>
      <c r="FG130" s="341"/>
      <c r="FH130" s="350" t="s">
        <v>806</v>
      </c>
      <c r="FI130" s="120"/>
      <c r="FJ130" s="262"/>
      <c r="FK130" s="262"/>
      <c r="FL130" s="120"/>
      <c r="FM130" s="262"/>
      <c r="FN130" s="262"/>
      <c r="FO130" s="120"/>
      <c r="FP130" s="262"/>
      <c r="FQ130" s="262"/>
      <c r="FR130" s="120"/>
      <c r="FS130" s="262"/>
      <c r="FT130" s="262"/>
      <c r="FU130" s="120"/>
      <c r="FV130" s="262"/>
      <c r="FW130" s="262"/>
      <c r="FX130" s="120"/>
      <c r="FY130" s="262"/>
      <c r="FZ130" s="262"/>
      <c r="GA130" s="256"/>
      <c r="GB130" s="233"/>
      <c r="GC130" s="233"/>
      <c r="GJ130" s="121">
        <f t="shared" si="37"/>
        <v>0</v>
      </c>
      <c r="GK130" s="121">
        <f t="shared" si="38"/>
        <v>0</v>
      </c>
      <c r="GM130" s="121">
        <f t="shared" si="39"/>
        <v>1</v>
      </c>
      <c r="GN130" s="121">
        <f t="shared" si="40"/>
        <v>1</v>
      </c>
      <c r="GO130" s="121">
        <f t="shared" si="41"/>
        <v>1</v>
      </c>
      <c r="GP130" s="121">
        <f t="shared" si="42"/>
        <v>6</v>
      </c>
      <c r="GQ130" s="121">
        <f t="shared" si="43"/>
        <v>0</v>
      </c>
      <c r="GR130" s="121">
        <f t="shared" si="44"/>
        <v>1</v>
      </c>
    </row>
    <row r="131" spans="1:200" ht="38.25" customHeight="1" x14ac:dyDescent="0.55000000000000004">
      <c r="A131" s="121" t="s">
        <v>129</v>
      </c>
      <c r="B131" s="309" t="s">
        <v>167</v>
      </c>
      <c r="C131" s="198">
        <v>4</v>
      </c>
      <c r="D131" s="198">
        <v>3</v>
      </c>
      <c r="E131" s="198">
        <v>4</v>
      </c>
      <c r="F131" s="142">
        <f>($X$131/$Y$131)*$L$131*C131</f>
        <v>16127.999999999998</v>
      </c>
      <c r="G131" s="142">
        <f>($X$131/$Y$131)*$L$131*D131</f>
        <v>12095.999999999998</v>
      </c>
      <c r="H131" s="142">
        <f>($X$131/$Y$131)*$L$131*E131</f>
        <v>16127.999999999998</v>
      </c>
      <c r="I131" s="142" cm="1">
        <f t="array" ref="I131">SUMPRODUCT(($X$2:$GG$2&lt;&gt;"")*($X131:$GG131&lt;&gt;""))</f>
        <v>10</v>
      </c>
      <c r="J131" s="122">
        <f t="shared" si="28"/>
        <v>40</v>
      </c>
      <c r="K131" s="122">
        <f t="shared" si="29"/>
        <v>560</v>
      </c>
      <c r="L131" s="249">
        <f t="shared" si="45"/>
        <v>7000</v>
      </c>
      <c r="M131" s="144">
        <f t="shared" si="30"/>
        <v>84671.999999999985</v>
      </c>
      <c r="N131" s="405"/>
      <c r="O131" s="145">
        <f t="shared" si="31"/>
        <v>30870</v>
      </c>
      <c r="P131" s="145">
        <f t="shared" si="32"/>
        <v>71456.699999999983</v>
      </c>
      <c r="Q131" s="145">
        <f t="shared" si="33"/>
        <v>0</v>
      </c>
      <c r="R131" s="145">
        <f t="shared" si="34"/>
        <v>0</v>
      </c>
      <c r="S131" s="130">
        <f t="shared" si="35"/>
        <v>16537.5</v>
      </c>
      <c r="T131" s="130">
        <f t="shared" si="36"/>
        <v>0</v>
      </c>
      <c r="U131" s="141">
        <v>1750</v>
      </c>
      <c r="V131" s="123">
        <v>225</v>
      </c>
      <c r="W131" s="134">
        <v>2000</v>
      </c>
      <c r="X131" s="124">
        <v>144</v>
      </c>
      <c r="Y131" s="134">
        <v>250</v>
      </c>
      <c r="Z131" s="200" t="s">
        <v>583</v>
      </c>
      <c r="AA131" s="120">
        <v>410</v>
      </c>
      <c r="AB131" s="134">
        <v>1000</v>
      </c>
      <c r="AC131" s="200" t="s">
        <v>583</v>
      </c>
      <c r="AD131" s="125">
        <v>420</v>
      </c>
      <c r="AE131" s="134">
        <v>2000</v>
      </c>
      <c r="AF131" s="200" t="s">
        <v>583</v>
      </c>
      <c r="AG131" s="120"/>
      <c r="AH131" s="262"/>
      <c r="AI131" s="262"/>
      <c r="AJ131" s="120"/>
      <c r="AK131" s="262"/>
      <c r="AL131" s="262"/>
      <c r="AM131" s="120"/>
      <c r="AN131" s="262"/>
      <c r="AO131" s="262"/>
      <c r="AP131" s="120"/>
      <c r="AQ131" s="262"/>
      <c r="AR131" s="262"/>
      <c r="AS131" s="120"/>
      <c r="AT131" s="262"/>
      <c r="AU131" s="262"/>
      <c r="AV131" s="120"/>
      <c r="AW131" s="262"/>
      <c r="AX131" s="262"/>
      <c r="AY131" s="120"/>
      <c r="AZ131" s="262"/>
      <c r="BA131" s="262"/>
      <c r="BB131" s="120">
        <v>75</v>
      </c>
      <c r="BC131" s="134">
        <v>2000</v>
      </c>
      <c r="BD131" s="200" t="s">
        <v>589</v>
      </c>
      <c r="BE131" s="120">
        <v>75</v>
      </c>
      <c r="BF131" s="134">
        <v>2000</v>
      </c>
      <c r="BG131" s="200" t="s">
        <v>589</v>
      </c>
      <c r="BH131" s="120"/>
      <c r="BI131" s="134"/>
      <c r="BJ131" s="134"/>
      <c r="BK131" s="120"/>
      <c r="BL131" s="134"/>
      <c r="BM131" s="134"/>
      <c r="BN131" s="120"/>
      <c r="BO131" s="252"/>
      <c r="BP131" s="252"/>
      <c r="BQ131" s="120"/>
      <c r="BR131" s="134"/>
      <c r="BS131" s="134"/>
      <c r="BT131" s="120"/>
      <c r="BU131" s="134"/>
      <c r="BV131" s="200"/>
      <c r="BW131" s="120"/>
      <c r="BX131" s="134"/>
      <c r="BY131" s="200"/>
      <c r="BZ131" s="120"/>
      <c r="CA131" s="126"/>
      <c r="CB131" s="126"/>
      <c r="CC131" s="120"/>
      <c r="CD131" s="126"/>
      <c r="CE131" s="126"/>
      <c r="CF131" s="120"/>
      <c r="CG131" s="134"/>
      <c r="CH131" s="134"/>
      <c r="CI131" s="120"/>
      <c r="CJ131" s="200"/>
      <c r="CK131" s="200"/>
      <c r="CL131" s="120"/>
      <c r="CM131" s="200"/>
      <c r="CN131" s="200"/>
      <c r="CO131" s="120"/>
      <c r="CP131" s="134"/>
      <c r="CQ131" s="134"/>
      <c r="CR131" s="120"/>
      <c r="CS131" s="134"/>
      <c r="CT131" s="134"/>
      <c r="CU131" s="120"/>
      <c r="CV131" s="202"/>
      <c r="CW131" s="202"/>
      <c r="CX131" s="120"/>
      <c r="CY131" s="202"/>
      <c r="CZ131" s="202"/>
      <c r="DA131" s="120"/>
      <c r="DB131" s="202"/>
      <c r="DC131" s="202"/>
      <c r="DD131" s="349"/>
      <c r="DE131" s="202"/>
      <c r="DF131" s="202"/>
      <c r="DG131" s="254"/>
      <c r="DH131" s="203"/>
      <c r="DI131" s="203"/>
      <c r="DJ131" s="259"/>
      <c r="DK131" s="136"/>
      <c r="DL131" s="136"/>
      <c r="DM131" s="120"/>
      <c r="DN131" s="233"/>
      <c r="DO131" s="233"/>
      <c r="DP131" s="120"/>
      <c r="DQ131" s="262"/>
      <c r="DR131" s="262"/>
      <c r="DS131" s="120"/>
      <c r="DT131" s="262"/>
      <c r="DU131" s="262"/>
      <c r="DV131" s="120"/>
      <c r="DW131" s="262"/>
      <c r="DX131" s="262"/>
      <c r="DY131" s="120"/>
      <c r="DZ131" s="262"/>
      <c r="EA131" s="262"/>
      <c r="EB131" s="265"/>
      <c r="EC131" s="262"/>
      <c r="ED131" s="262"/>
      <c r="EE131" s="256"/>
      <c r="EF131" s="200"/>
      <c r="EG131" s="200"/>
      <c r="EH131" s="120"/>
      <c r="EI131" s="262"/>
      <c r="EJ131" s="262"/>
      <c r="EK131" s="120"/>
      <c r="EL131" s="262"/>
      <c r="EM131" s="262"/>
      <c r="EN131" s="120"/>
      <c r="EO131" s="262"/>
      <c r="EP131" s="262"/>
      <c r="EQ131" s="120">
        <v>2.2000000000000002</v>
      </c>
      <c r="ER131" s="262">
        <v>2000</v>
      </c>
      <c r="ES131" s="262" t="s">
        <v>590</v>
      </c>
      <c r="ET131" s="120">
        <v>150</v>
      </c>
      <c r="EU131" s="341"/>
      <c r="EV131" s="262" t="s">
        <v>590</v>
      </c>
      <c r="EW131" s="120">
        <v>1.5</v>
      </c>
      <c r="EX131" s="341"/>
      <c r="EY131" s="350" t="s">
        <v>806</v>
      </c>
      <c r="EZ131" s="120">
        <v>1.35</v>
      </c>
      <c r="FA131" s="341"/>
      <c r="FB131" s="262" t="s">
        <v>590</v>
      </c>
      <c r="FC131" s="120">
        <v>1.5</v>
      </c>
      <c r="FD131" s="341"/>
      <c r="FE131" s="350" t="s">
        <v>806</v>
      </c>
      <c r="FF131" s="120"/>
      <c r="FG131" s="262"/>
      <c r="FH131" s="262" t="s">
        <v>590</v>
      </c>
      <c r="FI131" s="120"/>
      <c r="FJ131" s="262"/>
      <c r="FK131" s="262"/>
      <c r="FL131" s="120"/>
      <c r="FM131" s="262"/>
      <c r="FN131" s="262"/>
      <c r="FO131" s="120"/>
      <c r="FP131" s="262"/>
      <c r="FQ131" s="262"/>
      <c r="FR131" s="120"/>
      <c r="FS131" s="262"/>
      <c r="FT131" s="262"/>
      <c r="FU131" s="120"/>
      <c r="FV131" s="262"/>
      <c r="FW131" s="262"/>
      <c r="FX131" s="120"/>
      <c r="FY131" s="262"/>
      <c r="FZ131" s="262"/>
      <c r="GA131" s="256"/>
      <c r="GB131" s="233"/>
      <c r="GC131" s="233"/>
      <c r="GJ131" s="121">
        <f t="shared" si="37"/>
        <v>0</v>
      </c>
      <c r="GK131" s="121">
        <f t="shared" si="38"/>
        <v>0</v>
      </c>
      <c r="GM131" s="121">
        <f t="shared" si="39"/>
        <v>1</v>
      </c>
      <c r="GN131" s="121">
        <f t="shared" si="40"/>
        <v>1</v>
      </c>
      <c r="GO131" s="121">
        <f t="shared" si="41"/>
        <v>1</v>
      </c>
      <c r="GP131" s="121">
        <f t="shared" si="42"/>
        <v>7</v>
      </c>
      <c r="GQ131" s="121">
        <f t="shared" si="43"/>
        <v>0</v>
      </c>
      <c r="GR131" s="121">
        <f t="shared" si="44"/>
        <v>1</v>
      </c>
    </row>
    <row r="132" spans="1:200" ht="38.25" customHeight="1" x14ac:dyDescent="0.55000000000000004">
      <c r="A132" s="121" t="s">
        <v>190</v>
      </c>
      <c r="B132" s="309" t="s">
        <v>163</v>
      </c>
      <c r="C132" s="198">
        <v>2</v>
      </c>
      <c r="D132" s="198">
        <v>2</v>
      </c>
      <c r="E132" s="198">
        <v>2</v>
      </c>
      <c r="F132" s="142">
        <f>($X$132/$Y$132)*$L$132*C132</f>
        <v>1680</v>
      </c>
      <c r="G132" s="142">
        <f>($X$132/$Y$132)*$L$132*D132</f>
        <v>1680</v>
      </c>
      <c r="H132" s="142">
        <f>($X$132/$Y$132)*$L$132*E132</f>
        <v>1680</v>
      </c>
      <c r="I132" s="142" cm="1">
        <f t="array" ref="I132">SUMPRODUCT(($X$2:$GG$2&lt;&gt;"")*($X132:$GG132&lt;&gt;""))</f>
        <v>6</v>
      </c>
      <c r="J132" s="122">
        <f t="shared" si="28"/>
        <v>12</v>
      </c>
      <c r="K132" s="122">
        <f t="shared" si="29"/>
        <v>168</v>
      </c>
      <c r="L132" s="249">
        <f t="shared" si="45"/>
        <v>7000</v>
      </c>
      <c r="M132" s="144">
        <f t="shared" si="30"/>
        <v>10080</v>
      </c>
      <c r="N132" s="405"/>
      <c r="O132" s="145">
        <f t="shared" si="31"/>
        <v>11760.000000000002</v>
      </c>
      <c r="P132" s="145">
        <f t="shared" si="32"/>
        <v>6426.0000000000018</v>
      </c>
      <c r="Q132" s="145">
        <f t="shared" si="33"/>
        <v>0</v>
      </c>
      <c r="R132" s="145">
        <f t="shared" si="34"/>
        <v>0</v>
      </c>
      <c r="S132" s="130">
        <f t="shared" si="35"/>
        <v>0</v>
      </c>
      <c r="T132" s="130">
        <f t="shared" si="36"/>
        <v>0</v>
      </c>
      <c r="U132" s="141">
        <v>230</v>
      </c>
      <c r="V132" s="123"/>
      <c r="W132" s="134">
        <v>4000</v>
      </c>
      <c r="X132" s="347">
        <v>30</v>
      </c>
      <c r="Y132" s="347">
        <v>250</v>
      </c>
      <c r="Z132" s="200" t="s">
        <v>583</v>
      </c>
      <c r="AA132" s="120">
        <v>28</v>
      </c>
      <c r="AB132" s="134">
        <v>1000</v>
      </c>
      <c r="AC132" s="200" t="s">
        <v>517</v>
      </c>
      <c r="AD132" s="125">
        <v>140</v>
      </c>
      <c r="AE132" s="134">
        <v>1000</v>
      </c>
      <c r="AF132" s="200" t="s">
        <v>590</v>
      </c>
      <c r="AG132" s="120"/>
      <c r="AH132" s="262"/>
      <c r="AI132" s="262"/>
      <c r="AJ132" s="120"/>
      <c r="AK132" s="262"/>
      <c r="AL132" s="262"/>
      <c r="AM132" s="120"/>
      <c r="AN132" s="262"/>
      <c r="AO132" s="262"/>
      <c r="AP132" s="120"/>
      <c r="AQ132" s="262"/>
      <c r="AR132" s="262"/>
      <c r="AS132" s="120"/>
      <c r="AT132" s="262"/>
      <c r="AU132" s="262"/>
      <c r="AV132" s="120"/>
      <c r="AW132" s="262"/>
      <c r="AX132" s="262"/>
      <c r="AY132" s="120"/>
      <c r="AZ132" s="262"/>
      <c r="BA132" s="262"/>
      <c r="BB132" s="120">
        <v>23</v>
      </c>
      <c r="BC132" s="134">
        <v>1000</v>
      </c>
      <c r="BD132" s="134" t="s">
        <v>591</v>
      </c>
      <c r="BE132" s="120">
        <v>23</v>
      </c>
      <c r="BF132" s="134">
        <v>1000</v>
      </c>
      <c r="BG132" s="134" t="s">
        <v>591</v>
      </c>
      <c r="BH132" s="120"/>
      <c r="BI132" s="134"/>
      <c r="BJ132" s="134"/>
      <c r="BK132" s="120"/>
      <c r="BL132" s="134"/>
      <c r="BM132" s="134"/>
      <c r="BN132" s="120"/>
      <c r="BO132" s="252"/>
      <c r="BP132" s="252"/>
      <c r="BQ132" s="120"/>
      <c r="BR132" s="134"/>
      <c r="BS132" s="134"/>
      <c r="BT132" s="120"/>
      <c r="BU132" s="134"/>
      <c r="BV132" s="200"/>
      <c r="BW132" s="120"/>
      <c r="BX132" s="134"/>
      <c r="BY132" s="200"/>
      <c r="BZ132" s="120"/>
      <c r="CA132" s="134"/>
      <c r="CB132" s="134"/>
      <c r="CC132" s="120"/>
      <c r="CD132" s="134"/>
      <c r="CE132" s="134"/>
      <c r="CF132" s="120"/>
      <c r="CG132" s="134"/>
      <c r="CH132" s="134"/>
      <c r="CI132" s="120"/>
      <c r="CJ132" s="200"/>
      <c r="CK132" s="200"/>
      <c r="CL132" s="120"/>
      <c r="CM132" s="200"/>
      <c r="CN132" s="200"/>
      <c r="CO132" s="120"/>
      <c r="CP132" s="134"/>
      <c r="CQ132" s="134"/>
      <c r="CR132" s="120"/>
      <c r="CS132" s="134"/>
      <c r="CT132" s="134"/>
      <c r="CU132" s="120"/>
      <c r="CV132" s="202"/>
      <c r="CW132" s="202"/>
      <c r="CX132" s="120"/>
      <c r="CY132" s="202"/>
      <c r="CZ132" s="202"/>
      <c r="DA132" s="120"/>
      <c r="DB132" s="202"/>
      <c r="DC132" s="202"/>
      <c r="DD132" s="349"/>
      <c r="DE132" s="202"/>
      <c r="DF132" s="202"/>
      <c r="DG132" s="254"/>
      <c r="DH132" s="203"/>
      <c r="DI132" s="203"/>
      <c r="DJ132" s="259"/>
      <c r="DK132" s="136"/>
      <c r="DL132" s="136"/>
      <c r="DM132" s="120"/>
      <c r="DN132" s="233"/>
      <c r="DO132" s="233"/>
      <c r="DP132" s="120"/>
      <c r="DQ132" s="262"/>
      <c r="DR132" s="262"/>
      <c r="DS132" s="120"/>
      <c r="DT132" s="262"/>
      <c r="DU132" s="262"/>
      <c r="DV132" s="120"/>
      <c r="DW132" s="262"/>
      <c r="DX132" s="262"/>
      <c r="DY132" s="120"/>
      <c r="DZ132" s="262"/>
      <c r="EA132" s="262"/>
      <c r="EB132" s="265"/>
      <c r="EC132" s="262"/>
      <c r="ED132" s="262"/>
      <c r="EE132" s="256"/>
      <c r="EF132" s="200"/>
      <c r="EG132" s="200"/>
      <c r="EH132" s="120"/>
      <c r="EI132" s="262"/>
      <c r="EJ132" s="262"/>
      <c r="EK132" s="120">
        <v>2.5</v>
      </c>
      <c r="EL132" s="262">
        <v>1000</v>
      </c>
      <c r="EM132" s="262" t="s">
        <v>591</v>
      </c>
      <c r="EN132" s="120"/>
      <c r="EO132" s="262"/>
      <c r="EP132" s="262"/>
      <c r="EQ132" s="120"/>
      <c r="ER132" s="262"/>
      <c r="ES132" s="262"/>
      <c r="ET132" s="120"/>
      <c r="EU132" s="262"/>
      <c r="EV132" s="262"/>
      <c r="EW132" s="120"/>
      <c r="EX132" s="262"/>
      <c r="EY132" s="262"/>
      <c r="EZ132" s="120"/>
      <c r="FA132" s="262"/>
      <c r="FB132" s="262"/>
      <c r="FC132" s="120"/>
      <c r="FD132" s="262"/>
      <c r="FE132" s="262"/>
      <c r="FF132" s="120"/>
      <c r="FG132" s="262"/>
      <c r="FH132" s="262"/>
      <c r="FI132" s="120"/>
      <c r="FJ132" s="262"/>
      <c r="FK132" s="262"/>
      <c r="FL132" s="120"/>
      <c r="FM132" s="262"/>
      <c r="FN132" s="262"/>
      <c r="FO132" s="120"/>
      <c r="FP132" s="262"/>
      <c r="FQ132" s="262"/>
      <c r="FR132" s="120"/>
      <c r="FS132" s="262"/>
      <c r="FT132" s="262"/>
      <c r="FU132" s="120"/>
      <c r="FV132" s="262"/>
      <c r="FW132" s="262"/>
      <c r="FX132" s="120"/>
      <c r="FY132" s="262"/>
      <c r="FZ132" s="262"/>
      <c r="GA132" s="256"/>
      <c r="GB132" s="233"/>
      <c r="GC132" s="233"/>
      <c r="GJ132" s="121">
        <f t="shared" si="37"/>
        <v>0</v>
      </c>
      <c r="GK132" s="121">
        <f t="shared" si="38"/>
        <v>0</v>
      </c>
      <c r="GM132" s="121">
        <f t="shared" si="39"/>
        <v>1</v>
      </c>
      <c r="GN132" s="121">
        <f t="shared" si="40"/>
        <v>1</v>
      </c>
      <c r="GO132" s="121">
        <f t="shared" si="41"/>
        <v>1</v>
      </c>
      <c r="GP132" s="121">
        <f t="shared" si="42"/>
        <v>3</v>
      </c>
      <c r="GQ132" s="121">
        <f t="shared" si="43"/>
        <v>0</v>
      </c>
      <c r="GR132" s="121">
        <f t="shared" si="44"/>
        <v>0</v>
      </c>
    </row>
    <row r="133" spans="1:200" s="268" customFormat="1" ht="38.25" customHeight="1" x14ac:dyDescent="0.6">
      <c r="B133" s="309" t="s">
        <v>610</v>
      </c>
      <c r="C133" s="198">
        <v>4</v>
      </c>
      <c r="D133" s="198">
        <v>4</v>
      </c>
      <c r="E133" s="198">
        <v>4</v>
      </c>
      <c r="F133" s="142">
        <f>($X$133/$Y$133)*$L$133*C133</f>
        <v>3024</v>
      </c>
      <c r="G133" s="142">
        <f>($X$133/$Y$133)*$L$133*D133</f>
        <v>3024</v>
      </c>
      <c r="H133" s="142">
        <f>($X$133/$Y$133)*$L$133*E133</f>
        <v>3024</v>
      </c>
      <c r="I133" s="142" cm="1">
        <f t="array" ref="I133">SUMPRODUCT(($X$2:$GG$2&lt;&gt;"")*($X133:$GG133&lt;&gt;""))</f>
        <v>6</v>
      </c>
      <c r="J133" s="122">
        <f t="shared" si="28"/>
        <v>24</v>
      </c>
      <c r="K133" s="122">
        <f t="shared" si="29"/>
        <v>336</v>
      </c>
      <c r="L133" s="249">
        <f t="shared" si="45"/>
        <v>7000</v>
      </c>
      <c r="M133" s="269">
        <f t="shared" si="30"/>
        <v>13608</v>
      </c>
      <c r="N133" s="406"/>
      <c r="O133" s="270">
        <f t="shared" si="31"/>
        <v>13860</v>
      </c>
      <c r="P133" s="270">
        <f t="shared" si="32"/>
        <v>9639.0000000000018</v>
      </c>
      <c r="Q133" s="270">
        <f t="shared" si="33"/>
        <v>0</v>
      </c>
      <c r="R133" s="270">
        <f t="shared" si="34"/>
        <v>0</v>
      </c>
      <c r="S133" s="271">
        <f t="shared" si="35"/>
        <v>0</v>
      </c>
      <c r="T133" s="271">
        <f t="shared" si="36"/>
        <v>0</v>
      </c>
      <c r="U133" s="272">
        <v>230</v>
      </c>
      <c r="V133" s="273"/>
      <c r="W133" s="274"/>
      <c r="X133" s="275">
        <v>27</v>
      </c>
      <c r="Y133" s="274">
        <v>250</v>
      </c>
      <c r="Z133" s="122" t="s">
        <v>583</v>
      </c>
      <c r="AA133" s="276">
        <v>28</v>
      </c>
      <c r="AB133" s="274">
        <v>1000</v>
      </c>
      <c r="AC133" s="122" t="s">
        <v>517</v>
      </c>
      <c r="AD133" s="277">
        <v>110</v>
      </c>
      <c r="AE133" s="274">
        <v>1000</v>
      </c>
      <c r="AF133" s="122" t="s">
        <v>590</v>
      </c>
      <c r="AG133" s="276"/>
      <c r="AH133" s="278"/>
      <c r="AI133" s="278"/>
      <c r="AJ133" s="276"/>
      <c r="AK133" s="278"/>
      <c r="AL133" s="278"/>
      <c r="AM133" s="276"/>
      <c r="AN133" s="278"/>
      <c r="AO133" s="278"/>
      <c r="AP133" s="276"/>
      <c r="AQ133" s="278"/>
      <c r="AR133" s="278"/>
      <c r="AS133" s="276"/>
      <c r="AT133" s="278"/>
      <c r="AU133" s="278"/>
      <c r="AV133" s="276"/>
      <c r="AW133" s="278"/>
      <c r="AX133" s="278"/>
      <c r="AY133" s="276"/>
      <c r="AZ133" s="278"/>
      <c r="BA133" s="278"/>
      <c r="BB133" s="276">
        <v>23</v>
      </c>
      <c r="BC133" s="274">
        <v>1000</v>
      </c>
      <c r="BD133" s="274" t="s">
        <v>591</v>
      </c>
      <c r="BE133" s="276">
        <v>23</v>
      </c>
      <c r="BF133" s="274">
        <v>1000</v>
      </c>
      <c r="BG133" s="274" t="s">
        <v>591</v>
      </c>
      <c r="BH133" s="276"/>
      <c r="BI133" s="279"/>
      <c r="BJ133" s="279"/>
      <c r="BK133" s="276"/>
      <c r="BL133" s="274"/>
      <c r="BM133" s="274"/>
      <c r="BN133" s="276"/>
      <c r="BO133" s="279"/>
      <c r="BP133" s="279"/>
      <c r="BQ133" s="276"/>
      <c r="BR133" s="274"/>
      <c r="BS133" s="274"/>
      <c r="BT133" s="276"/>
      <c r="BU133" s="274"/>
      <c r="BV133" s="122"/>
      <c r="BW133" s="276"/>
      <c r="BX133" s="274"/>
      <c r="BY133" s="122"/>
      <c r="BZ133" s="276"/>
      <c r="CA133" s="280"/>
      <c r="CB133" s="280"/>
      <c r="CC133" s="276"/>
      <c r="CD133" s="280"/>
      <c r="CE133" s="280"/>
      <c r="CF133" s="276"/>
      <c r="CG133" s="274"/>
      <c r="CH133" s="274"/>
      <c r="CI133" s="276"/>
      <c r="CJ133" s="122"/>
      <c r="CK133" s="122"/>
      <c r="CL133" s="276"/>
      <c r="CM133" s="122"/>
      <c r="CN133" s="122"/>
      <c r="CO133" s="276"/>
      <c r="CP133" s="274"/>
      <c r="CQ133" s="274"/>
      <c r="CR133" s="276"/>
      <c r="CS133" s="274"/>
      <c r="CT133" s="274"/>
      <c r="CU133" s="276"/>
      <c r="CV133" s="281"/>
      <c r="CW133" s="281"/>
      <c r="CX133" s="276"/>
      <c r="CY133" s="281"/>
      <c r="CZ133" s="281"/>
      <c r="DA133" s="276"/>
      <c r="DB133" s="281"/>
      <c r="DC133" s="281"/>
      <c r="DD133" s="357"/>
      <c r="DE133" s="281"/>
      <c r="DF133" s="281"/>
      <c r="DG133" s="282"/>
      <c r="DH133" s="283"/>
      <c r="DI133" s="283"/>
      <c r="DJ133" s="284"/>
      <c r="DK133" s="285"/>
      <c r="DL133" s="285"/>
      <c r="DM133" s="276"/>
      <c r="DN133" s="286"/>
      <c r="DO133" s="286"/>
      <c r="DP133" s="276"/>
      <c r="DQ133" s="278"/>
      <c r="DR133" s="278"/>
      <c r="DS133" s="276"/>
      <c r="DT133" s="278"/>
      <c r="DU133" s="278"/>
      <c r="DV133" s="276"/>
      <c r="DW133" s="278"/>
      <c r="DX133" s="278"/>
      <c r="DY133" s="276"/>
      <c r="DZ133" s="278"/>
      <c r="EA133" s="278"/>
      <c r="EB133" s="287"/>
      <c r="EC133" s="278"/>
      <c r="ED133" s="278"/>
      <c r="EE133" s="288"/>
      <c r="EF133" s="286"/>
      <c r="EG133" s="286"/>
      <c r="EH133" s="276"/>
      <c r="EI133" s="278"/>
      <c r="EJ133" s="278"/>
      <c r="EK133" s="276">
        <v>2.5</v>
      </c>
      <c r="EL133" s="278">
        <v>1000</v>
      </c>
      <c r="EM133" s="278" t="s">
        <v>591</v>
      </c>
      <c r="EN133" s="276"/>
      <c r="EO133" s="278"/>
      <c r="EP133" s="278"/>
      <c r="EQ133" s="276"/>
      <c r="ER133" s="278"/>
      <c r="ES133" s="278"/>
      <c r="ET133" s="276"/>
      <c r="EU133" s="278"/>
      <c r="EV133" s="278"/>
      <c r="EW133" s="276"/>
      <c r="EX133" s="278"/>
      <c r="EY133" s="278"/>
      <c r="EZ133" s="276"/>
      <c r="FA133" s="278"/>
      <c r="FB133" s="278"/>
      <c r="FC133" s="276"/>
      <c r="FD133" s="278"/>
      <c r="FE133" s="278"/>
      <c r="FF133" s="276"/>
      <c r="FG133" s="278"/>
      <c r="FH133" s="278"/>
      <c r="FI133" s="276"/>
      <c r="FJ133" s="278"/>
      <c r="FK133" s="278"/>
      <c r="FL133" s="276"/>
      <c r="FM133" s="278"/>
      <c r="FN133" s="278"/>
      <c r="FO133" s="276"/>
      <c r="FP133" s="278"/>
      <c r="FQ133" s="278"/>
      <c r="FR133" s="276"/>
      <c r="FS133" s="278"/>
      <c r="FT133" s="278"/>
      <c r="FU133" s="276"/>
      <c r="FV133" s="278"/>
      <c r="FW133" s="278"/>
      <c r="FX133" s="276"/>
      <c r="FY133" s="278"/>
      <c r="FZ133" s="278"/>
      <c r="GA133" s="288"/>
      <c r="GB133" s="286"/>
      <c r="GC133" s="286"/>
      <c r="GJ133" s="268">
        <f t="shared" si="37"/>
        <v>0</v>
      </c>
      <c r="GK133" s="268">
        <f t="shared" si="38"/>
        <v>0</v>
      </c>
      <c r="GM133" s="268">
        <f t="shared" si="39"/>
        <v>1</v>
      </c>
      <c r="GN133" s="268">
        <f t="shared" si="40"/>
        <v>1</v>
      </c>
      <c r="GO133" s="268">
        <f t="shared" si="41"/>
        <v>1</v>
      </c>
      <c r="GP133" s="268">
        <f t="shared" si="42"/>
        <v>3</v>
      </c>
      <c r="GQ133" s="268">
        <f t="shared" si="43"/>
        <v>0</v>
      </c>
      <c r="GR133" s="268">
        <f t="shared" si="44"/>
        <v>0</v>
      </c>
    </row>
    <row r="134" spans="1:200" ht="38.25" customHeight="1" x14ac:dyDescent="0.55000000000000004">
      <c r="A134" s="121" t="s">
        <v>190</v>
      </c>
      <c r="B134" s="303" t="s">
        <v>164</v>
      </c>
      <c r="C134" s="198">
        <v>2</v>
      </c>
      <c r="D134" s="404">
        <v>2</v>
      </c>
      <c r="E134" s="404">
        <v>2</v>
      </c>
      <c r="F134" s="198"/>
      <c r="G134" s="198"/>
      <c r="H134" s="198"/>
      <c r="I134" s="142" cm="1">
        <f t="array" ref="I134">SUMPRODUCT(($X$2:$GG$2&lt;&gt;"")*($X134:$GG134&lt;&gt;""))</f>
        <v>6</v>
      </c>
      <c r="J134" s="122">
        <f t="shared" si="28"/>
        <v>12</v>
      </c>
      <c r="K134" s="122">
        <f t="shared" si="29"/>
        <v>168</v>
      </c>
      <c r="L134" s="249">
        <f t="shared" si="45"/>
        <v>7000</v>
      </c>
      <c r="M134" s="144">
        <f t="shared" si="30"/>
        <v>10080</v>
      </c>
      <c r="N134" s="405"/>
      <c r="O134" s="145">
        <f t="shared" si="31"/>
        <v>9240</v>
      </c>
      <c r="P134" s="145">
        <f t="shared" si="32"/>
        <v>6594.0000000000018</v>
      </c>
      <c r="Q134" s="145">
        <f t="shared" si="33"/>
        <v>0</v>
      </c>
      <c r="R134" s="145">
        <f t="shared" si="34"/>
        <v>0</v>
      </c>
      <c r="S134" s="130">
        <f t="shared" si="35"/>
        <v>0</v>
      </c>
      <c r="T134" s="130">
        <f t="shared" si="36"/>
        <v>0</v>
      </c>
      <c r="U134" s="141">
        <v>230</v>
      </c>
      <c r="V134" s="123"/>
      <c r="W134" s="134">
        <v>4000</v>
      </c>
      <c r="X134" s="347">
        <v>30</v>
      </c>
      <c r="Y134" s="347">
        <v>250</v>
      </c>
      <c r="Z134" s="200" t="s">
        <v>583</v>
      </c>
      <c r="AA134" s="120">
        <v>28</v>
      </c>
      <c r="AB134" s="134">
        <v>1000</v>
      </c>
      <c r="AC134" s="200" t="s">
        <v>592</v>
      </c>
      <c r="AD134" s="125">
        <v>110</v>
      </c>
      <c r="AE134" s="134">
        <v>1000</v>
      </c>
      <c r="AF134" s="200" t="s">
        <v>583</v>
      </c>
      <c r="AG134" s="120"/>
      <c r="AH134" s="262"/>
      <c r="AI134" s="262"/>
      <c r="AJ134" s="120"/>
      <c r="AK134" s="262"/>
      <c r="AL134" s="262"/>
      <c r="AM134" s="120"/>
      <c r="AN134" s="262"/>
      <c r="AO134" s="262"/>
      <c r="AP134" s="120"/>
      <c r="AQ134" s="262"/>
      <c r="AR134" s="262"/>
      <c r="AS134" s="120"/>
      <c r="AT134" s="262"/>
      <c r="AU134" s="262"/>
      <c r="AV134" s="120"/>
      <c r="AW134" s="262"/>
      <c r="AX134" s="262"/>
      <c r="AY134" s="120"/>
      <c r="AZ134" s="262"/>
      <c r="BA134" s="262"/>
      <c r="BB134" s="120">
        <v>24</v>
      </c>
      <c r="BC134" s="134">
        <v>1000</v>
      </c>
      <c r="BD134" s="134" t="s">
        <v>591</v>
      </c>
      <c r="BE134" s="120">
        <v>24</v>
      </c>
      <c r="BF134" s="134">
        <v>1000</v>
      </c>
      <c r="BG134" s="134" t="s">
        <v>591</v>
      </c>
      <c r="BH134" s="120"/>
      <c r="BI134" s="134"/>
      <c r="BJ134" s="134"/>
      <c r="BK134" s="120"/>
      <c r="BL134" s="134"/>
      <c r="BM134" s="134"/>
      <c r="BN134" s="120"/>
      <c r="BO134" s="252"/>
      <c r="BP134" s="252"/>
      <c r="BQ134" s="120"/>
      <c r="BR134" s="134"/>
      <c r="BS134" s="134"/>
      <c r="BT134" s="120"/>
      <c r="BU134" s="134"/>
      <c r="BV134" s="200"/>
      <c r="BW134" s="120"/>
      <c r="BX134" s="134"/>
      <c r="BY134" s="200"/>
      <c r="BZ134" s="120"/>
      <c r="CA134" s="134"/>
      <c r="CB134" s="134"/>
      <c r="CC134" s="120"/>
      <c r="CD134" s="134"/>
      <c r="CE134" s="134"/>
      <c r="CF134" s="120"/>
      <c r="CG134" s="134"/>
      <c r="CH134" s="134"/>
      <c r="CI134" s="120"/>
      <c r="CJ134" s="200"/>
      <c r="CK134" s="200"/>
      <c r="CL134" s="120"/>
      <c r="CM134" s="200"/>
      <c r="CN134" s="200"/>
      <c r="CO134" s="120"/>
      <c r="CP134" s="134"/>
      <c r="CQ134" s="134"/>
      <c r="CR134" s="120"/>
      <c r="CS134" s="134"/>
      <c r="CT134" s="134"/>
      <c r="CU134" s="120"/>
      <c r="CV134" s="202"/>
      <c r="CW134" s="202"/>
      <c r="CX134" s="120"/>
      <c r="CY134" s="202"/>
      <c r="CZ134" s="202"/>
      <c r="DA134" s="120"/>
      <c r="DB134" s="202"/>
      <c r="DC134" s="202"/>
      <c r="DD134" s="349"/>
      <c r="DE134" s="202"/>
      <c r="DF134" s="202"/>
      <c r="DG134" s="254"/>
      <c r="DH134" s="203"/>
      <c r="DI134" s="203"/>
      <c r="DJ134" s="259"/>
      <c r="DK134" s="136"/>
      <c r="DL134" s="136"/>
      <c r="DM134" s="120"/>
      <c r="DN134" s="233"/>
      <c r="DO134" s="233"/>
      <c r="DP134" s="120"/>
      <c r="DQ134" s="262"/>
      <c r="DR134" s="262"/>
      <c r="DS134" s="120"/>
      <c r="DT134" s="262"/>
      <c r="DU134" s="262"/>
      <c r="DV134" s="120"/>
      <c r="DW134" s="262"/>
      <c r="DX134" s="262"/>
      <c r="DY134" s="120"/>
      <c r="DZ134" s="262"/>
      <c r="EA134" s="262"/>
      <c r="EB134" s="265"/>
      <c r="EC134" s="262"/>
      <c r="ED134" s="262"/>
      <c r="EE134" s="256"/>
      <c r="EF134" s="200"/>
      <c r="EG134" s="200"/>
      <c r="EH134" s="120"/>
      <c r="EI134" s="262"/>
      <c r="EJ134" s="262"/>
      <c r="EK134" s="120">
        <v>2.5</v>
      </c>
      <c r="EL134" s="262">
        <v>1000</v>
      </c>
      <c r="EM134" s="262" t="s">
        <v>591</v>
      </c>
      <c r="EN134" s="120"/>
      <c r="EO134" s="262"/>
      <c r="EP134" s="262"/>
      <c r="EQ134" s="120"/>
      <c r="ER134" s="262"/>
      <c r="ES134" s="262"/>
      <c r="ET134" s="120"/>
      <c r="EU134" s="262"/>
      <c r="EV134" s="262"/>
      <c r="EW134" s="120"/>
      <c r="EX134" s="262"/>
      <c r="EY134" s="262"/>
      <c r="EZ134" s="120"/>
      <c r="FA134" s="262"/>
      <c r="FB134" s="262"/>
      <c r="FC134" s="120"/>
      <c r="FD134" s="262"/>
      <c r="FE134" s="262"/>
      <c r="FF134" s="120"/>
      <c r="FG134" s="262"/>
      <c r="FH134" s="262"/>
      <c r="FI134" s="120"/>
      <c r="FJ134" s="262"/>
      <c r="FK134" s="262"/>
      <c r="FL134" s="120"/>
      <c r="FM134" s="262"/>
      <c r="FN134" s="262"/>
      <c r="FO134" s="120"/>
      <c r="FP134" s="262"/>
      <c r="FQ134" s="262"/>
      <c r="FR134" s="120"/>
      <c r="FS134" s="262"/>
      <c r="FT134" s="262"/>
      <c r="FU134" s="120"/>
      <c r="FV134" s="262"/>
      <c r="FW134" s="262"/>
      <c r="FX134" s="120"/>
      <c r="FY134" s="262"/>
      <c r="FZ134" s="262"/>
      <c r="GA134" s="256"/>
      <c r="GB134" s="233"/>
      <c r="GC134" s="233"/>
      <c r="GJ134" s="121">
        <f t="shared" si="37"/>
        <v>0</v>
      </c>
      <c r="GK134" s="121">
        <f t="shared" si="38"/>
        <v>0</v>
      </c>
      <c r="GM134" s="121">
        <f t="shared" si="39"/>
        <v>1</v>
      </c>
      <c r="GN134" s="121">
        <f t="shared" si="40"/>
        <v>1</v>
      </c>
      <c r="GO134" s="121">
        <f t="shared" si="41"/>
        <v>1</v>
      </c>
      <c r="GP134" s="121">
        <f t="shared" si="42"/>
        <v>3</v>
      </c>
      <c r="GQ134" s="121">
        <f t="shared" si="43"/>
        <v>0</v>
      </c>
      <c r="GR134" s="121">
        <f t="shared" si="44"/>
        <v>0</v>
      </c>
    </row>
    <row r="135" spans="1:200" ht="38.25" customHeight="1" x14ac:dyDescent="0.55000000000000004">
      <c r="B135" s="303" t="s">
        <v>455</v>
      </c>
      <c r="C135" s="198"/>
      <c r="D135" s="198"/>
      <c r="E135" s="198"/>
      <c r="F135" s="198"/>
      <c r="G135" s="198"/>
      <c r="H135" s="198"/>
      <c r="I135" s="142" cm="1">
        <f t="array" ref="I135">SUMPRODUCT(($X$2:$GG$2&lt;&gt;"")*($X135:$GG135&lt;&gt;""))</f>
        <v>1</v>
      </c>
      <c r="J135" s="122">
        <f t="shared" si="28"/>
        <v>0</v>
      </c>
      <c r="K135" s="122">
        <f t="shared" si="29"/>
        <v>0</v>
      </c>
      <c r="L135" s="249">
        <f t="shared" si="45"/>
        <v>7000</v>
      </c>
      <c r="M135" s="144">
        <f t="shared" si="30"/>
        <v>840</v>
      </c>
      <c r="N135" s="405"/>
      <c r="O135" s="145">
        <f t="shared" si="31"/>
        <v>0</v>
      </c>
      <c r="P135" s="145">
        <f t="shared" si="32"/>
        <v>0</v>
      </c>
      <c r="Q135" s="145">
        <f t="shared" si="33"/>
        <v>0</v>
      </c>
      <c r="R135" s="145">
        <f t="shared" si="34"/>
        <v>0</v>
      </c>
      <c r="S135" s="130">
        <f t="shared" si="35"/>
        <v>0</v>
      </c>
      <c r="T135" s="130">
        <f t="shared" si="36"/>
        <v>0</v>
      </c>
      <c r="U135" s="141"/>
      <c r="V135" s="123"/>
      <c r="W135" s="134"/>
      <c r="X135" s="347">
        <v>30</v>
      </c>
      <c r="Y135" s="347">
        <v>250</v>
      </c>
      <c r="Z135" s="348" t="s">
        <v>576</v>
      </c>
      <c r="AA135" s="120"/>
      <c r="AB135" s="134"/>
      <c r="AC135" s="200"/>
      <c r="AD135" s="125"/>
      <c r="AE135" s="134"/>
      <c r="AF135" s="200"/>
      <c r="AG135" s="120"/>
      <c r="AH135" s="262"/>
      <c r="AI135" s="262"/>
      <c r="AJ135" s="120"/>
      <c r="AK135" s="262"/>
      <c r="AL135" s="262"/>
      <c r="AM135" s="120"/>
      <c r="AN135" s="262"/>
      <c r="AO135" s="262"/>
      <c r="AP135" s="120"/>
      <c r="AQ135" s="262"/>
      <c r="AR135" s="262"/>
      <c r="AS135" s="120"/>
      <c r="AT135" s="262"/>
      <c r="AU135" s="262"/>
      <c r="AV135" s="120"/>
      <c r="AW135" s="262"/>
      <c r="AX135" s="262"/>
      <c r="AY135" s="120"/>
      <c r="AZ135" s="262"/>
      <c r="BA135" s="262"/>
      <c r="BB135" s="120"/>
      <c r="BC135" s="134"/>
      <c r="BD135" s="200"/>
      <c r="BE135" s="120"/>
      <c r="BF135" s="134"/>
      <c r="BG135" s="200"/>
      <c r="BH135" s="120"/>
      <c r="BI135" s="252"/>
      <c r="BJ135" s="252"/>
      <c r="BK135" s="120"/>
      <c r="BL135" s="134"/>
      <c r="BM135" s="134"/>
      <c r="BN135" s="120"/>
      <c r="BO135" s="252"/>
      <c r="BP135" s="252"/>
      <c r="BQ135" s="120"/>
      <c r="BR135" s="134"/>
      <c r="BS135" s="134"/>
      <c r="BT135" s="120"/>
      <c r="BU135" s="134"/>
      <c r="BV135" s="200"/>
      <c r="BW135" s="120"/>
      <c r="BX135" s="134"/>
      <c r="BY135" s="200"/>
      <c r="BZ135" s="120"/>
      <c r="CA135" s="126"/>
      <c r="CB135" s="126"/>
      <c r="CC135" s="120"/>
      <c r="CD135" s="126"/>
      <c r="CE135" s="126"/>
      <c r="CF135" s="120"/>
      <c r="CG135" s="134"/>
      <c r="CH135" s="134"/>
      <c r="CI135" s="120"/>
      <c r="CJ135" s="200"/>
      <c r="CK135" s="200"/>
      <c r="CL135" s="120"/>
      <c r="CM135" s="200"/>
      <c r="CN135" s="200"/>
      <c r="CO135" s="120"/>
      <c r="CP135" s="134"/>
      <c r="CQ135" s="134"/>
      <c r="CR135" s="120"/>
      <c r="CS135" s="134"/>
      <c r="CT135" s="134"/>
      <c r="CU135" s="120"/>
      <c r="CV135" s="202"/>
      <c r="CW135" s="202"/>
      <c r="CX135" s="120"/>
      <c r="CY135" s="202"/>
      <c r="CZ135" s="202"/>
      <c r="DA135" s="120"/>
      <c r="DB135" s="202"/>
      <c r="DC135" s="202"/>
      <c r="DD135" s="349"/>
      <c r="DE135" s="202"/>
      <c r="DF135" s="202"/>
      <c r="DG135" s="254"/>
      <c r="DH135" s="203"/>
      <c r="DI135" s="203"/>
      <c r="DJ135" s="259"/>
      <c r="DK135" s="136"/>
      <c r="DL135" s="136"/>
      <c r="DM135" s="120"/>
      <c r="DN135" s="233"/>
      <c r="DO135" s="233"/>
      <c r="DP135" s="120"/>
      <c r="DQ135" s="262"/>
      <c r="DR135" s="262"/>
      <c r="DS135" s="120"/>
      <c r="DT135" s="262"/>
      <c r="DU135" s="262"/>
      <c r="DV135" s="120"/>
      <c r="DW135" s="262"/>
      <c r="DX135" s="262"/>
      <c r="DY135" s="120"/>
      <c r="DZ135" s="262"/>
      <c r="EA135" s="262"/>
      <c r="EB135" s="265"/>
      <c r="EC135" s="262"/>
      <c r="ED135" s="262"/>
      <c r="EE135" s="256"/>
      <c r="EF135" s="233"/>
      <c r="EG135" s="233"/>
      <c r="EH135" s="120"/>
      <c r="EI135" s="262"/>
      <c r="EJ135" s="262"/>
      <c r="EK135" s="120"/>
      <c r="EL135" s="262"/>
      <c r="EM135" s="262"/>
      <c r="EN135" s="120"/>
      <c r="EO135" s="262"/>
      <c r="EP135" s="262"/>
      <c r="EQ135" s="120"/>
      <c r="ER135" s="262"/>
      <c r="ES135" s="262"/>
      <c r="ET135" s="120"/>
      <c r="EU135" s="262"/>
      <c r="EV135" s="262"/>
      <c r="EW135" s="120"/>
      <c r="EX135" s="262"/>
      <c r="EY135" s="262"/>
      <c r="EZ135" s="120"/>
      <c r="FA135" s="262"/>
      <c r="FB135" s="262"/>
      <c r="FC135" s="120"/>
      <c r="FD135" s="262"/>
      <c r="FE135" s="262"/>
      <c r="FF135" s="120"/>
      <c r="FG135" s="262"/>
      <c r="FH135" s="262"/>
      <c r="FI135" s="120"/>
      <c r="FJ135" s="262"/>
      <c r="FK135" s="262"/>
      <c r="FL135" s="120"/>
      <c r="FM135" s="262"/>
      <c r="FN135" s="262"/>
      <c r="FO135" s="120"/>
      <c r="FP135" s="262"/>
      <c r="FQ135" s="262"/>
      <c r="FR135" s="120"/>
      <c r="FS135" s="262"/>
      <c r="FT135" s="262"/>
      <c r="FU135" s="120"/>
      <c r="FV135" s="262"/>
      <c r="FW135" s="262"/>
      <c r="FX135" s="120"/>
      <c r="FY135" s="262"/>
      <c r="FZ135" s="262"/>
      <c r="GA135" s="256"/>
      <c r="GB135" s="233"/>
      <c r="GC135" s="233"/>
      <c r="GJ135" s="121">
        <f t="shared" si="37"/>
        <v>0</v>
      </c>
      <c r="GK135" s="121">
        <f t="shared" si="38"/>
        <v>0</v>
      </c>
      <c r="GM135" s="121">
        <f t="shared" si="39"/>
        <v>1</v>
      </c>
      <c r="GN135" s="121">
        <f t="shared" si="40"/>
        <v>0</v>
      </c>
      <c r="GO135" s="121">
        <f t="shared" si="41"/>
        <v>0</v>
      </c>
      <c r="GP135" s="121">
        <f t="shared" si="42"/>
        <v>0</v>
      </c>
      <c r="GQ135" s="121">
        <f t="shared" si="43"/>
        <v>0</v>
      </c>
      <c r="GR135" s="121">
        <f t="shared" si="44"/>
        <v>0</v>
      </c>
    </row>
    <row r="136" spans="1:200" ht="38.25" customHeight="1" x14ac:dyDescent="0.55000000000000004">
      <c r="B136" s="309" t="s">
        <v>174</v>
      </c>
      <c r="C136" s="198">
        <v>3</v>
      </c>
      <c r="D136" s="198">
        <v>3</v>
      </c>
      <c r="E136" s="198">
        <v>3</v>
      </c>
      <c r="F136" s="142">
        <f>($X$136/$Y$136)*$L$136*C136</f>
        <v>2016</v>
      </c>
      <c r="G136" s="142">
        <f>($X$136/$Y$136)*$L$136*D136</f>
        <v>2016</v>
      </c>
      <c r="H136" s="142">
        <f>($X$136/$Y$136)*$L$136*E136</f>
        <v>2016</v>
      </c>
      <c r="I136" s="142" cm="1">
        <f t="array" ref="I136">SUMPRODUCT(($X$2:$GG$2&lt;&gt;"")*($X136:$GG136&lt;&gt;""))</f>
        <v>6</v>
      </c>
      <c r="J136" s="122">
        <f t="shared" si="28"/>
        <v>18</v>
      </c>
      <c r="K136" s="122">
        <f t="shared" si="29"/>
        <v>252</v>
      </c>
      <c r="L136" s="249">
        <f t="shared" si="45"/>
        <v>7000</v>
      </c>
      <c r="M136" s="144">
        <f t="shared" si="30"/>
        <v>10080</v>
      </c>
      <c r="N136" s="405"/>
      <c r="O136" s="145">
        <f t="shared" si="31"/>
        <v>7875</v>
      </c>
      <c r="P136" s="145">
        <f t="shared" si="32"/>
        <v>7350.0000000000009</v>
      </c>
      <c r="Q136" s="145">
        <f t="shared" si="33"/>
        <v>0</v>
      </c>
      <c r="R136" s="145">
        <f t="shared" si="34"/>
        <v>0</v>
      </c>
      <c r="S136" s="130">
        <f t="shared" si="35"/>
        <v>1312.5</v>
      </c>
      <c r="T136" s="130">
        <f t="shared" si="36"/>
        <v>0</v>
      </c>
      <c r="U136" s="141">
        <v>276</v>
      </c>
      <c r="V136" s="123">
        <v>50</v>
      </c>
      <c r="W136" s="134">
        <v>4000</v>
      </c>
      <c r="X136" s="124">
        <v>24</v>
      </c>
      <c r="Y136" s="134">
        <v>250</v>
      </c>
      <c r="Z136" s="200" t="s">
        <v>593</v>
      </c>
      <c r="AA136" s="120">
        <v>20</v>
      </c>
      <c r="AB136" s="134">
        <v>1000</v>
      </c>
      <c r="AC136" s="200" t="s">
        <v>583</v>
      </c>
      <c r="AD136" s="125">
        <v>150</v>
      </c>
      <c r="AE136" s="134">
        <v>2000</v>
      </c>
      <c r="AF136" s="200" t="s">
        <v>594</v>
      </c>
      <c r="AG136" s="120"/>
      <c r="AH136" s="262"/>
      <c r="AI136" s="262"/>
      <c r="AJ136" s="120"/>
      <c r="AK136" s="262"/>
      <c r="AL136" s="262"/>
      <c r="AM136" s="120"/>
      <c r="AN136" s="262"/>
      <c r="AO136" s="262"/>
      <c r="AP136" s="120"/>
      <c r="AQ136" s="262"/>
      <c r="AR136" s="262"/>
      <c r="AS136" s="120"/>
      <c r="AT136" s="262"/>
      <c r="AU136" s="262"/>
      <c r="AV136" s="120"/>
      <c r="AW136" s="262"/>
      <c r="AX136" s="262"/>
      <c r="AY136" s="120"/>
      <c r="AZ136" s="262"/>
      <c r="BA136" s="262"/>
      <c r="BB136" s="120">
        <v>25</v>
      </c>
      <c r="BC136" s="134">
        <v>1000</v>
      </c>
      <c r="BD136" s="200" t="s">
        <v>595</v>
      </c>
      <c r="BE136" s="120">
        <v>25</v>
      </c>
      <c r="BF136" s="134">
        <v>1000</v>
      </c>
      <c r="BG136" s="200" t="s">
        <v>595</v>
      </c>
      <c r="BH136" s="120"/>
      <c r="BI136" s="134"/>
      <c r="BJ136" s="134"/>
      <c r="BK136" s="120"/>
      <c r="BL136" s="134"/>
      <c r="BM136" s="134"/>
      <c r="BN136" s="120"/>
      <c r="BO136" s="252"/>
      <c r="BP136" s="252"/>
      <c r="BQ136" s="120"/>
      <c r="BR136" s="134"/>
      <c r="BS136" s="134"/>
      <c r="BT136" s="120"/>
      <c r="BU136" s="134"/>
      <c r="BV136" s="200"/>
      <c r="BW136" s="120"/>
      <c r="BX136" s="134"/>
      <c r="BY136" s="200"/>
      <c r="BZ136" s="120"/>
      <c r="CA136" s="126"/>
      <c r="CB136" s="126"/>
      <c r="CC136" s="120"/>
      <c r="CD136" s="126"/>
      <c r="CE136" s="126"/>
      <c r="CF136" s="120"/>
      <c r="CG136" s="134"/>
      <c r="CH136" s="134"/>
      <c r="CI136" s="120"/>
      <c r="CJ136" s="200"/>
      <c r="CK136" s="200"/>
      <c r="CL136" s="120"/>
      <c r="CM136" s="200"/>
      <c r="CN136" s="200"/>
      <c r="CO136" s="120"/>
      <c r="CP136" s="134"/>
      <c r="CQ136" s="134"/>
      <c r="CR136" s="120"/>
      <c r="CS136" s="134"/>
      <c r="CT136" s="134"/>
      <c r="CU136" s="120"/>
      <c r="CV136" s="202"/>
      <c r="CW136" s="202"/>
      <c r="CX136" s="120"/>
      <c r="CY136" s="202"/>
      <c r="CZ136" s="202"/>
      <c r="DA136" s="120"/>
      <c r="DB136" s="202"/>
      <c r="DC136" s="202"/>
      <c r="DD136" s="349"/>
      <c r="DE136" s="202"/>
      <c r="DF136" s="202"/>
      <c r="DG136" s="254"/>
      <c r="DH136" s="203"/>
      <c r="DI136" s="203"/>
      <c r="DJ136" s="259"/>
      <c r="DK136" s="136"/>
      <c r="DL136" s="136"/>
      <c r="DM136" s="120"/>
      <c r="DN136" s="233"/>
      <c r="DO136" s="233"/>
      <c r="DP136" s="120"/>
      <c r="DQ136" s="262"/>
      <c r="DR136" s="262"/>
      <c r="DS136" s="120"/>
      <c r="DT136" s="262"/>
      <c r="DU136" s="262"/>
      <c r="DV136" s="120"/>
      <c r="DW136" s="262"/>
      <c r="DX136" s="262"/>
      <c r="DY136" s="120"/>
      <c r="DZ136" s="262"/>
      <c r="EA136" s="262"/>
      <c r="EB136" s="265"/>
      <c r="EC136" s="262"/>
      <c r="ED136" s="262"/>
      <c r="EE136" s="256"/>
      <c r="EF136" s="200"/>
      <c r="EG136" s="200"/>
      <c r="EH136" s="120"/>
      <c r="EI136" s="262"/>
      <c r="EJ136" s="262"/>
      <c r="EK136" s="120"/>
      <c r="EL136" s="262"/>
      <c r="EM136" s="262"/>
      <c r="EN136" s="120"/>
      <c r="EO136" s="262"/>
      <c r="EP136" s="262"/>
      <c r="EQ136" s="120"/>
      <c r="ER136" s="262"/>
      <c r="ES136" s="262"/>
      <c r="ET136" s="120"/>
      <c r="EU136" s="262"/>
      <c r="EV136" s="262"/>
      <c r="EW136" s="120"/>
      <c r="EX136" s="262"/>
      <c r="EY136" s="262"/>
      <c r="EZ136" s="120"/>
      <c r="FA136" s="262"/>
      <c r="FB136" s="262"/>
      <c r="FC136" s="120"/>
      <c r="FD136" s="262"/>
      <c r="FE136" s="262"/>
      <c r="FF136" s="120"/>
      <c r="FG136" s="262"/>
      <c r="FH136" s="262"/>
      <c r="FI136" s="120">
        <v>50</v>
      </c>
      <c r="FJ136" s="341"/>
      <c r="FK136" s="262" t="s">
        <v>595</v>
      </c>
      <c r="FL136" s="120"/>
      <c r="FM136" s="262"/>
      <c r="FN136" s="262"/>
      <c r="FO136" s="120"/>
      <c r="FP136" s="262"/>
      <c r="FQ136" s="262"/>
      <c r="FR136" s="120"/>
      <c r="FS136" s="262"/>
      <c r="FT136" s="262"/>
      <c r="FU136" s="120"/>
      <c r="FV136" s="262"/>
      <c r="FW136" s="262"/>
      <c r="FX136" s="120"/>
      <c r="FY136" s="262"/>
      <c r="FZ136" s="262"/>
      <c r="GA136" s="256"/>
      <c r="GB136" s="233"/>
      <c r="GC136" s="233"/>
      <c r="GJ136" s="121">
        <f t="shared" si="37"/>
        <v>0</v>
      </c>
      <c r="GK136" s="121">
        <f t="shared" si="38"/>
        <v>0</v>
      </c>
      <c r="GM136" s="121">
        <f t="shared" si="39"/>
        <v>1</v>
      </c>
      <c r="GN136" s="121">
        <f t="shared" si="40"/>
        <v>1</v>
      </c>
      <c r="GO136" s="121">
        <f t="shared" si="41"/>
        <v>1</v>
      </c>
      <c r="GP136" s="121">
        <f t="shared" si="42"/>
        <v>3</v>
      </c>
      <c r="GQ136" s="121">
        <f t="shared" si="43"/>
        <v>0</v>
      </c>
      <c r="GR136" s="121">
        <f t="shared" si="44"/>
        <v>1</v>
      </c>
    </row>
    <row r="137" spans="1:200" ht="38.25" customHeight="1" x14ac:dyDescent="0.55000000000000004">
      <c r="B137" s="309" t="s">
        <v>373</v>
      </c>
      <c r="C137" s="198">
        <v>4</v>
      </c>
      <c r="D137" s="198">
        <v>4</v>
      </c>
      <c r="E137" s="198">
        <v>4</v>
      </c>
      <c r="F137" s="142">
        <f>($X$137/$Y$137)*$L$137*C137</f>
        <v>2688</v>
      </c>
      <c r="G137" s="142">
        <f>($X$137/$Y$137)*$L$137*D137</f>
        <v>2688</v>
      </c>
      <c r="H137" s="142">
        <f>($X$137/$Y$137)*$L$137*E137</f>
        <v>2688</v>
      </c>
      <c r="I137" s="142" cm="1">
        <f t="array" ref="I137">SUMPRODUCT(($X$2:$GG$2&lt;&gt;"")*($X137:$GG137&lt;&gt;""))</f>
        <v>5</v>
      </c>
      <c r="J137" s="122">
        <f t="shared" si="28"/>
        <v>20</v>
      </c>
      <c r="K137" s="122">
        <f t="shared" si="29"/>
        <v>280</v>
      </c>
      <c r="L137" s="249">
        <f t="shared" si="45"/>
        <v>7000</v>
      </c>
      <c r="M137" s="144">
        <f t="shared" si="30"/>
        <v>11424</v>
      </c>
      <c r="N137" s="405"/>
      <c r="O137" s="145">
        <f t="shared" si="31"/>
        <v>8925</v>
      </c>
      <c r="P137" s="145">
        <f t="shared" si="32"/>
        <v>16422.000000000004</v>
      </c>
      <c r="Q137" s="145">
        <f t="shared" si="33"/>
        <v>0</v>
      </c>
      <c r="R137" s="145">
        <f t="shared" si="34"/>
        <v>0</v>
      </c>
      <c r="S137" s="130">
        <f t="shared" si="35"/>
        <v>2975</v>
      </c>
      <c r="T137" s="130">
        <f t="shared" si="36"/>
        <v>0</v>
      </c>
      <c r="U137" s="141">
        <v>370</v>
      </c>
      <c r="V137" s="123">
        <v>50</v>
      </c>
      <c r="W137" s="134">
        <v>2000</v>
      </c>
      <c r="X137" s="124">
        <v>24</v>
      </c>
      <c r="Y137" s="134">
        <v>250</v>
      </c>
      <c r="Z137" s="200" t="s">
        <v>596</v>
      </c>
      <c r="AA137" s="120"/>
      <c r="AB137" s="134"/>
      <c r="AC137" s="200"/>
      <c r="AD137" s="125">
        <v>150</v>
      </c>
      <c r="AE137" s="134">
        <v>2000</v>
      </c>
      <c r="AF137" s="200" t="s">
        <v>597</v>
      </c>
      <c r="AG137" s="120"/>
      <c r="AH137" s="262"/>
      <c r="AI137" s="262"/>
      <c r="AJ137" s="120"/>
      <c r="AK137" s="262"/>
      <c r="AL137" s="262"/>
      <c r="AM137" s="120"/>
      <c r="AN137" s="262"/>
      <c r="AO137" s="262"/>
      <c r="AP137" s="120"/>
      <c r="AQ137" s="262"/>
      <c r="AR137" s="262"/>
      <c r="AS137" s="120"/>
      <c r="AT137" s="262"/>
      <c r="AU137" s="262"/>
      <c r="AV137" s="120"/>
      <c r="AW137" s="262"/>
      <c r="AX137" s="262"/>
      <c r="AY137" s="120"/>
      <c r="AZ137" s="262"/>
      <c r="BA137" s="262"/>
      <c r="BB137" s="120">
        <v>14</v>
      </c>
      <c r="BC137" s="134">
        <v>1000</v>
      </c>
      <c r="BD137" s="200" t="s">
        <v>598</v>
      </c>
      <c r="BE137" s="120">
        <v>14</v>
      </c>
      <c r="BF137" s="134">
        <v>1000</v>
      </c>
      <c r="BG137" s="200" t="s">
        <v>598</v>
      </c>
      <c r="BH137" s="120"/>
      <c r="BI137" s="134"/>
      <c r="BJ137" s="134"/>
      <c r="BK137" s="120"/>
      <c r="BL137" s="134"/>
      <c r="BM137" s="134"/>
      <c r="BN137" s="120"/>
      <c r="BO137" s="252"/>
      <c r="BP137" s="252"/>
      <c r="BQ137" s="120"/>
      <c r="BR137" s="134"/>
      <c r="BS137" s="134"/>
      <c r="BT137" s="120"/>
      <c r="BU137" s="134"/>
      <c r="BV137" s="200"/>
      <c r="BW137" s="120"/>
      <c r="BX137" s="134"/>
      <c r="BY137" s="200"/>
      <c r="BZ137" s="120"/>
      <c r="CA137" s="126"/>
      <c r="CB137" s="126"/>
      <c r="CC137" s="120"/>
      <c r="CD137" s="126"/>
      <c r="CE137" s="126"/>
      <c r="CF137" s="120"/>
      <c r="CG137" s="134"/>
      <c r="CH137" s="134"/>
      <c r="CI137" s="120"/>
      <c r="CJ137" s="200"/>
      <c r="CK137" s="200"/>
      <c r="CL137" s="120"/>
      <c r="CM137" s="200"/>
      <c r="CN137" s="200"/>
      <c r="CO137" s="120"/>
      <c r="CP137" s="134"/>
      <c r="CQ137" s="134"/>
      <c r="CR137" s="120"/>
      <c r="CS137" s="134"/>
      <c r="CT137" s="134"/>
      <c r="CU137" s="120"/>
      <c r="CV137" s="202"/>
      <c r="CW137" s="202"/>
      <c r="CX137" s="120"/>
      <c r="CY137" s="202"/>
      <c r="CZ137" s="202"/>
      <c r="DA137" s="120"/>
      <c r="DB137" s="202"/>
      <c r="DC137" s="202"/>
      <c r="DD137" s="349"/>
      <c r="DE137" s="202"/>
      <c r="DF137" s="202"/>
      <c r="DG137" s="254"/>
      <c r="DH137" s="203"/>
      <c r="DI137" s="203"/>
      <c r="DJ137" s="259"/>
      <c r="DK137" s="136"/>
      <c r="DL137" s="136"/>
      <c r="DM137" s="120"/>
      <c r="DN137" s="233"/>
      <c r="DO137" s="233"/>
      <c r="DP137" s="120"/>
      <c r="DQ137" s="262"/>
      <c r="DR137" s="262"/>
      <c r="DS137" s="120"/>
      <c r="DT137" s="262"/>
      <c r="DU137" s="262"/>
      <c r="DV137" s="120"/>
      <c r="DW137" s="262"/>
      <c r="DX137" s="262"/>
      <c r="DY137" s="120"/>
      <c r="DZ137" s="262"/>
      <c r="EA137" s="262"/>
      <c r="EB137" s="265"/>
      <c r="EC137" s="262"/>
      <c r="ED137" s="262"/>
      <c r="EE137" s="256"/>
      <c r="EF137" s="200"/>
      <c r="EG137" s="200"/>
      <c r="EH137" s="120"/>
      <c r="EI137" s="262"/>
      <c r="EJ137" s="262"/>
      <c r="EK137" s="120"/>
      <c r="EL137" s="262"/>
      <c r="EM137" s="262"/>
      <c r="EN137" s="120"/>
      <c r="EO137" s="262"/>
      <c r="EP137" s="262"/>
      <c r="EQ137" s="120"/>
      <c r="ER137" s="262"/>
      <c r="ES137" s="262"/>
      <c r="ET137" s="120"/>
      <c r="EU137" s="262"/>
      <c r="EV137" s="262"/>
      <c r="EW137" s="120"/>
      <c r="EX137" s="262"/>
      <c r="EY137" s="262"/>
      <c r="EZ137" s="120"/>
      <c r="FA137" s="262"/>
      <c r="FB137" s="262"/>
      <c r="FC137" s="120"/>
      <c r="FD137" s="262"/>
      <c r="FE137" s="262"/>
      <c r="FF137" s="120"/>
      <c r="FG137" s="262"/>
      <c r="FH137" s="262"/>
      <c r="FI137" s="120">
        <v>55</v>
      </c>
      <c r="FJ137" s="262">
        <v>500</v>
      </c>
      <c r="FK137" s="262" t="s">
        <v>598</v>
      </c>
      <c r="FL137" s="120"/>
      <c r="FM137" s="262"/>
      <c r="FN137" s="262"/>
      <c r="FO137" s="120"/>
      <c r="FP137" s="262"/>
      <c r="FQ137" s="262"/>
      <c r="FR137" s="120"/>
      <c r="FS137" s="262"/>
      <c r="FT137" s="262"/>
      <c r="FU137" s="120"/>
      <c r="FV137" s="262"/>
      <c r="FW137" s="262"/>
      <c r="FX137" s="120"/>
      <c r="FY137" s="262"/>
      <c r="FZ137" s="262"/>
      <c r="GA137" s="256"/>
      <c r="GB137" s="233"/>
      <c r="GC137" s="233"/>
      <c r="GJ137" s="121">
        <f t="shared" si="37"/>
        <v>0</v>
      </c>
      <c r="GK137" s="121">
        <f t="shared" si="38"/>
        <v>0</v>
      </c>
      <c r="GM137" s="121">
        <f t="shared" si="39"/>
        <v>1</v>
      </c>
      <c r="GN137" s="121">
        <f t="shared" si="40"/>
        <v>0</v>
      </c>
      <c r="GO137" s="121">
        <f t="shared" si="41"/>
        <v>1</v>
      </c>
      <c r="GP137" s="121">
        <f t="shared" si="42"/>
        <v>3</v>
      </c>
      <c r="GQ137" s="121">
        <f t="shared" si="43"/>
        <v>0</v>
      </c>
      <c r="GR137" s="121">
        <f t="shared" si="44"/>
        <v>1</v>
      </c>
    </row>
    <row r="138" spans="1:200" ht="38.25" customHeight="1" x14ac:dyDescent="0.55000000000000004">
      <c r="B138" s="303" t="s">
        <v>427</v>
      </c>
      <c r="C138" s="198"/>
      <c r="D138" s="198"/>
      <c r="E138" s="198"/>
      <c r="F138" s="198"/>
      <c r="G138" s="198"/>
      <c r="H138" s="198"/>
      <c r="I138" s="142" cm="1">
        <f t="array" ref="I138">SUMPRODUCT(($X$2:$GG$2&lt;&gt;"")*($X138:$GG138&lt;&gt;""))</f>
        <v>1</v>
      </c>
      <c r="J138" s="122">
        <f t="shared" si="28"/>
        <v>0</v>
      </c>
      <c r="K138" s="122">
        <f t="shared" si="29"/>
        <v>0</v>
      </c>
      <c r="L138" s="249">
        <f t="shared" si="45"/>
        <v>7000</v>
      </c>
      <c r="M138" s="144">
        <f t="shared" si="30"/>
        <v>0</v>
      </c>
      <c r="N138" s="405"/>
      <c r="O138" s="145">
        <f t="shared" si="31"/>
        <v>0</v>
      </c>
      <c r="P138" s="145">
        <f t="shared" si="32"/>
        <v>0</v>
      </c>
      <c r="Q138" s="145">
        <f t="shared" si="33"/>
        <v>0</v>
      </c>
      <c r="R138" s="145">
        <f t="shared" si="34"/>
        <v>0</v>
      </c>
      <c r="S138" s="130">
        <f t="shared" si="35"/>
        <v>0</v>
      </c>
      <c r="T138" s="130">
        <f t="shared" si="36"/>
        <v>0</v>
      </c>
      <c r="U138" s="141">
        <v>37</v>
      </c>
      <c r="V138" s="123"/>
      <c r="W138" s="134"/>
      <c r="X138" s="124">
        <v>1</v>
      </c>
      <c r="Y138" s="339"/>
      <c r="Z138" s="348" t="s">
        <v>576</v>
      </c>
      <c r="AA138" s="120"/>
      <c r="AB138" s="134"/>
      <c r="AC138" s="200"/>
      <c r="AD138" s="125"/>
      <c r="AE138" s="134"/>
      <c r="AF138" s="200"/>
      <c r="AG138" s="120"/>
      <c r="AH138" s="262"/>
      <c r="AI138" s="262"/>
      <c r="AJ138" s="120"/>
      <c r="AK138" s="262"/>
      <c r="AL138" s="262"/>
      <c r="AM138" s="120"/>
      <c r="AN138" s="262"/>
      <c r="AO138" s="262"/>
      <c r="AP138" s="120"/>
      <c r="AQ138" s="262"/>
      <c r="AR138" s="262"/>
      <c r="AS138" s="120"/>
      <c r="AT138" s="262"/>
      <c r="AU138" s="262"/>
      <c r="AV138" s="120"/>
      <c r="AW138" s="262"/>
      <c r="AX138" s="262"/>
      <c r="AY138" s="120"/>
      <c r="AZ138" s="262"/>
      <c r="BA138" s="262"/>
      <c r="BB138" s="120"/>
      <c r="BC138" s="134"/>
      <c r="BD138" s="200"/>
      <c r="BE138" s="120"/>
      <c r="BF138" s="134"/>
      <c r="BG138" s="200"/>
      <c r="BH138" s="120"/>
      <c r="BI138" s="252"/>
      <c r="BJ138" s="252"/>
      <c r="BK138" s="120"/>
      <c r="BL138" s="134"/>
      <c r="BM138" s="134"/>
      <c r="BN138" s="120"/>
      <c r="BO138" s="252"/>
      <c r="BP138" s="252"/>
      <c r="BQ138" s="120"/>
      <c r="BR138" s="134"/>
      <c r="BS138" s="134"/>
      <c r="BT138" s="120"/>
      <c r="BU138" s="134"/>
      <c r="BV138" s="200"/>
      <c r="BW138" s="120"/>
      <c r="BX138" s="134"/>
      <c r="BY138" s="200"/>
      <c r="BZ138" s="120"/>
      <c r="CA138" s="126"/>
      <c r="CB138" s="126"/>
      <c r="CC138" s="120"/>
      <c r="CD138" s="126"/>
      <c r="CE138" s="126"/>
      <c r="CF138" s="120"/>
      <c r="CG138" s="134"/>
      <c r="CH138" s="134"/>
      <c r="CI138" s="120"/>
      <c r="CJ138" s="200"/>
      <c r="CK138" s="200"/>
      <c r="CL138" s="120"/>
      <c r="CM138" s="200"/>
      <c r="CN138" s="200"/>
      <c r="CO138" s="120"/>
      <c r="CP138" s="134"/>
      <c r="CQ138" s="134"/>
      <c r="CR138" s="120"/>
      <c r="CS138" s="134"/>
      <c r="CT138" s="134"/>
      <c r="CU138" s="120"/>
      <c r="CV138" s="202"/>
      <c r="CW138" s="202"/>
      <c r="CX138" s="120"/>
      <c r="CY138" s="202"/>
      <c r="CZ138" s="202"/>
      <c r="DA138" s="120"/>
      <c r="DB138" s="202"/>
      <c r="DC138" s="202"/>
      <c r="DD138" s="349"/>
      <c r="DE138" s="202"/>
      <c r="DF138" s="202"/>
      <c r="DG138" s="254"/>
      <c r="DH138" s="203"/>
      <c r="DI138" s="203"/>
      <c r="DJ138" s="259"/>
      <c r="DK138" s="136"/>
      <c r="DL138" s="136"/>
      <c r="DM138" s="120"/>
      <c r="DN138" s="233"/>
      <c r="DO138" s="233"/>
      <c r="DP138" s="120"/>
      <c r="DQ138" s="262"/>
      <c r="DR138" s="262"/>
      <c r="DS138" s="120"/>
      <c r="DT138" s="262"/>
      <c r="DU138" s="262"/>
      <c r="DV138" s="120"/>
      <c r="DW138" s="262"/>
      <c r="DX138" s="262"/>
      <c r="DY138" s="120"/>
      <c r="DZ138" s="262"/>
      <c r="EA138" s="262"/>
      <c r="EB138" s="265"/>
      <c r="EC138" s="262"/>
      <c r="ED138" s="262"/>
      <c r="EE138" s="256"/>
      <c r="EF138" s="233"/>
      <c r="EG138" s="233"/>
      <c r="EH138" s="120"/>
      <c r="EI138" s="262"/>
      <c r="EJ138" s="262"/>
      <c r="EK138" s="120"/>
      <c r="EL138" s="262"/>
      <c r="EM138" s="262"/>
      <c r="EN138" s="120"/>
      <c r="EO138" s="262"/>
      <c r="EP138" s="262"/>
      <c r="EQ138" s="120"/>
      <c r="ER138" s="262"/>
      <c r="ES138" s="262"/>
      <c r="ET138" s="120"/>
      <c r="EU138" s="262"/>
      <c r="EV138" s="262"/>
      <c r="EW138" s="120"/>
      <c r="EX138" s="262"/>
      <c r="EY138" s="262"/>
      <c r="EZ138" s="120"/>
      <c r="FA138" s="262"/>
      <c r="FB138" s="262"/>
      <c r="FC138" s="120"/>
      <c r="FD138" s="262"/>
      <c r="FE138" s="262"/>
      <c r="FF138" s="120"/>
      <c r="FG138" s="262"/>
      <c r="FH138" s="262"/>
      <c r="FI138" s="120"/>
      <c r="FJ138" s="262"/>
      <c r="FK138" s="262"/>
      <c r="FL138" s="120"/>
      <c r="FM138" s="262"/>
      <c r="FN138" s="262"/>
      <c r="FO138" s="120"/>
      <c r="FP138" s="262"/>
      <c r="FQ138" s="262"/>
      <c r="FR138" s="120"/>
      <c r="FS138" s="262"/>
      <c r="FT138" s="262"/>
      <c r="FU138" s="120"/>
      <c r="FV138" s="262"/>
      <c r="FW138" s="262"/>
      <c r="FX138" s="120"/>
      <c r="FY138" s="262"/>
      <c r="FZ138" s="262"/>
      <c r="GA138" s="256"/>
      <c r="GB138" s="233"/>
      <c r="GC138" s="233"/>
      <c r="GJ138" s="121">
        <f t="shared" si="37"/>
        <v>0</v>
      </c>
      <c r="GK138" s="121">
        <f t="shared" si="38"/>
        <v>0</v>
      </c>
      <c r="GM138" s="121">
        <f t="shared" si="39"/>
        <v>1</v>
      </c>
      <c r="GN138" s="121">
        <f t="shared" si="40"/>
        <v>0</v>
      </c>
      <c r="GO138" s="121">
        <f t="shared" si="41"/>
        <v>0</v>
      </c>
      <c r="GP138" s="121">
        <f t="shared" si="42"/>
        <v>0</v>
      </c>
      <c r="GQ138" s="121">
        <f t="shared" si="43"/>
        <v>0</v>
      </c>
      <c r="GR138" s="121">
        <f t="shared" si="44"/>
        <v>0</v>
      </c>
    </row>
    <row r="139" spans="1:200" ht="38.25" customHeight="1" x14ac:dyDescent="0.55000000000000004">
      <c r="B139" s="303" t="s">
        <v>456</v>
      </c>
      <c r="C139" s="198"/>
      <c r="D139" s="198"/>
      <c r="E139" s="198"/>
      <c r="F139" s="198"/>
      <c r="G139" s="198"/>
      <c r="H139" s="198"/>
      <c r="I139" s="142" cm="1">
        <f t="array" ref="I139">SUMPRODUCT(($X$2:$GG$2&lt;&gt;"")*($X139:$GG139&lt;&gt;""))</f>
        <v>2</v>
      </c>
      <c r="J139" s="122">
        <f t="shared" si="28"/>
        <v>0</v>
      </c>
      <c r="K139" s="122">
        <f t="shared" si="29"/>
        <v>0</v>
      </c>
      <c r="L139" s="249">
        <f t="shared" si="45"/>
        <v>7000</v>
      </c>
      <c r="M139" s="144">
        <f t="shared" si="30"/>
        <v>1960.0000000000002</v>
      </c>
      <c r="N139" s="405"/>
      <c r="O139" s="145">
        <f t="shared" si="31"/>
        <v>0</v>
      </c>
      <c r="P139" s="145">
        <f t="shared" si="32"/>
        <v>0</v>
      </c>
      <c r="Q139" s="145">
        <f t="shared" si="33"/>
        <v>0</v>
      </c>
      <c r="R139" s="145">
        <f t="shared" si="34"/>
        <v>0</v>
      </c>
      <c r="S139" s="130">
        <f t="shared" si="35"/>
        <v>0</v>
      </c>
      <c r="T139" s="130">
        <f t="shared" si="36"/>
        <v>0</v>
      </c>
      <c r="U139" s="141"/>
      <c r="V139" s="123"/>
      <c r="W139" s="134"/>
      <c r="X139" s="347">
        <v>35</v>
      </c>
      <c r="Y139" s="347">
        <v>250</v>
      </c>
      <c r="Z139" s="348" t="s">
        <v>576</v>
      </c>
      <c r="AA139" s="120"/>
      <c r="AB139" s="134"/>
      <c r="AC139" s="200"/>
      <c r="AD139" s="125"/>
      <c r="AE139" s="134"/>
      <c r="AF139" s="200"/>
      <c r="AG139" s="120"/>
      <c r="AH139" s="262"/>
      <c r="AI139" s="262"/>
      <c r="AJ139" s="120"/>
      <c r="AK139" s="262"/>
      <c r="AL139" s="262"/>
      <c r="AM139" s="120"/>
      <c r="AN139" s="262"/>
      <c r="AO139" s="262"/>
      <c r="AP139" s="120"/>
      <c r="AQ139" s="262"/>
      <c r="AR139" s="262"/>
      <c r="AS139" s="120"/>
      <c r="AT139" s="262"/>
      <c r="AU139" s="262"/>
      <c r="AV139" s="120"/>
      <c r="AW139" s="262"/>
      <c r="AX139" s="262"/>
      <c r="AY139" s="120"/>
      <c r="AZ139" s="262"/>
      <c r="BA139" s="262"/>
      <c r="BB139" s="120"/>
      <c r="BC139" s="134"/>
      <c r="BD139" s="200"/>
      <c r="BE139" s="120"/>
      <c r="BF139" s="134"/>
      <c r="BG139" s="200"/>
      <c r="BH139" s="120"/>
      <c r="BI139" s="252"/>
      <c r="BJ139" s="252"/>
      <c r="BK139" s="120"/>
      <c r="BL139" s="134"/>
      <c r="BM139" s="134"/>
      <c r="BN139" s="120"/>
      <c r="BO139" s="252"/>
      <c r="BP139" s="252"/>
      <c r="BQ139" s="120"/>
      <c r="BR139" s="134"/>
      <c r="BS139" s="134"/>
      <c r="BT139" s="120"/>
      <c r="BU139" s="134"/>
      <c r="BV139" s="200"/>
      <c r="BW139" s="120"/>
      <c r="BX139" s="134"/>
      <c r="BY139" s="200"/>
      <c r="BZ139" s="120"/>
      <c r="CA139" s="126"/>
      <c r="CB139" s="126"/>
      <c r="CC139" s="120"/>
      <c r="CD139" s="126"/>
      <c r="CE139" s="126"/>
      <c r="CF139" s="120"/>
      <c r="CG139" s="134"/>
      <c r="CH139" s="134"/>
      <c r="CI139" s="120"/>
      <c r="CJ139" s="200"/>
      <c r="CK139" s="200"/>
      <c r="CL139" s="120"/>
      <c r="CM139" s="200"/>
      <c r="CN139" s="200"/>
      <c r="CO139" s="120"/>
      <c r="CP139" s="134"/>
      <c r="CQ139" s="134"/>
      <c r="CR139" s="120"/>
      <c r="CS139" s="134"/>
      <c r="CT139" s="134"/>
      <c r="CU139" s="120"/>
      <c r="CV139" s="202"/>
      <c r="CW139" s="202"/>
      <c r="CX139" s="120"/>
      <c r="CY139" s="202"/>
      <c r="CZ139" s="202"/>
      <c r="DA139" s="120"/>
      <c r="DB139" s="202"/>
      <c r="DC139" s="202"/>
      <c r="DD139" s="349"/>
      <c r="DE139" s="202"/>
      <c r="DF139" s="202"/>
      <c r="DG139" s="254"/>
      <c r="DH139" s="203"/>
      <c r="DI139" s="203"/>
      <c r="DJ139" s="259"/>
      <c r="DK139" s="136"/>
      <c r="DL139" s="136"/>
      <c r="DM139" s="120"/>
      <c r="DN139" s="233"/>
      <c r="DO139" s="233"/>
      <c r="DP139" s="120"/>
      <c r="DQ139" s="262"/>
      <c r="DR139" s="262"/>
      <c r="DS139" s="120"/>
      <c r="DT139" s="262"/>
      <c r="DU139" s="262"/>
      <c r="DV139" s="120"/>
      <c r="DW139" s="262"/>
      <c r="DX139" s="262"/>
      <c r="DY139" s="120"/>
      <c r="DZ139" s="262"/>
      <c r="EA139" s="262"/>
      <c r="EB139" s="265"/>
      <c r="EC139" s="262"/>
      <c r="ED139" s="262"/>
      <c r="EE139" s="256"/>
      <c r="EF139" s="233"/>
      <c r="EG139" s="233"/>
      <c r="EH139" s="120"/>
      <c r="EI139" s="262"/>
      <c r="EJ139" s="262"/>
      <c r="EK139" s="120"/>
      <c r="EL139" s="262"/>
      <c r="EM139" s="262"/>
      <c r="EN139" s="120"/>
      <c r="EO139" s="262"/>
      <c r="EP139" s="262"/>
      <c r="EQ139" s="120"/>
      <c r="ER139" s="262"/>
      <c r="ES139" s="262"/>
      <c r="ET139" s="120"/>
      <c r="EU139" s="262"/>
      <c r="EV139" s="262"/>
      <c r="EW139" s="120"/>
      <c r="EX139" s="262"/>
      <c r="EY139" s="262"/>
      <c r="EZ139" s="120"/>
      <c r="FA139" s="262"/>
      <c r="FB139" s="262"/>
      <c r="FC139" s="120"/>
      <c r="FD139" s="262"/>
      <c r="FE139" s="262"/>
      <c r="FF139" s="120"/>
      <c r="FG139" s="262"/>
      <c r="FH139" s="262"/>
      <c r="FI139" s="120"/>
      <c r="FJ139" s="262"/>
      <c r="FK139" s="262"/>
      <c r="FL139" s="120"/>
      <c r="FM139" s="262"/>
      <c r="FN139" s="262"/>
      <c r="FO139" s="120"/>
      <c r="FP139" s="262"/>
      <c r="FQ139" s="262"/>
      <c r="FR139" s="120"/>
      <c r="FS139" s="262"/>
      <c r="FT139" s="262"/>
      <c r="FU139" s="120"/>
      <c r="FV139" s="262"/>
      <c r="FW139" s="262"/>
      <c r="FX139" s="120"/>
      <c r="FY139" s="262"/>
      <c r="FZ139" s="262"/>
      <c r="GA139" s="256"/>
      <c r="GB139" s="233"/>
      <c r="GC139" s="233"/>
      <c r="GD139" s="351">
        <v>40</v>
      </c>
      <c r="GE139" s="351">
        <v>1000</v>
      </c>
      <c r="GF139" s="351" t="s">
        <v>800</v>
      </c>
      <c r="GJ139" s="121">
        <f t="shared" si="37"/>
        <v>560</v>
      </c>
      <c r="GK139" s="121">
        <f t="shared" si="38"/>
        <v>0</v>
      </c>
      <c r="GM139" s="121">
        <f t="shared" si="39"/>
        <v>1</v>
      </c>
      <c r="GN139" s="121">
        <f t="shared" si="40"/>
        <v>0</v>
      </c>
      <c r="GO139" s="121">
        <f t="shared" si="41"/>
        <v>0</v>
      </c>
      <c r="GP139" s="121">
        <f t="shared" si="42"/>
        <v>0</v>
      </c>
      <c r="GQ139" s="121">
        <f t="shared" si="43"/>
        <v>0</v>
      </c>
      <c r="GR139" s="121">
        <f t="shared" si="44"/>
        <v>0</v>
      </c>
    </row>
    <row r="140" spans="1:200" ht="38.25" customHeight="1" x14ac:dyDescent="0.55000000000000004">
      <c r="B140" s="309" t="s">
        <v>171</v>
      </c>
      <c r="C140" s="198">
        <v>4</v>
      </c>
      <c r="D140" s="198">
        <v>3</v>
      </c>
      <c r="E140" s="198">
        <v>3</v>
      </c>
      <c r="F140" s="142">
        <f>($X$140/$Y$140)*$L$140*C140</f>
        <v>6048</v>
      </c>
      <c r="G140" s="142">
        <f>($X$140/$Y$140)*$L$140*D140</f>
        <v>4536</v>
      </c>
      <c r="H140" s="142">
        <f>($X$140/$Y$140)*$L$140*E140</f>
        <v>4536</v>
      </c>
      <c r="I140" s="142" cm="1">
        <f t="array" ref="I140">SUMPRODUCT(($X$2:$GG$2&lt;&gt;"")*($X140:$GG140&lt;&gt;""))</f>
        <v>3</v>
      </c>
      <c r="J140" s="122">
        <f t="shared" si="28"/>
        <v>12</v>
      </c>
      <c r="K140" s="122">
        <f t="shared" si="29"/>
        <v>168</v>
      </c>
      <c r="L140" s="249">
        <f t="shared" si="45"/>
        <v>7000</v>
      </c>
      <c r="M140" s="144">
        <f t="shared" si="30"/>
        <v>19656</v>
      </c>
      <c r="N140" s="405"/>
      <c r="O140" s="145">
        <f t="shared" si="31"/>
        <v>33366.666666666664</v>
      </c>
      <c r="P140" s="145">
        <f t="shared" si="32"/>
        <v>0</v>
      </c>
      <c r="Q140" s="145">
        <f t="shared" si="33"/>
        <v>0</v>
      </c>
      <c r="R140" s="145">
        <f t="shared" si="34"/>
        <v>0</v>
      </c>
      <c r="S140" s="130">
        <f t="shared" si="35"/>
        <v>4413.5</v>
      </c>
      <c r="T140" s="130">
        <f t="shared" si="36"/>
        <v>8554</v>
      </c>
      <c r="U140" s="141"/>
      <c r="V140" s="123">
        <v>97</v>
      </c>
      <c r="W140" s="134">
        <v>2000</v>
      </c>
      <c r="X140" s="124">
        <v>54</v>
      </c>
      <c r="Y140" s="134">
        <v>250</v>
      </c>
      <c r="Z140" s="200" t="s">
        <v>599</v>
      </c>
      <c r="AA140" s="120"/>
      <c r="AB140" s="134">
        <v>1000</v>
      </c>
      <c r="AC140" s="200"/>
      <c r="AD140" s="125">
        <v>550</v>
      </c>
      <c r="AE140" s="134">
        <v>1500</v>
      </c>
      <c r="AF140" s="200" t="s">
        <v>600</v>
      </c>
      <c r="AG140" s="120"/>
      <c r="AH140" s="262"/>
      <c r="AI140" s="262"/>
      <c r="AJ140" s="120"/>
      <c r="AK140" s="262"/>
      <c r="AL140" s="262"/>
      <c r="AM140" s="120"/>
      <c r="AN140" s="262"/>
      <c r="AO140" s="262"/>
      <c r="AP140" s="120"/>
      <c r="AQ140" s="262"/>
      <c r="AR140" s="262"/>
      <c r="AS140" s="120"/>
      <c r="AT140" s="262"/>
      <c r="AU140" s="262"/>
      <c r="AV140" s="120"/>
      <c r="AW140" s="262"/>
      <c r="AX140" s="262"/>
      <c r="AY140" s="120"/>
      <c r="AZ140" s="262"/>
      <c r="BA140" s="262"/>
      <c r="BB140" s="120"/>
      <c r="BC140" s="134"/>
      <c r="BD140" s="200"/>
      <c r="BE140" s="120"/>
      <c r="BF140" s="134"/>
      <c r="BG140" s="200"/>
      <c r="BH140" s="120"/>
      <c r="BI140" s="134"/>
      <c r="BJ140" s="134"/>
      <c r="BK140" s="120"/>
      <c r="BL140" s="134"/>
      <c r="BM140" s="134"/>
      <c r="BN140" s="120"/>
      <c r="BO140" s="252"/>
      <c r="BP140" s="252"/>
      <c r="BQ140" s="120"/>
      <c r="BR140" s="134"/>
      <c r="BS140" s="134"/>
      <c r="BT140" s="120"/>
      <c r="BU140" s="134"/>
      <c r="BV140" s="200"/>
      <c r="BW140" s="120"/>
      <c r="BX140" s="134"/>
      <c r="BY140" s="200"/>
      <c r="BZ140" s="120"/>
      <c r="CA140" s="126"/>
      <c r="CB140" s="126"/>
      <c r="CC140" s="120"/>
      <c r="CD140" s="126"/>
      <c r="CE140" s="126"/>
      <c r="CF140" s="120"/>
      <c r="CG140" s="134"/>
      <c r="CH140" s="134"/>
      <c r="CI140" s="120"/>
      <c r="CJ140" s="200"/>
      <c r="CK140" s="200"/>
      <c r="CL140" s="120"/>
      <c r="CM140" s="200"/>
      <c r="CN140" s="200"/>
      <c r="CO140" s="120"/>
      <c r="CP140" s="134"/>
      <c r="CQ140" s="134"/>
      <c r="CR140" s="120"/>
      <c r="CS140" s="134"/>
      <c r="CT140" s="134"/>
      <c r="CU140" s="120"/>
      <c r="CV140" s="202"/>
      <c r="CW140" s="202"/>
      <c r="CX140" s="120"/>
      <c r="CY140" s="202"/>
      <c r="CZ140" s="202"/>
      <c r="DA140" s="120"/>
      <c r="DB140" s="202"/>
      <c r="DC140" s="202"/>
      <c r="DD140" s="349">
        <v>47</v>
      </c>
      <c r="DE140" s="202">
        <v>500</v>
      </c>
      <c r="DF140" s="202" t="s">
        <v>517</v>
      </c>
      <c r="DG140" s="254"/>
      <c r="DH140" s="203"/>
      <c r="DI140" s="203"/>
      <c r="DJ140" s="259"/>
      <c r="DK140" s="136"/>
      <c r="DL140" s="136"/>
      <c r="DM140" s="120"/>
      <c r="DN140" s="233"/>
      <c r="DO140" s="233"/>
      <c r="DP140" s="120"/>
      <c r="DQ140" s="262"/>
      <c r="DR140" s="262"/>
      <c r="DS140" s="120"/>
      <c r="DT140" s="262"/>
      <c r="DU140" s="262"/>
      <c r="DV140" s="120"/>
      <c r="DW140" s="262"/>
      <c r="DX140" s="262"/>
      <c r="DY140" s="120"/>
      <c r="DZ140" s="262"/>
      <c r="EA140" s="262"/>
      <c r="EB140" s="265"/>
      <c r="EC140" s="262"/>
      <c r="ED140" s="262"/>
      <c r="EE140" s="256"/>
      <c r="EF140" s="200"/>
      <c r="EG140" s="200"/>
      <c r="EH140" s="120"/>
      <c r="EI140" s="262"/>
      <c r="EJ140" s="262"/>
      <c r="EK140" s="120"/>
      <c r="EL140" s="262"/>
      <c r="EM140" s="262"/>
      <c r="EN140" s="120"/>
      <c r="EO140" s="262"/>
      <c r="EP140" s="262"/>
      <c r="EQ140" s="120"/>
      <c r="ER140" s="262"/>
      <c r="ES140" s="262"/>
      <c r="ET140" s="120"/>
      <c r="EU140" s="262"/>
      <c r="EV140" s="262"/>
      <c r="EW140" s="120"/>
      <c r="EX140" s="262"/>
      <c r="EY140" s="262"/>
      <c r="EZ140" s="120"/>
      <c r="FA140" s="262"/>
      <c r="FB140" s="262"/>
      <c r="FC140" s="120"/>
      <c r="FD140" s="262"/>
      <c r="FE140" s="262"/>
      <c r="FF140" s="120"/>
      <c r="FG140" s="262"/>
      <c r="FH140" s="262"/>
      <c r="FI140" s="120"/>
      <c r="FJ140" s="262"/>
      <c r="FK140" s="262"/>
      <c r="FL140" s="120"/>
      <c r="FM140" s="262"/>
      <c r="FN140" s="262"/>
      <c r="FO140" s="120"/>
      <c r="FP140" s="262"/>
      <c r="FQ140" s="262"/>
      <c r="FR140" s="120"/>
      <c r="FS140" s="262"/>
      <c r="FT140" s="262"/>
      <c r="FU140" s="120"/>
      <c r="FV140" s="262"/>
      <c r="FW140" s="262"/>
      <c r="FX140" s="120"/>
      <c r="FY140" s="262"/>
      <c r="FZ140" s="262"/>
      <c r="GA140" s="256"/>
      <c r="GB140" s="233"/>
      <c r="GC140" s="233"/>
      <c r="GJ140" s="121">
        <f t="shared" si="37"/>
        <v>0</v>
      </c>
      <c r="GK140" s="121">
        <f t="shared" si="38"/>
        <v>0</v>
      </c>
      <c r="GM140" s="121">
        <f t="shared" si="39"/>
        <v>1</v>
      </c>
      <c r="GN140" s="121">
        <f t="shared" si="40"/>
        <v>0</v>
      </c>
      <c r="GO140" s="121">
        <f t="shared" si="41"/>
        <v>1</v>
      </c>
      <c r="GP140" s="121">
        <f t="shared" si="42"/>
        <v>0</v>
      </c>
      <c r="GQ140" s="121">
        <f t="shared" si="43"/>
        <v>1</v>
      </c>
      <c r="GR140" s="121">
        <f t="shared" si="44"/>
        <v>1</v>
      </c>
    </row>
    <row r="141" spans="1:200" ht="38.25" customHeight="1" x14ac:dyDescent="0.55000000000000004">
      <c r="A141" s="121" t="s">
        <v>193</v>
      </c>
      <c r="B141" s="309" t="s">
        <v>172</v>
      </c>
      <c r="C141" s="198">
        <v>0</v>
      </c>
      <c r="D141" s="198">
        <v>4</v>
      </c>
      <c r="E141" s="198">
        <v>5</v>
      </c>
      <c r="F141" s="142">
        <f>($X$141/$Y$141)*$L$141*C141</f>
        <v>0</v>
      </c>
      <c r="G141" s="142">
        <f>($X$141/$Y$141)*$L$141*D141</f>
        <v>6048</v>
      </c>
      <c r="H141" s="142">
        <f>($X$141/$Y$141)*$L$141*E141</f>
        <v>7560</v>
      </c>
      <c r="I141" s="142" cm="1">
        <f t="array" ref="I141">SUMPRODUCT(($X$2:$GG$2&lt;&gt;"")*($X141:$GG141&lt;&gt;""))</f>
        <v>6</v>
      </c>
      <c r="J141" s="122">
        <f t="shared" si="28"/>
        <v>0</v>
      </c>
      <c r="K141" s="122">
        <f t="shared" si="29"/>
        <v>0</v>
      </c>
      <c r="L141" s="249">
        <f t="shared" si="45"/>
        <v>7000</v>
      </c>
      <c r="M141" s="144">
        <f t="shared" si="30"/>
        <v>22680</v>
      </c>
      <c r="N141" s="405"/>
      <c r="O141" s="145">
        <f t="shared" si="31"/>
        <v>0</v>
      </c>
      <c r="P141" s="145">
        <f t="shared" si="32"/>
        <v>18900.000000000004</v>
      </c>
      <c r="Q141" s="145">
        <f t="shared" si="33"/>
        <v>0</v>
      </c>
      <c r="R141" s="145">
        <f t="shared" si="34"/>
        <v>0</v>
      </c>
      <c r="S141" s="130">
        <f t="shared" si="35"/>
        <v>1575</v>
      </c>
      <c r="T141" s="130">
        <f t="shared" si="36"/>
        <v>10500</v>
      </c>
      <c r="U141" s="141">
        <v>1500</v>
      </c>
      <c r="V141" s="123">
        <v>60</v>
      </c>
      <c r="W141" s="134">
        <v>4000</v>
      </c>
      <c r="X141" s="124">
        <v>54</v>
      </c>
      <c r="Y141" s="134">
        <v>250</v>
      </c>
      <c r="Z141" s="200" t="s">
        <v>599</v>
      </c>
      <c r="AA141" s="120">
        <v>180</v>
      </c>
      <c r="AB141" s="339"/>
      <c r="AC141" s="200" t="s">
        <v>588</v>
      </c>
      <c r="AD141" s="125">
        <v>720</v>
      </c>
      <c r="AE141" s="339"/>
      <c r="AF141" s="200" t="s">
        <v>601</v>
      </c>
      <c r="AG141" s="120"/>
      <c r="AH141" s="262"/>
      <c r="AI141" s="262"/>
      <c r="AJ141" s="120"/>
      <c r="AK141" s="262"/>
      <c r="AL141" s="262"/>
      <c r="AM141" s="120"/>
      <c r="AN141" s="262"/>
      <c r="AO141" s="262"/>
      <c r="AP141" s="120"/>
      <c r="AQ141" s="262"/>
      <c r="AR141" s="262"/>
      <c r="AS141" s="120"/>
      <c r="AT141" s="262"/>
      <c r="AU141" s="262"/>
      <c r="AV141" s="120"/>
      <c r="AW141" s="262"/>
      <c r="AX141" s="262"/>
      <c r="AY141" s="120"/>
      <c r="AZ141" s="262"/>
      <c r="BA141" s="262"/>
      <c r="BB141" s="120"/>
      <c r="BC141" s="134"/>
      <c r="BD141" s="200"/>
      <c r="BE141" s="120"/>
      <c r="BF141" s="134"/>
      <c r="BG141" s="200"/>
      <c r="BH141" s="120"/>
      <c r="BI141" s="134"/>
      <c r="BJ141" s="134"/>
      <c r="BK141" s="120"/>
      <c r="BL141" s="134"/>
      <c r="BM141" s="134"/>
      <c r="BN141" s="120"/>
      <c r="BO141" s="252"/>
      <c r="BP141" s="252"/>
      <c r="BQ141" s="120"/>
      <c r="BR141" s="134"/>
      <c r="BS141" s="134"/>
      <c r="BT141" s="120"/>
      <c r="BU141" s="134"/>
      <c r="BV141" s="200"/>
      <c r="BW141" s="120"/>
      <c r="BX141" s="134"/>
      <c r="BY141" s="200"/>
      <c r="BZ141" s="120"/>
      <c r="CA141" s="126"/>
      <c r="CB141" s="126"/>
      <c r="CC141" s="120"/>
      <c r="CD141" s="126"/>
      <c r="CE141" s="126"/>
      <c r="CF141" s="120"/>
      <c r="CG141" s="134"/>
      <c r="CH141" s="134"/>
      <c r="CI141" s="120"/>
      <c r="CJ141" s="200"/>
      <c r="CK141" s="200"/>
      <c r="CL141" s="120"/>
      <c r="CM141" s="200"/>
      <c r="CN141" s="200"/>
      <c r="CO141" s="120"/>
      <c r="CP141" s="134"/>
      <c r="CQ141" s="134"/>
      <c r="CR141" s="120"/>
      <c r="CS141" s="134"/>
      <c r="CT141" s="134"/>
      <c r="CU141" s="120"/>
      <c r="CV141" s="202"/>
      <c r="CW141" s="202"/>
      <c r="CX141" s="120"/>
      <c r="CY141" s="202"/>
      <c r="CZ141" s="202"/>
      <c r="DA141" s="120"/>
      <c r="DB141" s="202"/>
      <c r="DC141" s="202"/>
      <c r="DD141" s="355">
        <v>100</v>
      </c>
      <c r="DE141" s="202">
        <v>1000</v>
      </c>
      <c r="DF141" s="349" t="s">
        <v>809</v>
      </c>
      <c r="DG141" s="254"/>
      <c r="DH141" s="203"/>
      <c r="DI141" s="203"/>
      <c r="DJ141" s="259"/>
      <c r="DK141" s="136"/>
      <c r="DL141" s="136"/>
      <c r="DM141" s="120">
        <v>40</v>
      </c>
      <c r="DN141" s="262">
        <v>1000</v>
      </c>
      <c r="DO141" s="136" t="s">
        <v>588</v>
      </c>
      <c r="DP141" s="120">
        <v>140</v>
      </c>
      <c r="DQ141" s="262">
        <v>1000</v>
      </c>
      <c r="DR141" s="136" t="s">
        <v>588</v>
      </c>
      <c r="DS141" s="120"/>
      <c r="DT141" s="262"/>
      <c r="DU141" s="262"/>
      <c r="DV141" s="120"/>
      <c r="DW141" s="262"/>
      <c r="DX141" s="262"/>
      <c r="DY141" s="120"/>
      <c r="DZ141" s="262"/>
      <c r="EA141" s="262"/>
      <c r="EB141" s="265"/>
      <c r="EC141" s="262"/>
      <c r="ED141" s="262"/>
      <c r="EE141" s="256"/>
      <c r="EF141" s="200"/>
      <c r="EG141" s="200"/>
      <c r="EH141" s="120"/>
      <c r="EI141" s="262"/>
      <c r="EJ141" s="262"/>
      <c r="EK141" s="120"/>
      <c r="EL141" s="262"/>
      <c r="EM141" s="262"/>
      <c r="EN141" s="120"/>
      <c r="EO141" s="262"/>
      <c r="EP141" s="262"/>
      <c r="EQ141" s="120"/>
      <c r="ER141" s="262"/>
      <c r="ES141" s="262"/>
      <c r="ET141" s="120"/>
      <c r="EU141" s="262"/>
      <c r="EV141" s="262"/>
      <c r="EW141" s="120"/>
      <c r="EX141" s="262"/>
      <c r="EY141" s="262"/>
      <c r="EZ141" s="120"/>
      <c r="FA141" s="262"/>
      <c r="FB141" s="262"/>
      <c r="FC141" s="120"/>
      <c r="FD141" s="262"/>
      <c r="FE141" s="262"/>
      <c r="FF141" s="120"/>
      <c r="FG141" s="262"/>
      <c r="FH141" s="262"/>
      <c r="FI141" s="120"/>
      <c r="FJ141" s="262"/>
      <c r="FK141" s="262"/>
      <c r="FL141" s="120"/>
      <c r="FM141" s="262"/>
      <c r="FN141" s="262"/>
      <c r="FO141" s="120"/>
      <c r="FP141" s="262"/>
      <c r="FQ141" s="262"/>
      <c r="FR141" s="120"/>
      <c r="FS141" s="262"/>
      <c r="FT141" s="262"/>
      <c r="FU141" s="120"/>
      <c r="FV141" s="262"/>
      <c r="FW141" s="262"/>
      <c r="FX141" s="120"/>
      <c r="FY141" s="262"/>
      <c r="FZ141" s="262"/>
      <c r="GA141" s="256"/>
      <c r="GB141" s="233"/>
      <c r="GC141" s="233"/>
      <c r="GJ141" s="121">
        <f t="shared" si="37"/>
        <v>0</v>
      </c>
      <c r="GK141" s="121">
        <f t="shared" si="38"/>
        <v>0</v>
      </c>
      <c r="GM141" s="121">
        <f t="shared" si="39"/>
        <v>1</v>
      </c>
      <c r="GN141" s="121">
        <f t="shared" si="40"/>
        <v>1</v>
      </c>
      <c r="GO141" s="121">
        <f t="shared" si="41"/>
        <v>1</v>
      </c>
      <c r="GP141" s="121">
        <f t="shared" si="42"/>
        <v>2</v>
      </c>
      <c r="GQ141" s="121">
        <f t="shared" si="43"/>
        <v>1</v>
      </c>
      <c r="GR141" s="121">
        <f t="shared" si="44"/>
        <v>1</v>
      </c>
    </row>
    <row r="142" spans="1:200" ht="38.25" customHeight="1" x14ac:dyDescent="0.55000000000000004">
      <c r="B142" s="303" t="s">
        <v>492</v>
      </c>
      <c r="C142" s="198"/>
      <c r="D142" s="198"/>
      <c r="E142" s="198"/>
      <c r="F142" s="198"/>
      <c r="G142" s="198"/>
      <c r="H142" s="198"/>
      <c r="I142" s="142" cm="1">
        <f t="array" ref="I142">SUMPRODUCT(($X$2:$GG$2&lt;&gt;"")*($X142:$GG142&lt;&gt;""))</f>
        <v>3</v>
      </c>
      <c r="J142" s="122">
        <f t="shared" si="28"/>
        <v>0</v>
      </c>
      <c r="K142" s="122">
        <f t="shared" si="29"/>
        <v>0</v>
      </c>
      <c r="L142" s="249">
        <f t="shared" si="45"/>
        <v>7000</v>
      </c>
      <c r="M142" s="144">
        <f t="shared" si="30"/>
        <v>3360</v>
      </c>
      <c r="N142" s="405"/>
      <c r="O142" s="145">
        <f t="shared" si="31"/>
        <v>0</v>
      </c>
      <c r="P142" s="145">
        <f t="shared" si="32"/>
        <v>0</v>
      </c>
      <c r="Q142" s="145">
        <f t="shared" si="33"/>
        <v>0</v>
      </c>
      <c r="R142" s="145">
        <f t="shared" si="34"/>
        <v>0</v>
      </c>
      <c r="S142" s="130">
        <f t="shared" si="35"/>
        <v>0</v>
      </c>
      <c r="T142" s="130">
        <f t="shared" si="36"/>
        <v>0</v>
      </c>
      <c r="U142" s="141"/>
      <c r="V142" s="123"/>
      <c r="W142" s="134"/>
      <c r="X142" s="347">
        <v>40</v>
      </c>
      <c r="Y142" s="347">
        <v>250</v>
      </c>
      <c r="Z142" s="348" t="s">
        <v>576</v>
      </c>
      <c r="AA142" s="120"/>
      <c r="AB142" s="134"/>
      <c r="AC142" s="200"/>
      <c r="AD142" s="125"/>
      <c r="AE142" s="134"/>
      <c r="AF142" s="200"/>
      <c r="AG142" s="120"/>
      <c r="AH142" s="262"/>
      <c r="AI142" s="262"/>
      <c r="AJ142" s="120"/>
      <c r="AK142" s="262"/>
      <c r="AL142" s="262"/>
      <c r="AM142" s="120"/>
      <c r="AN142" s="262"/>
      <c r="AO142" s="262"/>
      <c r="AP142" s="120"/>
      <c r="AQ142" s="262"/>
      <c r="AR142" s="262"/>
      <c r="AS142" s="120"/>
      <c r="AT142" s="262"/>
      <c r="AU142" s="262"/>
      <c r="AV142" s="120"/>
      <c r="AW142" s="262"/>
      <c r="AX142" s="262"/>
      <c r="AY142" s="120"/>
      <c r="AZ142" s="262"/>
      <c r="BA142" s="262"/>
      <c r="BB142" s="120"/>
      <c r="BC142" s="134"/>
      <c r="BD142" s="200"/>
      <c r="BE142" s="120"/>
      <c r="BF142" s="134"/>
      <c r="BG142" s="200"/>
      <c r="BH142" s="120"/>
      <c r="BI142" s="252"/>
      <c r="BJ142" s="252"/>
      <c r="BK142" s="120"/>
      <c r="BL142" s="134"/>
      <c r="BM142" s="134"/>
      <c r="BN142" s="120"/>
      <c r="BO142" s="252"/>
      <c r="BP142" s="252"/>
      <c r="BQ142" s="120"/>
      <c r="BR142" s="134"/>
      <c r="BS142" s="134"/>
      <c r="BT142" s="120"/>
      <c r="BU142" s="134"/>
      <c r="BV142" s="200"/>
      <c r="BW142" s="120"/>
      <c r="BX142" s="134"/>
      <c r="BY142" s="200"/>
      <c r="BZ142" s="120"/>
      <c r="CA142" s="126"/>
      <c r="CB142" s="126"/>
      <c r="CC142" s="120"/>
      <c r="CD142" s="126"/>
      <c r="CE142" s="126"/>
      <c r="CF142" s="120"/>
      <c r="CG142" s="134"/>
      <c r="CH142" s="134"/>
      <c r="CI142" s="120"/>
      <c r="CJ142" s="200"/>
      <c r="CK142" s="200"/>
      <c r="CL142" s="120"/>
      <c r="CM142" s="200"/>
      <c r="CN142" s="200"/>
      <c r="CO142" s="120"/>
      <c r="CP142" s="134"/>
      <c r="CQ142" s="134"/>
      <c r="CR142" s="120"/>
      <c r="CS142" s="134"/>
      <c r="CT142" s="134"/>
      <c r="CU142" s="120"/>
      <c r="CV142" s="202"/>
      <c r="CW142" s="202"/>
      <c r="CX142" s="120"/>
      <c r="CY142" s="202"/>
      <c r="CZ142" s="202"/>
      <c r="DA142" s="120"/>
      <c r="DB142" s="202"/>
      <c r="DC142" s="202"/>
      <c r="DD142" s="349"/>
      <c r="DE142" s="202"/>
      <c r="DF142" s="202"/>
      <c r="DG142" s="254"/>
      <c r="DH142" s="203"/>
      <c r="DI142" s="203"/>
      <c r="DJ142" s="259"/>
      <c r="DK142" s="136"/>
      <c r="DL142" s="136"/>
      <c r="DM142" s="120"/>
      <c r="DN142" s="233"/>
      <c r="DO142" s="233"/>
      <c r="DP142" s="120"/>
      <c r="DQ142" s="262"/>
      <c r="DR142" s="262"/>
      <c r="DS142" s="120"/>
      <c r="DT142" s="262"/>
      <c r="DU142" s="262"/>
      <c r="DV142" s="120"/>
      <c r="DW142" s="262"/>
      <c r="DX142" s="262"/>
      <c r="DY142" s="120"/>
      <c r="DZ142" s="262"/>
      <c r="EA142" s="262"/>
      <c r="EB142" s="265"/>
      <c r="EC142" s="262"/>
      <c r="ED142" s="262"/>
      <c r="EE142" s="254"/>
      <c r="EF142" s="233"/>
      <c r="EG142" s="233"/>
      <c r="EH142" s="120"/>
      <c r="EI142" s="262"/>
      <c r="EJ142" s="262"/>
      <c r="EK142" s="120"/>
      <c r="EL142" s="262"/>
      <c r="EM142" s="262"/>
      <c r="EN142" s="120"/>
      <c r="EO142" s="262"/>
      <c r="EP142" s="262"/>
      <c r="EQ142" s="120"/>
      <c r="ER142" s="262"/>
      <c r="ES142" s="262"/>
      <c r="ET142" s="120"/>
      <c r="EU142" s="262"/>
      <c r="EV142" s="262"/>
      <c r="EW142" s="120"/>
      <c r="EX142" s="262"/>
      <c r="EY142" s="262"/>
      <c r="EZ142" s="120"/>
      <c r="FA142" s="262"/>
      <c r="FB142" s="262"/>
      <c r="FC142" s="120"/>
      <c r="FD142" s="262"/>
      <c r="FE142" s="262"/>
      <c r="FF142" s="120"/>
      <c r="FG142" s="262"/>
      <c r="FH142" s="262"/>
      <c r="FI142" s="120"/>
      <c r="FJ142" s="262"/>
      <c r="FK142" s="262"/>
      <c r="FL142" s="120"/>
      <c r="FM142" s="262"/>
      <c r="FN142" s="262"/>
      <c r="FO142" s="120"/>
      <c r="FP142" s="262"/>
      <c r="FQ142" s="262"/>
      <c r="FR142" s="120"/>
      <c r="FS142" s="262"/>
      <c r="FT142" s="262"/>
      <c r="FU142" s="120"/>
      <c r="FV142" s="262"/>
      <c r="FW142" s="262"/>
      <c r="FX142" s="120"/>
      <c r="FY142" s="262"/>
      <c r="FZ142" s="262"/>
      <c r="GA142" s="256"/>
      <c r="GB142" s="233"/>
      <c r="GC142" s="233"/>
      <c r="GD142" s="351">
        <v>40</v>
      </c>
      <c r="GE142" s="351">
        <v>1000</v>
      </c>
      <c r="GF142" s="351" t="s">
        <v>800</v>
      </c>
      <c r="GG142" s="351">
        <v>25</v>
      </c>
      <c r="GH142" s="351">
        <v>500</v>
      </c>
      <c r="GI142" s="351" t="s">
        <v>800</v>
      </c>
      <c r="GJ142" s="121">
        <f t="shared" si="37"/>
        <v>840</v>
      </c>
      <c r="GK142" s="121">
        <f t="shared" si="38"/>
        <v>1050</v>
      </c>
      <c r="GM142" s="121">
        <f t="shared" si="39"/>
        <v>1</v>
      </c>
      <c r="GN142" s="121">
        <f t="shared" si="40"/>
        <v>0</v>
      </c>
      <c r="GO142" s="121">
        <f t="shared" si="41"/>
        <v>0</v>
      </c>
      <c r="GP142" s="121">
        <f t="shared" si="42"/>
        <v>0</v>
      </c>
      <c r="GQ142" s="121">
        <f t="shared" si="43"/>
        <v>0</v>
      </c>
      <c r="GR142" s="121">
        <f t="shared" si="44"/>
        <v>0</v>
      </c>
    </row>
    <row r="143" spans="1:200" ht="38.25" customHeight="1" x14ac:dyDescent="0.55000000000000004">
      <c r="B143" s="303" t="s">
        <v>457</v>
      </c>
      <c r="C143" s="198"/>
      <c r="D143" s="198"/>
      <c r="E143" s="198"/>
      <c r="F143" s="198"/>
      <c r="G143" s="198"/>
      <c r="H143" s="198"/>
      <c r="I143" s="142" cm="1">
        <f t="array" ref="I143">SUMPRODUCT(($X$2:$GG$2&lt;&gt;"")*($X143:$GG143&lt;&gt;""))</f>
        <v>0</v>
      </c>
      <c r="J143" s="122">
        <f t="shared" si="28"/>
        <v>0</v>
      </c>
      <c r="K143" s="122">
        <f t="shared" si="29"/>
        <v>0</v>
      </c>
      <c r="L143" s="249">
        <f t="shared" si="45"/>
        <v>7000</v>
      </c>
      <c r="M143" s="144">
        <f t="shared" si="30"/>
        <v>0</v>
      </c>
      <c r="N143" s="405"/>
      <c r="O143" s="145">
        <f t="shared" si="31"/>
        <v>0</v>
      </c>
      <c r="P143" s="145">
        <f t="shared" si="32"/>
        <v>0</v>
      </c>
      <c r="Q143" s="145">
        <f t="shared" si="33"/>
        <v>0</v>
      </c>
      <c r="R143" s="145">
        <f t="shared" si="34"/>
        <v>0</v>
      </c>
      <c r="S143" s="130">
        <f t="shared" si="35"/>
        <v>0</v>
      </c>
      <c r="T143" s="130">
        <f t="shared" si="36"/>
        <v>0</v>
      </c>
      <c r="U143" s="141"/>
      <c r="V143" s="123"/>
      <c r="W143" s="134"/>
      <c r="X143" s="124"/>
      <c r="Y143" s="134"/>
      <c r="Z143" s="200"/>
      <c r="AA143" s="120"/>
      <c r="AB143" s="134"/>
      <c r="AC143" s="200"/>
      <c r="AD143" s="125"/>
      <c r="AE143" s="134"/>
      <c r="AF143" s="200"/>
      <c r="AG143" s="120"/>
      <c r="AH143" s="262"/>
      <c r="AI143" s="262"/>
      <c r="AJ143" s="120"/>
      <c r="AK143" s="262"/>
      <c r="AL143" s="262"/>
      <c r="AM143" s="120"/>
      <c r="AN143" s="262"/>
      <c r="AO143" s="262"/>
      <c r="AP143" s="120"/>
      <c r="AQ143" s="262"/>
      <c r="AR143" s="262"/>
      <c r="AS143" s="120"/>
      <c r="AT143" s="262"/>
      <c r="AU143" s="262"/>
      <c r="AV143" s="120"/>
      <c r="AW143" s="262"/>
      <c r="AX143" s="262"/>
      <c r="AY143" s="120"/>
      <c r="AZ143" s="262"/>
      <c r="BA143" s="262"/>
      <c r="BB143" s="120"/>
      <c r="BC143" s="134"/>
      <c r="BD143" s="200"/>
      <c r="BE143" s="120"/>
      <c r="BF143" s="134"/>
      <c r="BG143" s="200"/>
      <c r="BH143" s="120"/>
      <c r="BI143" s="252"/>
      <c r="BJ143" s="252"/>
      <c r="BK143" s="120"/>
      <c r="BL143" s="134"/>
      <c r="BM143" s="134"/>
      <c r="BN143" s="120"/>
      <c r="BO143" s="252"/>
      <c r="BP143" s="252"/>
      <c r="BQ143" s="120"/>
      <c r="BR143" s="134"/>
      <c r="BS143" s="134"/>
      <c r="BT143" s="120"/>
      <c r="BU143" s="134"/>
      <c r="BV143" s="200"/>
      <c r="BW143" s="120"/>
      <c r="BX143" s="134"/>
      <c r="BY143" s="200"/>
      <c r="BZ143" s="120"/>
      <c r="CA143" s="126"/>
      <c r="CB143" s="126"/>
      <c r="CC143" s="120"/>
      <c r="CD143" s="126"/>
      <c r="CE143" s="126"/>
      <c r="CF143" s="120"/>
      <c r="CG143" s="134"/>
      <c r="CH143" s="134"/>
      <c r="CI143" s="120"/>
      <c r="CJ143" s="200"/>
      <c r="CK143" s="200"/>
      <c r="CL143" s="120"/>
      <c r="CM143" s="200"/>
      <c r="CN143" s="200"/>
      <c r="CO143" s="120"/>
      <c r="CP143" s="134"/>
      <c r="CQ143" s="134"/>
      <c r="CR143" s="120"/>
      <c r="CS143" s="134"/>
      <c r="CT143" s="134"/>
      <c r="CU143" s="120"/>
      <c r="CV143" s="202"/>
      <c r="CW143" s="202"/>
      <c r="CX143" s="120"/>
      <c r="CY143" s="202"/>
      <c r="CZ143" s="202"/>
      <c r="DA143" s="120"/>
      <c r="DB143" s="202"/>
      <c r="DC143" s="202"/>
      <c r="DD143" s="349"/>
      <c r="DE143" s="202"/>
      <c r="DF143" s="202"/>
      <c r="DG143" s="254"/>
      <c r="DH143" s="203"/>
      <c r="DI143" s="203"/>
      <c r="DJ143" s="259"/>
      <c r="DK143" s="136"/>
      <c r="DL143" s="136"/>
      <c r="DM143" s="120"/>
      <c r="DN143" s="233"/>
      <c r="DO143" s="233"/>
      <c r="DP143" s="120"/>
      <c r="DQ143" s="262"/>
      <c r="DR143" s="262"/>
      <c r="DS143" s="120"/>
      <c r="DT143" s="262"/>
      <c r="DU143" s="262"/>
      <c r="DV143" s="120"/>
      <c r="DW143" s="262"/>
      <c r="DX143" s="262"/>
      <c r="DY143" s="120"/>
      <c r="DZ143" s="262"/>
      <c r="EA143" s="262"/>
      <c r="EB143" s="265"/>
      <c r="EC143" s="262"/>
      <c r="ED143" s="262"/>
      <c r="EE143" s="254"/>
      <c r="EF143" s="233"/>
      <c r="EG143" s="233"/>
      <c r="EH143" s="120"/>
      <c r="EI143" s="262"/>
      <c r="EJ143" s="262"/>
      <c r="EK143" s="120"/>
      <c r="EL143" s="262"/>
      <c r="EM143" s="262"/>
      <c r="EN143" s="120"/>
      <c r="EO143" s="262"/>
      <c r="EP143" s="262"/>
      <c r="EQ143" s="120"/>
      <c r="ER143" s="262"/>
      <c r="ES143" s="262"/>
      <c r="ET143" s="120"/>
      <c r="EU143" s="262"/>
      <c r="EV143" s="262"/>
      <c r="EW143" s="120"/>
      <c r="EX143" s="262"/>
      <c r="EY143" s="262"/>
      <c r="EZ143" s="120"/>
      <c r="FA143" s="262"/>
      <c r="FB143" s="262"/>
      <c r="FC143" s="120"/>
      <c r="FD143" s="262"/>
      <c r="FE143" s="262"/>
      <c r="FF143" s="120"/>
      <c r="FG143" s="262"/>
      <c r="FH143" s="262"/>
      <c r="FI143" s="120"/>
      <c r="FJ143" s="262"/>
      <c r="FK143" s="262"/>
      <c r="FL143" s="120"/>
      <c r="FM143" s="262"/>
      <c r="FN143" s="262"/>
      <c r="FO143" s="120"/>
      <c r="FP143" s="262"/>
      <c r="FQ143" s="262"/>
      <c r="FR143" s="120"/>
      <c r="FS143" s="262"/>
      <c r="FT143" s="262"/>
      <c r="FU143" s="120"/>
      <c r="FV143" s="262"/>
      <c r="FW143" s="262"/>
      <c r="FX143" s="120"/>
      <c r="FY143" s="262"/>
      <c r="FZ143" s="262"/>
      <c r="GA143" s="256"/>
      <c r="GB143" s="233"/>
      <c r="GC143" s="233"/>
      <c r="GJ143" s="121">
        <f t="shared" si="37"/>
        <v>0</v>
      </c>
      <c r="GK143" s="121">
        <f t="shared" si="38"/>
        <v>0</v>
      </c>
      <c r="GM143" s="121">
        <f t="shared" si="39"/>
        <v>0</v>
      </c>
      <c r="GN143" s="121">
        <f t="shared" si="40"/>
        <v>0</v>
      </c>
      <c r="GO143" s="121">
        <f t="shared" si="41"/>
        <v>0</v>
      </c>
      <c r="GP143" s="121">
        <f t="shared" si="42"/>
        <v>0</v>
      </c>
      <c r="GQ143" s="121">
        <f t="shared" si="43"/>
        <v>0</v>
      </c>
      <c r="GR143" s="121">
        <f t="shared" si="44"/>
        <v>0</v>
      </c>
    </row>
    <row r="144" spans="1:200" ht="38.25" customHeight="1" x14ac:dyDescent="0.55000000000000004">
      <c r="B144" s="303" t="s">
        <v>419</v>
      </c>
      <c r="C144" s="198"/>
      <c r="D144" s="198"/>
      <c r="E144" s="198"/>
      <c r="F144" s="198"/>
      <c r="G144" s="198"/>
      <c r="H144" s="198"/>
      <c r="I144" s="142" cm="1">
        <f t="array" ref="I144">SUMPRODUCT(($X$2:$GG$2&lt;&gt;"")*($X144:$GG144&lt;&gt;""))</f>
        <v>2</v>
      </c>
      <c r="J144" s="122">
        <f t="shared" si="28"/>
        <v>0</v>
      </c>
      <c r="K144" s="122">
        <f t="shared" si="29"/>
        <v>0</v>
      </c>
      <c r="L144" s="249">
        <f t="shared" si="45"/>
        <v>7000</v>
      </c>
      <c r="M144" s="144">
        <f t="shared" si="30"/>
        <v>1960.0000000000002</v>
      </c>
      <c r="N144" s="405"/>
      <c r="O144" s="145">
        <f t="shared" si="31"/>
        <v>0</v>
      </c>
      <c r="P144" s="145">
        <f t="shared" si="32"/>
        <v>0</v>
      </c>
      <c r="Q144" s="145">
        <f t="shared" si="33"/>
        <v>0</v>
      </c>
      <c r="R144" s="145">
        <f t="shared" si="34"/>
        <v>0</v>
      </c>
      <c r="S144" s="130">
        <f t="shared" si="35"/>
        <v>0</v>
      </c>
      <c r="T144" s="130">
        <f t="shared" si="36"/>
        <v>0</v>
      </c>
      <c r="U144" s="141"/>
      <c r="V144" s="123"/>
      <c r="W144" s="134"/>
      <c r="X144" s="347">
        <v>35</v>
      </c>
      <c r="Y144" s="347">
        <v>250</v>
      </c>
      <c r="Z144" s="348" t="s">
        <v>576</v>
      </c>
      <c r="AA144" s="120"/>
      <c r="AB144" s="134"/>
      <c r="AC144" s="200"/>
      <c r="AD144" s="125"/>
      <c r="AE144" s="134"/>
      <c r="AF144" s="200"/>
      <c r="AG144" s="120"/>
      <c r="AH144" s="262"/>
      <c r="AI144" s="262"/>
      <c r="AJ144" s="120"/>
      <c r="AK144" s="262"/>
      <c r="AL144" s="262"/>
      <c r="AM144" s="120"/>
      <c r="AN144" s="262"/>
      <c r="AO144" s="262"/>
      <c r="AP144" s="120"/>
      <c r="AQ144" s="262"/>
      <c r="AR144" s="262"/>
      <c r="AS144" s="120"/>
      <c r="AT144" s="262"/>
      <c r="AU144" s="262"/>
      <c r="AV144" s="120"/>
      <c r="AW144" s="262"/>
      <c r="AX144" s="262"/>
      <c r="AY144" s="120"/>
      <c r="AZ144" s="262"/>
      <c r="BA144" s="262"/>
      <c r="BB144" s="120"/>
      <c r="BC144" s="134"/>
      <c r="BD144" s="200"/>
      <c r="BE144" s="120"/>
      <c r="BF144" s="134"/>
      <c r="BG144" s="200"/>
      <c r="BH144" s="120"/>
      <c r="BI144" s="252"/>
      <c r="BJ144" s="252"/>
      <c r="BK144" s="120"/>
      <c r="BL144" s="134"/>
      <c r="BM144" s="134"/>
      <c r="BN144" s="120"/>
      <c r="BO144" s="252"/>
      <c r="BP144" s="252"/>
      <c r="BQ144" s="120"/>
      <c r="BR144" s="134"/>
      <c r="BS144" s="134"/>
      <c r="BT144" s="120"/>
      <c r="BU144" s="134"/>
      <c r="BV144" s="200"/>
      <c r="BW144" s="120"/>
      <c r="BX144" s="134"/>
      <c r="BY144" s="200"/>
      <c r="BZ144" s="120"/>
      <c r="CA144" s="126"/>
      <c r="CB144" s="126"/>
      <c r="CC144" s="120"/>
      <c r="CD144" s="126"/>
      <c r="CE144" s="126"/>
      <c r="CF144" s="120"/>
      <c r="CG144" s="134"/>
      <c r="CH144" s="134"/>
      <c r="CI144" s="120"/>
      <c r="CJ144" s="200"/>
      <c r="CK144" s="200"/>
      <c r="CL144" s="120"/>
      <c r="CM144" s="200"/>
      <c r="CN144" s="200"/>
      <c r="CO144" s="120"/>
      <c r="CP144" s="134"/>
      <c r="CQ144" s="134"/>
      <c r="CR144" s="120"/>
      <c r="CS144" s="134"/>
      <c r="CT144" s="134"/>
      <c r="CU144" s="120"/>
      <c r="CV144" s="202"/>
      <c r="CW144" s="202"/>
      <c r="CX144" s="120"/>
      <c r="CY144" s="202"/>
      <c r="CZ144" s="202"/>
      <c r="DA144" s="120"/>
      <c r="DB144" s="202"/>
      <c r="DC144" s="202"/>
      <c r="DD144" s="349"/>
      <c r="DE144" s="202"/>
      <c r="DF144" s="202"/>
      <c r="DG144" s="254"/>
      <c r="DH144" s="203"/>
      <c r="DI144" s="203"/>
      <c r="DJ144" s="259"/>
      <c r="DK144" s="136"/>
      <c r="DL144" s="136"/>
      <c r="DM144" s="120"/>
      <c r="DN144" s="233"/>
      <c r="DO144" s="233"/>
      <c r="DP144" s="120"/>
      <c r="DQ144" s="262"/>
      <c r="DR144" s="262"/>
      <c r="DS144" s="120"/>
      <c r="DT144" s="262"/>
      <c r="DU144" s="262"/>
      <c r="DV144" s="120"/>
      <c r="DW144" s="262"/>
      <c r="DX144" s="262"/>
      <c r="DY144" s="120"/>
      <c r="DZ144" s="262"/>
      <c r="EA144" s="262"/>
      <c r="EB144" s="265"/>
      <c r="EC144" s="262"/>
      <c r="ED144" s="262"/>
      <c r="EE144" s="254"/>
      <c r="EF144" s="233"/>
      <c r="EG144" s="233"/>
      <c r="EH144" s="120"/>
      <c r="EI144" s="262"/>
      <c r="EJ144" s="262"/>
      <c r="EK144" s="120"/>
      <c r="EL144" s="262"/>
      <c r="EM144" s="262"/>
      <c r="EN144" s="120"/>
      <c r="EO144" s="262"/>
      <c r="EP144" s="262"/>
      <c r="EQ144" s="120"/>
      <c r="ER144" s="262"/>
      <c r="ES144" s="262"/>
      <c r="ET144" s="120"/>
      <c r="EU144" s="262"/>
      <c r="EV144" s="262"/>
      <c r="EW144" s="120"/>
      <c r="EX144" s="262"/>
      <c r="EY144" s="262"/>
      <c r="EZ144" s="120"/>
      <c r="FA144" s="262"/>
      <c r="FB144" s="262"/>
      <c r="FC144" s="120"/>
      <c r="FD144" s="262"/>
      <c r="FE144" s="262"/>
      <c r="FF144" s="120"/>
      <c r="FG144" s="262"/>
      <c r="FH144" s="262"/>
      <c r="FI144" s="120"/>
      <c r="FJ144" s="262"/>
      <c r="FK144" s="262"/>
      <c r="FL144" s="120"/>
      <c r="FM144" s="262"/>
      <c r="FN144" s="262"/>
      <c r="FO144" s="120"/>
      <c r="FP144" s="262"/>
      <c r="FQ144" s="262"/>
      <c r="FR144" s="120"/>
      <c r="FS144" s="262"/>
      <c r="FT144" s="262"/>
      <c r="FU144" s="120"/>
      <c r="FV144" s="262"/>
      <c r="FW144" s="262"/>
      <c r="FX144" s="120"/>
      <c r="FY144" s="262"/>
      <c r="FZ144" s="262"/>
      <c r="GA144" s="256"/>
      <c r="GB144" s="233"/>
      <c r="GC144" s="233"/>
      <c r="GD144" s="351">
        <v>40</v>
      </c>
      <c r="GE144" s="351">
        <v>1000</v>
      </c>
      <c r="GF144" s="351" t="s">
        <v>800</v>
      </c>
      <c r="GJ144" s="121">
        <f t="shared" si="37"/>
        <v>560</v>
      </c>
      <c r="GK144" s="121">
        <f t="shared" si="38"/>
        <v>0</v>
      </c>
      <c r="GM144" s="121">
        <f t="shared" si="39"/>
        <v>1</v>
      </c>
      <c r="GN144" s="121">
        <f t="shared" si="40"/>
        <v>0</v>
      </c>
      <c r="GO144" s="121">
        <f t="shared" si="41"/>
        <v>0</v>
      </c>
      <c r="GP144" s="121">
        <f t="shared" si="42"/>
        <v>0</v>
      </c>
      <c r="GQ144" s="121">
        <f t="shared" si="43"/>
        <v>0</v>
      </c>
      <c r="GR144" s="121">
        <f t="shared" si="44"/>
        <v>0</v>
      </c>
    </row>
    <row r="145" spans="2:200" ht="38.25" customHeight="1" x14ac:dyDescent="0.55000000000000004">
      <c r="B145" s="303" t="s">
        <v>421</v>
      </c>
      <c r="C145" s="198"/>
      <c r="D145" s="198"/>
      <c r="E145" s="198"/>
      <c r="F145" s="198"/>
      <c r="G145" s="198"/>
      <c r="H145" s="198"/>
      <c r="I145" s="142" cm="1">
        <f t="array" ref="I145">SUMPRODUCT(($X$2:$GG$2&lt;&gt;"")*($X145:$GG145&lt;&gt;""))</f>
        <v>2</v>
      </c>
      <c r="J145" s="122">
        <f t="shared" si="28"/>
        <v>0</v>
      </c>
      <c r="K145" s="122">
        <f t="shared" si="29"/>
        <v>0</v>
      </c>
      <c r="L145" s="249">
        <f t="shared" si="45"/>
        <v>7000</v>
      </c>
      <c r="M145" s="144">
        <f t="shared" si="30"/>
        <v>1960.0000000000002</v>
      </c>
      <c r="N145" s="405"/>
      <c r="O145" s="145">
        <f t="shared" si="31"/>
        <v>0</v>
      </c>
      <c r="P145" s="145">
        <f t="shared" si="32"/>
        <v>0</v>
      </c>
      <c r="Q145" s="145">
        <f t="shared" si="33"/>
        <v>0</v>
      </c>
      <c r="R145" s="145">
        <f t="shared" si="34"/>
        <v>0</v>
      </c>
      <c r="S145" s="130">
        <f t="shared" si="35"/>
        <v>0</v>
      </c>
      <c r="T145" s="130">
        <f t="shared" si="36"/>
        <v>0</v>
      </c>
      <c r="U145" s="141"/>
      <c r="V145" s="123"/>
      <c r="W145" s="134"/>
      <c r="X145" s="347">
        <v>35</v>
      </c>
      <c r="Y145" s="347">
        <v>250</v>
      </c>
      <c r="Z145" s="348" t="s">
        <v>576</v>
      </c>
      <c r="AA145" s="120"/>
      <c r="AB145" s="134"/>
      <c r="AC145" s="200"/>
      <c r="AD145" s="125"/>
      <c r="AE145" s="134"/>
      <c r="AF145" s="200"/>
      <c r="AG145" s="120"/>
      <c r="AH145" s="262"/>
      <c r="AI145" s="262"/>
      <c r="AJ145" s="120"/>
      <c r="AK145" s="262"/>
      <c r="AL145" s="262"/>
      <c r="AM145" s="120"/>
      <c r="AN145" s="262"/>
      <c r="AO145" s="262"/>
      <c r="AP145" s="120"/>
      <c r="AQ145" s="262"/>
      <c r="AR145" s="262"/>
      <c r="AS145" s="120"/>
      <c r="AT145" s="262"/>
      <c r="AU145" s="262"/>
      <c r="AV145" s="120"/>
      <c r="AW145" s="262"/>
      <c r="AX145" s="262"/>
      <c r="AY145" s="120"/>
      <c r="AZ145" s="262"/>
      <c r="BA145" s="262"/>
      <c r="BB145" s="120"/>
      <c r="BC145" s="134"/>
      <c r="BD145" s="200"/>
      <c r="BE145" s="120"/>
      <c r="BF145" s="134"/>
      <c r="BG145" s="200"/>
      <c r="BH145" s="120"/>
      <c r="BI145" s="252"/>
      <c r="BJ145" s="252"/>
      <c r="BK145" s="120"/>
      <c r="BL145" s="134"/>
      <c r="BM145" s="134"/>
      <c r="BN145" s="120"/>
      <c r="BO145" s="252"/>
      <c r="BP145" s="252"/>
      <c r="BQ145" s="120"/>
      <c r="BR145" s="134"/>
      <c r="BS145" s="134"/>
      <c r="BT145" s="120"/>
      <c r="BU145" s="134"/>
      <c r="BV145" s="200"/>
      <c r="BW145" s="120"/>
      <c r="BX145" s="134"/>
      <c r="BY145" s="200"/>
      <c r="BZ145" s="120"/>
      <c r="CA145" s="126"/>
      <c r="CB145" s="126"/>
      <c r="CC145" s="120"/>
      <c r="CD145" s="126"/>
      <c r="CE145" s="126"/>
      <c r="CF145" s="120"/>
      <c r="CG145" s="134"/>
      <c r="CH145" s="134"/>
      <c r="CI145" s="120"/>
      <c r="CJ145" s="200"/>
      <c r="CK145" s="200"/>
      <c r="CL145" s="120"/>
      <c r="CM145" s="200"/>
      <c r="CN145" s="200"/>
      <c r="CO145" s="120"/>
      <c r="CP145" s="134"/>
      <c r="CQ145" s="134"/>
      <c r="CR145" s="120"/>
      <c r="CS145" s="134"/>
      <c r="CT145" s="134"/>
      <c r="CU145" s="120"/>
      <c r="CV145" s="202"/>
      <c r="CW145" s="202"/>
      <c r="CX145" s="120"/>
      <c r="CY145" s="202"/>
      <c r="CZ145" s="202"/>
      <c r="DA145" s="120"/>
      <c r="DB145" s="202"/>
      <c r="DC145" s="202"/>
      <c r="DD145" s="349"/>
      <c r="DE145" s="202"/>
      <c r="DF145" s="202"/>
      <c r="DG145" s="254"/>
      <c r="DH145" s="203"/>
      <c r="DI145" s="203"/>
      <c r="DJ145" s="259"/>
      <c r="DK145" s="136"/>
      <c r="DL145" s="136"/>
      <c r="DM145" s="120"/>
      <c r="DN145" s="233"/>
      <c r="DO145" s="233"/>
      <c r="DP145" s="120"/>
      <c r="DQ145" s="262"/>
      <c r="DR145" s="262"/>
      <c r="DS145" s="120"/>
      <c r="DT145" s="262"/>
      <c r="DU145" s="262"/>
      <c r="DV145" s="120"/>
      <c r="DW145" s="262"/>
      <c r="DX145" s="262"/>
      <c r="DY145" s="120"/>
      <c r="DZ145" s="262"/>
      <c r="EA145" s="262"/>
      <c r="EB145" s="265"/>
      <c r="EC145" s="262"/>
      <c r="ED145" s="262"/>
      <c r="EE145" s="254"/>
      <c r="EF145" s="233"/>
      <c r="EG145" s="233"/>
      <c r="EH145" s="120"/>
      <c r="EI145" s="262"/>
      <c r="EJ145" s="262"/>
      <c r="EK145" s="120"/>
      <c r="EL145" s="262"/>
      <c r="EM145" s="262"/>
      <c r="EN145" s="120"/>
      <c r="EO145" s="262"/>
      <c r="EP145" s="262"/>
      <c r="EQ145" s="120"/>
      <c r="ER145" s="262"/>
      <c r="ES145" s="262"/>
      <c r="ET145" s="120"/>
      <c r="EU145" s="262"/>
      <c r="EV145" s="262"/>
      <c r="EW145" s="120"/>
      <c r="EX145" s="262"/>
      <c r="EY145" s="262"/>
      <c r="EZ145" s="120"/>
      <c r="FA145" s="262"/>
      <c r="FB145" s="262"/>
      <c r="FC145" s="120"/>
      <c r="FD145" s="262"/>
      <c r="FE145" s="262"/>
      <c r="FF145" s="120"/>
      <c r="FG145" s="262"/>
      <c r="FH145" s="262"/>
      <c r="FI145" s="120"/>
      <c r="FJ145" s="262"/>
      <c r="FK145" s="262"/>
      <c r="FL145" s="120"/>
      <c r="FM145" s="262"/>
      <c r="FN145" s="262"/>
      <c r="FO145" s="120"/>
      <c r="FP145" s="262"/>
      <c r="FQ145" s="262"/>
      <c r="FR145" s="120"/>
      <c r="FS145" s="262"/>
      <c r="FT145" s="262"/>
      <c r="FU145" s="120"/>
      <c r="FV145" s="262"/>
      <c r="FW145" s="262"/>
      <c r="FX145" s="120"/>
      <c r="FY145" s="262"/>
      <c r="FZ145" s="262"/>
      <c r="GA145" s="256"/>
      <c r="GB145" s="233"/>
      <c r="GC145" s="233"/>
      <c r="GD145" s="351">
        <v>40</v>
      </c>
      <c r="GE145" s="351">
        <v>1000</v>
      </c>
      <c r="GF145" s="351" t="s">
        <v>800</v>
      </c>
      <c r="GJ145" s="121">
        <f t="shared" si="37"/>
        <v>560</v>
      </c>
      <c r="GK145" s="121">
        <f t="shared" si="38"/>
        <v>0</v>
      </c>
      <c r="GM145" s="121">
        <f t="shared" si="39"/>
        <v>1</v>
      </c>
      <c r="GN145" s="121">
        <f t="shared" si="40"/>
        <v>0</v>
      </c>
      <c r="GO145" s="121">
        <f t="shared" si="41"/>
        <v>0</v>
      </c>
      <c r="GP145" s="121">
        <f t="shared" si="42"/>
        <v>0</v>
      </c>
      <c r="GQ145" s="121">
        <f t="shared" si="43"/>
        <v>0</v>
      </c>
      <c r="GR145" s="121">
        <f t="shared" si="44"/>
        <v>0</v>
      </c>
    </row>
    <row r="146" spans="2:200" ht="38.25" customHeight="1" x14ac:dyDescent="0.55000000000000004">
      <c r="B146" s="303" t="s">
        <v>420</v>
      </c>
      <c r="C146" s="198"/>
      <c r="D146" s="198"/>
      <c r="E146" s="198"/>
      <c r="F146" s="198"/>
      <c r="G146" s="198"/>
      <c r="H146" s="198"/>
      <c r="I146" s="142" cm="1">
        <f t="array" ref="I146">SUMPRODUCT(($X$2:$GG$2&lt;&gt;"")*($X146:$GG146&lt;&gt;""))</f>
        <v>2</v>
      </c>
      <c r="J146" s="122">
        <f t="shared" si="28"/>
        <v>0</v>
      </c>
      <c r="K146" s="122">
        <f t="shared" si="29"/>
        <v>0</v>
      </c>
      <c r="L146" s="249">
        <f t="shared" si="45"/>
        <v>7000</v>
      </c>
      <c r="M146" s="144">
        <f t="shared" si="30"/>
        <v>1960.0000000000002</v>
      </c>
      <c r="N146" s="405"/>
      <c r="O146" s="145">
        <f t="shared" si="31"/>
        <v>0</v>
      </c>
      <c r="P146" s="145">
        <f t="shared" si="32"/>
        <v>0</v>
      </c>
      <c r="Q146" s="145">
        <f t="shared" si="33"/>
        <v>0</v>
      </c>
      <c r="R146" s="145">
        <f t="shared" si="34"/>
        <v>0</v>
      </c>
      <c r="S146" s="130">
        <f t="shared" si="35"/>
        <v>0</v>
      </c>
      <c r="T146" s="130">
        <f t="shared" si="36"/>
        <v>0</v>
      </c>
      <c r="U146" s="141"/>
      <c r="V146" s="123"/>
      <c r="W146" s="134"/>
      <c r="X146" s="347">
        <v>35</v>
      </c>
      <c r="Y146" s="347">
        <v>250</v>
      </c>
      <c r="Z146" s="348" t="s">
        <v>576</v>
      </c>
      <c r="AA146" s="120"/>
      <c r="AB146" s="134"/>
      <c r="AC146" s="200"/>
      <c r="AD146" s="125"/>
      <c r="AE146" s="134"/>
      <c r="AF146" s="200"/>
      <c r="AG146" s="120"/>
      <c r="AH146" s="262"/>
      <c r="AI146" s="262"/>
      <c r="AJ146" s="120"/>
      <c r="AK146" s="262"/>
      <c r="AL146" s="262"/>
      <c r="AM146" s="120"/>
      <c r="AN146" s="262"/>
      <c r="AO146" s="262"/>
      <c r="AP146" s="120"/>
      <c r="AQ146" s="262"/>
      <c r="AR146" s="262"/>
      <c r="AS146" s="120"/>
      <c r="AT146" s="262"/>
      <c r="AU146" s="262"/>
      <c r="AV146" s="120"/>
      <c r="AW146" s="262"/>
      <c r="AX146" s="262"/>
      <c r="AY146" s="120"/>
      <c r="AZ146" s="262"/>
      <c r="BA146" s="262"/>
      <c r="BB146" s="120"/>
      <c r="BC146" s="134"/>
      <c r="BD146" s="200"/>
      <c r="BE146" s="120"/>
      <c r="BF146" s="134"/>
      <c r="BG146" s="200"/>
      <c r="BH146" s="120"/>
      <c r="BI146" s="252"/>
      <c r="BJ146" s="252"/>
      <c r="BK146" s="120"/>
      <c r="BL146" s="134"/>
      <c r="BM146" s="134"/>
      <c r="BN146" s="120"/>
      <c r="BO146" s="252"/>
      <c r="BP146" s="252"/>
      <c r="BQ146" s="120"/>
      <c r="BR146" s="134"/>
      <c r="BS146" s="134"/>
      <c r="BT146" s="120"/>
      <c r="BU146" s="134"/>
      <c r="BV146" s="200"/>
      <c r="BW146" s="120"/>
      <c r="BX146" s="134"/>
      <c r="BY146" s="200"/>
      <c r="BZ146" s="120"/>
      <c r="CA146" s="126"/>
      <c r="CB146" s="126"/>
      <c r="CC146" s="120"/>
      <c r="CD146" s="126"/>
      <c r="CE146" s="126"/>
      <c r="CF146" s="120"/>
      <c r="CG146" s="134"/>
      <c r="CH146" s="134"/>
      <c r="CI146" s="120"/>
      <c r="CJ146" s="200"/>
      <c r="CK146" s="200"/>
      <c r="CL146" s="120"/>
      <c r="CM146" s="200"/>
      <c r="CN146" s="200"/>
      <c r="CO146" s="120"/>
      <c r="CP146" s="134"/>
      <c r="CQ146" s="134"/>
      <c r="CR146" s="120"/>
      <c r="CS146" s="134"/>
      <c r="CT146" s="134"/>
      <c r="CU146" s="120"/>
      <c r="CV146" s="202"/>
      <c r="CW146" s="202"/>
      <c r="CX146" s="120"/>
      <c r="CY146" s="202"/>
      <c r="CZ146" s="202"/>
      <c r="DA146" s="120"/>
      <c r="DB146" s="202"/>
      <c r="DC146" s="202"/>
      <c r="DD146" s="349"/>
      <c r="DE146" s="202"/>
      <c r="DF146" s="202"/>
      <c r="DG146" s="254"/>
      <c r="DH146" s="203"/>
      <c r="DI146" s="203"/>
      <c r="DJ146" s="259"/>
      <c r="DK146" s="136"/>
      <c r="DL146" s="136"/>
      <c r="DM146" s="120"/>
      <c r="DN146" s="233"/>
      <c r="DO146" s="233"/>
      <c r="DP146" s="120"/>
      <c r="DQ146" s="262"/>
      <c r="DR146" s="262"/>
      <c r="DS146" s="120"/>
      <c r="DT146" s="262"/>
      <c r="DU146" s="262"/>
      <c r="DV146" s="120"/>
      <c r="DW146" s="262"/>
      <c r="DX146" s="262"/>
      <c r="DY146" s="120"/>
      <c r="DZ146" s="262"/>
      <c r="EA146" s="262"/>
      <c r="EB146" s="265"/>
      <c r="EC146" s="262"/>
      <c r="ED146" s="262"/>
      <c r="EE146" s="254"/>
      <c r="EF146" s="233"/>
      <c r="EG146" s="233"/>
      <c r="EH146" s="120"/>
      <c r="EI146" s="262"/>
      <c r="EJ146" s="262"/>
      <c r="EK146" s="120"/>
      <c r="EL146" s="262"/>
      <c r="EM146" s="262"/>
      <c r="EN146" s="120"/>
      <c r="EO146" s="262"/>
      <c r="EP146" s="262"/>
      <c r="EQ146" s="120"/>
      <c r="ER146" s="262"/>
      <c r="ES146" s="262"/>
      <c r="ET146" s="120"/>
      <c r="EU146" s="262"/>
      <c r="EV146" s="262"/>
      <c r="EW146" s="120"/>
      <c r="EX146" s="262"/>
      <c r="EY146" s="262"/>
      <c r="EZ146" s="120"/>
      <c r="FA146" s="262"/>
      <c r="FB146" s="262"/>
      <c r="FC146" s="120"/>
      <c r="FD146" s="262"/>
      <c r="FE146" s="262"/>
      <c r="FF146" s="120"/>
      <c r="FG146" s="262"/>
      <c r="FH146" s="262"/>
      <c r="FI146" s="120"/>
      <c r="FJ146" s="262"/>
      <c r="FK146" s="262"/>
      <c r="FL146" s="120"/>
      <c r="FM146" s="262"/>
      <c r="FN146" s="262"/>
      <c r="FO146" s="120"/>
      <c r="FP146" s="262"/>
      <c r="FQ146" s="262"/>
      <c r="FR146" s="120"/>
      <c r="FS146" s="262"/>
      <c r="FT146" s="262"/>
      <c r="FU146" s="120"/>
      <c r="FV146" s="262"/>
      <c r="FW146" s="262"/>
      <c r="FX146" s="120"/>
      <c r="FY146" s="262"/>
      <c r="FZ146" s="262"/>
      <c r="GA146" s="256"/>
      <c r="GB146" s="233"/>
      <c r="GC146" s="233"/>
      <c r="GD146" s="351">
        <v>40</v>
      </c>
      <c r="GE146" s="351">
        <v>1000</v>
      </c>
      <c r="GF146" s="351" t="s">
        <v>800</v>
      </c>
      <c r="GJ146" s="121">
        <f t="shared" si="37"/>
        <v>560</v>
      </c>
      <c r="GK146" s="121">
        <f t="shared" si="38"/>
        <v>0</v>
      </c>
      <c r="GM146" s="121">
        <f t="shared" si="39"/>
        <v>1</v>
      </c>
      <c r="GN146" s="121">
        <f t="shared" si="40"/>
        <v>0</v>
      </c>
      <c r="GO146" s="121">
        <f t="shared" si="41"/>
        <v>0</v>
      </c>
      <c r="GP146" s="121">
        <f t="shared" si="42"/>
        <v>0</v>
      </c>
      <c r="GQ146" s="121">
        <f t="shared" si="43"/>
        <v>0</v>
      </c>
      <c r="GR146" s="121">
        <f t="shared" si="44"/>
        <v>0</v>
      </c>
    </row>
    <row r="147" spans="2:200" ht="38.25" customHeight="1" x14ac:dyDescent="0.55000000000000004">
      <c r="B147" s="303" t="s">
        <v>423</v>
      </c>
      <c r="C147" s="198"/>
      <c r="D147" s="198"/>
      <c r="E147" s="198"/>
      <c r="F147" s="198"/>
      <c r="G147" s="198"/>
      <c r="H147" s="198"/>
      <c r="I147" s="142" cm="1">
        <f t="array" ref="I147">SUMPRODUCT(($X$2:$GG$2&lt;&gt;"")*($X147:$GG147&lt;&gt;""))</f>
        <v>1</v>
      </c>
      <c r="J147" s="122">
        <f t="shared" si="28"/>
        <v>0</v>
      </c>
      <c r="K147" s="122">
        <f t="shared" si="29"/>
        <v>0</v>
      </c>
      <c r="L147" s="249">
        <f t="shared" si="45"/>
        <v>7000</v>
      </c>
      <c r="M147" s="144">
        <f t="shared" si="30"/>
        <v>280</v>
      </c>
      <c r="N147" s="405"/>
      <c r="O147" s="145">
        <f t="shared" si="31"/>
        <v>0</v>
      </c>
      <c r="P147" s="145">
        <f t="shared" si="32"/>
        <v>0</v>
      </c>
      <c r="Q147" s="145">
        <f t="shared" si="33"/>
        <v>0</v>
      </c>
      <c r="R147" s="145">
        <f t="shared" si="34"/>
        <v>0</v>
      </c>
      <c r="S147" s="130">
        <f t="shared" si="35"/>
        <v>0</v>
      </c>
      <c r="T147" s="130">
        <f t="shared" si="36"/>
        <v>0</v>
      </c>
      <c r="U147" s="141"/>
      <c r="V147" s="123"/>
      <c r="W147" s="134"/>
      <c r="X147" s="347">
        <v>10</v>
      </c>
      <c r="Y147" s="347">
        <v>250</v>
      </c>
      <c r="Z147" s="348" t="s">
        <v>576</v>
      </c>
      <c r="AA147" s="120"/>
      <c r="AB147" s="134"/>
      <c r="AC147" s="200"/>
      <c r="AD147" s="125"/>
      <c r="AE147" s="134"/>
      <c r="AF147" s="200"/>
      <c r="AG147" s="120"/>
      <c r="AH147" s="262"/>
      <c r="AI147" s="262"/>
      <c r="AJ147" s="120"/>
      <c r="AK147" s="262"/>
      <c r="AL147" s="262"/>
      <c r="AM147" s="120"/>
      <c r="AN147" s="262"/>
      <c r="AO147" s="262"/>
      <c r="AP147" s="120"/>
      <c r="AQ147" s="262"/>
      <c r="AR147" s="262"/>
      <c r="AS147" s="120"/>
      <c r="AT147" s="262"/>
      <c r="AU147" s="262"/>
      <c r="AV147" s="120"/>
      <c r="AW147" s="262"/>
      <c r="AX147" s="262"/>
      <c r="AY147" s="120"/>
      <c r="AZ147" s="262"/>
      <c r="BA147" s="262"/>
      <c r="BB147" s="120"/>
      <c r="BC147" s="134"/>
      <c r="BD147" s="200"/>
      <c r="BE147" s="120"/>
      <c r="BF147" s="134"/>
      <c r="BG147" s="200"/>
      <c r="BH147" s="120"/>
      <c r="BI147" s="252"/>
      <c r="BJ147" s="252"/>
      <c r="BK147" s="120"/>
      <c r="BL147" s="134"/>
      <c r="BM147" s="134"/>
      <c r="BN147" s="120"/>
      <c r="BO147" s="252"/>
      <c r="BP147" s="252"/>
      <c r="BQ147" s="120"/>
      <c r="BR147" s="134"/>
      <c r="BS147" s="134"/>
      <c r="BT147" s="120"/>
      <c r="BU147" s="134"/>
      <c r="BV147" s="200"/>
      <c r="BW147" s="120"/>
      <c r="BX147" s="134"/>
      <c r="BY147" s="200"/>
      <c r="BZ147" s="120"/>
      <c r="CA147" s="126"/>
      <c r="CB147" s="126"/>
      <c r="CC147" s="120"/>
      <c r="CD147" s="126"/>
      <c r="CE147" s="126"/>
      <c r="CF147" s="120"/>
      <c r="CG147" s="134"/>
      <c r="CH147" s="134"/>
      <c r="CI147" s="120"/>
      <c r="CJ147" s="200"/>
      <c r="CK147" s="200"/>
      <c r="CL147" s="120"/>
      <c r="CM147" s="200"/>
      <c r="CN147" s="200"/>
      <c r="CO147" s="120"/>
      <c r="CP147" s="134"/>
      <c r="CQ147" s="134"/>
      <c r="CR147" s="120"/>
      <c r="CS147" s="134"/>
      <c r="CT147" s="134"/>
      <c r="CU147" s="120"/>
      <c r="CV147" s="202"/>
      <c r="CW147" s="202"/>
      <c r="CX147" s="120"/>
      <c r="CY147" s="202"/>
      <c r="CZ147" s="202"/>
      <c r="DA147" s="120"/>
      <c r="DB147" s="202"/>
      <c r="DC147" s="202"/>
      <c r="DD147" s="349"/>
      <c r="DE147" s="202"/>
      <c r="DF147" s="202"/>
      <c r="DG147" s="254"/>
      <c r="DH147" s="203"/>
      <c r="DI147" s="203"/>
      <c r="DJ147" s="259"/>
      <c r="DK147" s="136"/>
      <c r="DL147" s="136"/>
      <c r="DM147" s="120"/>
      <c r="DN147" s="233"/>
      <c r="DO147" s="233"/>
      <c r="DP147" s="120"/>
      <c r="DQ147" s="262"/>
      <c r="DR147" s="262"/>
      <c r="DS147" s="120"/>
      <c r="DT147" s="262"/>
      <c r="DU147" s="262"/>
      <c r="DV147" s="120"/>
      <c r="DW147" s="262"/>
      <c r="DX147" s="262"/>
      <c r="DY147" s="120"/>
      <c r="DZ147" s="262"/>
      <c r="EA147" s="262"/>
      <c r="EB147" s="265"/>
      <c r="EC147" s="262"/>
      <c r="ED147" s="262"/>
      <c r="EE147" s="254"/>
      <c r="EF147" s="233"/>
      <c r="EG147" s="233"/>
      <c r="EH147" s="120"/>
      <c r="EI147" s="262"/>
      <c r="EJ147" s="262"/>
      <c r="EK147" s="120"/>
      <c r="EL147" s="262"/>
      <c r="EM147" s="262"/>
      <c r="EN147" s="120"/>
      <c r="EO147" s="262"/>
      <c r="EP147" s="262"/>
      <c r="EQ147" s="120"/>
      <c r="ER147" s="262"/>
      <c r="ES147" s="262"/>
      <c r="ET147" s="120"/>
      <c r="EU147" s="262"/>
      <c r="EV147" s="262"/>
      <c r="EW147" s="120"/>
      <c r="EX147" s="262"/>
      <c r="EY147" s="262"/>
      <c r="EZ147" s="120"/>
      <c r="FA147" s="262"/>
      <c r="FB147" s="262"/>
      <c r="FC147" s="120"/>
      <c r="FD147" s="262"/>
      <c r="FE147" s="262"/>
      <c r="FF147" s="120"/>
      <c r="FG147" s="262"/>
      <c r="FH147" s="262"/>
      <c r="FI147" s="120"/>
      <c r="FJ147" s="262"/>
      <c r="FK147" s="262"/>
      <c r="FL147" s="120"/>
      <c r="FM147" s="262"/>
      <c r="FN147" s="262"/>
      <c r="FO147" s="120"/>
      <c r="FP147" s="262"/>
      <c r="FQ147" s="262"/>
      <c r="FR147" s="120"/>
      <c r="FS147" s="262"/>
      <c r="FT147" s="262"/>
      <c r="FU147" s="120"/>
      <c r="FV147" s="262"/>
      <c r="FW147" s="262"/>
      <c r="FX147" s="120"/>
      <c r="FY147" s="262"/>
      <c r="FZ147" s="262"/>
      <c r="GA147" s="256"/>
      <c r="GB147" s="233"/>
      <c r="GC147" s="233"/>
      <c r="GJ147" s="121">
        <f t="shared" si="37"/>
        <v>0</v>
      </c>
      <c r="GK147" s="121">
        <f t="shared" si="38"/>
        <v>0</v>
      </c>
      <c r="GM147" s="121">
        <f t="shared" si="39"/>
        <v>1</v>
      </c>
      <c r="GN147" s="121">
        <f t="shared" si="40"/>
        <v>0</v>
      </c>
      <c r="GO147" s="121">
        <f t="shared" si="41"/>
        <v>0</v>
      </c>
      <c r="GP147" s="121">
        <f t="shared" si="42"/>
        <v>0</v>
      </c>
      <c r="GQ147" s="121">
        <f t="shared" si="43"/>
        <v>0</v>
      </c>
      <c r="GR147" s="121">
        <f t="shared" si="44"/>
        <v>0</v>
      </c>
    </row>
    <row r="148" spans="2:200" ht="38.25" customHeight="1" x14ac:dyDescent="0.55000000000000004">
      <c r="B148" s="303" t="s">
        <v>424</v>
      </c>
      <c r="C148" s="198"/>
      <c r="D148" s="198"/>
      <c r="E148" s="198"/>
      <c r="F148" s="198"/>
      <c r="G148" s="198"/>
      <c r="H148" s="198"/>
      <c r="I148" s="142" cm="1">
        <f t="array" ref="I148">SUMPRODUCT(($X$2:$GG$2&lt;&gt;"")*($X148:$GG148&lt;&gt;""))</f>
        <v>1</v>
      </c>
      <c r="J148" s="122">
        <f t="shared" si="28"/>
        <v>0</v>
      </c>
      <c r="K148" s="122">
        <f t="shared" si="29"/>
        <v>0</v>
      </c>
      <c r="L148" s="249">
        <f t="shared" si="45"/>
        <v>7000</v>
      </c>
      <c r="M148" s="144">
        <f t="shared" si="30"/>
        <v>280</v>
      </c>
      <c r="N148" s="405"/>
      <c r="O148" s="145">
        <f t="shared" si="31"/>
        <v>0</v>
      </c>
      <c r="P148" s="145">
        <f t="shared" si="32"/>
        <v>0</v>
      </c>
      <c r="Q148" s="145">
        <f t="shared" si="33"/>
        <v>0</v>
      </c>
      <c r="R148" s="145">
        <f t="shared" si="34"/>
        <v>0</v>
      </c>
      <c r="S148" s="130">
        <f t="shared" si="35"/>
        <v>0</v>
      </c>
      <c r="T148" s="130">
        <f t="shared" si="36"/>
        <v>0</v>
      </c>
      <c r="U148" s="141"/>
      <c r="V148" s="123"/>
      <c r="W148" s="134"/>
      <c r="X148" s="347">
        <v>10</v>
      </c>
      <c r="Y148" s="347">
        <v>250</v>
      </c>
      <c r="Z148" s="348" t="s">
        <v>576</v>
      </c>
      <c r="AA148" s="120"/>
      <c r="AB148" s="134"/>
      <c r="AC148" s="200"/>
      <c r="AD148" s="125"/>
      <c r="AE148" s="134"/>
      <c r="AF148" s="200"/>
      <c r="AG148" s="120"/>
      <c r="AH148" s="262"/>
      <c r="AI148" s="262"/>
      <c r="AJ148" s="120"/>
      <c r="AK148" s="262"/>
      <c r="AL148" s="262"/>
      <c r="AM148" s="120"/>
      <c r="AN148" s="262"/>
      <c r="AO148" s="262"/>
      <c r="AP148" s="120"/>
      <c r="AQ148" s="262"/>
      <c r="AR148" s="262"/>
      <c r="AS148" s="120"/>
      <c r="AT148" s="262"/>
      <c r="AU148" s="262"/>
      <c r="AV148" s="120"/>
      <c r="AW148" s="262"/>
      <c r="AX148" s="262"/>
      <c r="AY148" s="120"/>
      <c r="AZ148" s="262"/>
      <c r="BA148" s="262"/>
      <c r="BB148" s="120"/>
      <c r="BC148" s="134"/>
      <c r="BD148" s="200"/>
      <c r="BE148" s="120"/>
      <c r="BF148" s="134"/>
      <c r="BG148" s="200"/>
      <c r="BH148" s="120"/>
      <c r="BI148" s="252"/>
      <c r="BJ148" s="252"/>
      <c r="BK148" s="120"/>
      <c r="BL148" s="134"/>
      <c r="BM148" s="134"/>
      <c r="BN148" s="120"/>
      <c r="BO148" s="252"/>
      <c r="BP148" s="252"/>
      <c r="BQ148" s="120"/>
      <c r="BR148" s="134"/>
      <c r="BS148" s="134"/>
      <c r="BT148" s="120"/>
      <c r="BU148" s="134"/>
      <c r="BV148" s="200"/>
      <c r="BW148" s="120"/>
      <c r="BX148" s="134"/>
      <c r="BY148" s="200"/>
      <c r="BZ148" s="120"/>
      <c r="CA148" s="126"/>
      <c r="CB148" s="126"/>
      <c r="CC148" s="120"/>
      <c r="CD148" s="126"/>
      <c r="CE148" s="126"/>
      <c r="CF148" s="120"/>
      <c r="CG148" s="134"/>
      <c r="CH148" s="134"/>
      <c r="CI148" s="120"/>
      <c r="CJ148" s="200"/>
      <c r="CK148" s="200"/>
      <c r="CL148" s="120"/>
      <c r="CM148" s="200"/>
      <c r="CN148" s="200"/>
      <c r="CO148" s="120"/>
      <c r="CP148" s="134"/>
      <c r="CQ148" s="134"/>
      <c r="CR148" s="120"/>
      <c r="CS148" s="134"/>
      <c r="CT148" s="134"/>
      <c r="CU148" s="120"/>
      <c r="CV148" s="202"/>
      <c r="CW148" s="202"/>
      <c r="CX148" s="120"/>
      <c r="CY148" s="202"/>
      <c r="CZ148" s="202"/>
      <c r="DA148" s="120"/>
      <c r="DB148" s="202"/>
      <c r="DC148" s="202"/>
      <c r="DD148" s="349"/>
      <c r="DE148" s="202"/>
      <c r="DF148" s="202"/>
      <c r="DG148" s="254"/>
      <c r="DH148" s="203"/>
      <c r="DI148" s="203"/>
      <c r="DJ148" s="259"/>
      <c r="DK148" s="136"/>
      <c r="DL148" s="136"/>
      <c r="DM148" s="120"/>
      <c r="DN148" s="233"/>
      <c r="DO148" s="233"/>
      <c r="DP148" s="120"/>
      <c r="DQ148" s="262"/>
      <c r="DR148" s="262"/>
      <c r="DS148" s="120"/>
      <c r="DT148" s="262"/>
      <c r="DU148" s="262"/>
      <c r="DV148" s="120"/>
      <c r="DW148" s="262"/>
      <c r="DX148" s="262"/>
      <c r="DY148" s="120"/>
      <c r="DZ148" s="262"/>
      <c r="EA148" s="262"/>
      <c r="EB148" s="265"/>
      <c r="EC148" s="262"/>
      <c r="ED148" s="262"/>
      <c r="EE148" s="254"/>
      <c r="EF148" s="233"/>
      <c r="EG148" s="233"/>
      <c r="EH148" s="120"/>
      <c r="EI148" s="262"/>
      <c r="EJ148" s="262"/>
      <c r="EK148" s="120"/>
      <c r="EL148" s="262"/>
      <c r="EM148" s="262"/>
      <c r="EN148" s="120"/>
      <c r="EO148" s="262"/>
      <c r="EP148" s="262"/>
      <c r="EQ148" s="120"/>
      <c r="ER148" s="262"/>
      <c r="ES148" s="262"/>
      <c r="ET148" s="120"/>
      <c r="EU148" s="262"/>
      <c r="EV148" s="262"/>
      <c r="EW148" s="120"/>
      <c r="EX148" s="262"/>
      <c r="EY148" s="262"/>
      <c r="EZ148" s="120"/>
      <c r="FA148" s="262"/>
      <c r="FB148" s="262"/>
      <c r="FC148" s="120"/>
      <c r="FD148" s="262"/>
      <c r="FE148" s="262"/>
      <c r="FF148" s="120"/>
      <c r="FG148" s="262"/>
      <c r="FH148" s="262"/>
      <c r="FI148" s="120"/>
      <c r="FJ148" s="262"/>
      <c r="FK148" s="262"/>
      <c r="FL148" s="120"/>
      <c r="FM148" s="262"/>
      <c r="FN148" s="262"/>
      <c r="FO148" s="120"/>
      <c r="FP148" s="262"/>
      <c r="FQ148" s="262"/>
      <c r="FR148" s="120"/>
      <c r="FS148" s="262"/>
      <c r="FT148" s="262"/>
      <c r="FU148" s="120"/>
      <c r="FV148" s="262"/>
      <c r="FW148" s="262"/>
      <c r="FX148" s="120"/>
      <c r="FY148" s="262"/>
      <c r="FZ148" s="262"/>
      <c r="GA148" s="256"/>
      <c r="GB148" s="233"/>
      <c r="GC148" s="233"/>
      <c r="GJ148" s="121">
        <f t="shared" si="37"/>
        <v>0</v>
      </c>
      <c r="GK148" s="121">
        <f t="shared" si="38"/>
        <v>0</v>
      </c>
      <c r="GM148" s="121">
        <f t="shared" si="39"/>
        <v>1</v>
      </c>
      <c r="GN148" s="121">
        <f t="shared" si="40"/>
        <v>0</v>
      </c>
      <c r="GO148" s="121">
        <f t="shared" si="41"/>
        <v>0</v>
      </c>
      <c r="GP148" s="121">
        <f t="shared" si="42"/>
        <v>0</v>
      </c>
      <c r="GQ148" s="121">
        <f t="shared" si="43"/>
        <v>0</v>
      </c>
      <c r="GR148" s="121">
        <f t="shared" si="44"/>
        <v>0</v>
      </c>
    </row>
    <row r="149" spans="2:200" ht="38.25" customHeight="1" x14ac:dyDescent="0.55000000000000004">
      <c r="B149" s="303" t="s">
        <v>425</v>
      </c>
      <c r="C149" s="198"/>
      <c r="D149" s="198"/>
      <c r="E149" s="198"/>
      <c r="F149" s="198"/>
      <c r="G149" s="198"/>
      <c r="H149" s="198"/>
      <c r="I149" s="142" cm="1">
        <f t="array" ref="I149">SUMPRODUCT(($X$2:$GG$2&lt;&gt;"")*($X149:$GG149&lt;&gt;""))</f>
        <v>1</v>
      </c>
      <c r="J149" s="122">
        <f t="shared" si="28"/>
        <v>0</v>
      </c>
      <c r="K149" s="122">
        <f t="shared" si="29"/>
        <v>0</v>
      </c>
      <c r="L149" s="249">
        <f t="shared" si="45"/>
        <v>7000</v>
      </c>
      <c r="M149" s="144">
        <f t="shared" si="30"/>
        <v>280</v>
      </c>
      <c r="N149" s="405"/>
      <c r="O149" s="145">
        <f t="shared" si="31"/>
        <v>0</v>
      </c>
      <c r="P149" s="145">
        <f t="shared" si="32"/>
        <v>0</v>
      </c>
      <c r="Q149" s="145">
        <f t="shared" si="33"/>
        <v>0</v>
      </c>
      <c r="R149" s="145">
        <f t="shared" si="34"/>
        <v>0</v>
      </c>
      <c r="S149" s="130">
        <f t="shared" si="35"/>
        <v>0</v>
      </c>
      <c r="T149" s="130">
        <f t="shared" si="36"/>
        <v>0</v>
      </c>
      <c r="U149" s="141"/>
      <c r="V149" s="123"/>
      <c r="W149" s="134"/>
      <c r="X149" s="347">
        <v>10</v>
      </c>
      <c r="Y149" s="347">
        <v>250</v>
      </c>
      <c r="Z149" s="348" t="s">
        <v>576</v>
      </c>
      <c r="AA149" s="120"/>
      <c r="AB149" s="134"/>
      <c r="AC149" s="200"/>
      <c r="AD149" s="125"/>
      <c r="AE149" s="134"/>
      <c r="AF149" s="200"/>
      <c r="AG149" s="120"/>
      <c r="AH149" s="262"/>
      <c r="AI149" s="262"/>
      <c r="AJ149" s="120"/>
      <c r="AK149" s="262"/>
      <c r="AL149" s="262"/>
      <c r="AM149" s="120"/>
      <c r="AN149" s="262"/>
      <c r="AO149" s="262"/>
      <c r="AP149" s="120"/>
      <c r="AQ149" s="262"/>
      <c r="AR149" s="262"/>
      <c r="AS149" s="120"/>
      <c r="AT149" s="262"/>
      <c r="AU149" s="262"/>
      <c r="AV149" s="120"/>
      <c r="AW149" s="262"/>
      <c r="AX149" s="262"/>
      <c r="AY149" s="120"/>
      <c r="AZ149" s="262"/>
      <c r="BA149" s="262"/>
      <c r="BB149" s="120"/>
      <c r="BC149" s="134"/>
      <c r="BD149" s="200"/>
      <c r="BE149" s="120"/>
      <c r="BF149" s="134"/>
      <c r="BG149" s="200"/>
      <c r="BH149" s="120"/>
      <c r="BI149" s="252"/>
      <c r="BJ149" s="252"/>
      <c r="BK149" s="120"/>
      <c r="BL149" s="134"/>
      <c r="BM149" s="134"/>
      <c r="BN149" s="120"/>
      <c r="BO149" s="252"/>
      <c r="BP149" s="252"/>
      <c r="BQ149" s="120"/>
      <c r="BR149" s="134"/>
      <c r="BS149" s="134"/>
      <c r="BT149" s="120"/>
      <c r="BU149" s="134"/>
      <c r="BV149" s="200"/>
      <c r="BW149" s="120"/>
      <c r="BX149" s="134"/>
      <c r="BY149" s="200"/>
      <c r="BZ149" s="120"/>
      <c r="CA149" s="126"/>
      <c r="CB149" s="126"/>
      <c r="CC149" s="120"/>
      <c r="CD149" s="126"/>
      <c r="CE149" s="126"/>
      <c r="CF149" s="120"/>
      <c r="CG149" s="134"/>
      <c r="CH149" s="134"/>
      <c r="CI149" s="120"/>
      <c r="CJ149" s="200"/>
      <c r="CK149" s="200"/>
      <c r="CL149" s="120"/>
      <c r="CM149" s="200"/>
      <c r="CN149" s="200"/>
      <c r="CO149" s="120"/>
      <c r="CP149" s="134"/>
      <c r="CQ149" s="134"/>
      <c r="CR149" s="120"/>
      <c r="CS149" s="134"/>
      <c r="CT149" s="134"/>
      <c r="CU149" s="120"/>
      <c r="CV149" s="202"/>
      <c r="CW149" s="202"/>
      <c r="CX149" s="120"/>
      <c r="CY149" s="202"/>
      <c r="CZ149" s="202"/>
      <c r="DA149" s="120"/>
      <c r="DB149" s="202"/>
      <c r="DC149" s="202"/>
      <c r="DD149" s="349"/>
      <c r="DE149" s="202"/>
      <c r="DF149" s="202"/>
      <c r="DG149" s="254"/>
      <c r="DH149" s="203"/>
      <c r="DI149" s="203"/>
      <c r="DJ149" s="259"/>
      <c r="DK149" s="136"/>
      <c r="DL149" s="136"/>
      <c r="DM149" s="120"/>
      <c r="DN149" s="233"/>
      <c r="DO149" s="233"/>
      <c r="DP149" s="120"/>
      <c r="DQ149" s="262"/>
      <c r="DR149" s="262"/>
      <c r="DS149" s="120"/>
      <c r="DT149" s="262"/>
      <c r="DU149" s="262"/>
      <c r="DV149" s="120"/>
      <c r="DW149" s="262"/>
      <c r="DX149" s="262"/>
      <c r="DY149" s="120"/>
      <c r="DZ149" s="262"/>
      <c r="EA149" s="262"/>
      <c r="EB149" s="265"/>
      <c r="EC149" s="262"/>
      <c r="ED149" s="262"/>
      <c r="EE149" s="254"/>
      <c r="EF149" s="233"/>
      <c r="EG149" s="233"/>
      <c r="EH149" s="120"/>
      <c r="EI149" s="262"/>
      <c r="EJ149" s="262"/>
      <c r="EK149" s="120"/>
      <c r="EL149" s="262"/>
      <c r="EM149" s="262"/>
      <c r="EN149" s="120"/>
      <c r="EO149" s="262"/>
      <c r="EP149" s="262"/>
      <c r="EQ149" s="120"/>
      <c r="ER149" s="262"/>
      <c r="ES149" s="262"/>
      <c r="ET149" s="120"/>
      <c r="EU149" s="262"/>
      <c r="EV149" s="262"/>
      <c r="EW149" s="120"/>
      <c r="EX149" s="262"/>
      <c r="EY149" s="262"/>
      <c r="EZ149" s="120"/>
      <c r="FA149" s="262"/>
      <c r="FB149" s="262"/>
      <c r="FC149" s="120"/>
      <c r="FD149" s="262"/>
      <c r="FE149" s="262"/>
      <c r="FF149" s="120"/>
      <c r="FG149" s="262"/>
      <c r="FH149" s="262"/>
      <c r="FI149" s="120"/>
      <c r="FJ149" s="262"/>
      <c r="FK149" s="262"/>
      <c r="FL149" s="120"/>
      <c r="FM149" s="262"/>
      <c r="FN149" s="262"/>
      <c r="FO149" s="120"/>
      <c r="FP149" s="262"/>
      <c r="FQ149" s="262"/>
      <c r="FR149" s="120"/>
      <c r="FS149" s="262"/>
      <c r="FT149" s="262"/>
      <c r="FU149" s="120"/>
      <c r="FV149" s="262"/>
      <c r="FW149" s="262"/>
      <c r="FX149" s="120"/>
      <c r="FY149" s="262"/>
      <c r="FZ149" s="262"/>
      <c r="GA149" s="256"/>
      <c r="GB149" s="233"/>
      <c r="GC149" s="233"/>
      <c r="GJ149" s="121">
        <f t="shared" si="37"/>
        <v>0</v>
      </c>
      <c r="GK149" s="121">
        <f t="shared" si="38"/>
        <v>0</v>
      </c>
      <c r="GM149" s="121">
        <f t="shared" si="39"/>
        <v>1</v>
      </c>
      <c r="GN149" s="121">
        <f t="shared" si="40"/>
        <v>0</v>
      </c>
      <c r="GO149" s="121">
        <f t="shared" si="41"/>
        <v>0</v>
      </c>
      <c r="GP149" s="121">
        <f t="shared" si="42"/>
        <v>0</v>
      </c>
      <c r="GQ149" s="121">
        <f t="shared" si="43"/>
        <v>0</v>
      </c>
      <c r="GR149" s="121">
        <f t="shared" si="44"/>
        <v>0</v>
      </c>
    </row>
    <row r="150" spans="2:200" ht="38.25" customHeight="1" x14ac:dyDescent="0.55000000000000004">
      <c r="B150" s="303" t="s">
        <v>422</v>
      </c>
      <c r="C150" s="198"/>
      <c r="D150" s="198"/>
      <c r="E150" s="198"/>
      <c r="F150" s="198"/>
      <c r="G150" s="198"/>
      <c r="H150" s="198"/>
      <c r="I150" s="142" cm="1">
        <f t="array" ref="I150">SUMPRODUCT(($X$2:$GG$2&lt;&gt;"")*($X150:$GG150&lt;&gt;""))</f>
        <v>2</v>
      </c>
      <c r="J150" s="122">
        <f t="shared" si="28"/>
        <v>0</v>
      </c>
      <c r="K150" s="122">
        <f t="shared" si="29"/>
        <v>0</v>
      </c>
      <c r="L150" s="249">
        <f t="shared" si="45"/>
        <v>7000</v>
      </c>
      <c r="M150" s="144">
        <f t="shared" si="30"/>
        <v>1960.0000000000002</v>
      </c>
      <c r="N150" s="405"/>
      <c r="O150" s="145">
        <f t="shared" si="31"/>
        <v>0</v>
      </c>
      <c r="P150" s="145">
        <f t="shared" si="32"/>
        <v>0</v>
      </c>
      <c r="Q150" s="145">
        <f t="shared" si="33"/>
        <v>0</v>
      </c>
      <c r="R150" s="145">
        <f t="shared" si="34"/>
        <v>0</v>
      </c>
      <c r="S150" s="130">
        <f t="shared" si="35"/>
        <v>0</v>
      </c>
      <c r="T150" s="130">
        <f t="shared" si="36"/>
        <v>0</v>
      </c>
      <c r="U150" s="141"/>
      <c r="V150" s="123"/>
      <c r="W150" s="134"/>
      <c r="X150" s="347">
        <v>35</v>
      </c>
      <c r="Y150" s="347">
        <v>250</v>
      </c>
      <c r="Z150" s="348" t="s">
        <v>576</v>
      </c>
      <c r="AA150" s="120"/>
      <c r="AB150" s="134"/>
      <c r="AC150" s="200"/>
      <c r="AD150" s="125"/>
      <c r="AE150" s="134"/>
      <c r="AF150" s="200"/>
      <c r="AG150" s="120"/>
      <c r="AH150" s="262"/>
      <c r="AI150" s="262"/>
      <c r="AJ150" s="120"/>
      <c r="AK150" s="262"/>
      <c r="AL150" s="262"/>
      <c r="AM150" s="120"/>
      <c r="AN150" s="262"/>
      <c r="AO150" s="262"/>
      <c r="AP150" s="120"/>
      <c r="AQ150" s="262"/>
      <c r="AR150" s="262"/>
      <c r="AS150" s="120"/>
      <c r="AT150" s="262"/>
      <c r="AU150" s="262"/>
      <c r="AV150" s="120"/>
      <c r="AW150" s="262"/>
      <c r="AX150" s="262"/>
      <c r="AY150" s="120"/>
      <c r="AZ150" s="262"/>
      <c r="BA150" s="262"/>
      <c r="BB150" s="120"/>
      <c r="BC150" s="134"/>
      <c r="BD150" s="200"/>
      <c r="BE150" s="120"/>
      <c r="BF150" s="134"/>
      <c r="BG150" s="200"/>
      <c r="BH150" s="120"/>
      <c r="BI150" s="252"/>
      <c r="BJ150" s="252"/>
      <c r="BK150" s="120"/>
      <c r="BL150" s="134"/>
      <c r="BM150" s="134"/>
      <c r="BN150" s="120"/>
      <c r="BO150" s="252"/>
      <c r="BP150" s="252"/>
      <c r="BQ150" s="120"/>
      <c r="BR150" s="134"/>
      <c r="BS150" s="134"/>
      <c r="BT150" s="120"/>
      <c r="BU150" s="134"/>
      <c r="BV150" s="200"/>
      <c r="BW150" s="120"/>
      <c r="BX150" s="134"/>
      <c r="BY150" s="200"/>
      <c r="BZ150" s="120"/>
      <c r="CA150" s="126"/>
      <c r="CB150" s="126"/>
      <c r="CC150" s="120"/>
      <c r="CD150" s="126"/>
      <c r="CE150" s="126"/>
      <c r="CF150" s="120"/>
      <c r="CG150" s="134"/>
      <c r="CH150" s="134"/>
      <c r="CI150" s="120"/>
      <c r="CJ150" s="200"/>
      <c r="CK150" s="200"/>
      <c r="CL150" s="120"/>
      <c r="CM150" s="200"/>
      <c r="CN150" s="200"/>
      <c r="CO150" s="120"/>
      <c r="CP150" s="134"/>
      <c r="CQ150" s="134"/>
      <c r="CR150" s="120"/>
      <c r="CS150" s="134"/>
      <c r="CT150" s="134"/>
      <c r="CU150" s="120"/>
      <c r="CV150" s="202"/>
      <c r="CW150" s="202"/>
      <c r="CX150" s="120"/>
      <c r="CY150" s="202"/>
      <c r="CZ150" s="202"/>
      <c r="DA150" s="120"/>
      <c r="DB150" s="202"/>
      <c r="DC150" s="202"/>
      <c r="DD150" s="349"/>
      <c r="DE150" s="202"/>
      <c r="DF150" s="202"/>
      <c r="DG150" s="254"/>
      <c r="DH150" s="203"/>
      <c r="DI150" s="203"/>
      <c r="DJ150" s="259"/>
      <c r="DK150" s="136"/>
      <c r="DL150" s="136"/>
      <c r="DM150" s="120"/>
      <c r="DN150" s="233"/>
      <c r="DO150" s="233"/>
      <c r="DP150" s="120"/>
      <c r="DQ150" s="262"/>
      <c r="DR150" s="262"/>
      <c r="DS150" s="120"/>
      <c r="DT150" s="262"/>
      <c r="DU150" s="262"/>
      <c r="DV150" s="120"/>
      <c r="DW150" s="262"/>
      <c r="DX150" s="262"/>
      <c r="DY150" s="120"/>
      <c r="DZ150" s="262"/>
      <c r="EA150" s="262"/>
      <c r="EB150" s="265"/>
      <c r="EC150" s="262"/>
      <c r="ED150" s="262"/>
      <c r="EE150" s="254"/>
      <c r="EF150" s="233"/>
      <c r="EG150" s="233"/>
      <c r="EH150" s="120"/>
      <c r="EI150" s="262"/>
      <c r="EJ150" s="262"/>
      <c r="EK150" s="120"/>
      <c r="EL150" s="262"/>
      <c r="EM150" s="262"/>
      <c r="EN150" s="120"/>
      <c r="EO150" s="262"/>
      <c r="EP150" s="262"/>
      <c r="EQ150" s="120"/>
      <c r="ER150" s="262"/>
      <c r="ES150" s="262"/>
      <c r="ET150" s="120"/>
      <c r="EU150" s="262"/>
      <c r="EV150" s="262"/>
      <c r="EW150" s="120"/>
      <c r="EX150" s="262"/>
      <c r="EY150" s="262"/>
      <c r="EZ150" s="120"/>
      <c r="FA150" s="262"/>
      <c r="FB150" s="262"/>
      <c r="FC150" s="120"/>
      <c r="FD150" s="262"/>
      <c r="FE150" s="262"/>
      <c r="FF150" s="120"/>
      <c r="FG150" s="262"/>
      <c r="FH150" s="262"/>
      <c r="FI150" s="120"/>
      <c r="FJ150" s="262"/>
      <c r="FK150" s="262"/>
      <c r="FL150" s="120"/>
      <c r="FM150" s="262"/>
      <c r="FN150" s="262"/>
      <c r="FO150" s="120"/>
      <c r="FP150" s="262"/>
      <c r="FQ150" s="262"/>
      <c r="FR150" s="120"/>
      <c r="FS150" s="262"/>
      <c r="FT150" s="262"/>
      <c r="FU150" s="120"/>
      <c r="FV150" s="262"/>
      <c r="FW150" s="262"/>
      <c r="FX150" s="120"/>
      <c r="FY150" s="262"/>
      <c r="FZ150" s="262"/>
      <c r="GA150" s="256"/>
      <c r="GB150" s="233"/>
      <c r="GC150" s="233"/>
      <c r="GD150" s="351">
        <v>40</v>
      </c>
      <c r="GE150" s="351">
        <v>1000</v>
      </c>
      <c r="GF150" s="351" t="s">
        <v>800</v>
      </c>
      <c r="GJ150" s="121">
        <f t="shared" si="37"/>
        <v>560</v>
      </c>
      <c r="GK150" s="121">
        <f t="shared" si="38"/>
        <v>0</v>
      </c>
      <c r="GM150" s="121">
        <f t="shared" si="39"/>
        <v>1</v>
      </c>
      <c r="GN150" s="121">
        <f t="shared" si="40"/>
        <v>0</v>
      </c>
      <c r="GO150" s="121">
        <f t="shared" si="41"/>
        <v>0</v>
      </c>
      <c r="GP150" s="121">
        <f t="shared" si="42"/>
        <v>0</v>
      </c>
      <c r="GQ150" s="121">
        <f t="shared" si="43"/>
        <v>0</v>
      </c>
      <c r="GR150" s="121">
        <f t="shared" si="44"/>
        <v>0</v>
      </c>
    </row>
    <row r="151" spans="2:200" ht="38.25" customHeight="1" x14ac:dyDescent="0.55000000000000004">
      <c r="B151" s="303" t="s">
        <v>489</v>
      </c>
      <c r="C151" s="198"/>
      <c r="D151" s="198"/>
      <c r="E151" s="198"/>
      <c r="F151" s="198"/>
      <c r="G151" s="198"/>
      <c r="H151" s="198"/>
      <c r="I151" s="142" cm="1">
        <f t="array" ref="I151">SUMPRODUCT(($X$2:$GG$2&lt;&gt;"")*($X151:$GG151&lt;&gt;""))</f>
        <v>0</v>
      </c>
      <c r="J151" s="122">
        <f t="shared" si="28"/>
        <v>0</v>
      </c>
      <c r="K151" s="122">
        <f t="shared" si="29"/>
        <v>0</v>
      </c>
      <c r="L151" s="249">
        <f t="shared" si="45"/>
        <v>7000</v>
      </c>
      <c r="M151" s="144">
        <f t="shared" si="30"/>
        <v>0</v>
      </c>
      <c r="N151" s="405"/>
      <c r="O151" s="145">
        <f t="shared" si="31"/>
        <v>0</v>
      </c>
      <c r="P151" s="145">
        <f t="shared" si="32"/>
        <v>0</v>
      </c>
      <c r="Q151" s="145">
        <f t="shared" si="33"/>
        <v>0</v>
      </c>
      <c r="R151" s="145">
        <f t="shared" si="34"/>
        <v>0</v>
      </c>
      <c r="S151" s="130">
        <f t="shared" si="35"/>
        <v>0</v>
      </c>
      <c r="T151" s="130">
        <f t="shared" si="36"/>
        <v>0</v>
      </c>
      <c r="U151" s="141"/>
      <c r="V151" s="123"/>
      <c r="W151" s="134"/>
      <c r="X151" s="124"/>
      <c r="Y151" s="134"/>
      <c r="Z151" s="200"/>
      <c r="AA151" s="120"/>
      <c r="AB151" s="134"/>
      <c r="AC151" s="200"/>
      <c r="AD151" s="125"/>
      <c r="AE151" s="134"/>
      <c r="AF151" s="200"/>
      <c r="AG151" s="120"/>
      <c r="AH151" s="262"/>
      <c r="AI151" s="262"/>
      <c r="AJ151" s="120"/>
      <c r="AK151" s="262"/>
      <c r="AL151" s="262"/>
      <c r="AM151" s="120"/>
      <c r="AN151" s="262"/>
      <c r="AO151" s="262"/>
      <c r="AP151" s="120"/>
      <c r="AQ151" s="262"/>
      <c r="AR151" s="262"/>
      <c r="AS151" s="120"/>
      <c r="AT151" s="262"/>
      <c r="AU151" s="262"/>
      <c r="AV151" s="120"/>
      <c r="AW151" s="262"/>
      <c r="AX151" s="262"/>
      <c r="AY151" s="120"/>
      <c r="AZ151" s="262"/>
      <c r="BA151" s="262"/>
      <c r="BB151" s="120"/>
      <c r="BC151" s="134"/>
      <c r="BD151" s="200"/>
      <c r="BE151" s="120"/>
      <c r="BF151" s="134"/>
      <c r="BG151" s="200"/>
      <c r="BH151" s="120"/>
      <c r="BI151" s="252"/>
      <c r="BJ151" s="252"/>
      <c r="BK151" s="120"/>
      <c r="BL151" s="134"/>
      <c r="BM151" s="134"/>
      <c r="BN151" s="120"/>
      <c r="BO151" s="252"/>
      <c r="BP151" s="252"/>
      <c r="BQ151" s="120"/>
      <c r="BR151" s="134"/>
      <c r="BS151" s="134"/>
      <c r="BT151" s="120"/>
      <c r="BU151" s="134"/>
      <c r="BV151" s="200"/>
      <c r="BW151" s="120"/>
      <c r="BX151" s="134"/>
      <c r="BY151" s="200"/>
      <c r="BZ151" s="120"/>
      <c r="CA151" s="126"/>
      <c r="CB151" s="126"/>
      <c r="CC151" s="120"/>
      <c r="CD151" s="126"/>
      <c r="CE151" s="126"/>
      <c r="CF151" s="120"/>
      <c r="CG151" s="134"/>
      <c r="CH151" s="134"/>
      <c r="CI151" s="120"/>
      <c r="CJ151" s="200"/>
      <c r="CK151" s="200"/>
      <c r="CL151" s="120"/>
      <c r="CM151" s="200"/>
      <c r="CN151" s="200"/>
      <c r="CO151" s="120"/>
      <c r="CP151" s="134"/>
      <c r="CQ151" s="134"/>
      <c r="CR151" s="120"/>
      <c r="CS151" s="134"/>
      <c r="CT151" s="134"/>
      <c r="CU151" s="120"/>
      <c r="CV151" s="202"/>
      <c r="CW151" s="202"/>
      <c r="CX151" s="120"/>
      <c r="CY151" s="202"/>
      <c r="CZ151" s="202"/>
      <c r="DA151" s="120"/>
      <c r="DB151" s="202"/>
      <c r="DC151" s="202"/>
      <c r="DD151" s="349"/>
      <c r="DE151" s="202"/>
      <c r="DF151" s="202"/>
      <c r="DG151" s="254"/>
      <c r="DH151" s="203"/>
      <c r="DI151" s="203"/>
      <c r="DJ151" s="259"/>
      <c r="DK151" s="136"/>
      <c r="DL151" s="136"/>
      <c r="DM151" s="120"/>
      <c r="DN151" s="233"/>
      <c r="DO151" s="233"/>
      <c r="DP151" s="120"/>
      <c r="DQ151" s="262"/>
      <c r="DR151" s="262"/>
      <c r="DS151" s="120"/>
      <c r="DT151" s="262"/>
      <c r="DU151" s="262"/>
      <c r="DV151" s="120"/>
      <c r="DW151" s="262"/>
      <c r="DX151" s="262"/>
      <c r="DY151" s="120"/>
      <c r="DZ151" s="262"/>
      <c r="EA151" s="262"/>
      <c r="EB151" s="265"/>
      <c r="EC151" s="262"/>
      <c r="ED151" s="262"/>
      <c r="EE151" s="254"/>
      <c r="EF151" s="233"/>
      <c r="EG151" s="233"/>
      <c r="EH151" s="120"/>
      <c r="EI151" s="262"/>
      <c r="EJ151" s="262"/>
      <c r="EK151" s="120"/>
      <c r="EL151" s="262"/>
      <c r="EM151" s="262"/>
      <c r="EN151" s="120"/>
      <c r="EO151" s="262"/>
      <c r="EP151" s="262"/>
      <c r="EQ151" s="120"/>
      <c r="ER151" s="262"/>
      <c r="ES151" s="262"/>
      <c r="ET151" s="120"/>
      <c r="EU151" s="262"/>
      <c r="EV151" s="262"/>
      <c r="EW151" s="120"/>
      <c r="EX151" s="262"/>
      <c r="EY151" s="262"/>
      <c r="EZ151" s="120"/>
      <c r="FA151" s="262"/>
      <c r="FB151" s="262"/>
      <c r="FC151" s="120"/>
      <c r="FD151" s="262"/>
      <c r="FE151" s="262"/>
      <c r="FF151" s="120"/>
      <c r="FG151" s="262"/>
      <c r="FH151" s="262"/>
      <c r="FI151" s="120"/>
      <c r="FJ151" s="262"/>
      <c r="FK151" s="262"/>
      <c r="FL151" s="120"/>
      <c r="FM151" s="262"/>
      <c r="FN151" s="262"/>
      <c r="FO151" s="120"/>
      <c r="FP151" s="262"/>
      <c r="FQ151" s="262"/>
      <c r="FR151" s="120"/>
      <c r="FS151" s="262"/>
      <c r="FT151" s="262"/>
      <c r="FU151" s="120"/>
      <c r="FV151" s="262"/>
      <c r="FW151" s="262"/>
      <c r="FX151" s="120"/>
      <c r="FY151" s="262"/>
      <c r="FZ151" s="262"/>
      <c r="GA151" s="256"/>
      <c r="GB151" s="233"/>
      <c r="GC151" s="233"/>
      <c r="GJ151" s="121">
        <f t="shared" si="37"/>
        <v>0</v>
      </c>
      <c r="GK151" s="121">
        <f t="shared" si="38"/>
        <v>0</v>
      </c>
      <c r="GM151" s="121">
        <f t="shared" si="39"/>
        <v>0</v>
      </c>
      <c r="GN151" s="121">
        <f t="shared" si="40"/>
        <v>0</v>
      </c>
      <c r="GO151" s="121">
        <f t="shared" si="41"/>
        <v>0</v>
      </c>
      <c r="GP151" s="121">
        <f t="shared" si="42"/>
        <v>0</v>
      </c>
      <c r="GQ151" s="121">
        <f t="shared" si="43"/>
        <v>0</v>
      </c>
      <c r="GR151" s="121">
        <f t="shared" si="44"/>
        <v>0</v>
      </c>
    </row>
    <row r="152" spans="2:200" ht="38.25" customHeight="1" x14ac:dyDescent="0.55000000000000004">
      <c r="B152" s="303" t="s">
        <v>458</v>
      </c>
      <c r="C152" s="198"/>
      <c r="D152" s="198"/>
      <c r="E152" s="198"/>
      <c r="F152" s="198"/>
      <c r="G152" s="198"/>
      <c r="H152" s="198"/>
      <c r="I152" s="142" cm="1">
        <f t="array" ref="I152">SUMPRODUCT(($X$2:$GG$2&lt;&gt;"")*($X152:$GG152&lt;&gt;""))</f>
        <v>1</v>
      </c>
      <c r="J152" s="122">
        <f t="shared" si="28"/>
        <v>0</v>
      </c>
      <c r="K152" s="122">
        <f t="shared" si="29"/>
        <v>0</v>
      </c>
      <c r="L152" s="249">
        <f t="shared" si="45"/>
        <v>7000</v>
      </c>
      <c r="M152" s="144">
        <f t="shared" si="30"/>
        <v>196</v>
      </c>
      <c r="N152" s="405"/>
      <c r="O152" s="145">
        <f t="shared" si="31"/>
        <v>0</v>
      </c>
      <c r="P152" s="145">
        <f t="shared" si="32"/>
        <v>0</v>
      </c>
      <c r="Q152" s="145">
        <f t="shared" si="33"/>
        <v>0</v>
      </c>
      <c r="R152" s="145">
        <f t="shared" si="34"/>
        <v>0</v>
      </c>
      <c r="S152" s="130">
        <f t="shared" si="35"/>
        <v>0</v>
      </c>
      <c r="T152" s="130">
        <f t="shared" si="36"/>
        <v>0</v>
      </c>
      <c r="U152" s="141"/>
      <c r="V152" s="123"/>
      <c r="W152" s="134"/>
      <c r="X152" s="347">
        <v>7</v>
      </c>
      <c r="Y152" s="347">
        <v>250</v>
      </c>
      <c r="Z152" s="348" t="s">
        <v>803</v>
      </c>
      <c r="AA152" s="120"/>
      <c r="AB152" s="134"/>
      <c r="AC152" s="200"/>
      <c r="AD152" s="125"/>
      <c r="AE152" s="134"/>
      <c r="AF152" s="200"/>
      <c r="AG152" s="120"/>
      <c r="AH152" s="262"/>
      <c r="AI152" s="262"/>
      <c r="AJ152" s="120"/>
      <c r="AK152" s="262"/>
      <c r="AL152" s="262"/>
      <c r="AM152" s="120"/>
      <c r="AN152" s="262"/>
      <c r="AO152" s="262"/>
      <c r="AP152" s="120"/>
      <c r="AQ152" s="262"/>
      <c r="AR152" s="262"/>
      <c r="AS152" s="120"/>
      <c r="AT152" s="262"/>
      <c r="AU152" s="262"/>
      <c r="AV152" s="120"/>
      <c r="AW152" s="262"/>
      <c r="AX152" s="262"/>
      <c r="AY152" s="120"/>
      <c r="AZ152" s="262"/>
      <c r="BA152" s="262"/>
      <c r="BB152" s="120"/>
      <c r="BC152" s="134"/>
      <c r="BD152" s="200"/>
      <c r="BE152" s="120"/>
      <c r="BF152" s="134"/>
      <c r="BG152" s="200"/>
      <c r="BH152" s="120"/>
      <c r="BI152" s="252"/>
      <c r="BJ152" s="252"/>
      <c r="BK152" s="120"/>
      <c r="BL152" s="134"/>
      <c r="BM152" s="134"/>
      <c r="BN152" s="120"/>
      <c r="BO152" s="252"/>
      <c r="BP152" s="252"/>
      <c r="BQ152" s="120"/>
      <c r="BR152" s="134"/>
      <c r="BS152" s="134"/>
      <c r="BT152" s="120"/>
      <c r="BU152" s="134"/>
      <c r="BV152" s="200"/>
      <c r="BW152" s="120"/>
      <c r="BX152" s="134"/>
      <c r="BY152" s="200"/>
      <c r="BZ152" s="120"/>
      <c r="CA152" s="126"/>
      <c r="CB152" s="126"/>
      <c r="CC152" s="120"/>
      <c r="CD152" s="126"/>
      <c r="CE152" s="126"/>
      <c r="CF152" s="120"/>
      <c r="CG152" s="134"/>
      <c r="CH152" s="134"/>
      <c r="CI152" s="120"/>
      <c r="CJ152" s="200"/>
      <c r="CK152" s="200"/>
      <c r="CL152" s="120"/>
      <c r="CM152" s="200"/>
      <c r="CN152" s="200"/>
      <c r="CO152" s="120"/>
      <c r="CP152" s="134"/>
      <c r="CQ152" s="134"/>
      <c r="CR152" s="120"/>
      <c r="CS152" s="134"/>
      <c r="CT152" s="134"/>
      <c r="CU152" s="120"/>
      <c r="CV152" s="202"/>
      <c r="CW152" s="202"/>
      <c r="CX152" s="120"/>
      <c r="CY152" s="202"/>
      <c r="CZ152" s="202"/>
      <c r="DA152" s="120"/>
      <c r="DB152" s="202"/>
      <c r="DC152" s="202"/>
      <c r="DD152" s="349"/>
      <c r="DE152" s="202"/>
      <c r="DF152" s="202"/>
      <c r="DG152" s="254"/>
      <c r="DH152" s="203"/>
      <c r="DI152" s="203"/>
      <c r="DJ152" s="259"/>
      <c r="DK152" s="136"/>
      <c r="DL152" s="136"/>
      <c r="DM152" s="120"/>
      <c r="DN152" s="233"/>
      <c r="DO152" s="233"/>
      <c r="DP152" s="120"/>
      <c r="DQ152" s="262"/>
      <c r="DR152" s="262"/>
      <c r="DS152" s="120"/>
      <c r="DT152" s="262"/>
      <c r="DU152" s="262"/>
      <c r="DV152" s="120"/>
      <c r="DW152" s="262"/>
      <c r="DX152" s="262"/>
      <c r="DY152" s="120"/>
      <c r="DZ152" s="262"/>
      <c r="EA152" s="262"/>
      <c r="EB152" s="265"/>
      <c r="EC152" s="262"/>
      <c r="ED152" s="262"/>
      <c r="EE152" s="254"/>
      <c r="EF152" s="233"/>
      <c r="EG152" s="233"/>
      <c r="EH152" s="120"/>
      <c r="EI152" s="262"/>
      <c r="EJ152" s="262"/>
      <c r="EK152" s="120"/>
      <c r="EL152" s="262"/>
      <c r="EM152" s="262"/>
      <c r="EN152" s="120"/>
      <c r="EO152" s="262"/>
      <c r="EP152" s="262"/>
      <c r="EQ152" s="120"/>
      <c r="ER152" s="262"/>
      <c r="ES152" s="262"/>
      <c r="ET152" s="120"/>
      <c r="EU152" s="262"/>
      <c r="EV152" s="262"/>
      <c r="EW152" s="120"/>
      <c r="EX152" s="262"/>
      <c r="EY152" s="262"/>
      <c r="EZ152" s="120"/>
      <c r="FA152" s="262"/>
      <c r="FB152" s="262"/>
      <c r="FC152" s="120"/>
      <c r="FD152" s="262"/>
      <c r="FE152" s="262"/>
      <c r="FF152" s="120"/>
      <c r="FG152" s="262"/>
      <c r="FH152" s="262"/>
      <c r="FI152" s="120"/>
      <c r="FJ152" s="262"/>
      <c r="FK152" s="262"/>
      <c r="FL152" s="120"/>
      <c r="FM152" s="262"/>
      <c r="FN152" s="262"/>
      <c r="FO152" s="120"/>
      <c r="FP152" s="262"/>
      <c r="FQ152" s="262"/>
      <c r="FR152" s="120"/>
      <c r="FS152" s="262"/>
      <c r="FT152" s="262"/>
      <c r="FU152" s="120"/>
      <c r="FV152" s="262"/>
      <c r="FW152" s="262"/>
      <c r="FX152" s="120"/>
      <c r="FY152" s="262"/>
      <c r="FZ152" s="262"/>
      <c r="GA152" s="256"/>
      <c r="GB152" s="233"/>
      <c r="GC152" s="233"/>
      <c r="GJ152" s="121">
        <f t="shared" si="37"/>
        <v>0</v>
      </c>
      <c r="GK152" s="121">
        <f t="shared" si="38"/>
        <v>0</v>
      </c>
      <c r="GM152" s="121">
        <f t="shared" si="39"/>
        <v>1</v>
      </c>
      <c r="GN152" s="121">
        <f t="shared" si="40"/>
        <v>0</v>
      </c>
      <c r="GO152" s="121">
        <f t="shared" si="41"/>
        <v>0</v>
      </c>
      <c r="GP152" s="121">
        <f t="shared" si="42"/>
        <v>0</v>
      </c>
      <c r="GQ152" s="121">
        <f t="shared" si="43"/>
        <v>0</v>
      </c>
      <c r="GR152" s="121">
        <f t="shared" si="44"/>
        <v>0</v>
      </c>
    </row>
    <row r="153" spans="2:200" ht="38.25" customHeight="1" x14ac:dyDescent="0.55000000000000004">
      <c r="B153" s="303" t="s">
        <v>459</v>
      </c>
      <c r="C153" s="198"/>
      <c r="D153" s="198"/>
      <c r="E153" s="198"/>
      <c r="F153" s="198"/>
      <c r="G153" s="198"/>
      <c r="H153" s="198"/>
      <c r="I153" s="142" cm="1">
        <f t="array" ref="I153">SUMPRODUCT(($X$2:$GG$2&lt;&gt;"")*($X153:$GG153&lt;&gt;""))</f>
        <v>1</v>
      </c>
      <c r="J153" s="122">
        <f t="shared" si="28"/>
        <v>0</v>
      </c>
      <c r="K153" s="122">
        <f t="shared" si="29"/>
        <v>0</v>
      </c>
      <c r="L153" s="249">
        <f t="shared" si="45"/>
        <v>7000</v>
      </c>
      <c r="M153" s="144">
        <f t="shared" si="30"/>
        <v>196</v>
      </c>
      <c r="N153" s="405"/>
      <c r="O153" s="145">
        <f t="shared" si="31"/>
        <v>0</v>
      </c>
      <c r="P153" s="145">
        <f t="shared" si="32"/>
        <v>0</v>
      </c>
      <c r="Q153" s="145">
        <f t="shared" si="33"/>
        <v>0</v>
      </c>
      <c r="R153" s="145">
        <f t="shared" si="34"/>
        <v>0</v>
      </c>
      <c r="S153" s="130">
        <f t="shared" si="35"/>
        <v>0</v>
      </c>
      <c r="T153" s="130">
        <f t="shared" si="36"/>
        <v>0</v>
      </c>
      <c r="U153" s="141"/>
      <c r="V153" s="123"/>
      <c r="W153" s="134"/>
      <c r="X153" s="347">
        <v>7</v>
      </c>
      <c r="Y153" s="347">
        <v>250</v>
      </c>
      <c r="Z153" s="348" t="s">
        <v>803</v>
      </c>
      <c r="AA153" s="120"/>
      <c r="AB153" s="134"/>
      <c r="AC153" s="200"/>
      <c r="AD153" s="125"/>
      <c r="AE153" s="134"/>
      <c r="AF153" s="200"/>
      <c r="AG153" s="120"/>
      <c r="AH153" s="262"/>
      <c r="AI153" s="262"/>
      <c r="AJ153" s="120"/>
      <c r="AK153" s="262"/>
      <c r="AL153" s="262"/>
      <c r="AM153" s="120"/>
      <c r="AN153" s="262"/>
      <c r="AO153" s="262"/>
      <c r="AP153" s="120"/>
      <c r="AQ153" s="262"/>
      <c r="AR153" s="262"/>
      <c r="AS153" s="120"/>
      <c r="AT153" s="262"/>
      <c r="AU153" s="262"/>
      <c r="AV153" s="120"/>
      <c r="AW153" s="262"/>
      <c r="AX153" s="262"/>
      <c r="AY153" s="120"/>
      <c r="AZ153" s="262"/>
      <c r="BA153" s="262"/>
      <c r="BB153" s="120"/>
      <c r="BC153" s="134"/>
      <c r="BD153" s="200"/>
      <c r="BE153" s="120"/>
      <c r="BF153" s="134"/>
      <c r="BG153" s="200"/>
      <c r="BH153" s="120"/>
      <c r="BI153" s="252"/>
      <c r="BJ153" s="252"/>
      <c r="BK153" s="120"/>
      <c r="BL153" s="134"/>
      <c r="BM153" s="134"/>
      <c r="BN153" s="120"/>
      <c r="BO153" s="252"/>
      <c r="BP153" s="252"/>
      <c r="BQ153" s="120"/>
      <c r="BR153" s="134"/>
      <c r="BS153" s="134"/>
      <c r="BT153" s="120"/>
      <c r="BU153" s="134"/>
      <c r="BV153" s="200"/>
      <c r="BW153" s="120"/>
      <c r="BX153" s="134"/>
      <c r="BY153" s="200"/>
      <c r="BZ153" s="120"/>
      <c r="CA153" s="126"/>
      <c r="CB153" s="126"/>
      <c r="CC153" s="120"/>
      <c r="CD153" s="126"/>
      <c r="CE153" s="126"/>
      <c r="CF153" s="120"/>
      <c r="CG153" s="134"/>
      <c r="CH153" s="134"/>
      <c r="CI153" s="120"/>
      <c r="CJ153" s="200"/>
      <c r="CK153" s="200"/>
      <c r="CL153" s="120"/>
      <c r="CM153" s="200"/>
      <c r="CN153" s="200"/>
      <c r="CO153" s="120"/>
      <c r="CP153" s="134"/>
      <c r="CQ153" s="134"/>
      <c r="CR153" s="120"/>
      <c r="CS153" s="134"/>
      <c r="CT153" s="134"/>
      <c r="CU153" s="120"/>
      <c r="CV153" s="202"/>
      <c r="CW153" s="202"/>
      <c r="CX153" s="120"/>
      <c r="CY153" s="202"/>
      <c r="CZ153" s="202"/>
      <c r="DA153" s="120"/>
      <c r="DB153" s="202"/>
      <c r="DC153" s="202"/>
      <c r="DD153" s="349"/>
      <c r="DE153" s="202"/>
      <c r="DF153" s="202"/>
      <c r="DG153" s="254"/>
      <c r="DH153" s="203"/>
      <c r="DI153" s="203"/>
      <c r="DJ153" s="259"/>
      <c r="DK153" s="136"/>
      <c r="DL153" s="136"/>
      <c r="DM153" s="120"/>
      <c r="DN153" s="233"/>
      <c r="DO153" s="233"/>
      <c r="DP153" s="120"/>
      <c r="DQ153" s="262"/>
      <c r="DR153" s="262"/>
      <c r="DS153" s="120"/>
      <c r="DT153" s="262"/>
      <c r="DU153" s="262"/>
      <c r="DV153" s="120"/>
      <c r="DW153" s="262"/>
      <c r="DX153" s="262"/>
      <c r="DY153" s="120"/>
      <c r="DZ153" s="262"/>
      <c r="EA153" s="262"/>
      <c r="EB153" s="265"/>
      <c r="EC153" s="262"/>
      <c r="ED153" s="262"/>
      <c r="EE153" s="254"/>
      <c r="EF153" s="233"/>
      <c r="EG153" s="233"/>
      <c r="EH153" s="120"/>
      <c r="EI153" s="262"/>
      <c r="EJ153" s="262"/>
      <c r="EK153" s="120"/>
      <c r="EL153" s="262"/>
      <c r="EM153" s="262"/>
      <c r="EN153" s="120"/>
      <c r="EO153" s="262"/>
      <c r="EP153" s="262"/>
      <c r="EQ153" s="120"/>
      <c r="ER153" s="262"/>
      <c r="ES153" s="262"/>
      <c r="ET153" s="120"/>
      <c r="EU153" s="262"/>
      <c r="EV153" s="262"/>
      <c r="EW153" s="120"/>
      <c r="EX153" s="262"/>
      <c r="EY153" s="262"/>
      <c r="EZ153" s="120"/>
      <c r="FA153" s="262"/>
      <c r="FB153" s="262"/>
      <c r="FC153" s="120"/>
      <c r="FD153" s="262"/>
      <c r="FE153" s="262"/>
      <c r="FF153" s="120"/>
      <c r="FG153" s="262"/>
      <c r="FH153" s="262"/>
      <c r="FI153" s="120"/>
      <c r="FJ153" s="262"/>
      <c r="FK153" s="262"/>
      <c r="FL153" s="120"/>
      <c r="FM153" s="262"/>
      <c r="FN153" s="262"/>
      <c r="FO153" s="120"/>
      <c r="FP153" s="262"/>
      <c r="FQ153" s="262"/>
      <c r="FR153" s="120"/>
      <c r="FS153" s="262"/>
      <c r="FT153" s="262"/>
      <c r="FU153" s="120"/>
      <c r="FV153" s="262"/>
      <c r="FW153" s="262"/>
      <c r="FX153" s="120"/>
      <c r="FY153" s="262"/>
      <c r="FZ153" s="262"/>
      <c r="GA153" s="256"/>
      <c r="GB153" s="233"/>
      <c r="GC153" s="233"/>
      <c r="GJ153" s="121">
        <f t="shared" si="37"/>
        <v>0</v>
      </c>
      <c r="GK153" s="121">
        <f t="shared" si="38"/>
        <v>0</v>
      </c>
      <c r="GM153" s="121">
        <f t="shared" si="39"/>
        <v>1</v>
      </c>
      <c r="GN153" s="121">
        <f t="shared" si="40"/>
        <v>0</v>
      </c>
      <c r="GO153" s="121">
        <f t="shared" si="41"/>
        <v>0</v>
      </c>
      <c r="GP153" s="121">
        <f t="shared" si="42"/>
        <v>0</v>
      </c>
      <c r="GQ153" s="121">
        <f t="shared" si="43"/>
        <v>0</v>
      </c>
      <c r="GR153" s="121">
        <f t="shared" si="44"/>
        <v>0</v>
      </c>
    </row>
    <row r="154" spans="2:200" ht="38.25" customHeight="1" x14ac:dyDescent="0.55000000000000004">
      <c r="B154" s="303" t="s">
        <v>460</v>
      </c>
      <c r="C154" s="198"/>
      <c r="D154" s="198"/>
      <c r="E154" s="198"/>
      <c r="F154" s="198"/>
      <c r="G154" s="198"/>
      <c r="H154" s="198"/>
      <c r="I154" s="142" cm="1">
        <f t="array" ref="I154">SUMPRODUCT(($X$2:$GG$2&lt;&gt;"")*($X154:$GG154&lt;&gt;""))</f>
        <v>1</v>
      </c>
      <c r="J154" s="122">
        <f t="shared" si="28"/>
        <v>0</v>
      </c>
      <c r="K154" s="122">
        <f t="shared" si="29"/>
        <v>0</v>
      </c>
      <c r="L154" s="249">
        <f t="shared" si="45"/>
        <v>7000</v>
      </c>
      <c r="M154" s="144">
        <f t="shared" si="30"/>
        <v>196</v>
      </c>
      <c r="N154" s="405"/>
      <c r="O154" s="145">
        <f t="shared" si="31"/>
        <v>0</v>
      </c>
      <c r="P154" s="145">
        <f t="shared" si="32"/>
        <v>0</v>
      </c>
      <c r="Q154" s="145">
        <f t="shared" si="33"/>
        <v>0</v>
      </c>
      <c r="R154" s="145">
        <f t="shared" si="34"/>
        <v>0</v>
      </c>
      <c r="S154" s="130">
        <f t="shared" si="35"/>
        <v>0</v>
      </c>
      <c r="T154" s="130">
        <f t="shared" si="36"/>
        <v>0</v>
      </c>
      <c r="U154" s="141"/>
      <c r="V154" s="123"/>
      <c r="W154" s="134"/>
      <c r="X154" s="347">
        <v>7</v>
      </c>
      <c r="Y154" s="347">
        <v>250</v>
      </c>
      <c r="Z154" s="348" t="s">
        <v>803</v>
      </c>
      <c r="AA154" s="120"/>
      <c r="AB154" s="134"/>
      <c r="AC154" s="200"/>
      <c r="AD154" s="125"/>
      <c r="AE154" s="134"/>
      <c r="AF154" s="200"/>
      <c r="AG154" s="120"/>
      <c r="AH154" s="262"/>
      <c r="AI154" s="262"/>
      <c r="AJ154" s="120"/>
      <c r="AK154" s="262"/>
      <c r="AL154" s="262"/>
      <c r="AM154" s="120"/>
      <c r="AN154" s="262"/>
      <c r="AO154" s="262"/>
      <c r="AP154" s="120"/>
      <c r="AQ154" s="262"/>
      <c r="AR154" s="262"/>
      <c r="AS154" s="120"/>
      <c r="AT154" s="262"/>
      <c r="AU154" s="262"/>
      <c r="AV154" s="120"/>
      <c r="AW154" s="262"/>
      <c r="AX154" s="262"/>
      <c r="AY154" s="120"/>
      <c r="AZ154" s="262"/>
      <c r="BA154" s="262"/>
      <c r="BB154" s="120"/>
      <c r="BC154" s="134"/>
      <c r="BD154" s="200"/>
      <c r="BE154" s="120"/>
      <c r="BF154" s="134"/>
      <c r="BG154" s="200"/>
      <c r="BH154" s="120"/>
      <c r="BI154" s="252"/>
      <c r="BJ154" s="252"/>
      <c r="BK154" s="120"/>
      <c r="BL154" s="134"/>
      <c r="BM154" s="134"/>
      <c r="BN154" s="120"/>
      <c r="BO154" s="252"/>
      <c r="BP154" s="252"/>
      <c r="BQ154" s="120"/>
      <c r="BR154" s="134"/>
      <c r="BS154" s="134"/>
      <c r="BT154" s="120"/>
      <c r="BU154" s="134"/>
      <c r="BV154" s="200"/>
      <c r="BW154" s="120"/>
      <c r="BX154" s="134"/>
      <c r="BY154" s="200"/>
      <c r="BZ154" s="120"/>
      <c r="CA154" s="126"/>
      <c r="CB154" s="126"/>
      <c r="CC154" s="120"/>
      <c r="CD154" s="126"/>
      <c r="CE154" s="126"/>
      <c r="CF154" s="120"/>
      <c r="CG154" s="134"/>
      <c r="CH154" s="134"/>
      <c r="CI154" s="120"/>
      <c r="CJ154" s="200"/>
      <c r="CK154" s="200"/>
      <c r="CL154" s="120"/>
      <c r="CM154" s="200"/>
      <c r="CN154" s="200"/>
      <c r="CO154" s="120"/>
      <c r="CP154" s="134"/>
      <c r="CQ154" s="134"/>
      <c r="CR154" s="120"/>
      <c r="CS154" s="134"/>
      <c r="CT154" s="134"/>
      <c r="CU154" s="120"/>
      <c r="CV154" s="202"/>
      <c r="CW154" s="202"/>
      <c r="CX154" s="120"/>
      <c r="CY154" s="202"/>
      <c r="CZ154" s="202"/>
      <c r="DA154" s="120"/>
      <c r="DB154" s="202"/>
      <c r="DC154" s="202"/>
      <c r="DD154" s="349"/>
      <c r="DE154" s="202"/>
      <c r="DF154" s="202"/>
      <c r="DG154" s="254"/>
      <c r="DH154" s="203"/>
      <c r="DI154" s="203"/>
      <c r="DJ154" s="259"/>
      <c r="DK154" s="136"/>
      <c r="DL154" s="136"/>
      <c r="DM154" s="120"/>
      <c r="DN154" s="233"/>
      <c r="DO154" s="233"/>
      <c r="DP154" s="120"/>
      <c r="DQ154" s="262"/>
      <c r="DR154" s="262"/>
      <c r="DS154" s="120"/>
      <c r="DT154" s="262"/>
      <c r="DU154" s="262"/>
      <c r="DV154" s="120"/>
      <c r="DW154" s="262"/>
      <c r="DX154" s="262"/>
      <c r="DY154" s="120"/>
      <c r="DZ154" s="262"/>
      <c r="EA154" s="262"/>
      <c r="EB154" s="265"/>
      <c r="EC154" s="262"/>
      <c r="ED154" s="262"/>
      <c r="EE154" s="254"/>
      <c r="EF154" s="233"/>
      <c r="EG154" s="233"/>
      <c r="EH154" s="120"/>
      <c r="EI154" s="262"/>
      <c r="EJ154" s="262"/>
      <c r="EK154" s="120"/>
      <c r="EL154" s="262"/>
      <c r="EM154" s="262"/>
      <c r="EN154" s="120"/>
      <c r="EO154" s="262"/>
      <c r="EP154" s="262"/>
      <c r="EQ154" s="120"/>
      <c r="ER154" s="262"/>
      <c r="ES154" s="262"/>
      <c r="ET154" s="120"/>
      <c r="EU154" s="262"/>
      <c r="EV154" s="262"/>
      <c r="EW154" s="120"/>
      <c r="EX154" s="262"/>
      <c r="EY154" s="262"/>
      <c r="EZ154" s="120"/>
      <c r="FA154" s="262"/>
      <c r="FB154" s="262"/>
      <c r="FC154" s="120"/>
      <c r="FD154" s="262"/>
      <c r="FE154" s="262"/>
      <c r="FF154" s="120"/>
      <c r="FG154" s="262"/>
      <c r="FH154" s="262"/>
      <c r="FI154" s="120"/>
      <c r="FJ154" s="262"/>
      <c r="FK154" s="262"/>
      <c r="FL154" s="120"/>
      <c r="FM154" s="262"/>
      <c r="FN154" s="262"/>
      <c r="FO154" s="120"/>
      <c r="FP154" s="262"/>
      <c r="FQ154" s="262"/>
      <c r="FR154" s="120"/>
      <c r="FS154" s="262"/>
      <c r="FT154" s="262"/>
      <c r="FU154" s="120"/>
      <c r="FV154" s="262"/>
      <c r="FW154" s="262"/>
      <c r="FX154" s="120"/>
      <c r="FY154" s="262"/>
      <c r="FZ154" s="262"/>
      <c r="GA154" s="256"/>
      <c r="GB154" s="233"/>
      <c r="GC154" s="233"/>
      <c r="GJ154" s="121">
        <f t="shared" si="37"/>
        <v>0</v>
      </c>
      <c r="GK154" s="121">
        <f t="shared" si="38"/>
        <v>0</v>
      </c>
      <c r="GM154" s="121">
        <f t="shared" si="39"/>
        <v>1</v>
      </c>
      <c r="GN154" s="121">
        <f t="shared" si="40"/>
        <v>0</v>
      </c>
      <c r="GO154" s="121">
        <f t="shared" si="41"/>
        <v>0</v>
      </c>
      <c r="GP154" s="121">
        <f t="shared" si="42"/>
        <v>0</v>
      </c>
      <c r="GQ154" s="121">
        <f t="shared" si="43"/>
        <v>0</v>
      </c>
      <c r="GR154" s="121">
        <f t="shared" si="44"/>
        <v>0</v>
      </c>
    </row>
    <row r="155" spans="2:200" ht="38.25" customHeight="1" x14ac:dyDescent="0.55000000000000004">
      <c r="B155" s="303" t="s">
        <v>462</v>
      </c>
      <c r="C155" s="198"/>
      <c r="D155" s="198"/>
      <c r="E155" s="198"/>
      <c r="F155" s="198"/>
      <c r="G155" s="198"/>
      <c r="H155" s="198"/>
      <c r="I155" s="142" cm="1">
        <f t="array" ref="I155">SUMPRODUCT(($X$2:$GG$2&lt;&gt;"")*($X155:$GG155&lt;&gt;""))</f>
        <v>1</v>
      </c>
      <c r="J155" s="122">
        <f t="shared" si="28"/>
        <v>0</v>
      </c>
      <c r="K155" s="122">
        <f t="shared" si="29"/>
        <v>0</v>
      </c>
      <c r="L155" s="249">
        <f t="shared" si="45"/>
        <v>7000</v>
      </c>
      <c r="M155" s="144">
        <f t="shared" si="30"/>
        <v>168</v>
      </c>
      <c r="N155" s="405"/>
      <c r="O155" s="145">
        <f t="shared" si="31"/>
        <v>0</v>
      </c>
      <c r="P155" s="145">
        <f t="shared" si="32"/>
        <v>0</v>
      </c>
      <c r="Q155" s="145">
        <f t="shared" si="33"/>
        <v>0</v>
      </c>
      <c r="R155" s="145">
        <f t="shared" si="34"/>
        <v>0</v>
      </c>
      <c r="S155" s="130">
        <f t="shared" si="35"/>
        <v>0</v>
      </c>
      <c r="T155" s="130">
        <f t="shared" si="36"/>
        <v>0</v>
      </c>
      <c r="U155" s="141"/>
      <c r="V155" s="123"/>
      <c r="W155" s="134"/>
      <c r="X155" s="347">
        <v>6</v>
      </c>
      <c r="Y155" s="347">
        <v>250</v>
      </c>
      <c r="Z155" s="348" t="s">
        <v>804</v>
      </c>
      <c r="AA155" s="120"/>
      <c r="AB155" s="134"/>
      <c r="AC155" s="200"/>
      <c r="AD155" s="125"/>
      <c r="AE155" s="134"/>
      <c r="AF155" s="200"/>
      <c r="AG155" s="120"/>
      <c r="AH155" s="262"/>
      <c r="AI155" s="262"/>
      <c r="AJ155" s="120"/>
      <c r="AK155" s="262"/>
      <c r="AL155" s="262"/>
      <c r="AM155" s="120"/>
      <c r="AN155" s="262"/>
      <c r="AO155" s="262"/>
      <c r="AP155" s="120"/>
      <c r="AQ155" s="262"/>
      <c r="AR155" s="262"/>
      <c r="AS155" s="120"/>
      <c r="AT155" s="262"/>
      <c r="AU155" s="262"/>
      <c r="AV155" s="120"/>
      <c r="AW155" s="262"/>
      <c r="AX155" s="262"/>
      <c r="AY155" s="120"/>
      <c r="AZ155" s="262"/>
      <c r="BA155" s="262"/>
      <c r="BB155" s="120"/>
      <c r="BC155" s="134"/>
      <c r="BD155" s="200"/>
      <c r="BE155" s="120"/>
      <c r="BF155" s="134"/>
      <c r="BG155" s="200"/>
      <c r="BH155" s="120"/>
      <c r="BI155" s="252"/>
      <c r="BJ155" s="252"/>
      <c r="BK155" s="120"/>
      <c r="BL155" s="134"/>
      <c r="BM155" s="134"/>
      <c r="BN155" s="120"/>
      <c r="BO155" s="252"/>
      <c r="BP155" s="252"/>
      <c r="BQ155" s="120"/>
      <c r="BR155" s="134"/>
      <c r="BS155" s="134"/>
      <c r="BT155" s="120"/>
      <c r="BU155" s="134"/>
      <c r="BV155" s="200"/>
      <c r="BW155" s="120"/>
      <c r="BX155" s="134"/>
      <c r="BY155" s="200"/>
      <c r="BZ155" s="120"/>
      <c r="CA155" s="126"/>
      <c r="CB155" s="126"/>
      <c r="CC155" s="120"/>
      <c r="CD155" s="126"/>
      <c r="CE155" s="126"/>
      <c r="CF155" s="120"/>
      <c r="CG155" s="134"/>
      <c r="CH155" s="134"/>
      <c r="CI155" s="120"/>
      <c r="CJ155" s="200"/>
      <c r="CK155" s="200"/>
      <c r="CL155" s="120"/>
      <c r="CM155" s="200"/>
      <c r="CN155" s="200"/>
      <c r="CO155" s="120"/>
      <c r="CP155" s="134"/>
      <c r="CQ155" s="134"/>
      <c r="CR155" s="120"/>
      <c r="CS155" s="134"/>
      <c r="CT155" s="134"/>
      <c r="CU155" s="120"/>
      <c r="CV155" s="202"/>
      <c r="CW155" s="202"/>
      <c r="CX155" s="120"/>
      <c r="CY155" s="202"/>
      <c r="CZ155" s="202"/>
      <c r="DA155" s="120"/>
      <c r="DB155" s="202"/>
      <c r="DC155" s="202"/>
      <c r="DD155" s="349"/>
      <c r="DE155" s="202"/>
      <c r="DF155" s="202"/>
      <c r="DG155" s="254"/>
      <c r="DH155" s="203"/>
      <c r="DI155" s="203"/>
      <c r="DJ155" s="259"/>
      <c r="DK155" s="136"/>
      <c r="DL155" s="136"/>
      <c r="DM155" s="120"/>
      <c r="DN155" s="233"/>
      <c r="DO155" s="233"/>
      <c r="DP155" s="120"/>
      <c r="DQ155" s="262"/>
      <c r="DR155" s="262"/>
      <c r="DS155" s="120"/>
      <c r="DT155" s="262"/>
      <c r="DU155" s="262"/>
      <c r="DV155" s="120"/>
      <c r="DW155" s="262"/>
      <c r="DX155" s="262"/>
      <c r="DY155" s="120"/>
      <c r="DZ155" s="262"/>
      <c r="EA155" s="262"/>
      <c r="EB155" s="265"/>
      <c r="EC155" s="262"/>
      <c r="ED155" s="262"/>
      <c r="EE155" s="254"/>
      <c r="EF155" s="233"/>
      <c r="EG155" s="233"/>
      <c r="EH155" s="120"/>
      <c r="EI155" s="262"/>
      <c r="EJ155" s="262"/>
      <c r="EK155" s="120"/>
      <c r="EL155" s="262"/>
      <c r="EM155" s="262"/>
      <c r="EN155" s="120"/>
      <c r="EO155" s="262"/>
      <c r="EP155" s="262"/>
      <c r="EQ155" s="120"/>
      <c r="ER155" s="262"/>
      <c r="ES155" s="262"/>
      <c r="ET155" s="120"/>
      <c r="EU155" s="262"/>
      <c r="EV155" s="262"/>
      <c r="EW155" s="120"/>
      <c r="EX155" s="262"/>
      <c r="EY155" s="262"/>
      <c r="EZ155" s="120"/>
      <c r="FA155" s="262"/>
      <c r="FB155" s="262"/>
      <c r="FC155" s="120"/>
      <c r="FD155" s="262"/>
      <c r="FE155" s="262"/>
      <c r="FF155" s="120"/>
      <c r="FG155" s="262"/>
      <c r="FH155" s="262"/>
      <c r="FI155" s="120"/>
      <c r="FJ155" s="262"/>
      <c r="FK155" s="262"/>
      <c r="FL155" s="120"/>
      <c r="FM155" s="262"/>
      <c r="FN155" s="262"/>
      <c r="FO155" s="120"/>
      <c r="FP155" s="262"/>
      <c r="FQ155" s="262"/>
      <c r="FR155" s="120"/>
      <c r="FS155" s="262"/>
      <c r="FT155" s="262"/>
      <c r="FU155" s="120"/>
      <c r="FV155" s="262"/>
      <c r="FW155" s="262"/>
      <c r="FX155" s="120"/>
      <c r="FY155" s="262"/>
      <c r="FZ155" s="262"/>
      <c r="GA155" s="256"/>
      <c r="GB155" s="233"/>
      <c r="GC155" s="233"/>
      <c r="GJ155" s="121">
        <f t="shared" si="37"/>
        <v>0</v>
      </c>
      <c r="GK155" s="121">
        <f t="shared" si="38"/>
        <v>0</v>
      </c>
      <c r="GM155" s="121">
        <f t="shared" si="39"/>
        <v>1</v>
      </c>
      <c r="GN155" s="121">
        <f t="shared" si="40"/>
        <v>0</v>
      </c>
      <c r="GO155" s="121">
        <f t="shared" si="41"/>
        <v>0</v>
      </c>
      <c r="GP155" s="121">
        <f t="shared" si="42"/>
        <v>0</v>
      </c>
      <c r="GQ155" s="121">
        <f t="shared" si="43"/>
        <v>0</v>
      </c>
      <c r="GR155" s="121">
        <f t="shared" si="44"/>
        <v>0</v>
      </c>
    </row>
    <row r="156" spans="2:200" ht="38.25" customHeight="1" x14ac:dyDescent="0.55000000000000004">
      <c r="B156" s="303" t="s">
        <v>463</v>
      </c>
      <c r="C156" s="404">
        <v>7</v>
      </c>
      <c r="D156" s="404">
        <v>7</v>
      </c>
      <c r="E156" s="404">
        <v>7</v>
      </c>
      <c r="F156" s="198"/>
      <c r="G156" s="198"/>
      <c r="H156" s="198"/>
      <c r="I156" s="142" cm="1">
        <f t="array" ref="I156">SUMPRODUCT(($X$2:$GG$2&lt;&gt;"")*($X156:$GG156&lt;&gt;""))</f>
        <v>2</v>
      </c>
      <c r="J156" s="122">
        <f t="shared" si="28"/>
        <v>14</v>
      </c>
      <c r="K156" s="122">
        <f t="shared" si="29"/>
        <v>196</v>
      </c>
      <c r="L156" s="249">
        <f t="shared" si="45"/>
        <v>7000</v>
      </c>
      <c r="M156" s="144">
        <f t="shared" si="30"/>
        <v>18032</v>
      </c>
      <c r="N156" s="405"/>
      <c r="O156" s="145">
        <f t="shared" si="31"/>
        <v>0</v>
      </c>
      <c r="P156" s="145">
        <f t="shared" si="32"/>
        <v>0</v>
      </c>
      <c r="Q156" s="145">
        <f t="shared" si="33"/>
        <v>0</v>
      </c>
      <c r="R156" s="145">
        <f t="shared" si="34"/>
        <v>0</v>
      </c>
      <c r="S156" s="130">
        <f t="shared" si="35"/>
        <v>0</v>
      </c>
      <c r="T156" s="130">
        <f t="shared" si="36"/>
        <v>0</v>
      </c>
      <c r="U156" s="141"/>
      <c r="V156" s="123"/>
      <c r="W156" s="134"/>
      <c r="X156" s="347">
        <v>28</v>
      </c>
      <c r="Y156" s="347">
        <v>250</v>
      </c>
      <c r="Z156" s="348" t="s">
        <v>576</v>
      </c>
      <c r="AA156" s="120"/>
      <c r="AB156" s="134"/>
      <c r="AC156" s="200"/>
      <c r="AD156" s="125"/>
      <c r="AE156" s="134"/>
      <c r="AF156" s="200"/>
      <c r="AG156" s="120"/>
      <c r="AH156" s="262"/>
      <c r="AI156" s="262"/>
      <c r="AJ156" s="120"/>
      <c r="AK156" s="262"/>
      <c r="AL156" s="262"/>
      <c r="AM156" s="120"/>
      <c r="AN156" s="262"/>
      <c r="AO156" s="262"/>
      <c r="AP156" s="120"/>
      <c r="AQ156" s="262"/>
      <c r="AR156" s="262"/>
      <c r="AS156" s="120"/>
      <c r="AT156" s="262"/>
      <c r="AU156" s="262"/>
      <c r="AV156" s="120"/>
      <c r="AW156" s="262"/>
      <c r="AX156" s="262"/>
      <c r="AY156" s="120"/>
      <c r="AZ156" s="262"/>
      <c r="BA156" s="262"/>
      <c r="BB156" s="120"/>
      <c r="BC156" s="134"/>
      <c r="BD156" s="200"/>
      <c r="BE156" s="120"/>
      <c r="BF156" s="134"/>
      <c r="BG156" s="200"/>
      <c r="BH156" s="120"/>
      <c r="BI156" s="252"/>
      <c r="BJ156" s="252"/>
      <c r="BK156" s="120"/>
      <c r="BL156" s="134"/>
      <c r="BM156" s="134"/>
      <c r="BN156" s="120"/>
      <c r="BO156" s="252"/>
      <c r="BP156" s="252"/>
      <c r="BQ156" s="120"/>
      <c r="BR156" s="134"/>
      <c r="BS156" s="134"/>
      <c r="BT156" s="120"/>
      <c r="BU156" s="134"/>
      <c r="BV156" s="200"/>
      <c r="BW156" s="120"/>
      <c r="BX156" s="134"/>
      <c r="BY156" s="200"/>
      <c r="BZ156" s="120"/>
      <c r="CA156" s="126"/>
      <c r="CB156" s="126"/>
      <c r="CC156" s="120"/>
      <c r="CD156" s="126"/>
      <c r="CE156" s="126"/>
      <c r="CF156" s="120"/>
      <c r="CG156" s="134"/>
      <c r="CH156" s="134"/>
      <c r="CI156" s="120"/>
      <c r="CJ156" s="200"/>
      <c r="CK156" s="200"/>
      <c r="CL156" s="120"/>
      <c r="CM156" s="200"/>
      <c r="CN156" s="200"/>
      <c r="CO156" s="120"/>
      <c r="CP156" s="134"/>
      <c r="CQ156" s="134"/>
      <c r="CR156" s="120"/>
      <c r="CS156" s="134"/>
      <c r="CT156" s="134"/>
      <c r="CU156" s="120"/>
      <c r="CV156" s="202"/>
      <c r="CW156" s="202"/>
      <c r="CX156" s="120"/>
      <c r="CY156" s="202"/>
      <c r="CZ156" s="202"/>
      <c r="DA156" s="120"/>
      <c r="DB156" s="202"/>
      <c r="DC156" s="202"/>
      <c r="DD156" s="349"/>
      <c r="DE156" s="202"/>
      <c r="DF156" s="202"/>
      <c r="DG156" s="254"/>
      <c r="DH156" s="203"/>
      <c r="DI156" s="203"/>
      <c r="DJ156" s="259"/>
      <c r="DK156" s="136"/>
      <c r="DL156" s="136"/>
      <c r="DM156" s="120"/>
      <c r="DN156" s="233"/>
      <c r="DO156" s="233"/>
      <c r="DP156" s="120"/>
      <c r="DQ156" s="262"/>
      <c r="DR156" s="262"/>
      <c r="DS156" s="120"/>
      <c r="DT156" s="262"/>
      <c r="DU156" s="262"/>
      <c r="DV156" s="120"/>
      <c r="DW156" s="262"/>
      <c r="DX156" s="262"/>
      <c r="DY156" s="120"/>
      <c r="DZ156" s="262"/>
      <c r="EA156" s="262"/>
      <c r="EB156" s="265"/>
      <c r="EC156" s="262"/>
      <c r="ED156" s="262"/>
      <c r="EE156" s="254"/>
      <c r="EF156" s="233"/>
      <c r="EG156" s="233"/>
      <c r="EH156" s="120"/>
      <c r="EI156" s="262"/>
      <c r="EJ156" s="262"/>
      <c r="EK156" s="120"/>
      <c r="EL156" s="262"/>
      <c r="EM156" s="262"/>
      <c r="EN156" s="120"/>
      <c r="EO156" s="262"/>
      <c r="EP156" s="262"/>
      <c r="EQ156" s="120"/>
      <c r="ER156" s="262"/>
      <c r="ES156" s="262"/>
      <c r="ET156" s="120"/>
      <c r="EU156" s="262"/>
      <c r="EV156" s="262"/>
      <c r="EW156" s="120"/>
      <c r="EX156" s="262"/>
      <c r="EY156" s="262"/>
      <c r="EZ156" s="120"/>
      <c r="FA156" s="262"/>
      <c r="FB156" s="262"/>
      <c r="FC156" s="120"/>
      <c r="FD156" s="262"/>
      <c r="FE156" s="262"/>
      <c r="FF156" s="120"/>
      <c r="FG156" s="262"/>
      <c r="FH156" s="262"/>
      <c r="FI156" s="120"/>
      <c r="FJ156" s="262"/>
      <c r="FK156" s="262"/>
      <c r="FL156" s="120"/>
      <c r="FM156" s="262"/>
      <c r="FN156" s="262"/>
      <c r="FO156" s="120"/>
      <c r="FP156" s="262"/>
      <c r="FQ156" s="262"/>
      <c r="FR156" s="120"/>
      <c r="FS156" s="262"/>
      <c r="FT156" s="262"/>
      <c r="FU156" s="120"/>
      <c r="FV156" s="262"/>
      <c r="FW156" s="262"/>
      <c r="FX156" s="120"/>
      <c r="FY156" s="262"/>
      <c r="FZ156" s="262"/>
      <c r="GA156" s="256"/>
      <c r="GB156" s="233"/>
      <c r="GC156" s="233"/>
      <c r="GD156" s="351">
        <v>40</v>
      </c>
      <c r="GE156" s="351">
        <v>1000</v>
      </c>
      <c r="GF156" s="351" t="s">
        <v>800</v>
      </c>
      <c r="GJ156" s="121">
        <f t="shared" si="37"/>
        <v>6440</v>
      </c>
      <c r="GK156" s="121">
        <f t="shared" si="38"/>
        <v>0</v>
      </c>
      <c r="GM156" s="121">
        <f t="shared" si="39"/>
        <v>1</v>
      </c>
      <c r="GN156" s="121">
        <f t="shared" si="40"/>
        <v>0</v>
      </c>
      <c r="GO156" s="121">
        <f t="shared" si="41"/>
        <v>0</v>
      </c>
      <c r="GP156" s="121">
        <f t="shared" si="42"/>
        <v>0</v>
      </c>
      <c r="GQ156" s="121">
        <f t="shared" si="43"/>
        <v>0</v>
      </c>
      <c r="GR156" s="121">
        <f t="shared" si="44"/>
        <v>0</v>
      </c>
    </row>
    <row r="157" spans="2:200" ht="38.25" customHeight="1" x14ac:dyDescent="0.55000000000000004">
      <c r="B157" s="303" t="s">
        <v>464</v>
      </c>
      <c r="C157" s="198"/>
      <c r="D157" s="198"/>
      <c r="E157" s="198"/>
      <c r="F157" s="198"/>
      <c r="G157" s="198"/>
      <c r="H157" s="198"/>
      <c r="I157" s="142" cm="1">
        <f t="array" ref="I157">SUMPRODUCT(($X$2:$GG$2&lt;&gt;"")*($X157:$GG157&lt;&gt;""))</f>
        <v>1</v>
      </c>
      <c r="J157" s="122">
        <f t="shared" si="28"/>
        <v>0</v>
      </c>
      <c r="K157" s="122">
        <f t="shared" si="29"/>
        <v>0</v>
      </c>
      <c r="L157" s="249">
        <f t="shared" si="45"/>
        <v>7000</v>
      </c>
      <c r="M157" s="144">
        <f t="shared" si="30"/>
        <v>784</v>
      </c>
      <c r="N157" s="405"/>
      <c r="O157" s="145">
        <f t="shared" si="31"/>
        <v>0</v>
      </c>
      <c r="P157" s="145">
        <f t="shared" si="32"/>
        <v>0</v>
      </c>
      <c r="Q157" s="145">
        <f t="shared" si="33"/>
        <v>0</v>
      </c>
      <c r="R157" s="145">
        <f t="shared" si="34"/>
        <v>0</v>
      </c>
      <c r="S157" s="130">
        <f t="shared" si="35"/>
        <v>0</v>
      </c>
      <c r="T157" s="130">
        <f t="shared" si="36"/>
        <v>0</v>
      </c>
      <c r="U157" s="141"/>
      <c r="V157" s="123"/>
      <c r="W157" s="134"/>
      <c r="X157" s="347">
        <v>28</v>
      </c>
      <c r="Y157" s="347">
        <v>250</v>
      </c>
      <c r="Z157" s="348" t="s">
        <v>576</v>
      </c>
      <c r="AA157" s="120"/>
      <c r="AB157" s="134"/>
      <c r="AC157" s="200"/>
      <c r="AD157" s="125"/>
      <c r="AE157" s="134"/>
      <c r="AF157" s="200"/>
      <c r="AG157" s="120"/>
      <c r="AH157" s="262"/>
      <c r="AI157" s="262"/>
      <c r="AJ157" s="120"/>
      <c r="AK157" s="262"/>
      <c r="AL157" s="262"/>
      <c r="AM157" s="120"/>
      <c r="AN157" s="262"/>
      <c r="AO157" s="262"/>
      <c r="AP157" s="120"/>
      <c r="AQ157" s="262"/>
      <c r="AR157" s="262"/>
      <c r="AS157" s="120"/>
      <c r="AT157" s="262"/>
      <c r="AU157" s="262"/>
      <c r="AV157" s="120"/>
      <c r="AW157" s="262"/>
      <c r="AX157" s="262"/>
      <c r="AY157" s="120"/>
      <c r="AZ157" s="262"/>
      <c r="BA157" s="262"/>
      <c r="BB157" s="120"/>
      <c r="BC157" s="134"/>
      <c r="BD157" s="200"/>
      <c r="BE157" s="120"/>
      <c r="BF157" s="134"/>
      <c r="BG157" s="200"/>
      <c r="BH157" s="120"/>
      <c r="BI157" s="252"/>
      <c r="BJ157" s="252"/>
      <c r="BK157" s="120"/>
      <c r="BL157" s="134"/>
      <c r="BM157" s="134"/>
      <c r="BN157" s="120"/>
      <c r="BO157" s="252"/>
      <c r="BP157" s="252"/>
      <c r="BQ157" s="120"/>
      <c r="BR157" s="134"/>
      <c r="BS157" s="134"/>
      <c r="BT157" s="120"/>
      <c r="BU157" s="134"/>
      <c r="BV157" s="200"/>
      <c r="BW157" s="120"/>
      <c r="BX157" s="134"/>
      <c r="BY157" s="200"/>
      <c r="BZ157" s="120"/>
      <c r="CA157" s="126"/>
      <c r="CB157" s="126"/>
      <c r="CC157" s="120"/>
      <c r="CD157" s="126"/>
      <c r="CE157" s="126"/>
      <c r="CF157" s="120"/>
      <c r="CG157" s="134"/>
      <c r="CH157" s="134"/>
      <c r="CI157" s="120"/>
      <c r="CJ157" s="200"/>
      <c r="CK157" s="200"/>
      <c r="CL157" s="120"/>
      <c r="CM157" s="200"/>
      <c r="CN157" s="200"/>
      <c r="CO157" s="120"/>
      <c r="CP157" s="134"/>
      <c r="CQ157" s="134"/>
      <c r="CR157" s="120"/>
      <c r="CS157" s="134"/>
      <c r="CT157" s="134"/>
      <c r="CU157" s="120"/>
      <c r="CV157" s="202"/>
      <c r="CW157" s="202"/>
      <c r="CX157" s="120"/>
      <c r="CY157" s="202"/>
      <c r="CZ157" s="202"/>
      <c r="DA157" s="120"/>
      <c r="DB157" s="202"/>
      <c r="DC157" s="202"/>
      <c r="DD157" s="349"/>
      <c r="DE157" s="202"/>
      <c r="DF157" s="202"/>
      <c r="DG157" s="254"/>
      <c r="DH157" s="203"/>
      <c r="DI157" s="203"/>
      <c r="DJ157" s="259"/>
      <c r="DK157" s="136"/>
      <c r="DL157" s="136"/>
      <c r="DM157" s="120"/>
      <c r="DN157" s="233"/>
      <c r="DO157" s="233"/>
      <c r="DP157" s="120"/>
      <c r="DQ157" s="262"/>
      <c r="DR157" s="262"/>
      <c r="DS157" s="120"/>
      <c r="DT157" s="262"/>
      <c r="DU157" s="262"/>
      <c r="DV157" s="120"/>
      <c r="DW157" s="262"/>
      <c r="DX157" s="262"/>
      <c r="DY157" s="120"/>
      <c r="DZ157" s="262"/>
      <c r="EA157" s="262"/>
      <c r="EB157" s="265"/>
      <c r="EC157" s="262"/>
      <c r="ED157" s="262"/>
      <c r="EE157" s="254"/>
      <c r="EF157" s="233"/>
      <c r="EG157" s="233"/>
      <c r="EH157" s="120"/>
      <c r="EI157" s="262"/>
      <c r="EJ157" s="262"/>
      <c r="EK157" s="120"/>
      <c r="EL157" s="262"/>
      <c r="EM157" s="262"/>
      <c r="EN157" s="120"/>
      <c r="EO157" s="262"/>
      <c r="EP157" s="262"/>
      <c r="EQ157" s="120"/>
      <c r="ER157" s="262"/>
      <c r="ES157" s="262"/>
      <c r="ET157" s="120"/>
      <c r="EU157" s="262"/>
      <c r="EV157" s="262"/>
      <c r="EW157" s="120"/>
      <c r="EX157" s="262"/>
      <c r="EY157" s="262"/>
      <c r="EZ157" s="120"/>
      <c r="FA157" s="262"/>
      <c r="FB157" s="262"/>
      <c r="FC157" s="120"/>
      <c r="FD157" s="262"/>
      <c r="FE157" s="262"/>
      <c r="FF157" s="120"/>
      <c r="FG157" s="262"/>
      <c r="FH157" s="262"/>
      <c r="FI157" s="120"/>
      <c r="FJ157" s="262"/>
      <c r="FK157" s="262"/>
      <c r="FL157" s="120"/>
      <c r="FM157" s="262"/>
      <c r="FN157" s="262"/>
      <c r="FO157" s="120"/>
      <c r="FP157" s="262"/>
      <c r="FQ157" s="262"/>
      <c r="FR157" s="120"/>
      <c r="FS157" s="262"/>
      <c r="FT157" s="262"/>
      <c r="FU157" s="120"/>
      <c r="FV157" s="262"/>
      <c r="FW157" s="262"/>
      <c r="FX157" s="120"/>
      <c r="FY157" s="262"/>
      <c r="FZ157" s="262"/>
      <c r="GA157" s="256"/>
      <c r="GB157" s="233"/>
      <c r="GC157" s="233"/>
      <c r="GJ157" s="121">
        <f t="shared" si="37"/>
        <v>0</v>
      </c>
      <c r="GK157" s="121">
        <f t="shared" si="38"/>
        <v>0</v>
      </c>
      <c r="GM157" s="121">
        <f t="shared" si="39"/>
        <v>1</v>
      </c>
      <c r="GN157" s="121">
        <f t="shared" si="40"/>
        <v>0</v>
      </c>
      <c r="GO157" s="121">
        <f t="shared" si="41"/>
        <v>0</v>
      </c>
      <c r="GP157" s="121">
        <f t="shared" si="42"/>
        <v>0</v>
      </c>
      <c r="GQ157" s="121">
        <f t="shared" si="43"/>
        <v>0</v>
      </c>
      <c r="GR157" s="121">
        <f t="shared" si="44"/>
        <v>0</v>
      </c>
    </row>
    <row r="158" spans="2:200" ht="38.25" customHeight="1" x14ac:dyDescent="0.55000000000000004">
      <c r="B158" s="303" t="s">
        <v>466</v>
      </c>
      <c r="C158" s="404">
        <v>4</v>
      </c>
      <c r="D158" s="404">
        <v>4</v>
      </c>
      <c r="E158" s="404">
        <v>4</v>
      </c>
      <c r="F158" s="198"/>
      <c r="G158" s="198"/>
      <c r="H158" s="198"/>
      <c r="I158" s="142" cm="1">
        <f t="array" ref="I158">SUMPRODUCT(($X$2:$GG$2&lt;&gt;"")*($X158:$GG158&lt;&gt;""))</f>
        <v>1</v>
      </c>
      <c r="J158" s="122">
        <f>I158*C158</f>
        <v>4</v>
      </c>
      <c r="K158" s="122">
        <f t="shared" si="29"/>
        <v>56</v>
      </c>
      <c r="L158" s="249">
        <f t="shared" si="45"/>
        <v>7000</v>
      </c>
      <c r="M158" s="144">
        <f>IFERROR(IF(N(Y158)=0,0,(X158/Y158)*L158*(C158+D158+E158+I158)),0)</f>
        <v>10192</v>
      </c>
      <c r="N158" s="405"/>
      <c r="O158" s="145">
        <f>IFERROR(IF(N(AE158)=0,0,(AD158/AE158)*L158*(C158+D158+E158+I158)),0)</f>
        <v>0</v>
      </c>
      <c r="P158" s="145">
        <f>(IFERROR(AA158/AB158,0)+IFERROR(AG158/AH158,0)+IFERROR(AJ158/AK158,0)+IFERROR(AM158/AN158,0)+IFERROR(AP158/AQ158,0)+IFERROR(AS158/AT158,0)+IFERROR(AV158/AW158,0)+IFERROR(AY158/AZ158,0)+IFERROR(BB158/BC158,0)+IFERROR(BE158/BF158,0)+IFERROR(BH158/BI158,0)+IFERROR(BK158/BL158,0)+IFERROR(BN158/BO158,0)+IFERROR(BQ158/BR158,0)+IFERROR(BT158/BU158,0)+IFERROR(BW158/BX158,0)+IFERROR(BZ158/CA158,0)+IFERROR(CC158/CD158,0)+IFERROR(CF158/CG158,0)+IFERROR(CI158/CJ158,0)+IFERROR(CL158/CM158,0)+IFERROR(CO158/CP158,0)+IFERROR(CR158/CS158,0)+IFERROR(CU158/CV158,0)+IFERROR(CX158/CY158,0)+IFERROR(DA158/DB158,0)+IFERROR(DM158/DN158,0)+IFERROR(DP158/DQ158,0)+IFERROR(DS158/DT158,0)+IFERROR(DV158/DW158,0)+IFERROR(DY158/DZ158,0)+IFERROR(EH158/EI158,0)+IFERROR(EK158/EL158,0)+IFERROR(EN158/EO158,0)+IFERROR(EQ158/ER158,0)+IFERROR(ET158/EU158,0)+IFERROR(EW158/EX158,0)+IFERROR(EZ158/FA158,0)+IFERROR(FC158/FD158,0)+IFERROR(FF158/FG158,0)+IFERROR(FI158/FJ158,0)+IFERROR(FL158/FM158,0)+IFERROR(FO158/FP158,0)+IFERROR(FR158/FS158,0)+IFERROR(FU158/FV158,0)+IFERROR(FX158/FY158,0))*L158*(C158+D158+E158+I158)</f>
        <v>0</v>
      </c>
      <c r="Q158" s="145">
        <f>IFERROR(IF(N(EC158)=0,0,(EB158/EC158)*L158*(C158+D158+E158+I158)),0)</f>
        <v>0</v>
      </c>
      <c r="R158" s="145">
        <f>(IFERROR(DJ158/DK158,0)+IFERROR(DG158/DH158,0)+IFERROR(EE158/EF158,0)+IFERROR(GA158/GB158,0))*L158*(C158+D158+E158+I158)</f>
        <v>0</v>
      </c>
      <c r="S158" s="130">
        <f>IFERROR(IF(N(W158)=0,0,(V158/W158)*L158*(C158+D158+E158+I158)),0)</f>
        <v>0</v>
      </c>
      <c r="T158" s="130">
        <f>IFERROR(IF(N(DE158)=0,0,(DD158/DE158)*L158*(C158+D158+E158+I158)),0)</f>
        <v>0</v>
      </c>
      <c r="U158" s="141"/>
      <c r="V158" s="123"/>
      <c r="W158" s="134"/>
      <c r="X158" s="347">
        <v>28</v>
      </c>
      <c r="Y158" s="347">
        <v>250</v>
      </c>
      <c r="Z158" s="348" t="s">
        <v>576</v>
      </c>
      <c r="AA158" s="120"/>
      <c r="AB158" s="134"/>
      <c r="AC158" s="200"/>
      <c r="AD158" s="125"/>
      <c r="AE158" s="134"/>
      <c r="AF158" s="200"/>
      <c r="AG158" s="120"/>
      <c r="AH158" s="262"/>
      <c r="AI158" s="262"/>
      <c r="AJ158" s="120"/>
      <c r="AK158" s="262"/>
      <c r="AL158" s="262"/>
      <c r="AM158" s="120"/>
      <c r="AN158" s="262"/>
      <c r="AO158" s="262"/>
      <c r="AP158" s="120"/>
      <c r="AQ158" s="262"/>
      <c r="AR158" s="262"/>
      <c r="AS158" s="120"/>
      <c r="AT158" s="262"/>
      <c r="AU158" s="262"/>
      <c r="AV158" s="120"/>
      <c r="AW158" s="262"/>
      <c r="AX158" s="262"/>
      <c r="AY158" s="120"/>
      <c r="AZ158" s="262"/>
      <c r="BA158" s="262"/>
      <c r="BB158" s="120"/>
      <c r="BC158" s="134"/>
      <c r="BD158" s="200"/>
      <c r="BE158" s="120"/>
      <c r="BF158" s="134"/>
      <c r="BG158" s="200"/>
      <c r="BH158" s="120"/>
      <c r="BI158" s="252"/>
      <c r="BJ158" s="252"/>
      <c r="BK158" s="120"/>
      <c r="BL158" s="134"/>
      <c r="BM158" s="134"/>
      <c r="BN158" s="120"/>
      <c r="BO158" s="252"/>
      <c r="BP158" s="252"/>
      <c r="BQ158" s="120"/>
      <c r="BR158" s="134"/>
      <c r="BS158" s="134"/>
      <c r="BT158" s="120"/>
      <c r="BU158" s="134"/>
      <c r="BV158" s="200"/>
      <c r="BW158" s="120"/>
      <c r="BX158" s="134"/>
      <c r="BY158" s="200"/>
      <c r="BZ158" s="120"/>
      <c r="CA158" s="126"/>
      <c r="CB158" s="126"/>
      <c r="CC158" s="120"/>
      <c r="CD158" s="126"/>
      <c r="CE158" s="126"/>
      <c r="CF158" s="120"/>
      <c r="CG158" s="134"/>
      <c r="CH158" s="134"/>
      <c r="CI158" s="120"/>
      <c r="CJ158" s="200"/>
      <c r="CK158" s="200"/>
      <c r="CL158" s="120"/>
      <c r="CM158" s="200"/>
      <c r="CN158" s="200"/>
      <c r="CO158" s="120"/>
      <c r="CP158" s="134"/>
      <c r="CQ158" s="134"/>
      <c r="CR158" s="120"/>
      <c r="CS158" s="134"/>
      <c r="CT158" s="134"/>
      <c r="CU158" s="120"/>
      <c r="CV158" s="202"/>
      <c r="CW158" s="202"/>
      <c r="CX158" s="120"/>
      <c r="CY158" s="202"/>
      <c r="CZ158" s="202"/>
      <c r="DA158" s="120"/>
      <c r="DB158" s="202"/>
      <c r="DC158" s="202"/>
      <c r="DD158" s="349"/>
      <c r="DE158" s="202"/>
      <c r="DF158" s="202"/>
      <c r="DG158" s="254"/>
      <c r="DH158" s="203"/>
      <c r="DI158" s="203"/>
      <c r="DJ158" s="259"/>
      <c r="DK158" s="136"/>
      <c r="DL158" s="136"/>
      <c r="DM158" s="120"/>
      <c r="DN158" s="233"/>
      <c r="DO158" s="233"/>
      <c r="DP158" s="120"/>
      <c r="DQ158" s="262"/>
      <c r="DR158" s="262"/>
      <c r="DS158" s="120"/>
      <c r="DT158" s="262"/>
      <c r="DU158" s="262"/>
      <c r="DV158" s="120"/>
      <c r="DW158" s="262"/>
      <c r="DX158" s="262"/>
      <c r="DY158" s="120"/>
      <c r="DZ158" s="262"/>
      <c r="EA158" s="262"/>
      <c r="EB158" s="265"/>
      <c r="EC158" s="262"/>
      <c r="ED158" s="262"/>
      <c r="EE158" s="254"/>
      <c r="EF158" s="233"/>
      <c r="EG158" s="233"/>
      <c r="EH158" s="120"/>
      <c r="EI158" s="262"/>
      <c r="EJ158" s="262"/>
      <c r="EK158" s="120"/>
      <c r="EL158" s="262"/>
      <c r="EM158" s="262"/>
      <c r="EN158" s="120"/>
      <c r="EO158" s="262"/>
      <c r="EP158" s="262"/>
      <c r="EQ158" s="120"/>
      <c r="ER158" s="262"/>
      <c r="ES158" s="262"/>
      <c r="ET158" s="120"/>
      <c r="EU158" s="262"/>
      <c r="EV158" s="262"/>
      <c r="EW158" s="120"/>
      <c r="EX158" s="262"/>
      <c r="EY158" s="262"/>
      <c r="EZ158" s="120"/>
      <c r="FA158" s="262"/>
      <c r="FB158" s="262"/>
      <c r="FC158" s="120"/>
      <c r="FD158" s="262"/>
      <c r="FE158" s="262"/>
      <c r="FF158" s="120"/>
      <c r="FG158" s="262"/>
      <c r="FH158" s="262"/>
      <c r="FI158" s="120"/>
      <c r="FJ158" s="262"/>
      <c r="FK158" s="262"/>
      <c r="FL158" s="120"/>
      <c r="FM158" s="262"/>
      <c r="FN158" s="262"/>
      <c r="FO158" s="120"/>
      <c r="FP158" s="262"/>
      <c r="FQ158" s="262"/>
      <c r="FR158" s="120"/>
      <c r="FS158" s="262"/>
      <c r="FT158" s="262"/>
      <c r="FU158" s="120"/>
      <c r="FV158" s="262"/>
      <c r="FW158" s="262"/>
      <c r="FX158" s="120"/>
      <c r="FY158" s="262"/>
      <c r="FZ158" s="262"/>
      <c r="GA158" s="256"/>
      <c r="GB158" s="233"/>
      <c r="GC158" s="233"/>
      <c r="GJ158" s="121">
        <f>IFERROR(IF(N(GE158)=0,0,(GD158/GE158)*L158*(C158+D158+E158+I158)),0)</f>
        <v>0</v>
      </c>
      <c r="GK158" s="121">
        <f>IFERROR(IF(N(GH158)=0,0,(GG158/GH158)*L158*(C158+D158+E158+I158)),0)</f>
        <v>0</v>
      </c>
      <c r="GM158" s="121">
        <f t="shared" si="39"/>
        <v>1</v>
      </c>
      <c r="GN158" s="121">
        <f t="shared" si="40"/>
        <v>0</v>
      </c>
      <c r="GO158" s="121">
        <f t="shared" si="41"/>
        <v>0</v>
      </c>
      <c r="GP158" s="121">
        <f t="shared" si="42"/>
        <v>0</v>
      </c>
      <c r="GQ158" s="121">
        <f t="shared" si="43"/>
        <v>0</v>
      </c>
      <c r="GR158" s="121">
        <f t="shared" si="44"/>
        <v>0</v>
      </c>
    </row>
    <row r="159" spans="2:200" ht="38.25" customHeight="1" x14ac:dyDescent="0.55000000000000004">
      <c r="B159" s="303" t="s">
        <v>465</v>
      </c>
      <c r="C159" s="198"/>
      <c r="D159" s="198"/>
      <c r="E159" s="198"/>
      <c r="F159" s="198"/>
      <c r="G159" s="198"/>
      <c r="H159" s="198"/>
      <c r="I159" s="142" cm="1">
        <f t="array" ref="I159">SUMPRODUCT(($X$2:$GG$2&lt;&gt;"")*($X159:$GG159&lt;&gt;""))</f>
        <v>1</v>
      </c>
      <c r="J159" s="122">
        <f t="shared" si="28"/>
        <v>0</v>
      </c>
      <c r="K159" s="122">
        <f t="shared" si="29"/>
        <v>0</v>
      </c>
      <c r="L159" s="249">
        <f t="shared" si="45"/>
        <v>7000</v>
      </c>
      <c r="M159" s="144">
        <f t="shared" si="30"/>
        <v>784</v>
      </c>
      <c r="N159" s="405"/>
      <c r="O159" s="145">
        <f t="shared" si="31"/>
        <v>0</v>
      </c>
      <c r="P159" s="145">
        <f t="shared" si="32"/>
        <v>0</v>
      </c>
      <c r="Q159" s="145">
        <f t="shared" si="33"/>
        <v>0</v>
      </c>
      <c r="R159" s="145">
        <f t="shared" si="34"/>
        <v>0</v>
      </c>
      <c r="S159" s="130">
        <f t="shared" si="35"/>
        <v>0</v>
      </c>
      <c r="T159" s="130">
        <f t="shared" si="36"/>
        <v>0</v>
      </c>
      <c r="U159" s="141"/>
      <c r="V159" s="123"/>
      <c r="W159" s="134"/>
      <c r="X159" s="347">
        <v>28</v>
      </c>
      <c r="Y159" s="347">
        <v>250</v>
      </c>
      <c r="Z159" s="348" t="s">
        <v>576</v>
      </c>
      <c r="AA159" s="120"/>
      <c r="AB159" s="134"/>
      <c r="AC159" s="200"/>
      <c r="AD159" s="125"/>
      <c r="AE159" s="134"/>
      <c r="AF159" s="200"/>
      <c r="AG159" s="120"/>
      <c r="AH159" s="262"/>
      <c r="AI159" s="262"/>
      <c r="AJ159" s="120"/>
      <c r="AK159" s="262"/>
      <c r="AL159" s="262"/>
      <c r="AM159" s="120"/>
      <c r="AN159" s="262"/>
      <c r="AO159" s="262"/>
      <c r="AP159" s="120"/>
      <c r="AQ159" s="262"/>
      <c r="AR159" s="262"/>
      <c r="AS159" s="120"/>
      <c r="AT159" s="262"/>
      <c r="AU159" s="262"/>
      <c r="AV159" s="120"/>
      <c r="AW159" s="262"/>
      <c r="AX159" s="262"/>
      <c r="AY159" s="120"/>
      <c r="AZ159" s="262"/>
      <c r="BA159" s="262"/>
      <c r="BB159" s="120"/>
      <c r="BC159" s="134"/>
      <c r="BD159" s="200"/>
      <c r="BE159" s="120"/>
      <c r="BF159" s="134"/>
      <c r="BG159" s="200"/>
      <c r="BH159" s="120"/>
      <c r="BI159" s="252"/>
      <c r="BJ159" s="252"/>
      <c r="BK159" s="120"/>
      <c r="BL159" s="134"/>
      <c r="BM159" s="134"/>
      <c r="BN159" s="120"/>
      <c r="BO159" s="252"/>
      <c r="BP159" s="252"/>
      <c r="BQ159" s="120"/>
      <c r="BR159" s="134"/>
      <c r="BS159" s="134"/>
      <c r="BT159" s="120"/>
      <c r="BU159" s="134"/>
      <c r="BV159" s="200"/>
      <c r="BW159" s="120"/>
      <c r="BX159" s="134"/>
      <c r="BY159" s="200"/>
      <c r="BZ159" s="120"/>
      <c r="CA159" s="126"/>
      <c r="CB159" s="126"/>
      <c r="CC159" s="120"/>
      <c r="CD159" s="126"/>
      <c r="CE159" s="126"/>
      <c r="CF159" s="120"/>
      <c r="CG159" s="134"/>
      <c r="CH159" s="134"/>
      <c r="CI159" s="120"/>
      <c r="CJ159" s="200"/>
      <c r="CK159" s="200"/>
      <c r="CL159" s="120"/>
      <c r="CM159" s="200"/>
      <c r="CN159" s="200"/>
      <c r="CO159" s="120"/>
      <c r="CP159" s="134"/>
      <c r="CQ159" s="134"/>
      <c r="CR159" s="120"/>
      <c r="CS159" s="134"/>
      <c r="CT159" s="134"/>
      <c r="CU159" s="120"/>
      <c r="CV159" s="202"/>
      <c r="CW159" s="202"/>
      <c r="CX159" s="120"/>
      <c r="CY159" s="202"/>
      <c r="CZ159" s="202"/>
      <c r="DA159" s="120"/>
      <c r="DB159" s="202"/>
      <c r="DC159" s="202"/>
      <c r="DD159" s="349"/>
      <c r="DE159" s="202"/>
      <c r="DF159" s="202"/>
      <c r="DG159" s="254"/>
      <c r="DH159" s="203"/>
      <c r="DI159" s="203"/>
      <c r="DJ159" s="259"/>
      <c r="DK159" s="136"/>
      <c r="DL159" s="136"/>
      <c r="DM159" s="120"/>
      <c r="DN159" s="233"/>
      <c r="DO159" s="233"/>
      <c r="DP159" s="120"/>
      <c r="DQ159" s="262"/>
      <c r="DR159" s="262"/>
      <c r="DS159" s="120"/>
      <c r="DT159" s="262"/>
      <c r="DU159" s="262"/>
      <c r="DV159" s="120"/>
      <c r="DW159" s="262"/>
      <c r="DX159" s="262"/>
      <c r="DY159" s="120"/>
      <c r="DZ159" s="262"/>
      <c r="EA159" s="262"/>
      <c r="EB159" s="265"/>
      <c r="EC159" s="262"/>
      <c r="ED159" s="262"/>
      <c r="EE159" s="254"/>
      <c r="EF159" s="233"/>
      <c r="EG159" s="233"/>
      <c r="EH159" s="120"/>
      <c r="EI159" s="262"/>
      <c r="EJ159" s="262"/>
      <c r="EK159" s="120"/>
      <c r="EL159" s="262"/>
      <c r="EM159" s="262"/>
      <c r="EN159" s="120"/>
      <c r="EO159" s="262"/>
      <c r="EP159" s="262"/>
      <c r="EQ159" s="120"/>
      <c r="ER159" s="262"/>
      <c r="ES159" s="262"/>
      <c r="ET159" s="120"/>
      <c r="EU159" s="262"/>
      <c r="EV159" s="262"/>
      <c r="EW159" s="120"/>
      <c r="EX159" s="262"/>
      <c r="EY159" s="262"/>
      <c r="EZ159" s="120"/>
      <c r="FA159" s="262"/>
      <c r="FB159" s="262"/>
      <c r="FC159" s="120"/>
      <c r="FD159" s="262"/>
      <c r="FE159" s="262"/>
      <c r="FF159" s="120"/>
      <c r="FG159" s="262"/>
      <c r="FH159" s="262"/>
      <c r="FI159" s="120"/>
      <c r="FJ159" s="262"/>
      <c r="FK159" s="262"/>
      <c r="FL159" s="120"/>
      <c r="FM159" s="262"/>
      <c r="FN159" s="262"/>
      <c r="FO159" s="120"/>
      <c r="FP159" s="262"/>
      <c r="FQ159" s="262"/>
      <c r="FR159" s="120"/>
      <c r="FS159" s="262"/>
      <c r="FT159" s="262"/>
      <c r="FU159" s="120"/>
      <c r="FV159" s="262"/>
      <c r="FW159" s="262"/>
      <c r="FX159" s="120"/>
      <c r="FY159" s="262"/>
      <c r="FZ159" s="262"/>
      <c r="GA159" s="256"/>
      <c r="GB159" s="233"/>
      <c r="GC159" s="233"/>
      <c r="GJ159" s="121">
        <f t="shared" si="37"/>
        <v>0</v>
      </c>
      <c r="GK159" s="121">
        <f t="shared" si="38"/>
        <v>0</v>
      </c>
      <c r="GM159" s="121">
        <f t="shared" si="39"/>
        <v>1</v>
      </c>
      <c r="GN159" s="121">
        <f t="shared" si="40"/>
        <v>0</v>
      </c>
      <c r="GO159" s="121">
        <f t="shared" si="41"/>
        <v>0</v>
      </c>
      <c r="GP159" s="121">
        <f t="shared" si="42"/>
        <v>0</v>
      </c>
      <c r="GQ159" s="121">
        <f t="shared" si="43"/>
        <v>0</v>
      </c>
      <c r="GR159" s="121">
        <f t="shared" si="44"/>
        <v>0</v>
      </c>
    </row>
    <row r="160" spans="2:200" ht="38.25" customHeight="1" x14ac:dyDescent="0.55000000000000004">
      <c r="B160" s="303" t="s">
        <v>467</v>
      </c>
      <c r="C160" s="198"/>
      <c r="D160" s="198"/>
      <c r="E160" s="198"/>
      <c r="F160" s="198"/>
      <c r="G160" s="198"/>
      <c r="H160" s="198"/>
      <c r="I160" s="142" cm="1">
        <f t="array" ref="I160">SUMPRODUCT(($X$2:$GG$2&lt;&gt;"")*($X160:$GG160&lt;&gt;""))</f>
        <v>1</v>
      </c>
      <c r="J160" s="122">
        <f t="shared" ref="J160:J186" si="51">I160*C160</f>
        <v>0</v>
      </c>
      <c r="K160" s="122">
        <f t="shared" ref="K160:K186" si="52">($L$1/$K$2)*J160</f>
        <v>0</v>
      </c>
      <c r="L160" s="249">
        <f t="shared" si="45"/>
        <v>7000</v>
      </c>
      <c r="M160" s="144">
        <f t="shared" ref="M160:M186" si="53">IFERROR(IF(N(Y160)=0,0,(X160/Y160)*L160*(C160+D160+E160+I160)),0)</f>
        <v>784</v>
      </c>
      <c r="N160" s="405"/>
      <c r="O160" s="145">
        <f t="shared" ref="O160:O186" si="54">IFERROR(IF(N(AE160)=0,0,(AD160/AE160)*L160*(C160+D160+E160+I160)),0)</f>
        <v>0</v>
      </c>
      <c r="P160" s="145">
        <f t="shared" ref="P160:P186" si="55">(IFERROR(AA160/AB160,0)+IFERROR(AG160/AH160,0)+IFERROR(AJ160/AK160,0)+IFERROR(AM160/AN160,0)+IFERROR(AP160/AQ160,0)+IFERROR(AS160/AT160,0)+IFERROR(AV160/AW160,0)+IFERROR(AY160/AZ160,0)+IFERROR(BB160/BC160,0)+IFERROR(BE160/BF160,0)+IFERROR(BH160/BI160,0)+IFERROR(BK160/BL160,0)+IFERROR(BN160/BO160,0)+IFERROR(BQ160/BR160,0)+IFERROR(BT160/BU160,0)+IFERROR(BW160/BX160,0)+IFERROR(BZ160/CA160,0)+IFERROR(CC160/CD160,0)+IFERROR(CF160/CG160,0)+IFERROR(CI160/CJ160,0)+IFERROR(CL160/CM160,0)+IFERROR(CO160/CP160,0)+IFERROR(CR160/CS160,0)+IFERROR(CU160/CV160,0)+IFERROR(CX160/CY160,0)+IFERROR(DA160/DB160,0)+IFERROR(DM160/DN160,0)+IFERROR(DP160/DQ160,0)+IFERROR(DS160/DT160,0)+IFERROR(DV160/DW160,0)+IFERROR(DY160/DZ160,0)+IFERROR(EH160/EI160,0)+IFERROR(EK160/EL160,0)+IFERROR(EN160/EO160,0)+IFERROR(EQ160/ER160,0)+IFERROR(ET160/EU160,0)+IFERROR(EW160/EX160,0)+IFERROR(EZ160/FA160,0)+IFERROR(FC160/FD160,0)+IFERROR(FF160/FG160,0)+IFERROR(FI160/FJ160,0)+IFERROR(FL160/FM160,0)+IFERROR(FO160/FP160,0)+IFERROR(FR160/FS160,0)+IFERROR(FU160/FV160,0)+IFERROR(FX160/FY160,0))*L160*(C160+D160+E160+I160)</f>
        <v>0</v>
      </c>
      <c r="Q160" s="145">
        <f t="shared" ref="Q160:Q186" si="56">IFERROR(IF(N(EC160)=0,0,(EB160/EC160)*L160*(C160+D160+E160+I160)),0)</f>
        <v>0</v>
      </c>
      <c r="R160" s="145">
        <f t="shared" ref="R160:R186" si="57">(IFERROR(DJ160/DK160,0)+IFERROR(DG160/DH160,0)+IFERROR(EE160/EF160,0)+IFERROR(GA160/GB160,0))*L160*(C160+D160+E160+I160)</f>
        <v>0</v>
      </c>
      <c r="S160" s="130">
        <f t="shared" ref="S160:S186" si="58">IFERROR(IF(N(W160)=0,0,(V160/W160)*L160*(C160+D160+E160+I160)),0)</f>
        <v>0</v>
      </c>
      <c r="T160" s="130">
        <f t="shared" ref="T160:T186" si="59">IFERROR(IF(N(DE160)=0,0,(DD160/DE160)*L160*(C160+D160+E160+I160)),0)</f>
        <v>0</v>
      </c>
      <c r="U160" s="141"/>
      <c r="V160" s="123"/>
      <c r="W160" s="134"/>
      <c r="X160" s="347">
        <v>28</v>
      </c>
      <c r="Y160" s="347">
        <v>250</v>
      </c>
      <c r="Z160" s="348" t="s">
        <v>576</v>
      </c>
      <c r="AA160" s="120"/>
      <c r="AB160" s="134"/>
      <c r="AC160" s="200"/>
      <c r="AD160" s="125"/>
      <c r="AE160" s="134"/>
      <c r="AF160" s="200"/>
      <c r="AG160" s="120"/>
      <c r="AH160" s="262"/>
      <c r="AI160" s="262"/>
      <c r="AJ160" s="120"/>
      <c r="AK160" s="262"/>
      <c r="AL160" s="262"/>
      <c r="AM160" s="120"/>
      <c r="AN160" s="262"/>
      <c r="AO160" s="262"/>
      <c r="AP160" s="120"/>
      <c r="AQ160" s="262"/>
      <c r="AR160" s="262"/>
      <c r="AS160" s="120"/>
      <c r="AT160" s="262"/>
      <c r="AU160" s="262"/>
      <c r="AV160" s="120"/>
      <c r="AW160" s="262"/>
      <c r="AX160" s="262"/>
      <c r="AY160" s="120"/>
      <c r="AZ160" s="262"/>
      <c r="BA160" s="262"/>
      <c r="BB160" s="120"/>
      <c r="BC160" s="134"/>
      <c r="BD160" s="200"/>
      <c r="BE160" s="120"/>
      <c r="BF160" s="134"/>
      <c r="BG160" s="200"/>
      <c r="BH160" s="120"/>
      <c r="BI160" s="252"/>
      <c r="BJ160" s="252"/>
      <c r="BK160" s="120"/>
      <c r="BL160" s="134"/>
      <c r="BM160" s="134"/>
      <c r="BN160" s="120"/>
      <c r="BO160" s="252"/>
      <c r="BP160" s="252"/>
      <c r="BQ160" s="120"/>
      <c r="BR160" s="134"/>
      <c r="BS160" s="134"/>
      <c r="BT160" s="120"/>
      <c r="BU160" s="134"/>
      <c r="BV160" s="200"/>
      <c r="BW160" s="120"/>
      <c r="BX160" s="134"/>
      <c r="BY160" s="200"/>
      <c r="BZ160" s="120"/>
      <c r="CA160" s="126"/>
      <c r="CB160" s="126"/>
      <c r="CC160" s="120"/>
      <c r="CD160" s="126"/>
      <c r="CE160" s="126"/>
      <c r="CF160" s="120"/>
      <c r="CG160" s="134"/>
      <c r="CH160" s="134"/>
      <c r="CI160" s="120"/>
      <c r="CJ160" s="200"/>
      <c r="CK160" s="200"/>
      <c r="CL160" s="120"/>
      <c r="CM160" s="200"/>
      <c r="CN160" s="200"/>
      <c r="CO160" s="120"/>
      <c r="CP160" s="134"/>
      <c r="CQ160" s="134"/>
      <c r="CR160" s="120"/>
      <c r="CS160" s="134"/>
      <c r="CT160" s="134"/>
      <c r="CU160" s="120"/>
      <c r="CV160" s="202"/>
      <c r="CW160" s="202"/>
      <c r="CX160" s="120"/>
      <c r="CY160" s="202"/>
      <c r="CZ160" s="202"/>
      <c r="DA160" s="120"/>
      <c r="DB160" s="202"/>
      <c r="DC160" s="202"/>
      <c r="DD160" s="349"/>
      <c r="DE160" s="202"/>
      <c r="DF160" s="202"/>
      <c r="DG160" s="254"/>
      <c r="DH160" s="203"/>
      <c r="DI160" s="203"/>
      <c r="DJ160" s="259"/>
      <c r="DK160" s="136"/>
      <c r="DL160" s="136"/>
      <c r="DM160" s="120"/>
      <c r="DN160" s="233"/>
      <c r="DO160" s="233"/>
      <c r="DP160" s="120"/>
      <c r="DQ160" s="262"/>
      <c r="DR160" s="262"/>
      <c r="DS160" s="120"/>
      <c r="DT160" s="262"/>
      <c r="DU160" s="262"/>
      <c r="DV160" s="120"/>
      <c r="DW160" s="262"/>
      <c r="DX160" s="262"/>
      <c r="DY160" s="120"/>
      <c r="DZ160" s="262"/>
      <c r="EA160" s="262"/>
      <c r="EB160" s="265"/>
      <c r="EC160" s="262"/>
      <c r="ED160" s="262"/>
      <c r="EE160" s="254"/>
      <c r="EF160" s="233"/>
      <c r="EG160" s="233"/>
      <c r="EH160" s="120"/>
      <c r="EI160" s="262"/>
      <c r="EJ160" s="262"/>
      <c r="EK160" s="120"/>
      <c r="EL160" s="262"/>
      <c r="EM160" s="262"/>
      <c r="EN160" s="120"/>
      <c r="EO160" s="262"/>
      <c r="EP160" s="262"/>
      <c r="EQ160" s="120"/>
      <c r="ER160" s="262"/>
      <c r="ES160" s="262"/>
      <c r="ET160" s="120"/>
      <c r="EU160" s="262"/>
      <c r="EV160" s="262"/>
      <c r="EW160" s="120"/>
      <c r="EX160" s="262"/>
      <c r="EY160" s="262"/>
      <c r="EZ160" s="120"/>
      <c r="FA160" s="262"/>
      <c r="FB160" s="262"/>
      <c r="FC160" s="120"/>
      <c r="FD160" s="262"/>
      <c r="FE160" s="262"/>
      <c r="FF160" s="120"/>
      <c r="FG160" s="262"/>
      <c r="FH160" s="262"/>
      <c r="FI160" s="120"/>
      <c r="FJ160" s="262"/>
      <c r="FK160" s="262"/>
      <c r="FL160" s="120"/>
      <c r="FM160" s="262"/>
      <c r="FN160" s="262"/>
      <c r="FO160" s="120"/>
      <c r="FP160" s="262"/>
      <c r="FQ160" s="262"/>
      <c r="FR160" s="120"/>
      <c r="FS160" s="262"/>
      <c r="FT160" s="262"/>
      <c r="FU160" s="120"/>
      <c r="FV160" s="262"/>
      <c r="FW160" s="262"/>
      <c r="FX160" s="120"/>
      <c r="FY160" s="262"/>
      <c r="FZ160" s="262"/>
      <c r="GA160" s="256"/>
      <c r="GB160" s="233"/>
      <c r="GC160" s="233"/>
      <c r="GJ160" s="121">
        <f t="shared" ref="GJ160:GJ186" si="60">IFERROR(IF(N(GE160)=0,0,(GD160/GE160)*L160*(C160+D160+E160+I160)),0)</f>
        <v>0</v>
      </c>
      <c r="GK160" s="121">
        <f t="shared" ref="GK160:GK186" si="61">IFERROR(IF(N(GH160)=0,0,(GG160/GH160)*L160*(C160+D160+E160+I160)),0)</f>
        <v>0</v>
      </c>
      <c r="GM160" s="121">
        <f t="shared" ref="GM160:GM186" si="62">(N(X160)&gt;0)*(Z160&lt;&gt;"")</f>
        <v>1</v>
      </c>
      <c r="GN160" s="121">
        <f t="shared" ref="GN160:GN186" si="63">(N(AA160)&gt;0)*(AC160&lt;&gt;"")</f>
        <v>0</v>
      </c>
      <c r="GO160" s="121">
        <f t="shared" ref="GO160:GO186" si="64">(N(AD160)&gt;0)*(AF160&lt;&gt;"")</f>
        <v>0</v>
      </c>
      <c r="GP160" s="121">
        <f t="shared" ref="GP160:GP186" si="65">((N(AG160)&gt;0)*(AI160&lt;&gt;"")+(N(AJ160)&gt;0)*(AL160&lt;&gt;"")+(N(AM160)&gt;0)*(AO160&lt;&gt;"")+(N(AP160)&gt;0)*(AR160&lt;&gt;"")+(N(AS160)&gt;0)*(AU160&lt;&gt;"")+(N(AV160)&gt;0)*(AX160&lt;&gt;"")+(N(AY160)&gt;0)*(BA160&lt;&gt;"")+(N(BB160)&gt;0)*(BD160&lt;&gt;"")+(N(BE160)&gt;0)*(BG160&lt;&gt;"")+(N(BH160)&gt;0)*(BJ160&lt;&gt;"")+(N(BK160)&gt;0)*(BM160&lt;&gt;"")+(N(BN160)&gt;0)*(BP160&lt;&gt;"")+(N(BQ160)&gt;0)*(BS160&lt;&gt;"")+(N(BT160)&gt;0)*(BV160&lt;&gt;"")+(N(BW160)&gt;0)*(BY160&lt;&gt;"")+(N(BZ160)&gt;0)*(CB160&lt;&gt;"")+(N(CC160)&gt;0)*(CE160&lt;&gt;"")+(N(CF160)&gt;0)*(CH160&lt;&gt;"")+(N(CI160)&gt;0)*(CK160&lt;&gt;"")+(N(CL160)&gt;0)*(CN160&lt;&gt;"")+(N(CO160)&gt;0)*(CQ160&lt;&gt;"")+(N(CR160)&gt;0)*(CT160&lt;&gt;"")+(N(CU160)&gt;0)*(CW160&lt;&gt;"")+(N(CX160)&gt;0)*(CZ160&lt;&gt;"")+(N(DA160)&gt;0)*(DC160&lt;&gt;"")+(N(DM160)&gt;0)*(DO160&lt;&gt;"")+(N(DP160)&gt;0)*(DR160&lt;&gt;"")+(N(DS160)&gt;0)*(DU160&lt;&gt;"")+(N(DV160)&gt;0)*(DX160&lt;&gt;"")+(N(DY160)&gt;0)*(EA160&lt;&gt;"")+(N(EH160)&gt;0)*(EJ160&lt;&gt;"")+(N(EK160)&gt;0)*(EM160&lt;&gt;"")+(N(EN160)&gt;0)*(EP160&lt;&gt;"")+(N(EQ160)&gt;0)*(ES160&lt;&gt;"")+(N(ET160)&gt;0)*(EV160&lt;&gt;"")+(N(EW160)&gt;0)*(EY160&lt;&gt;"")+(N(EZ160)&gt;0)*(FB160&lt;&gt;"")+(N(FC160)&gt;0)*(FE160&lt;&gt;"")+(N(FF160)&gt;0)*(FH160&lt;&gt;"")+(N(FI160)&gt;0)*(FK160&lt;&gt;"")+(N(FL160)&gt;0)*(FN160&lt;&gt;"")+(N(FO160)&gt;0)*(FQ160&lt;&gt;"")+(N(FR160)&gt;0)*(FT160&lt;&gt;"")+(N(FU160)&gt;0)*(FW160&lt;&gt;"")+(N(FX160)&gt;0)*(FZ160&lt;&gt;""))</f>
        <v>0</v>
      </c>
      <c r="GQ160" s="121">
        <f t="shared" ref="GQ160:GQ186" si="66">(N(DD160)&gt;0)*(DF160&lt;&gt;"")</f>
        <v>0</v>
      </c>
      <c r="GR160" s="121">
        <f t="shared" ref="GR160:GR186" si="67">(N(V160)&gt;0)*(N(W160)&gt;0)</f>
        <v>0</v>
      </c>
    </row>
    <row r="161" spans="2:200" ht="38.25" customHeight="1" x14ac:dyDescent="0.55000000000000004">
      <c r="B161" s="303" t="s">
        <v>468</v>
      </c>
      <c r="C161" s="198"/>
      <c r="D161" s="198"/>
      <c r="E161" s="198"/>
      <c r="F161" s="198"/>
      <c r="G161" s="198"/>
      <c r="H161" s="198"/>
      <c r="I161" s="142" cm="1">
        <f t="array" ref="I161">SUMPRODUCT(($X$2:$GG$2&lt;&gt;"")*($X161:$GG161&lt;&gt;""))</f>
        <v>1</v>
      </c>
      <c r="J161" s="122">
        <f t="shared" si="51"/>
        <v>0</v>
      </c>
      <c r="K161" s="122">
        <f t="shared" si="52"/>
        <v>0</v>
      </c>
      <c r="L161" s="249">
        <f t="shared" si="45"/>
        <v>7000</v>
      </c>
      <c r="M161" s="144">
        <f t="shared" si="53"/>
        <v>784</v>
      </c>
      <c r="N161" s="405"/>
      <c r="O161" s="145">
        <f t="shared" si="54"/>
        <v>0</v>
      </c>
      <c r="P161" s="145">
        <f t="shared" si="55"/>
        <v>0</v>
      </c>
      <c r="Q161" s="145">
        <f t="shared" si="56"/>
        <v>0</v>
      </c>
      <c r="R161" s="145">
        <f t="shared" si="57"/>
        <v>0</v>
      </c>
      <c r="S161" s="130">
        <f t="shared" si="58"/>
        <v>0</v>
      </c>
      <c r="T161" s="130">
        <f t="shared" si="59"/>
        <v>0</v>
      </c>
      <c r="U161" s="141"/>
      <c r="V161" s="123"/>
      <c r="W161" s="134"/>
      <c r="X161" s="347">
        <v>28</v>
      </c>
      <c r="Y161" s="347">
        <v>250</v>
      </c>
      <c r="Z161" s="348" t="s">
        <v>576</v>
      </c>
      <c r="AA161" s="120"/>
      <c r="AB161" s="134"/>
      <c r="AC161" s="200"/>
      <c r="AD161" s="125"/>
      <c r="AE161" s="134"/>
      <c r="AF161" s="200"/>
      <c r="AG161" s="120"/>
      <c r="AH161" s="262"/>
      <c r="AI161" s="262"/>
      <c r="AJ161" s="120"/>
      <c r="AK161" s="262"/>
      <c r="AL161" s="262"/>
      <c r="AM161" s="120"/>
      <c r="AN161" s="262"/>
      <c r="AO161" s="262"/>
      <c r="AP161" s="120"/>
      <c r="AQ161" s="262"/>
      <c r="AR161" s="262"/>
      <c r="AS161" s="120"/>
      <c r="AT161" s="262"/>
      <c r="AU161" s="262"/>
      <c r="AV161" s="120"/>
      <c r="AW161" s="262"/>
      <c r="AX161" s="262"/>
      <c r="AY161" s="120"/>
      <c r="AZ161" s="262"/>
      <c r="BA161" s="262"/>
      <c r="BB161" s="120"/>
      <c r="BC161" s="134"/>
      <c r="BD161" s="200"/>
      <c r="BE161" s="120"/>
      <c r="BF161" s="134"/>
      <c r="BG161" s="200"/>
      <c r="BH161" s="120"/>
      <c r="BI161" s="252"/>
      <c r="BJ161" s="252"/>
      <c r="BK161" s="120"/>
      <c r="BL161" s="134"/>
      <c r="BM161" s="134"/>
      <c r="BN161" s="120"/>
      <c r="BO161" s="252"/>
      <c r="BP161" s="252"/>
      <c r="BQ161" s="120"/>
      <c r="BR161" s="134"/>
      <c r="BS161" s="134"/>
      <c r="BT161" s="120"/>
      <c r="BU161" s="134"/>
      <c r="BV161" s="200"/>
      <c r="BW161" s="120"/>
      <c r="BX161" s="134"/>
      <c r="BY161" s="200"/>
      <c r="BZ161" s="120"/>
      <c r="CA161" s="126"/>
      <c r="CB161" s="126"/>
      <c r="CC161" s="120"/>
      <c r="CD161" s="126"/>
      <c r="CE161" s="126"/>
      <c r="CF161" s="120"/>
      <c r="CG161" s="134"/>
      <c r="CH161" s="134"/>
      <c r="CI161" s="120"/>
      <c r="CJ161" s="200"/>
      <c r="CK161" s="200"/>
      <c r="CL161" s="120"/>
      <c r="CM161" s="200"/>
      <c r="CN161" s="200"/>
      <c r="CO161" s="120"/>
      <c r="CP161" s="134"/>
      <c r="CQ161" s="134"/>
      <c r="CR161" s="120"/>
      <c r="CS161" s="134"/>
      <c r="CT161" s="134"/>
      <c r="CU161" s="120"/>
      <c r="CV161" s="202"/>
      <c r="CW161" s="202"/>
      <c r="CX161" s="120"/>
      <c r="CY161" s="202"/>
      <c r="CZ161" s="202"/>
      <c r="DA161" s="120"/>
      <c r="DB161" s="202"/>
      <c r="DC161" s="202"/>
      <c r="DD161" s="349"/>
      <c r="DE161" s="202"/>
      <c r="DF161" s="202"/>
      <c r="DG161" s="254"/>
      <c r="DH161" s="203"/>
      <c r="DI161" s="203"/>
      <c r="DJ161" s="259"/>
      <c r="DK161" s="136"/>
      <c r="DL161" s="136"/>
      <c r="DM161" s="120"/>
      <c r="DN161" s="233"/>
      <c r="DO161" s="233"/>
      <c r="DP161" s="120"/>
      <c r="DQ161" s="262"/>
      <c r="DR161" s="262"/>
      <c r="DS161" s="120"/>
      <c r="DT161" s="262"/>
      <c r="DU161" s="262"/>
      <c r="DV161" s="120"/>
      <c r="DW161" s="262"/>
      <c r="DX161" s="262"/>
      <c r="DY161" s="120"/>
      <c r="DZ161" s="262"/>
      <c r="EA161" s="262"/>
      <c r="EB161" s="265"/>
      <c r="EC161" s="262"/>
      <c r="ED161" s="262"/>
      <c r="EE161" s="254"/>
      <c r="EF161" s="233"/>
      <c r="EG161" s="233"/>
      <c r="EH161" s="120"/>
      <c r="EI161" s="262"/>
      <c r="EJ161" s="262"/>
      <c r="EK161" s="120"/>
      <c r="EL161" s="262"/>
      <c r="EM161" s="262"/>
      <c r="EN161" s="120"/>
      <c r="EO161" s="262"/>
      <c r="EP161" s="262"/>
      <c r="EQ161" s="120"/>
      <c r="ER161" s="262"/>
      <c r="ES161" s="262"/>
      <c r="ET161" s="120"/>
      <c r="EU161" s="262"/>
      <c r="EV161" s="262"/>
      <c r="EW161" s="120"/>
      <c r="EX161" s="262"/>
      <c r="EY161" s="262"/>
      <c r="EZ161" s="120"/>
      <c r="FA161" s="262"/>
      <c r="FB161" s="262"/>
      <c r="FC161" s="120"/>
      <c r="FD161" s="262"/>
      <c r="FE161" s="262"/>
      <c r="FF161" s="120"/>
      <c r="FG161" s="262"/>
      <c r="FH161" s="262"/>
      <c r="FI161" s="120"/>
      <c r="FJ161" s="262"/>
      <c r="FK161" s="262"/>
      <c r="FL161" s="120"/>
      <c r="FM161" s="262"/>
      <c r="FN161" s="262"/>
      <c r="FO161" s="120"/>
      <c r="FP161" s="262"/>
      <c r="FQ161" s="262"/>
      <c r="FR161" s="120"/>
      <c r="FS161" s="262"/>
      <c r="FT161" s="262"/>
      <c r="FU161" s="120"/>
      <c r="FV161" s="262"/>
      <c r="FW161" s="262"/>
      <c r="FX161" s="120"/>
      <c r="FY161" s="262"/>
      <c r="FZ161" s="262"/>
      <c r="GA161" s="256"/>
      <c r="GB161" s="233"/>
      <c r="GC161" s="233"/>
      <c r="GJ161" s="121">
        <f t="shared" si="60"/>
        <v>0</v>
      </c>
      <c r="GK161" s="121">
        <f t="shared" si="61"/>
        <v>0</v>
      </c>
      <c r="GM161" s="121">
        <f t="shared" si="62"/>
        <v>1</v>
      </c>
      <c r="GN161" s="121">
        <f t="shared" si="63"/>
        <v>0</v>
      </c>
      <c r="GO161" s="121">
        <f t="shared" si="64"/>
        <v>0</v>
      </c>
      <c r="GP161" s="121">
        <f t="shared" si="65"/>
        <v>0</v>
      </c>
      <c r="GQ161" s="121">
        <f t="shared" si="66"/>
        <v>0</v>
      </c>
      <c r="GR161" s="121">
        <f t="shared" si="67"/>
        <v>0</v>
      </c>
    </row>
    <row r="162" spans="2:200" ht="38.25" customHeight="1" x14ac:dyDescent="0.55000000000000004">
      <c r="B162" s="303" t="s">
        <v>469</v>
      </c>
      <c r="C162" s="198"/>
      <c r="D162" s="198"/>
      <c r="E162" s="198"/>
      <c r="F162" s="198"/>
      <c r="G162" s="198"/>
      <c r="H162" s="198"/>
      <c r="I162" s="142" cm="1">
        <f t="array" ref="I162">SUMPRODUCT(($X$2:$GG$2&lt;&gt;"")*($X162:$GG162&lt;&gt;""))</f>
        <v>1</v>
      </c>
      <c r="J162" s="122">
        <f t="shared" si="51"/>
        <v>0</v>
      </c>
      <c r="K162" s="122">
        <f t="shared" si="52"/>
        <v>0</v>
      </c>
      <c r="L162" s="249">
        <f t="shared" si="45"/>
        <v>7000</v>
      </c>
      <c r="M162" s="144">
        <f t="shared" si="53"/>
        <v>784</v>
      </c>
      <c r="N162" s="405"/>
      <c r="O162" s="145">
        <f t="shared" si="54"/>
        <v>0</v>
      </c>
      <c r="P162" s="145">
        <f t="shared" si="55"/>
        <v>0</v>
      </c>
      <c r="Q162" s="145">
        <f t="shared" si="56"/>
        <v>0</v>
      </c>
      <c r="R162" s="145">
        <f t="shared" si="57"/>
        <v>0</v>
      </c>
      <c r="S162" s="130">
        <f t="shared" si="58"/>
        <v>0</v>
      </c>
      <c r="T162" s="130">
        <f t="shared" si="59"/>
        <v>0</v>
      </c>
      <c r="U162" s="141"/>
      <c r="V162" s="123"/>
      <c r="W162" s="134"/>
      <c r="X162" s="347">
        <v>28</v>
      </c>
      <c r="Y162" s="347">
        <v>250</v>
      </c>
      <c r="Z162" s="348" t="s">
        <v>576</v>
      </c>
      <c r="AA162" s="120"/>
      <c r="AB162" s="134"/>
      <c r="AC162" s="200"/>
      <c r="AD162" s="125"/>
      <c r="AE162" s="134"/>
      <c r="AF162" s="200"/>
      <c r="AG162" s="120"/>
      <c r="AH162" s="262"/>
      <c r="AI162" s="262"/>
      <c r="AJ162" s="120"/>
      <c r="AK162" s="262"/>
      <c r="AL162" s="262"/>
      <c r="AM162" s="120"/>
      <c r="AN162" s="262"/>
      <c r="AO162" s="262"/>
      <c r="AP162" s="120"/>
      <c r="AQ162" s="262"/>
      <c r="AR162" s="262"/>
      <c r="AS162" s="120"/>
      <c r="AT162" s="262"/>
      <c r="AU162" s="262"/>
      <c r="AV162" s="120"/>
      <c r="AW162" s="262"/>
      <c r="AX162" s="262"/>
      <c r="AY162" s="120"/>
      <c r="AZ162" s="262"/>
      <c r="BA162" s="262"/>
      <c r="BB162" s="120"/>
      <c r="BC162" s="134"/>
      <c r="BD162" s="200"/>
      <c r="BE162" s="120"/>
      <c r="BF162" s="134"/>
      <c r="BG162" s="200"/>
      <c r="BH162" s="120"/>
      <c r="BI162" s="252"/>
      <c r="BJ162" s="252"/>
      <c r="BK162" s="120"/>
      <c r="BL162" s="134"/>
      <c r="BM162" s="134"/>
      <c r="BN162" s="120"/>
      <c r="BO162" s="252"/>
      <c r="BP162" s="252"/>
      <c r="BQ162" s="120"/>
      <c r="BR162" s="134"/>
      <c r="BS162" s="134"/>
      <c r="BT162" s="120"/>
      <c r="BU162" s="134"/>
      <c r="BV162" s="200"/>
      <c r="BW162" s="120"/>
      <c r="BX162" s="134"/>
      <c r="BY162" s="200"/>
      <c r="BZ162" s="120"/>
      <c r="CA162" s="126"/>
      <c r="CB162" s="126"/>
      <c r="CC162" s="120"/>
      <c r="CD162" s="126"/>
      <c r="CE162" s="126"/>
      <c r="CF162" s="120"/>
      <c r="CG162" s="134"/>
      <c r="CH162" s="134"/>
      <c r="CI162" s="120"/>
      <c r="CJ162" s="200"/>
      <c r="CK162" s="200"/>
      <c r="CL162" s="120"/>
      <c r="CM162" s="200"/>
      <c r="CN162" s="200"/>
      <c r="CO162" s="120"/>
      <c r="CP162" s="134"/>
      <c r="CQ162" s="134"/>
      <c r="CR162" s="120"/>
      <c r="CS162" s="134"/>
      <c r="CT162" s="134"/>
      <c r="CU162" s="120"/>
      <c r="CV162" s="202"/>
      <c r="CW162" s="202"/>
      <c r="CX162" s="120"/>
      <c r="CY162" s="202"/>
      <c r="CZ162" s="202"/>
      <c r="DA162" s="120"/>
      <c r="DB162" s="202"/>
      <c r="DC162" s="202"/>
      <c r="DD162" s="349"/>
      <c r="DE162" s="202"/>
      <c r="DF162" s="202"/>
      <c r="DG162" s="254"/>
      <c r="DH162" s="203"/>
      <c r="DI162" s="203"/>
      <c r="DJ162" s="259"/>
      <c r="DK162" s="136"/>
      <c r="DL162" s="136"/>
      <c r="DM162" s="120"/>
      <c r="DN162" s="233"/>
      <c r="DO162" s="233"/>
      <c r="DP162" s="120"/>
      <c r="DQ162" s="262"/>
      <c r="DR162" s="262"/>
      <c r="DS162" s="120"/>
      <c r="DT162" s="262"/>
      <c r="DU162" s="262"/>
      <c r="DV162" s="120"/>
      <c r="DW162" s="262"/>
      <c r="DX162" s="262"/>
      <c r="DY162" s="120"/>
      <c r="DZ162" s="262"/>
      <c r="EA162" s="262"/>
      <c r="EB162" s="265"/>
      <c r="EC162" s="262"/>
      <c r="ED162" s="262"/>
      <c r="EE162" s="254"/>
      <c r="EF162" s="233"/>
      <c r="EG162" s="233"/>
      <c r="EH162" s="120"/>
      <c r="EI162" s="262"/>
      <c r="EJ162" s="262"/>
      <c r="EK162" s="120"/>
      <c r="EL162" s="262"/>
      <c r="EM162" s="262"/>
      <c r="EN162" s="120"/>
      <c r="EO162" s="262"/>
      <c r="EP162" s="262"/>
      <c r="EQ162" s="120"/>
      <c r="ER162" s="262"/>
      <c r="ES162" s="262"/>
      <c r="ET162" s="120"/>
      <c r="EU162" s="262"/>
      <c r="EV162" s="262"/>
      <c r="EW162" s="120"/>
      <c r="EX162" s="262"/>
      <c r="EY162" s="262"/>
      <c r="EZ162" s="120"/>
      <c r="FA162" s="262"/>
      <c r="FB162" s="262"/>
      <c r="FC162" s="120"/>
      <c r="FD162" s="262"/>
      <c r="FE162" s="262"/>
      <c r="FF162" s="120"/>
      <c r="FG162" s="262"/>
      <c r="FH162" s="262"/>
      <c r="FI162" s="120"/>
      <c r="FJ162" s="262"/>
      <c r="FK162" s="262"/>
      <c r="FL162" s="120"/>
      <c r="FM162" s="262"/>
      <c r="FN162" s="262"/>
      <c r="FO162" s="120"/>
      <c r="FP162" s="262"/>
      <c r="FQ162" s="262"/>
      <c r="FR162" s="120"/>
      <c r="FS162" s="262"/>
      <c r="FT162" s="262"/>
      <c r="FU162" s="120"/>
      <c r="FV162" s="262"/>
      <c r="FW162" s="262"/>
      <c r="FX162" s="120"/>
      <c r="FY162" s="262"/>
      <c r="FZ162" s="262"/>
      <c r="GA162" s="256"/>
      <c r="GB162" s="233"/>
      <c r="GC162" s="233"/>
      <c r="GJ162" s="121">
        <f t="shared" si="60"/>
        <v>0</v>
      </c>
      <c r="GK162" s="121">
        <f t="shared" si="61"/>
        <v>0</v>
      </c>
      <c r="GM162" s="121">
        <f t="shared" si="62"/>
        <v>1</v>
      </c>
      <c r="GN162" s="121">
        <f t="shared" si="63"/>
        <v>0</v>
      </c>
      <c r="GO162" s="121">
        <f t="shared" si="64"/>
        <v>0</v>
      </c>
      <c r="GP162" s="121">
        <f t="shared" si="65"/>
        <v>0</v>
      </c>
      <c r="GQ162" s="121">
        <f t="shared" si="66"/>
        <v>0</v>
      </c>
      <c r="GR162" s="121">
        <f t="shared" si="67"/>
        <v>0</v>
      </c>
    </row>
    <row r="163" spans="2:200" ht="38.25" customHeight="1" x14ac:dyDescent="0.55000000000000004">
      <c r="B163" s="303" t="s">
        <v>470</v>
      </c>
      <c r="C163" s="198"/>
      <c r="D163" s="198"/>
      <c r="E163" s="198"/>
      <c r="F163" s="198"/>
      <c r="G163" s="198"/>
      <c r="H163" s="198"/>
      <c r="I163" s="142" cm="1">
        <f t="array" ref="I163">SUMPRODUCT(($X$2:$GG$2&lt;&gt;"")*($X163:$GG163&lt;&gt;""))</f>
        <v>1</v>
      </c>
      <c r="J163" s="122">
        <f t="shared" si="51"/>
        <v>0</v>
      </c>
      <c r="K163" s="122">
        <f t="shared" si="52"/>
        <v>0</v>
      </c>
      <c r="L163" s="249">
        <f t="shared" si="45"/>
        <v>7000</v>
      </c>
      <c r="M163" s="144">
        <f t="shared" si="53"/>
        <v>784</v>
      </c>
      <c r="N163" s="405"/>
      <c r="O163" s="145">
        <f t="shared" si="54"/>
        <v>0</v>
      </c>
      <c r="P163" s="145">
        <f t="shared" si="55"/>
        <v>0</v>
      </c>
      <c r="Q163" s="145">
        <f t="shared" si="56"/>
        <v>0</v>
      </c>
      <c r="R163" s="145">
        <f t="shared" si="57"/>
        <v>0</v>
      </c>
      <c r="S163" s="130">
        <f t="shared" si="58"/>
        <v>0</v>
      </c>
      <c r="T163" s="130">
        <f t="shared" si="59"/>
        <v>0</v>
      </c>
      <c r="U163" s="141"/>
      <c r="V163" s="123"/>
      <c r="W163" s="134"/>
      <c r="X163" s="347">
        <v>28</v>
      </c>
      <c r="Y163" s="347">
        <v>250</v>
      </c>
      <c r="Z163" s="348" t="s">
        <v>576</v>
      </c>
      <c r="AA163" s="120"/>
      <c r="AB163" s="134"/>
      <c r="AC163" s="200"/>
      <c r="AD163" s="125"/>
      <c r="AE163" s="134"/>
      <c r="AF163" s="200"/>
      <c r="AG163" s="120"/>
      <c r="AH163" s="262"/>
      <c r="AI163" s="262"/>
      <c r="AJ163" s="120"/>
      <c r="AK163" s="262"/>
      <c r="AL163" s="262"/>
      <c r="AM163" s="120"/>
      <c r="AN163" s="262"/>
      <c r="AO163" s="262"/>
      <c r="AP163" s="120"/>
      <c r="AQ163" s="262"/>
      <c r="AR163" s="262"/>
      <c r="AS163" s="120"/>
      <c r="AT163" s="262"/>
      <c r="AU163" s="262"/>
      <c r="AV163" s="120"/>
      <c r="AW163" s="262"/>
      <c r="AX163" s="262"/>
      <c r="AY163" s="120"/>
      <c r="AZ163" s="262"/>
      <c r="BA163" s="262"/>
      <c r="BB163" s="120"/>
      <c r="BC163" s="134"/>
      <c r="BD163" s="200"/>
      <c r="BE163" s="120"/>
      <c r="BF163" s="134"/>
      <c r="BG163" s="200"/>
      <c r="BH163" s="120"/>
      <c r="BI163" s="252"/>
      <c r="BJ163" s="252"/>
      <c r="BK163" s="120"/>
      <c r="BL163" s="134"/>
      <c r="BM163" s="134"/>
      <c r="BN163" s="120"/>
      <c r="BO163" s="252"/>
      <c r="BP163" s="252"/>
      <c r="BQ163" s="120"/>
      <c r="BR163" s="134"/>
      <c r="BS163" s="134"/>
      <c r="BT163" s="120"/>
      <c r="BU163" s="134"/>
      <c r="BV163" s="200"/>
      <c r="BW163" s="120"/>
      <c r="BX163" s="134"/>
      <c r="BY163" s="200"/>
      <c r="BZ163" s="120"/>
      <c r="CA163" s="126"/>
      <c r="CB163" s="126"/>
      <c r="CC163" s="120"/>
      <c r="CD163" s="126"/>
      <c r="CE163" s="126"/>
      <c r="CF163" s="120"/>
      <c r="CG163" s="134"/>
      <c r="CH163" s="134"/>
      <c r="CI163" s="120"/>
      <c r="CJ163" s="200"/>
      <c r="CK163" s="200"/>
      <c r="CL163" s="120"/>
      <c r="CM163" s="200"/>
      <c r="CN163" s="200"/>
      <c r="CO163" s="120"/>
      <c r="CP163" s="134"/>
      <c r="CQ163" s="134"/>
      <c r="CR163" s="120"/>
      <c r="CS163" s="134"/>
      <c r="CT163" s="134"/>
      <c r="CU163" s="120"/>
      <c r="CV163" s="202"/>
      <c r="CW163" s="202"/>
      <c r="CX163" s="120"/>
      <c r="CY163" s="202"/>
      <c r="CZ163" s="202"/>
      <c r="DA163" s="120"/>
      <c r="DB163" s="202"/>
      <c r="DC163" s="202"/>
      <c r="DD163" s="349"/>
      <c r="DE163" s="202"/>
      <c r="DF163" s="202"/>
      <c r="DG163" s="254"/>
      <c r="DH163" s="203"/>
      <c r="DI163" s="203"/>
      <c r="DJ163" s="259"/>
      <c r="DK163" s="136"/>
      <c r="DL163" s="136"/>
      <c r="DM163" s="120"/>
      <c r="DN163" s="233"/>
      <c r="DO163" s="233"/>
      <c r="DP163" s="120"/>
      <c r="DQ163" s="262"/>
      <c r="DR163" s="262"/>
      <c r="DS163" s="120"/>
      <c r="DT163" s="262"/>
      <c r="DU163" s="262"/>
      <c r="DV163" s="120"/>
      <c r="DW163" s="262"/>
      <c r="DX163" s="262"/>
      <c r="DY163" s="120"/>
      <c r="DZ163" s="262"/>
      <c r="EA163" s="262"/>
      <c r="EB163" s="265"/>
      <c r="EC163" s="262"/>
      <c r="ED163" s="262"/>
      <c r="EE163" s="254"/>
      <c r="EF163" s="233"/>
      <c r="EG163" s="233"/>
      <c r="EH163" s="120"/>
      <c r="EI163" s="262"/>
      <c r="EJ163" s="262"/>
      <c r="EK163" s="120"/>
      <c r="EL163" s="262"/>
      <c r="EM163" s="262"/>
      <c r="EN163" s="120"/>
      <c r="EO163" s="262"/>
      <c r="EP163" s="262"/>
      <c r="EQ163" s="120"/>
      <c r="ER163" s="262"/>
      <c r="ES163" s="262"/>
      <c r="ET163" s="120"/>
      <c r="EU163" s="262"/>
      <c r="EV163" s="262"/>
      <c r="EW163" s="120"/>
      <c r="EX163" s="262"/>
      <c r="EY163" s="262"/>
      <c r="EZ163" s="120"/>
      <c r="FA163" s="262"/>
      <c r="FB163" s="262"/>
      <c r="FC163" s="120"/>
      <c r="FD163" s="262"/>
      <c r="FE163" s="262"/>
      <c r="FF163" s="120"/>
      <c r="FG163" s="262"/>
      <c r="FH163" s="262"/>
      <c r="FI163" s="120"/>
      <c r="FJ163" s="262"/>
      <c r="FK163" s="262"/>
      <c r="FL163" s="120"/>
      <c r="FM163" s="262"/>
      <c r="FN163" s="262"/>
      <c r="FO163" s="120"/>
      <c r="FP163" s="262"/>
      <c r="FQ163" s="262"/>
      <c r="FR163" s="120"/>
      <c r="FS163" s="262"/>
      <c r="FT163" s="262"/>
      <c r="FU163" s="120"/>
      <c r="FV163" s="262"/>
      <c r="FW163" s="262"/>
      <c r="FX163" s="120"/>
      <c r="FY163" s="262"/>
      <c r="FZ163" s="262"/>
      <c r="GA163" s="256"/>
      <c r="GB163" s="233"/>
      <c r="GC163" s="233"/>
      <c r="GJ163" s="121">
        <f t="shared" si="60"/>
        <v>0</v>
      </c>
      <c r="GK163" s="121">
        <f t="shared" si="61"/>
        <v>0</v>
      </c>
      <c r="GM163" s="121">
        <f t="shared" si="62"/>
        <v>1</v>
      </c>
      <c r="GN163" s="121">
        <f t="shared" si="63"/>
        <v>0</v>
      </c>
      <c r="GO163" s="121">
        <f t="shared" si="64"/>
        <v>0</v>
      </c>
      <c r="GP163" s="121">
        <f t="shared" si="65"/>
        <v>0</v>
      </c>
      <c r="GQ163" s="121">
        <f t="shared" si="66"/>
        <v>0</v>
      </c>
      <c r="GR163" s="121">
        <f t="shared" si="67"/>
        <v>0</v>
      </c>
    </row>
    <row r="164" spans="2:200" ht="38.25" customHeight="1" x14ac:dyDescent="0.55000000000000004">
      <c r="B164" s="303" t="s">
        <v>472</v>
      </c>
      <c r="C164" s="198"/>
      <c r="D164" s="198"/>
      <c r="E164" s="198"/>
      <c r="F164" s="198"/>
      <c r="G164" s="198"/>
      <c r="H164" s="198"/>
      <c r="I164" s="142" cm="1">
        <f t="array" ref="I164">SUMPRODUCT(($X$2:$GG$2&lt;&gt;"")*($X164:$GG164&lt;&gt;""))</f>
        <v>1</v>
      </c>
      <c r="J164" s="122">
        <f t="shared" si="51"/>
        <v>0</v>
      </c>
      <c r="K164" s="122">
        <f t="shared" si="52"/>
        <v>0</v>
      </c>
      <c r="L164" s="249">
        <f t="shared" si="45"/>
        <v>7000</v>
      </c>
      <c r="M164" s="144">
        <f t="shared" si="53"/>
        <v>784</v>
      </c>
      <c r="N164" s="405"/>
      <c r="O164" s="145">
        <f t="shared" si="54"/>
        <v>0</v>
      </c>
      <c r="P164" s="145">
        <f t="shared" si="55"/>
        <v>0</v>
      </c>
      <c r="Q164" s="145">
        <f t="shared" si="56"/>
        <v>0</v>
      </c>
      <c r="R164" s="145">
        <f t="shared" si="57"/>
        <v>0</v>
      </c>
      <c r="S164" s="130">
        <f t="shared" si="58"/>
        <v>0</v>
      </c>
      <c r="T164" s="130">
        <f t="shared" si="59"/>
        <v>0</v>
      </c>
      <c r="U164" s="141"/>
      <c r="V164" s="123"/>
      <c r="W164" s="134"/>
      <c r="X164" s="347">
        <v>28</v>
      </c>
      <c r="Y164" s="347">
        <v>250</v>
      </c>
      <c r="Z164" s="348" t="s">
        <v>576</v>
      </c>
      <c r="AA164" s="120"/>
      <c r="AB164" s="134"/>
      <c r="AC164" s="200"/>
      <c r="AD164" s="125"/>
      <c r="AE164" s="134"/>
      <c r="AF164" s="200"/>
      <c r="AG164" s="120"/>
      <c r="AH164" s="262"/>
      <c r="AI164" s="262"/>
      <c r="AJ164" s="120"/>
      <c r="AK164" s="262"/>
      <c r="AL164" s="262"/>
      <c r="AM164" s="120"/>
      <c r="AN164" s="262"/>
      <c r="AO164" s="262"/>
      <c r="AP164" s="120"/>
      <c r="AQ164" s="262"/>
      <c r="AR164" s="262"/>
      <c r="AS164" s="120"/>
      <c r="AT164" s="262"/>
      <c r="AU164" s="262"/>
      <c r="AV164" s="120"/>
      <c r="AW164" s="262"/>
      <c r="AX164" s="262"/>
      <c r="AY164" s="120"/>
      <c r="AZ164" s="262"/>
      <c r="BA164" s="262"/>
      <c r="BB164" s="120"/>
      <c r="BC164" s="134"/>
      <c r="BD164" s="200"/>
      <c r="BE164" s="120"/>
      <c r="BF164" s="134"/>
      <c r="BG164" s="200"/>
      <c r="BH164" s="120"/>
      <c r="BI164" s="252"/>
      <c r="BJ164" s="252"/>
      <c r="BK164" s="120"/>
      <c r="BL164" s="134"/>
      <c r="BM164" s="134"/>
      <c r="BN164" s="120"/>
      <c r="BO164" s="252"/>
      <c r="BP164" s="252"/>
      <c r="BQ164" s="120"/>
      <c r="BR164" s="134"/>
      <c r="BS164" s="134"/>
      <c r="BT164" s="120"/>
      <c r="BU164" s="134"/>
      <c r="BV164" s="200"/>
      <c r="BW164" s="120"/>
      <c r="BX164" s="134"/>
      <c r="BY164" s="200"/>
      <c r="BZ164" s="120"/>
      <c r="CA164" s="126"/>
      <c r="CB164" s="126"/>
      <c r="CC164" s="120"/>
      <c r="CD164" s="126"/>
      <c r="CE164" s="126"/>
      <c r="CF164" s="120"/>
      <c r="CG164" s="134"/>
      <c r="CH164" s="134"/>
      <c r="CI164" s="120"/>
      <c r="CJ164" s="200"/>
      <c r="CK164" s="200"/>
      <c r="CL164" s="120"/>
      <c r="CM164" s="200"/>
      <c r="CN164" s="200"/>
      <c r="CO164" s="120"/>
      <c r="CP164" s="134"/>
      <c r="CQ164" s="134"/>
      <c r="CR164" s="120"/>
      <c r="CS164" s="134"/>
      <c r="CT164" s="134"/>
      <c r="CU164" s="120"/>
      <c r="CV164" s="202"/>
      <c r="CW164" s="202"/>
      <c r="CX164" s="120"/>
      <c r="CY164" s="202"/>
      <c r="CZ164" s="202"/>
      <c r="DA164" s="120"/>
      <c r="DB164" s="202"/>
      <c r="DC164" s="202"/>
      <c r="DD164" s="349"/>
      <c r="DE164" s="202"/>
      <c r="DF164" s="202"/>
      <c r="DG164" s="254"/>
      <c r="DH164" s="203"/>
      <c r="DI164" s="203"/>
      <c r="DJ164" s="259"/>
      <c r="DK164" s="136"/>
      <c r="DL164" s="136"/>
      <c r="DM164" s="120"/>
      <c r="DN164" s="233"/>
      <c r="DO164" s="233"/>
      <c r="DP164" s="120"/>
      <c r="DQ164" s="262"/>
      <c r="DR164" s="262"/>
      <c r="DS164" s="120"/>
      <c r="DT164" s="262"/>
      <c r="DU164" s="262"/>
      <c r="DV164" s="120"/>
      <c r="DW164" s="262"/>
      <c r="DX164" s="262"/>
      <c r="DY164" s="120"/>
      <c r="DZ164" s="262"/>
      <c r="EA164" s="262"/>
      <c r="EB164" s="265"/>
      <c r="EC164" s="262"/>
      <c r="ED164" s="262"/>
      <c r="EE164" s="254"/>
      <c r="EF164" s="233"/>
      <c r="EG164" s="233"/>
      <c r="EH164" s="120"/>
      <c r="EI164" s="262"/>
      <c r="EJ164" s="262"/>
      <c r="EK164" s="120"/>
      <c r="EL164" s="262"/>
      <c r="EM164" s="262"/>
      <c r="EN164" s="120"/>
      <c r="EO164" s="262"/>
      <c r="EP164" s="262"/>
      <c r="EQ164" s="120"/>
      <c r="ER164" s="262"/>
      <c r="ES164" s="262"/>
      <c r="ET164" s="120"/>
      <c r="EU164" s="262"/>
      <c r="EV164" s="262"/>
      <c r="EW164" s="120"/>
      <c r="EX164" s="262"/>
      <c r="EY164" s="262"/>
      <c r="EZ164" s="120"/>
      <c r="FA164" s="262"/>
      <c r="FB164" s="262"/>
      <c r="FC164" s="120"/>
      <c r="FD164" s="262"/>
      <c r="FE164" s="262"/>
      <c r="FF164" s="120"/>
      <c r="FG164" s="262"/>
      <c r="FH164" s="262"/>
      <c r="FI164" s="120"/>
      <c r="FJ164" s="262"/>
      <c r="FK164" s="262"/>
      <c r="FL164" s="120"/>
      <c r="FM164" s="262"/>
      <c r="FN164" s="262"/>
      <c r="FO164" s="120"/>
      <c r="FP164" s="262"/>
      <c r="FQ164" s="262"/>
      <c r="FR164" s="120"/>
      <c r="FS164" s="262"/>
      <c r="FT164" s="262"/>
      <c r="FU164" s="120"/>
      <c r="FV164" s="262"/>
      <c r="FW164" s="262"/>
      <c r="FX164" s="120"/>
      <c r="FY164" s="262"/>
      <c r="FZ164" s="262"/>
      <c r="GA164" s="256"/>
      <c r="GB164" s="233"/>
      <c r="GC164" s="233"/>
      <c r="GJ164" s="121">
        <f t="shared" si="60"/>
        <v>0</v>
      </c>
      <c r="GK164" s="121">
        <f t="shared" si="61"/>
        <v>0</v>
      </c>
      <c r="GM164" s="121">
        <f t="shared" si="62"/>
        <v>1</v>
      </c>
      <c r="GN164" s="121">
        <f t="shared" si="63"/>
        <v>0</v>
      </c>
      <c r="GO164" s="121">
        <f t="shared" si="64"/>
        <v>0</v>
      </c>
      <c r="GP164" s="121">
        <f t="shared" si="65"/>
        <v>0</v>
      </c>
      <c r="GQ164" s="121">
        <f t="shared" si="66"/>
        <v>0</v>
      </c>
      <c r="GR164" s="121">
        <f t="shared" si="67"/>
        <v>0</v>
      </c>
    </row>
    <row r="165" spans="2:200" ht="38.25" customHeight="1" x14ac:dyDescent="0.55000000000000004">
      <c r="B165" s="303" t="s">
        <v>473</v>
      </c>
      <c r="C165" s="198"/>
      <c r="D165" s="198"/>
      <c r="E165" s="198"/>
      <c r="F165" s="198"/>
      <c r="G165" s="198"/>
      <c r="H165" s="198"/>
      <c r="I165" s="142" cm="1">
        <f t="array" ref="I165">SUMPRODUCT(($X$2:$GG$2&lt;&gt;"")*($X165:$GG165&lt;&gt;""))</f>
        <v>1</v>
      </c>
      <c r="J165" s="122">
        <f t="shared" si="51"/>
        <v>0</v>
      </c>
      <c r="K165" s="122">
        <f t="shared" si="52"/>
        <v>0</v>
      </c>
      <c r="L165" s="249">
        <f t="shared" si="45"/>
        <v>7000</v>
      </c>
      <c r="M165" s="144">
        <f t="shared" si="53"/>
        <v>784</v>
      </c>
      <c r="N165" s="405"/>
      <c r="O165" s="145">
        <f t="shared" si="54"/>
        <v>0</v>
      </c>
      <c r="P165" s="145">
        <f t="shared" si="55"/>
        <v>0</v>
      </c>
      <c r="Q165" s="145">
        <f t="shared" si="56"/>
        <v>0</v>
      </c>
      <c r="R165" s="145">
        <f t="shared" si="57"/>
        <v>0</v>
      </c>
      <c r="S165" s="130">
        <f t="shared" si="58"/>
        <v>0</v>
      </c>
      <c r="T165" s="130">
        <f t="shared" si="59"/>
        <v>0</v>
      </c>
      <c r="U165" s="141"/>
      <c r="V165" s="123"/>
      <c r="W165" s="134"/>
      <c r="X165" s="347">
        <v>28</v>
      </c>
      <c r="Y165" s="347">
        <v>250</v>
      </c>
      <c r="Z165" s="348" t="s">
        <v>576</v>
      </c>
      <c r="AA165" s="120"/>
      <c r="AB165" s="134"/>
      <c r="AC165" s="200"/>
      <c r="AD165" s="125"/>
      <c r="AE165" s="134"/>
      <c r="AF165" s="200"/>
      <c r="AG165" s="120"/>
      <c r="AH165" s="262"/>
      <c r="AI165" s="262"/>
      <c r="AJ165" s="120"/>
      <c r="AK165" s="262"/>
      <c r="AL165" s="262"/>
      <c r="AM165" s="120"/>
      <c r="AN165" s="262"/>
      <c r="AO165" s="262"/>
      <c r="AP165" s="120"/>
      <c r="AQ165" s="262"/>
      <c r="AR165" s="262"/>
      <c r="AS165" s="120"/>
      <c r="AT165" s="262"/>
      <c r="AU165" s="262"/>
      <c r="AV165" s="120"/>
      <c r="AW165" s="262"/>
      <c r="AX165" s="262"/>
      <c r="AY165" s="120"/>
      <c r="AZ165" s="262"/>
      <c r="BA165" s="262"/>
      <c r="BB165" s="120"/>
      <c r="BC165" s="134"/>
      <c r="BD165" s="200"/>
      <c r="BE165" s="120"/>
      <c r="BF165" s="134"/>
      <c r="BG165" s="200"/>
      <c r="BH165" s="120"/>
      <c r="BI165" s="252"/>
      <c r="BJ165" s="252"/>
      <c r="BK165" s="120"/>
      <c r="BL165" s="134"/>
      <c r="BM165" s="134"/>
      <c r="BN165" s="120"/>
      <c r="BO165" s="252"/>
      <c r="BP165" s="252"/>
      <c r="BQ165" s="120"/>
      <c r="BR165" s="134"/>
      <c r="BS165" s="134"/>
      <c r="BT165" s="120"/>
      <c r="BU165" s="134"/>
      <c r="BV165" s="200"/>
      <c r="BW165" s="120"/>
      <c r="BX165" s="134"/>
      <c r="BY165" s="200"/>
      <c r="BZ165" s="120"/>
      <c r="CA165" s="126"/>
      <c r="CB165" s="126"/>
      <c r="CC165" s="120"/>
      <c r="CD165" s="126"/>
      <c r="CE165" s="126"/>
      <c r="CF165" s="120"/>
      <c r="CG165" s="134"/>
      <c r="CH165" s="134"/>
      <c r="CI165" s="120"/>
      <c r="CJ165" s="200"/>
      <c r="CK165" s="200"/>
      <c r="CL165" s="120"/>
      <c r="CM165" s="200"/>
      <c r="CN165" s="200"/>
      <c r="CO165" s="120"/>
      <c r="CP165" s="134"/>
      <c r="CQ165" s="134"/>
      <c r="CR165" s="120"/>
      <c r="CS165" s="134"/>
      <c r="CT165" s="134"/>
      <c r="CU165" s="120"/>
      <c r="CV165" s="202"/>
      <c r="CW165" s="202"/>
      <c r="CX165" s="120"/>
      <c r="CY165" s="202"/>
      <c r="CZ165" s="202"/>
      <c r="DA165" s="120"/>
      <c r="DB165" s="202"/>
      <c r="DC165" s="202"/>
      <c r="DD165" s="349"/>
      <c r="DE165" s="202"/>
      <c r="DF165" s="202"/>
      <c r="DG165" s="254"/>
      <c r="DH165" s="203"/>
      <c r="DI165" s="203"/>
      <c r="DJ165" s="259"/>
      <c r="DK165" s="136"/>
      <c r="DL165" s="136"/>
      <c r="DM165" s="120"/>
      <c r="DN165" s="233"/>
      <c r="DO165" s="233"/>
      <c r="DP165" s="120"/>
      <c r="DQ165" s="262"/>
      <c r="DR165" s="262"/>
      <c r="DS165" s="120"/>
      <c r="DT165" s="262"/>
      <c r="DU165" s="262"/>
      <c r="DV165" s="120"/>
      <c r="DW165" s="262"/>
      <c r="DX165" s="262"/>
      <c r="DY165" s="120"/>
      <c r="DZ165" s="262"/>
      <c r="EA165" s="262"/>
      <c r="EB165" s="265"/>
      <c r="EC165" s="262"/>
      <c r="ED165" s="262"/>
      <c r="EE165" s="254"/>
      <c r="EF165" s="233"/>
      <c r="EG165" s="233"/>
      <c r="EH165" s="120"/>
      <c r="EI165" s="262"/>
      <c r="EJ165" s="262"/>
      <c r="EK165" s="120"/>
      <c r="EL165" s="262"/>
      <c r="EM165" s="262"/>
      <c r="EN165" s="120"/>
      <c r="EO165" s="262"/>
      <c r="EP165" s="262"/>
      <c r="EQ165" s="120"/>
      <c r="ER165" s="262"/>
      <c r="ES165" s="262"/>
      <c r="ET165" s="120"/>
      <c r="EU165" s="262"/>
      <c r="EV165" s="262"/>
      <c r="EW165" s="120"/>
      <c r="EX165" s="262"/>
      <c r="EY165" s="262"/>
      <c r="EZ165" s="120"/>
      <c r="FA165" s="262"/>
      <c r="FB165" s="262"/>
      <c r="FC165" s="120"/>
      <c r="FD165" s="262"/>
      <c r="FE165" s="262"/>
      <c r="FF165" s="120"/>
      <c r="FG165" s="262"/>
      <c r="FH165" s="262"/>
      <c r="FI165" s="120"/>
      <c r="FJ165" s="262"/>
      <c r="FK165" s="262"/>
      <c r="FL165" s="120"/>
      <c r="FM165" s="262"/>
      <c r="FN165" s="262"/>
      <c r="FO165" s="120"/>
      <c r="FP165" s="262"/>
      <c r="FQ165" s="262"/>
      <c r="FR165" s="120"/>
      <c r="FS165" s="262"/>
      <c r="FT165" s="262"/>
      <c r="FU165" s="120"/>
      <c r="FV165" s="262"/>
      <c r="FW165" s="262"/>
      <c r="FX165" s="120"/>
      <c r="FY165" s="262"/>
      <c r="FZ165" s="262"/>
      <c r="GA165" s="256"/>
      <c r="GB165" s="233"/>
      <c r="GC165" s="233"/>
      <c r="GJ165" s="121">
        <f t="shared" si="60"/>
        <v>0</v>
      </c>
      <c r="GK165" s="121">
        <f t="shared" si="61"/>
        <v>0</v>
      </c>
      <c r="GM165" s="121">
        <f t="shared" si="62"/>
        <v>1</v>
      </c>
      <c r="GN165" s="121">
        <f t="shared" si="63"/>
        <v>0</v>
      </c>
      <c r="GO165" s="121">
        <f t="shared" si="64"/>
        <v>0</v>
      </c>
      <c r="GP165" s="121">
        <f t="shared" si="65"/>
        <v>0</v>
      </c>
      <c r="GQ165" s="121">
        <f t="shared" si="66"/>
        <v>0</v>
      </c>
      <c r="GR165" s="121">
        <f t="shared" si="67"/>
        <v>0</v>
      </c>
    </row>
    <row r="166" spans="2:200" ht="38.25" customHeight="1" x14ac:dyDescent="0.55000000000000004">
      <c r="B166" s="303" t="s">
        <v>471</v>
      </c>
      <c r="C166" s="404">
        <v>20</v>
      </c>
      <c r="D166" s="404">
        <v>20</v>
      </c>
      <c r="E166" s="404">
        <v>20</v>
      </c>
      <c r="F166" s="198"/>
      <c r="G166" s="198"/>
      <c r="H166" s="198"/>
      <c r="I166" s="142" cm="1">
        <f t="array" ref="I166">SUMPRODUCT(($X$2:$GG$2&lt;&gt;"")*($X166:$GG166&lt;&gt;""))</f>
        <v>1</v>
      </c>
      <c r="J166" s="122">
        <f t="shared" si="51"/>
        <v>20</v>
      </c>
      <c r="K166" s="122">
        <f t="shared" si="52"/>
        <v>280</v>
      </c>
      <c r="L166" s="249">
        <f t="shared" ref="L166:L186" si="68">$L$1</f>
        <v>7000</v>
      </c>
      <c r="M166" s="144">
        <f t="shared" si="53"/>
        <v>47824</v>
      </c>
      <c r="N166" s="405"/>
      <c r="O166" s="145">
        <f t="shared" si="54"/>
        <v>0</v>
      </c>
      <c r="P166" s="145">
        <f t="shared" si="55"/>
        <v>0</v>
      </c>
      <c r="Q166" s="145">
        <f t="shared" si="56"/>
        <v>0</v>
      </c>
      <c r="R166" s="145">
        <f t="shared" si="57"/>
        <v>0</v>
      </c>
      <c r="S166" s="130">
        <f t="shared" si="58"/>
        <v>0</v>
      </c>
      <c r="T166" s="130">
        <f t="shared" si="59"/>
        <v>0</v>
      </c>
      <c r="U166" s="141"/>
      <c r="V166" s="123"/>
      <c r="W166" s="134"/>
      <c r="X166" s="347">
        <v>28</v>
      </c>
      <c r="Y166" s="347">
        <v>250</v>
      </c>
      <c r="Z166" s="348" t="s">
        <v>576</v>
      </c>
      <c r="AA166" s="120"/>
      <c r="AB166" s="134"/>
      <c r="AC166" s="200"/>
      <c r="AD166" s="125"/>
      <c r="AE166" s="134"/>
      <c r="AF166" s="200"/>
      <c r="AG166" s="120"/>
      <c r="AH166" s="262"/>
      <c r="AI166" s="262"/>
      <c r="AJ166" s="120"/>
      <c r="AK166" s="262"/>
      <c r="AL166" s="262"/>
      <c r="AM166" s="120"/>
      <c r="AN166" s="262"/>
      <c r="AO166" s="262"/>
      <c r="AP166" s="120"/>
      <c r="AQ166" s="262"/>
      <c r="AR166" s="262"/>
      <c r="AS166" s="120"/>
      <c r="AT166" s="262"/>
      <c r="AU166" s="262"/>
      <c r="AV166" s="120"/>
      <c r="AW166" s="262"/>
      <c r="AX166" s="262"/>
      <c r="AY166" s="120"/>
      <c r="AZ166" s="262"/>
      <c r="BA166" s="262"/>
      <c r="BB166" s="120"/>
      <c r="BC166" s="134"/>
      <c r="BD166" s="200"/>
      <c r="BE166" s="120"/>
      <c r="BF166" s="134"/>
      <c r="BG166" s="200"/>
      <c r="BH166" s="120"/>
      <c r="BI166" s="252"/>
      <c r="BJ166" s="252"/>
      <c r="BK166" s="120"/>
      <c r="BL166" s="134"/>
      <c r="BM166" s="134"/>
      <c r="BN166" s="120"/>
      <c r="BO166" s="252"/>
      <c r="BP166" s="252"/>
      <c r="BQ166" s="120"/>
      <c r="BR166" s="134"/>
      <c r="BS166" s="134"/>
      <c r="BT166" s="120"/>
      <c r="BU166" s="134"/>
      <c r="BV166" s="200"/>
      <c r="BW166" s="120"/>
      <c r="BX166" s="134"/>
      <c r="BY166" s="200"/>
      <c r="BZ166" s="120"/>
      <c r="CA166" s="126"/>
      <c r="CB166" s="126"/>
      <c r="CC166" s="120"/>
      <c r="CD166" s="126"/>
      <c r="CE166" s="126"/>
      <c r="CF166" s="120"/>
      <c r="CG166" s="134"/>
      <c r="CH166" s="134"/>
      <c r="CI166" s="120"/>
      <c r="CJ166" s="200"/>
      <c r="CK166" s="200"/>
      <c r="CL166" s="120"/>
      <c r="CM166" s="200"/>
      <c r="CN166" s="200"/>
      <c r="CO166" s="120"/>
      <c r="CP166" s="134"/>
      <c r="CQ166" s="134"/>
      <c r="CR166" s="120"/>
      <c r="CS166" s="134"/>
      <c r="CT166" s="134"/>
      <c r="CU166" s="120"/>
      <c r="CV166" s="202"/>
      <c r="CW166" s="202"/>
      <c r="CX166" s="120"/>
      <c r="CY166" s="202"/>
      <c r="CZ166" s="202"/>
      <c r="DA166" s="120"/>
      <c r="DB166" s="202"/>
      <c r="DC166" s="202"/>
      <c r="DD166" s="349"/>
      <c r="DE166" s="202"/>
      <c r="DF166" s="202"/>
      <c r="DG166" s="254"/>
      <c r="DH166" s="203"/>
      <c r="DI166" s="203"/>
      <c r="DJ166" s="259"/>
      <c r="DK166" s="136"/>
      <c r="DL166" s="136"/>
      <c r="DM166" s="120"/>
      <c r="DN166" s="233"/>
      <c r="DO166" s="233"/>
      <c r="DP166" s="120"/>
      <c r="DQ166" s="262"/>
      <c r="DR166" s="262"/>
      <c r="DS166" s="120"/>
      <c r="DT166" s="262"/>
      <c r="DU166" s="262"/>
      <c r="DV166" s="120"/>
      <c r="DW166" s="262"/>
      <c r="DX166" s="262"/>
      <c r="DY166" s="120"/>
      <c r="DZ166" s="262"/>
      <c r="EA166" s="262"/>
      <c r="EB166" s="265"/>
      <c r="EC166" s="262"/>
      <c r="ED166" s="262"/>
      <c r="EE166" s="254"/>
      <c r="EF166" s="233"/>
      <c r="EG166" s="233"/>
      <c r="EH166" s="120"/>
      <c r="EI166" s="262"/>
      <c r="EJ166" s="262"/>
      <c r="EK166" s="120"/>
      <c r="EL166" s="262"/>
      <c r="EM166" s="262"/>
      <c r="EN166" s="120"/>
      <c r="EO166" s="262"/>
      <c r="EP166" s="262"/>
      <c r="EQ166" s="120"/>
      <c r="ER166" s="262"/>
      <c r="ES166" s="262"/>
      <c r="ET166" s="120"/>
      <c r="EU166" s="262"/>
      <c r="EV166" s="262"/>
      <c r="EW166" s="120"/>
      <c r="EX166" s="262"/>
      <c r="EY166" s="262"/>
      <c r="EZ166" s="120"/>
      <c r="FA166" s="262"/>
      <c r="FB166" s="262"/>
      <c r="FC166" s="120"/>
      <c r="FD166" s="262"/>
      <c r="FE166" s="262"/>
      <c r="FF166" s="120"/>
      <c r="FG166" s="262"/>
      <c r="FH166" s="262"/>
      <c r="FI166" s="120"/>
      <c r="FJ166" s="262"/>
      <c r="FK166" s="262"/>
      <c r="FL166" s="120"/>
      <c r="FM166" s="262"/>
      <c r="FN166" s="262"/>
      <c r="FO166" s="120"/>
      <c r="FP166" s="262"/>
      <c r="FQ166" s="262"/>
      <c r="FR166" s="120"/>
      <c r="FS166" s="262"/>
      <c r="FT166" s="262"/>
      <c r="FU166" s="120"/>
      <c r="FV166" s="262"/>
      <c r="FW166" s="262"/>
      <c r="FX166" s="120"/>
      <c r="FY166" s="262"/>
      <c r="FZ166" s="262"/>
      <c r="GA166" s="256"/>
      <c r="GB166" s="233"/>
      <c r="GC166" s="233"/>
      <c r="GJ166" s="121">
        <f t="shared" si="60"/>
        <v>0</v>
      </c>
      <c r="GK166" s="121">
        <f t="shared" si="61"/>
        <v>0</v>
      </c>
      <c r="GM166" s="121">
        <f t="shared" si="62"/>
        <v>1</v>
      </c>
      <c r="GN166" s="121">
        <f t="shared" si="63"/>
        <v>0</v>
      </c>
      <c r="GO166" s="121">
        <f t="shared" si="64"/>
        <v>0</v>
      </c>
      <c r="GP166" s="121">
        <f t="shared" si="65"/>
        <v>0</v>
      </c>
      <c r="GQ166" s="121">
        <f t="shared" si="66"/>
        <v>0</v>
      </c>
      <c r="GR166" s="121">
        <f t="shared" si="67"/>
        <v>0</v>
      </c>
    </row>
    <row r="167" spans="2:200" ht="38.25" customHeight="1" x14ac:dyDescent="0.55000000000000004">
      <c r="B167" s="303" t="s">
        <v>487</v>
      </c>
      <c r="C167" s="198"/>
      <c r="D167" s="198"/>
      <c r="E167" s="198"/>
      <c r="F167" s="198"/>
      <c r="G167" s="198"/>
      <c r="H167" s="198"/>
      <c r="I167" s="142" cm="1">
        <f t="array" ref="I167">SUMPRODUCT(($X$2:$GG$2&lt;&gt;"")*($X167:$GG167&lt;&gt;""))</f>
        <v>3</v>
      </c>
      <c r="J167" s="122">
        <f t="shared" si="51"/>
        <v>0</v>
      </c>
      <c r="K167" s="122">
        <f t="shared" si="52"/>
        <v>0</v>
      </c>
      <c r="L167" s="249">
        <f t="shared" si="68"/>
        <v>7000</v>
      </c>
      <c r="M167" s="144">
        <f t="shared" si="53"/>
        <v>3360</v>
      </c>
      <c r="N167" s="405"/>
      <c r="O167" s="145">
        <f t="shared" si="54"/>
        <v>0</v>
      </c>
      <c r="P167" s="145">
        <f t="shared" si="55"/>
        <v>0</v>
      </c>
      <c r="Q167" s="145">
        <f t="shared" si="56"/>
        <v>0</v>
      </c>
      <c r="R167" s="145">
        <f t="shared" si="57"/>
        <v>0</v>
      </c>
      <c r="S167" s="130">
        <f t="shared" si="58"/>
        <v>0</v>
      </c>
      <c r="T167" s="130">
        <f t="shared" si="59"/>
        <v>0</v>
      </c>
      <c r="U167" s="141"/>
      <c r="V167" s="123"/>
      <c r="W167" s="134"/>
      <c r="X167" s="347">
        <v>40</v>
      </c>
      <c r="Y167" s="347">
        <v>250</v>
      </c>
      <c r="Z167" s="348" t="s">
        <v>576</v>
      </c>
      <c r="AA167" s="120"/>
      <c r="AB167" s="134"/>
      <c r="AC167" s="200"/>
      <c r="AD167" s="125"/>
      <c r="AE167" s="134"/>
      <c r="AF167" s="200"/>
      <c r="AG167" s="120"/>
      <c r="AH167" s="262"/>
      <c r="AI167" s="262"/>
      <c r="AJ167" s="120"/>
      <c r="AK167" s="262"/>
      <c r="AL167" s="262"/>
      <c r="AM167" s="120"/>
      <c r="AN167" s="262"/>
      <c r="AO167" s="262"/>
      <c r="AP167" s="120"/>
      <c r="AQ167" s="262"/>
      <c r="AR167" s="262"/>
      <c r="AS167" s="120"/>
      <c r="AT167" s="262"/>
      <c r="AU167" s="262"/>
      <c r="AV167" s="120"/>
      <c r="AW167" s="262"/>
      <c r="AX167" s="262"/>
      <c r="AY167" s="120"/>
      <c r="AZ167" s="262"/>
      <c r="BA167" s="262"/>
      <c r="BB167" s="120"/>
      <c r="BC167" s="134"/>
      <c r="BD167" s="200"/>
      <c r="BE167" s="120"/>
      <c r="BF167" s="134"/>
      <c r="BG167" s="200"/>
      <c r="BH167" s="120"/>
      <c r="BI167" s="252"/>
      <c r="BJ167" s="252"/>
      <c r="BK167" s="120"/>
      <c r="BL167" s="134"/>
      <c r="BM167" s="134"/>
      <c r="BN167" s="120"/>
      <c r="BO167" s="252"/>
      <c r="BP167" s="252"/>
      <c r="BQ167" s="120"/>
      <c r="BR167" s="134"/>
      <c r="BS167" s="134"/>
      <c r="BT167" s="120"/>
      <c r="BU167" s="134"/>
      <c r="BV167" s="200"/>
      <c r="BW167" s="120"/>
      <c r="BX167" s="134"/>
      <c r="BY167" s="200"/>
      <c r="BZ167" s="120"/>
      <c r="CA167" s="126"/>
      <c r="CB167" s="126"/>
      <c r="CC167" s="120"/>
      <c r="CD167" s="126"/>
      <c r="CE167" s="126"/>
      <c r="CF167" s="120"/>
      <c r="CG167" s="134"/>
      <c r="CH167" s="134"/>
      <c r="CI167" s="120"/>
      <c r="CJ167" s="200"/>
      <c r="CK167" s="200"/>
      <c r="CL167" s="120"/>
      <c r="CM167" s="200"/>
      <c r="CN167" s="200"/>
      <c r="CO167" s="120"/>
      <c r="CP167" s="134"/>
      <c r="CQ167" s="134"/>
      <c r="CR167" s="120"/>
      <c r="CS167" s="134"/>
      <c r="CT167" s="134"/>
      <c r="CU167" s="120"/>
      <c r="CV167" s="202"/>
      <c r="CW167" s="202"/>
      <c r="CX167" s="120"/>
      <c r="CY167" s="202"/>
      <c r="CZ167" s="202"/>
      <c r="DA167" s="120"/>
      <c r="DB167" s="202"/>
      <c r="DC167" s="202"/>
      <c r="DD167" s="349"/>
      <c r="DE167" s="202"/>
      <c r="DF167" s="202"/>
      <c r="DG167" s="254"/>
      <c r="DH167" s="203"/>
      <c r="DI167" s="203"/>
      <c r="DJ167" s="259"/>
      <c r="DK167" s="136"/>
      <c r="DL167" s="136"/>
      <c r="DM167" s="120"/>
      <c r="DN167" s="233"/>
      <c r="DO167" s="233"/>
      <c r="DP167" s="120"/>
      <c r="DQ167" s="262"/>
      <c r="DR167" s="262"/>
      <c r="DS167" s="120"/>
      <c r="DT167" s="262"/>
      <c r="DU167" s="262"/>
      <c r="DV167" s="120"/>
      <c r="DW167" s="262"/>
      <c r="DX167" s="262"/>
      <c r="DY167" s="120"/>
      <c r="DZ167" s="262"/>
      <c r="EA167" s="262"/>
      <c r="EB167" s="265"/>
      <c r="EC167" s="262"/>
      <c r="ED167" s="262"/>
      <c r="EE167" s="254"/>
      <c r="EF167" s="233"/>
      <c r="EG167" s="233"/>
      <c r="EH167" s="120"/>
      <c r="EI167" s="262"/>
      <c r="EJ167" s="262"/>
      <c r="EK167" s="120"/>
      <c r="EL167" s="262"/>
      <c r="EM167" s="262"/>
      <c r="EN167" s="120"/>
      <c r="EO167" s="262"/>
      <c r="EP167" s="262"/>
      <c r="EQ167" s="120"/>
      <c r="ER167" s="262"/>
      <c r="ES167" s="262"/>
      <c r="ET167" s="120"/>
      <c r="EU167" s="262"/>
      <c r="EV167" s="262"/>
      <c r="EW167" s="120"/>
      <c r="EX167" s="262"/>
      <c r="EY167" s="262"/>
      <c r="EZ167" s="120"/>
      <c r="FA167" s="262"/>
      <c r="FB167" s="262"/>
      <c r="FC167" s="120"/>
      <c r="FD167" s="262"/>
      <c r="FE167" s="262"/>
      <c r="FF167" s="120"/>
      <c r="FG167" s="262"/>
      <c r="FH167" s="262"/>
      <c r="FI167" s="120"/>
      <c r="FJ167" s="262"/>
      <c r="FK167" s="262"/>
      <c r="FL167" s="120"/>
      <c r="FM167" s="262"/>
      <c r="FN167" s="262"/>
      <c r="FO167" s="120"/>
      <c r="FP167" s="262"/>
      <c r="FQ167" s="262"/>
      <c r="FR167" s="120"/>
      <c r="FS167" s="262"/>
      <c r="FT167" s="262"/>
      <c r="FU167" s="120"/>
      <c r="FV167" s="262"/>
      <c r="FW167" s="262"/>
      <c r="FX167" s="120"/>
      <c r="FY167" s="262"/>
      <c r="FZ167" s="262"/>
      <c r="GA167" s="256"/>
      <c r="GB167" s="233"/>
      <c r="GC167" s="233"/>
      <c r="GD167" s="351">
        <v>40</v>
      </c>
      <c r="GE167" s="351">
        <v>1000</v>
      </c>
      <c r="GF167" s="351" t="s">
        <v>800</v>
      </c>
      <c r="GG167" s="351">
        <v>25</v>
      </c>
      <c r="GH167" s="351">
        <v>500</v>
      </c>
      <c r="GI167" s="351" t="s">
        <v>800</v>
      </c>
      <c r="GJ167" s="121">
        <f t="shared" si="60"/>
        <v>840</v>
      </c>
      <c r="GK167" s="121">
        <f t="shared" si="61"/>
        <v>1050</v>
      </c>
      <c r="GM167" s="121">
        <f t="shared" si="62"/>
        <v>1</v>
      </c>
      <c r="GN167" s="121">
        <f t="shared" si="63"/>
        <v>0</v>
      </c>
      <c r="GO167" s="121">
        <f t="shared" si="64"/>
        <v>0</v>
      </c>
      <c r="GP167" s="121">
        <f t="shared" si="65"/>
        <v>0</v>
      </c>
      <c r="GQ167" s="121">
        <f t="shared" si="66"/>
        <v>0</v>
      </c>
      <c r="GR167" s="121">
        <f t="shared" si="67"/>
        <v>0</v>
      </c>
    </row>
    <row r="168" spans="2:200" ht="38.25" customHeight="1" x14ac:dyDescent="0.55000000000000004">
      <c r="B168" s="303" t="s">
        <v>488</v>
      </c>
      <c r="C168" s="198"/>
      <c r="D168" s="198"/>
      <c r="E168" s="198"/>
      <c r="F168" s="198"/>
      <c r="G168" s="198"/>
      <c r="H168" s="198"/>
      <c r="I168" s="142" cm="1">
        <f t="array" ref="I168">SUMPRODUCT(($X$2:$GG$2&lt;&gt;"")*($X168:$GG168&lt;&gt;""))</f>
        <v>3</v>
      </c>
      <c r="J168" s="122">
        <f t="shared" si="51"/>
        <v>0</v>
      </c>
      <c r="K168" s="122">
        <f t="shared" si="52"/>
        <v>0</v>
      </c>
      <c r="L168" s="249">
        <f t="shared" si="68"/>
        <v>7000</v>
      </c>
      <c r="M168" s="144">
        <f t="shared" si="53"/>
        <v>3360</v>
      </c>
      <c r="N168" s="405"/>
      <c r="O168" s="145">
        <f t="shared" si="54"/>
        <v>0</v>
      </c>
      <c r="P168" s="145">
        <f t="shared" si="55"/>
        <v>0</v>
      </c>
      <c r="Q168" s="145">
        <f t="shared" si="56"/>
        <v>0</v>
      </c>
      <c r="R168" s="145">
        <f t="shared" si="57"/>
        <v>0</v>
      </c>
      <c r="S168" s="130">
        <f t="shared" si="58"/>
        <v>0</v>
      </c>
      <c r="T168" s="130">
        <f t="shared" si="59"/>
        <v>0</v>
      </c>
      <c r="U168" s="141"/>
      <c r="V168" s="123"/>
      <c r="W168" s="134"/>
      <c r="X168" s="347">
        <v>40</v>
      </c>
      <c r="Y168" s="347">
        <v>250</v>
      </c>
      <c r="Z168" s="348" t="s">
        <v>576</v>
      </c>
      <c r="AA168" s="120"/>
      <c r="AB168" s="134"/>
      <c r="AC168" s="200"/>
      <c r="AD168" s="125"/>
      <c r="AE168" s="134"/>
      <c r="AF168" s="200"/>
      <c r="AG168" s="120"/>
      <c r="AH168" s="262"/>
      <c r="AI168" s="262"/>
      <c r="AJ168" s="120"/>
      <c r="AK168" s="262"/>
      <c r="AL168" s="262"/>
      <c r="AM168" s="120"/>
      <c r="AN168" s="262"/>
      <c r="AO168" s="262"/>
      <c r="AP168" s="120"/>
      <c r="AQ168" s="262"/>
      <c r="AR168" s="262"/>
      <c r="AS168" s="120"/>
      <c r="AT168" s="262"/>
      <c r="AU168" s="262"/>
      <c r="AV168" s="120"/>
      <c r="AW168" s="262"/>
      <c r="AX168" s="262"/>
      <c r="AY168" s="120"/>
      <c r="AZ168" s="262"/>
      <c r="BA168" s="262"/>
      <c r="BB168" s="120"/>
      <c r="BC168" s="134"/>
      <c r="BD168" s="200"/>
      <c r="BE168" s="120"/>
      <c r="BF168" s="134"/>
      <c r="BG168" s="200"/>
      <c r="BH168" s="120"/>
      <c r="BI168" s="252"/>
      <c r="BJ168" s="252"/>
      <c r="BK168" s="120"/>
      <c r="BL168" s="134"/>
      <c r="BM168" s="134"/>
      <c r="BN168" s="120"/>
      <c r="BO168" s="252"/>
      <c r="BP168" s="252"/>
      <c r="BQ168" s="120"/>
      <c r="BR168" s="134"/>
      <c r="BS168" s="134"/>
      <c r="BT168" s="120"/>
      <c r="BU168" s="134"/>
      <c r="BV168" s="200"/>
      <c r="BW168" s="120"/>
      <c r="BX168" s="134"/>
      <c r="BY168" s="200"/>
      <c r="BZ168" s="120"/>
      <c r="CA168" s="126"/>
      <c r="CB168" s="126"/>
      <c r="CC168" s="120"/>
      <c r="CD168" s="126"/>
      <c r="CE168" s="126"/>
      <c r="CF168" s="120"/>
      <c r="CG168" s="134"/>
      <c r="CH168" s="134"/>
      <c r="CI168" s="120"/>
      <c r="CJ168" s="200"/>
      <c r="CK168" s="200"/>
      <c r="CL168" s="120"/>
      <c r="CM168" s="200"/>
      <c r="CN168" s="200"/>
      <c r="CO168" s="120"/>
      <c r="CP168" s="134"/>
      <c r="CQ168" s="134"/>
      <c r="CR168" s="120"/>
      <c r="CS168" s="134"/>
      <c r="CT168" s="134"/>
      <c r="CU168" s="120"/>
      <c r="CV168" s="202"/>
      <c r="CW168" s="202"/>
      <c r="CX168" s="120"/>
      <c r="CY168" s="202"/>
      <c r="CZ168" s="202"/>
      <c r="DA168" s="120"/>
      <c r="DB168" s="202"/>
      <c r="DC168" s="202"/>
      <c r="DD168" s="349"/>
      <c r="DE168" s="202"/>
      <c r="DF168" s="202"/>
      <c r="DG168" s="254"/>
      <c r="DH168" s="203"/>
      <c r="DI168" s="203"/>
      <c r="DJ168" s="259"/>
      <c r="DK168" s="136"/>
      <c r="DL168" s="136"/>
      <c r="DM168" s="120"/>
      <c r="DN168" s="233"/>
      <c r="DO168" s="233"/>
      <c r="DP168" s="120"/>
      <c r="DQ168" s="262"/>
      <c r="DR168" s="262"/>
      <c r="DS168" s="120"/>
      <c r="DT168" s="262"/>
      <c r="DU168" s="262"/>
      <c r="DV168" s="120"/>
      <c r="DW168" s="262"/>
      <c r="DX168" s="262"/>
      <c r="DY168" s="120"/>
      <c r="DZ168" s="262"/>
      <c r="EA168" s="262"/>
      <c r="EB168" s="265"/>
      <c r="EC168" s="262"/>
      <c r="ED168" s="262"/>
      <c r="EE168" s="254"/>
      <c r="EF168" s="233"/>
      <c r="EG168" s="233"/>
      <c r="EH168" s="120"/>
      <c r="EI168" s="262"/>
      <c r="EJ168" s="262"/>
      <c r="EK168" s="120"/>
      <c r="EL168" s="262"/>
      <c r="EM168" s="262"/>
      <c r="EN168" s="120"/>
      <c r="EO168" s="262"/>
      <c r="EP168" s="262"/>
      <c r="EQ168" s="120"/>
      <c r="ER168" s="262"/>
      <c r="ES168" s="262"/>
      <c r="ET168" s="120"/>
      <c r="EU168" s="262"/>
      <c r="EV168" s="262"/>
      <c r="EW168" s="120"/>
      <c r="EX168" s="262"/>
      <c r="EY168" s="262"/>
      <c r="EZ168" s="120"/>
      <c r="FA168" s="262"/>
      <c r="FB168" s="262"/>
      <c r="FC168" s="120"/>
      <c r="FD168" s="262"/>
      <c r="FE168" s="262"/>
      <c r="FF168" s="120"/>
      <c r="FG168" s="262"/>
      <c r="FH168" s="262"/>
      <c r="FI168" s="120"/>
      <c r="FJ168" s="262"/>
      <c r="FK168" s="262"/>
      <c r="FL168" s="120"/>
      <c r="FM168" s="262"/>
      <c r="FN168" s="262"/>
      <c r="FO168" s="120"/>
      <c r="FP168" s="262"/>
      <c r="FQ168" s="262"/>
      <c r="FR168" s="120"/>
      <c r="FS168" s="262"/>
      <c r="FT168" s="262"/>
      <c r="FU168" s="120"/>
      <c r="FV168" s="262"/>
      <c r="FW168" s="262"/>
      <c r="FX168" s="120"/>
      <c r="FY168" s="262"/>
      <c r="FZ168" s="262"/>
      <c r="GA168" s="256"/>
      <c r="GB168" s="233"/>
      <c r="GC168" s="233"/>
      <c r="GD168" s="351">
        <v>40</v>
      </c>
      <c r="GE168" s="351">
        <v>1000</v>
      </c>
      <c r="GF168" s="351" t="s">
        <v>800</v>
      </c>
      <c r="GG168" s="351">
        <v>25</v>
      </c>
      <c r="GH168" s="351">
        <v>500</v>
      </c>
      <c r="GI168" s="351" t="s">
        <v>800</v>
      </c>
      <c r="GJ168" s="121">
        <f t="shared" si="60"/>
        <v>840</v>
      </c>
      <c r="GK168" s="121">
        <f t="shared" si="61"/>
        <v>1050</v>
      </c>
      <c r="GM168" s="121">
        <f t="shared" si="62"/>
        <v>1</v>
      </c>
      <c r="GN168" s="121">
        <f t="shared" si="63"/>
        <v>0</v>
      </c>
      <c r="GO168" s="121">
        <f t="shared" si="64"/>
        <v>0</v>
      </c>
      <c r="GP168" s="121">
        <f t="shared" si="65"/>
        <v>0</v>
      </c>
      <c r="GQ168" s="121">
        <f t="shared" si="66"/>
        <v>0</v>
      </c>
      <c r="GR168" s="121">
        <f t="shared" si="67"/>
        <v>0</v>
      </c>
    </row>
    <row r="169" spans="2:200" ht="38.25" customHeight="1" x14ac:dyDescent="0.55000000000000004">
      <c r="B169" s="303" t="s">
        <v>479</v>
      </c>
      <c r="C169" s="198"/>
      <c r="D169" s="198"/>
      <c r="E169" s="198"/>
      <c r="F169" s="198"/>
      <c r="G169" s="198"/>
      <c r="H169" s="198"/>
      <c r="I169" s="142" cm="1">
        <f t="array" ref="I169">SUMPRODUCT(($X$2:$GG$2&lt;&gt;"")*($X169:$GG169&lt;&gt;""))</f>
        <v>1</v>
      </c>
      <c r="J169" s="122">
        <f t="shared" si="51"/>
        <v>0</v>
      </c>
      <c r="K169" s="122">
        <f t="shared" si="52"/>
        <v>0</v>
      </c>
      <c r="L169" s="249">
        <f t="shared" si="68"/>
        <v>7000</v>
      </c>
      <c r="M169" s="144">
        <f t="shared" si="53"/>
        <v>784</v>
      </c>
      <c r="N169" s="405"/>
      <c r="O169" s="145">
        <f t="shared" si="54"/>
        <v>0</v>
      </c>
      <c r="P169" s="145">
        <f t="shared" si="55"/>
        <v>0</v>
      </c>
      <c r="Q169" s="145">
        <f t="shared" si="56"/>
        <v>0</v>
      </c>
      <c r="R169" s="145">
        <f t="shared" si="57"/>
        <v>0</v>
      </c>
      <c r="S169" s="130">
        <f t="shared" si="58"/>
        <v>0</v>
      </c>
      <c r="T169" s="130">
        <f t="shared" si="59"/>
        <v>0</v>
      </c>
      <c r="U169" s="141"/>
      <c r="V169" s="123"/>
      <c r="W169" s="134"/>
      <c r="X169" s="347">
        <v>28</v>
      </c>
      <c r="Y169" s="347">
        <v>250</v>
      </c>
      <c r="Z169" s="348" t="s">
        <v>576</v>
      </c>
      <c r="AA169" s="120"/>
      <c r="AB169" s="134"/>
      <c r="AC169" s="200"/>
      <c r="AD169" s="125"/>
      <c r="AE169" s="134"/>
      <c r="AF169" s="200"/>
      <c r="AG169" s="120"/>
      <c r="AH169" s="262"/>
      <c r="AI169" s="262"/>
      <c r="AJ169" s="120"/>
      <c r="AK169" s="262"/>
      <c r="AL169" s="262"/>
      <c r="AM169" s="120"/>
      <c r="AN169" s="262"/>
      <c r="AO169" s="262"/>
      <c r="AP169" s="120"/>
      <c r="AQ169" s="262"/>
      <c r="AR169" s="262"/>
      <c r="AS169" s="120"/>
      <c r="AT169" s="262"/>
      <c r="AU169" s="262"/>
      <c r="AV169" s="120"/>
      <c r="AW169" s="262"/>
      <c r="AX169" s="262"/>
      <c r="AY169" s="120"/>
      <c r="AZ169" s="262"/>
      <c r="BA169" s="262"/>
      <c r="BB169" s="120"/>
      <c r="BC169" s="134"/>
      <c r="BD169" s="200"/>
      <c r="BE169" s="120"/>
      <c r="BF169" s="134"/>
      <c r="BG169" s="200"/>
      <c r="BH169" s="120"/>
      <c r="BI169" s="252"/>
      <c r="BJ169" s="252"/>
      <c r="BK169" s="120"/>
      <c r="BL169" s="134"/>
      <c r="BM169" s="134"/>
      <c r="BN169" s="120"/>
      <c r="BO169" s="252"/>
      <c r="BP169" s="252"/>
      <c r="BQ169" s="120"/>
      <c r="BR169" s="134"/>
      <c r="BS169" s="134"/>
      <c r="BT169" s="120"/>
      <c r="BU169" s="134"/>
      <c r="BV169" s="200"/>
      <c r="BW169" s="120"/>
      <c r="BX169" s="134"/>
      <c r="BY169" s="200"/>
      <c r="BZ169" s="120"/>
      <c r="CA169" s="126"/>
      <c r="CB169" s="126"/>
      <c r="CC169" s="120"/>
      <c r="CD169" s="126"/>
      <c r="CE169" s="126"/>
      <c r="CF169" s="120"/>
      <c r="CG169" s="134"/>
      <c r="CH169" s="134"/>
      <c r="CI169" s="120"/>
      <c r="CJ169" s="200"/>
      <c r="CK169" s="200"/>
      <c r="CL169" s="120"/>
      <c r="CM169" s="200"/>
      <c r="CN169" s="200"/>
      <c r="CO169" s="120"/>
      <c r="CP169" s="134"/>
      <c r="CQ169" s="134"/>
      <c r="CR169" s="120"/>
      <c r="CS169" s="134"/>
      <c r="CT169" s="134"/>
      <c r="CU169" s="120"/>
      <c r="CV169" s="202"/>
      <c r="CW169" s="202"/>
      <c r="CX169" s="120"/>
      <c r="CY169" s="202"/>
      <c r="CZ169" s="202"/>
      <c r="DA169" s="120"/>
      <c r="DB169" s="202"/>
      <c r="DC169" s="202"/>
      <c r="DD169" s="349"/>
      <c r="DE169" s="202"/>
      <c r="DF169" s="202"/>
      <c r="DG169" s="254"/>
      <c r="DH169" s="203"/>
      <c r="DI169" s="203"/>
      <c r="DJ169" s="259"/>
      <c r="DK169" s="136"/>
      <c r="DL169" s="136"/>
      <c r="DM169" s="120"/>
      <c r="DN169" s="233"/>
      <c r="DO169" s="233"/>
      <c r="DP169" s="120"/>
      <c r="DQ169" s="262"/>
      <c r="DR169" s="262"/>
      <c r="DS169" s="120"/>
      <c r="DT169" s="262"/>
      <c r="DU169" s="262"/>
      <c r="DV169" s="120"/>
      <c r="DW169" s="262"/>
      <c r="DX169" s="262"/>
      <c r="DY169" s="120"/>
      <c r="DZ169" s="262"/>
      <c r="EA169" s="262"/>
      <c r="EB169" s="265"/>
      <c r="EC169" s="262"/>
      <c r="ED169" s="262"/>
      <c r="EE169" s="254"/>
      <c r="EF169" s="233"/>
      <c r="EG169" s="233"/>
      <c r="EH169" s="120"/>
      <c r="EI169" s="262"/>
      <c r="EJ169" s="262"/>
      <c r="EK169" s="120"/>
      <c r="EL169" s="262"/>
      <c r="EM169" s="262"/>
      <c r="EN169" s="120"/>
      <c r="EO169" s="262"/>
      <c r="EP169" s="262"/>
      <c r="EQ169" s="120"/>
      <c r="ER169" s="262"/>
      <c r="ES169" s="262"/>
      <c r="ET169" s="120"/>
      <c r="EU169" s="262"/>
      <c r="EV169" s="262"/>
      <c r="EW169" s="120"/>
      <c r="EX169" s="262"/>
      <c r="EY169" s="262"/>
      <c r="EZ169" s="120"/>
      <c r="FA169" s="262"/>
      <c r="FB169" s="262"/>
      <c r="FC169" s="120"/>
      <c r="FD169" s="262"/>
      <c r="FE169" s="262"/>
      <c r="FF169" s="120"/>
      <c r="FG169" s="262"/>
      <c r="FH169" s="262"/>
      <c r="FI169" s="120"/>
      <c r="FJ169" s="262"/>
      <c r="FK169" s="262"/>
      <c r="FL169" s="120"/>
      <c r="FM169" s="262"/>
      <c r="FN169" s="262"/>
      <c r="FO169" s="120"/>
      <c r="FP169" s="262"/>
      <c r="FQ169" s="262"/>
      <c r="FR169" s="120"/>
      <c r="FS169" s="262"/>
      <c r="FT169" s="262"/>
      <c r="FU169" s="120"/>
      <c r="FV169" s="262"/>
      <c r="FW169" s="262"/>
      <c r="FX169" s="120"/>
      <c r="FY169" s="262"/>
      <c r="FZ169" s="262"/>
      <c r="GA169" s="256"/>
      <c r="GB169" s="233"/>
      <c r="GC169" s="233"/>
      <c r="GJ169" s="121">
        <f t="shared" si="60"/>
        <v>0</v>
      </c>
      <c r="GK169" s="121">
        <f t="shared" si="61"/>
        <v>0</v>
      </c>
      <c r="GM169" s="121">
        <f t="shared" si="62"/>
        <v>1</v>
      </c>
      <c r="GN169" s="121">
        <f t="shared" si="63"/>
        <v>0</v>
      </c>
      <c r="GO169" s="121">
        <f t="shared" si="64"/>
        <v>0</v>
      </c>
      <c r="GP169" s="121">
        <f t="shared" si="65"/>
        <v>0</v>
      </c>
      <c r="GQ169" s="121">
        <f t="shared" si="66"/>
        <v>0</v>
      </c>
      <c r="GR169" s="121">
        <f t="shared" si="67"/>
        <v>0</v>
      </c>
    </row>
    <row r="170" spans="2:200" ht="38.25" customHeight="1" x14ac:dyDescent="0.55000000000000004">
      <c r="B170" s="303" t="s">
        <v>485</v>
      </c>
      <c r="C170" s="198"/>
      <c r="D170" s="198"/>
      <c r="E170" s="198"/>
      <c r="F170" s="198"/>
      <c r="G170" s="198"/>
      <c r="H170" s="198"/>
      <c r="I170" s="142" cm="1">
        <f t="array" ref="I170">SUMPRODUCT(($X$2:$GG$2&lt;&gt;"")*($X170:$GG170&lt;&gt;""))</f>
        <v>1</v>
      </c>
      <c r="J170" s="122">
        <f t="shared" si="51"/>
        <v>0</v>
      </c>
      <c r="K170" s="122">
        <f t="shared" si="52"/>
        <v>0</v>
      </c>
      <c r="L170" s="249">
        <f t="shared" si="68"/>
        <v>7000</v>
      </c>
      <c r="M170" s="144">
        <f t="shared" si="53"/>
        <v>784</v>
      </c>
      <c r="N170" s="405"/>
      <c r="O170" s="145">
        <f t="shared" si="54"/>
        <v>0</v>
      </c>
      <c r="P170" s="145">
        <f t="shared" si="55"/>
        <v>0</v>
      </c>
      <c r="Q170" s="145">
        <f t="shared" si="56"/>
        <v>0</v>
      </c>
      <c r="R170" s="145">
        <f t="shared" si="57"/>
        <v>0</v>
      </c>
      <c r="S170" s="130">
        <f t="shared" si="58"/>
        <v>0</v>
      </c>
      <c r="T170" s="130">
        <f t="shared" si="59"/>
        <v>0</v>
      </c>
      <c r="U170" s="141"/>
      <c r="V170" s="123"/>
      <c r="W170" s="134"/>
      <c r="X170" s="347">
        <v>28</v>
      </c>
      <c r="Y170" s="347">
        <v>250</v>
      </c>
      <c r="Z170" s="348" t="s">
        <v>576</v>
      </c>
      <c r="AA170" s="120"/>
      <c r="AB170" s="134"/>
      <c r="AC170" s="200"/>
      <c r="AD170" s="125"/>
      <c r="AE170" s="134"/>
      <c r="AF170" s="200"/>
      <c r="AG170" s="120"/>
      <c r="AH170" s="262"/>
      <c r="AI170" s="262"/>
      <c r="AJ170" s="120"/>
      <c r="AK170" s="262"/>
      <c r="AL170" s="262"/>
      <c r="AM170" s="120"/>
      <c r="AN170" s="262"/>
      <c r="AO170" s="262"/>
      <c r="AP170" s="120"/>
      <c r="AQ170" s="262"/>
      <c r="AR170" s="262"/>
      <c r="AS170" s="120"/>
      <c r="AT170" s="262"/>
      <c r="AU170" s="262"/>
      <c r="AV170" s="120"/>
      <c r="AW170" s="262"/>
      <c r="AX170" s="262"/>
      <c r="AY170" s="120"/>
      <c r="AZ170" s="262"/>
      <c r="BA170" s="262"/>
      <c r="BB170" s="120"/>
      <c r="BC170" s="134"/>
      <c r="BD170" s="200"/>
      <c r="BE170" s="120"/>
      <c r="BF170" s="134"/>
      <c r="BG170" s="200"/>
      <c r="BH170" s="120"/>
      <c r="BI170" s="252"/>
      <c r="BJ170" s="252"/>
      <c r="BK170" s="120"/>
      <c r="BL170" s="134"/>
      <c r="BM170" s="134"/>
      <c r="BN170" s="120"/>
      <c r="BO170" s="252"/>
      <c r="BP170" s="252"/>
      <c r="BQ170" s="120"/>
      <c r="BR170" s="134"/>
      <c r="BS170" s="134"/>
      <c r="BT170" s="120"/>
      <c r="BU170" s="134"/>
      <c r="BV170" s="200"/>
      <c r="BW170" s="120"/>
      <c r="BX170" s="134"/>
      <c r="BY170" s="200"/>
      <c r="BZ170" s="120"/>
      <c r="CA170" s="126"/>
      <c r="CB170" s="126"/>
      <c r="CC170" s="120"/>
      <c r="CD170" s="126"/>
      <c r="CE170" s="126"/>
      <c r="CF170" s="120"/>
      <c r="CG170" s="134"/>
      <c r="CH170" s="134"/>
      <c r="CI170" s="120"/>
      <c r="CJ170" s="200"/>
      <c r="CK170" s="200"/>
      <c r="CL170" s="120"/>
      <c r="CM170" s="200"/>
      <c r="CN170" s="200"/>
      <c r="CO170" s="120"/>
      <c r="CP170" s="134"/>
      <c r="CQ170" s="134"/>
      <c r="CR170" s="120"/>
      <c r="CS170" s="134"/>
      <c r="CT170" s="134"/>
      <c r="CU170" s="120"/>
      <c r="CV170" s="202"/>
      <c r="CW170" s="202"/>
      <c r="CX170" s="120"/>
      <c r="CY170" s="202"/>
      <c r="CZ170" s="202"/>
      <c r="DA170" s="120"/>
      <c r="DB170" s="202"/>
      <c r="DC170" s="202"/>
      <c r="DD170" s="349"/>
      <c r="DE170" s="202"/>
      <c r="DF170" s="202"/>
      <c r="DG170" s="254"/>
      <c r="DH170" s="203"/>
      <c r="DI170" s="203"/>
      <c r="DJ170" s="259"/>
      <c r="DK170" s="136"/>
      <c r="DL170" s="136"/>
      <c r="DM170" s="120"/>
      <c r="DN170" s="233"/>
      <c r="DO170" s="233"/>
      <c r="DP170" s="120"/>
      <c r="DQ170" s="262"/>
      <c r="DR170" s="262"/>
      <c r="DS170" s="120"/>
      <c r="DT170" s="262"/>
      <c r="DU170" s="262"/>
      <c r="DV170" s="120"/>
      <c r="DW170" s="262"/>
      <c r="DX170" s="262"/>
      <c r="DY170" s="120"/>
      <c r="DZ170" s="262"/>
      <c r="EA170" s="262"/>
      <c r="EB170" s="265"/>
      <c r="EC170" s="262"/>
      <c r="ED170" s="262"/>
      <c r="EE170" s="254"/>
      <c r="EF170" s="233"/>
      <c r="EG170" s="233"/>
      <c r="EH170" s="120"/>
      <c r="EI170" s="262"/>
      <c r="EJ170" s="262"/>
      <c r="EK170" s="120"/>
      <c r="EL170" s="262"/>
      <c r="EM170" s="262"/>
      <c r="EN170" s="120"/>
      <c r="EO170" s="262"/>
      <c r="EP170" s="262"/>
      <c r="EQ170" s="120"/>
      <c r="ER170" s="262"/>
      <c r="ES170" s="262"/>
      <c r="ET170" s="120"/>
      <c r="EU170" s="262"/>
      <c r="EV170" s="262"/>
      <c r="EW170" s="120"/>
      <c r="EX170" s="262"/>
      <c r="EY170" s="262"/>
      <c r="EZ170" s="120"/>
      <c r="FA170" s="262"/>
      <c r="FB170" s="262"/>
      <c r="FC170" s="120"/>
      <c r="FD170" s="262"/>
      <c r="FE170" s="262"/>
      <c r="FF170" s="120"/>
      <c r="FG170" s="262"/>
      <c r="FH170" s="262"/>
      <c r="FI170" s="120"/>
      <c r="FJ170" s="262"/>
      <c r="FK170" s="262"/>
      <c r="FL170" s="120"/>
      <c r="FM170" s="262"/>
      <c r="FN170" s="262"/>
      <c r="FO170" s="120"/>
      <c r="FP170" s="262"/>
      <c r="FQ170" s="262"/>
      <c r="FR170" s="120"/>
      <c r="FS170" s="262"/>
      <c r="FT170" s="262"/>
      <c r="FU170" s="120"/>
      <c r="FV170" s="262"/>
      <c r="FW170" s="262"/>
      <c r="FX170" s="120"/>
      <c r="FY170" s="262"/>
      <c r="FZ170" s="262"/>
      <c r="GA170" s="256"/>
      <c r="GB170" s="233"/>
      <c r="GC170" s="233"/>
      <c r="GJ170" s="121">
        <f t="shared" si="60"/>
        <v>0</v>
      </c>
      <c r="GK170" s="121">
        <f t="shared" si="61"/>
        <v>0</v>
      </c>
      <c r="GM170" s="121">
        <f t="shared" si="62"/>
        <v>1</v>
      </c>
      <c r="GN170" s="121">
        <f t="shared" si="63"/>
        <v>0</v>
      </c>
      <c r="GO170" s="121">
        <f t="shared" si="64"/>
        <v>0</v>
      </c>
      <c r="GP170" s="121">
        <f t="shared" si="65"/>
        <v>0</v>
      </c>
      <c r="GQ170" s="121">
        <f t="shared" si="66"/>
        <v>0</v>
      </c>
      <c r="GR170" s="121">
        <f t="shared" si="67"/>
        <v>0</v>
      </c>
    </row>
    <row r="171" spans="2:200" ht="38.25" customHeight="1" x14ac:dyDescent="0.55000000000000004">
      <c r="B171" s="303" t="s">
        <v>481</v>
      </c>
      <c r="C171" s="198"/>
      <c r="D171" s="198"/>
      <c r="E171" s="198"/>
      <c r="F171" s="198"/>
      <c r="G171" s="198"/>
      <c r="H171" s="198"/>
      <c r="I171" s="142" cm="1">
        <f t="array" ref="I171">SUMPRODUCT(($X$2:$GG$2&lt;&gt;"")*($X171:$GG171&lt;&gt;""))</f>
        <v>1</v>
      </c>
      <c r="J171" s="122">
        <f t="shared" si="51"/>
        <v>0</v>
      </c>
      <c r="K171" s="122">
        <f t="shared" si="52"/>
        <v>0</v>
      </c>
      <c r="L171" s="249">
        <f t="shared" si="68"/>
        <v>7000</v>
      </c>
      <c r="M171" s="144">
        <f t="shared" si="53"/>
        <v>784</v>
      </c>
      <c r="N171" s="405"/>
      <c r="O171" s="145">
        <f t="shared" si="54"/>
        <v>0</v>
      </c>
      <c r="P171" s="145">
        <f t="shared" si="55"/>
        <v>0</v>
      </c>
      <c r="Q171" s="145">
        <f t="shared" si="56"/>
        <v>0</v>
      </c>
      <c r="R171" s="145">
        <f t="shared" si="57"/>
        <v>0</v>
      </c>
      <c r="S171" s="130">
        <f t="shared" si="58"/>
        <v>0</v>
      </c>
      <c r="T171" s="130">
        <f t="shared" si="59"/>
        <v>0</v>
      </c>
      <c r="U171" s="141"/>
      <c r="V171" s="123"/>
      <c r="W171" s="134"/>
      <c r="X171" s="347">
        <v>28</v>
      </c>
      <c r="Y171" s="347">
        <v>250</v>
      </c>
      <c r="Z171" s="348" t="s">
        <v>576</v>
      </c>
      <c r="AA171" s="120"/>
      <c r="AB171" s="134"/>
      <c r="AC171" s="200"/>
      <c r="AD171" s="125"/>
      <c r="AE171" s="134"/>
      <c r="AF171" s="200"/>
      <c r="AG171" s="120"/>
      <c r="AH171" s="262"/>
      <c r="AI171" s="262"/>
      <c r="AJ171" s="120"/>
      <c r="AK171" s="262"/>
      <c r="AL171" s="262"/>
      <c r="AM171" s="120"/>
      <c r="AN171" s="262"/>
      <c r="AO171" s="262"/>
      <c r="AP171" s="120"/>
      <c r="AQ171" s="262"/>
      <c r="AR171" s="262"/>
      <c r="AS171" s="120"/>
      <c r="AT171" s="262"/>
      <c r="AU171" s="262"/>
      <c r="AV171" s="120"/>
      <c r="AW171" s="262"/>
      <c r="AX171" s="262"/>
      <c r="AY171" s="120"/>
      <c r="AZ171" s="262"/>
      <c r="BA171" s="262"/>
      <c r="BB171" s="120"/>
      <c r="BC171" s="134"/>
      <c r="BD171" s="200"/>
      <c r="BE171" s="120"/>
      <c r="BF171" s="134"/>
      <c r="BG171" s="200"/>
      <c r="BH171" s="120"/>
      <c r="BI171" s="252"/>
      <c r="BJ171" s="252"/>
      <c r="BK171" s="120"/>
      <c r="BL171" s="134"/>
      <c r="BM171" s="134"/>
      <c r="BN171" s="120"/>
      <c r="BO171" s="252"/>
      <c r="BP171" s="252"/>
      <c r="BQ171" s="120"/>
      <c r="BR171" s="134"/>
      <c r="BS171" s="134"/>
      <c r="BT171" s="120"/>
      <c r="BU171" s="134"/>
      <c r="BV171" s="200"/>
      <c r="BW171" s="120"/>
      <c r="BX171" s="134"/>
      <c r="BY171" s="200"/>
      <c r="BZ171" s="120"/>
      <c r="CA171" s="126"/>
      <c r="CB171" s="126"/>
      <c r="CC171" s="120"/>
      <c r="CD171" s="126"/>
      <c r="CE171" s="126"/>
      <c r="CF171" s="120"/>
      <c r="CG171" s="134"/>
      <c r="CH171" s="134"/>
      <c r="CI171" s="120"/>
      <c r="CJ171" s="200"/>
      <c r="CK171" s="200"/>
      <c r="CL171" s="120"/>
      <c r="CM171" s="200"/>
      <c r="CN171" s="200"/>
      <c r="CO171" s="120"/>
      <c r="CP171" s="134"/>
      <c r="CQ171" s="134"/>
      <c r="CR171" s="120"/>
      <c r="CS171" s="134"/>
      <c r="CT171" s="134"/>
      <c r="CU171" s="120"/>
      <c r="CV171" s="202"/>
      <c r="CW171" s="202"/>
      <c r="CX171" s="120"/>
      <c r="CY171" s="202"/>
      <c r="CZ171" s="202"/>
      <c r="DA171" s="120"/>
      <c r="DB171" s="202"/>
      <c r="DC171" s="202"/>
      <c r="DD171" s="349"/>
      <c r="DE171" s="202"/>
      <c r="DF171" s="202"/>
      <c r="DG171" s="254"/>
      <c r="DH171" s="203"/>
      <c r="DI171" s="203"/>
      <c r="DJ171" s="259"/>
      <c r="DK171" s="136"/>
      <c r="DL171" s="136"/>
      <c r="DM171" s="120"/>
      <c r="DN171" s="233"/>
      <c r="DO171" s="233"/>
      <c r="DP171" s="120"/>
      <c r="DQ171" s="262"/>
      <c r="DR171" s="262"/>
      <c r="DS171" s="120"/>
      <c r="DT171" s="262"/>
      <c r="DU171" s="262"/>
      <c r="DV171" s="120"/>
      <c r="DW171" s="262"/>
      <c r="DX171" s="262"/>
      <c r="DY171" s="120"/>
      <c r="DZ171" s="262"/>
      <c r="EA171" s="262"/>
      <c r="EB171" s="265"/>
      <c r="EC171" s="262"/>
      <c r="ED171" s="262"/>
      <c r="EE171" s="254"/>
      <c r="EF171" s="233"/>
      <c r="EG171" s="233"/>
      <c r="EH171" s="120"/>
      <c r="EI171" s="262"/>
      <c r="EJ171" s="262"/>
      <c r="EK171" s="120"/>
      <c r="EL171" s="262"/>
      <c r="EM171" s="262"/>
      <c r="EN171" s="120"/>
      <c r="EO171" s="262"/>
      <c r="EP171" s="262"/>
      <c r="EQ171" s="120"/>
      <c r="ER171" s="262"/>
      <c r="ES171" s="262"/>
      <c r="ET171" s="120"/>
      <c r="EU171" s="262"/>
      <c r="EV171" s="262"/>
      <c r="EW171" s="120"/>
      <c r="EX171" s="262"/>
      <c r="EY171" s="262"/>
      <c r="EZ171" s="120"/>
      <c r="FA171" s="262"/>
      <c r="FB171" s="262"/>
      <c r="FC171" s="120"/>
      <c r="FD171" s="262"/>
      <c r="FE171" s="262"/>
      <c r="FF171" s="120"/>
      <c r="FG171" s="262"/>
      <c r="FH171" s="262"/>
      <c r="FI171" s="120"/>
      <c r="FJ171" s="262"/>
      <c r="FK171" s="262"/>
      <c r="FL171" s="120"/>
      <c r="FM171" s="262"/>
      <c r="FN171" s="262"/>
      <c r="FO171" s="120"/>
      <c r="FP171" s="262"/>
      <c r="FQ171" s="262"/>
      <c r="FR171" s="120"/>
      <c r="FS171" s="262"/>
      <c r="FT171" s="262"/>
      <c r="FU171" s="120"/>
      <c r="FV171" s="262"/>
      <c r="FW171" s="262"/>
      <c r="FX171" s="120"/>
      <c r="FY171" s="262"/>
      <c r="FZ171" s="262"/>
      <c r="GA171" s="256"/>
      <c r="GB171" s="233"/>
      <c r="GC171" s="233"/>
      <c r="GJ171" s="121">
        <f t="shared" si="60"/>
        <v>0</v>
      </c>
      <c r="GK171" s="121">
        <f t="shared" si="61"/>
        <v>0</v>
      </c>
      <c r="GM171" s="121">
        <f t="shared" si="62"/>
        <v>1</v>
      </c>
      <c r="GN171" s="121">
        <f t="shared" si="63"/>
        <v>0</v>
      </c>
      <c r="GO171" s="121">
        <f t="shared" si="64"/>
        <v>0</v>
      </c>
      <c r="GP171" s="121">
        <f t="shared" si="65"/>
        <v>0</v>
      </c>
      <c r="GQ171" s="121">
        <f t="shared" si="66"/>
        <v>0</v>
      </c>
      <c r="GR171" s="121">
        <f t="shared" si="67"/>
        <v>0</v>
      </c>
    </row>
    <row r="172" spans="2:200" ht="38.25" customHeight="1" x14ac:dyDescent="0.55000000000000004">
      <c r="B172" s="303" t="s">
        <v>482</v>
      </c>
      <c r="C172" s="198"/>
      <c r="D172" s="198"/>
      <c r="E172" s="198"/>
      <c r="F172" s="198"/>
      <c r="G172" s="198"/>
      <c r="H172" s="198"/>
      <c r="I172" s="142" cm="1">
        <f t="array" ref="I172">SUMPRODUCT(($X$2:$GG$2&lt;&gt;"")*($X172:$GG172&lt;&gt;""))</f>
        <v>1</v>
      </c>
      <c r="J172" s="122">
        <f t="shared" si="51"/>
        <v>0</v>
      </c>
      <c r="K172" s="122">
        <f t="shared" si="52"/>
        <v>0</v>
      </c>
      <c r="L172" s="249">
        <f t="shared" si="68"/>
        <v>7000</v>
      </c>
      <c r="M172" s="144">
        <f t="shared" si="53"/>
        <v>784</v>
      </c>
      <c r="N172" s="405"/>
      <c r="O172" s="145">
        <f t="shared" si="54"/>
        <v>0</v>
      </c>
      <c r="P172" s="145">
        <f t="shared" si="55"/>
        <v>0</v>
      </c>
      <c r="Q172" s="145">
        <f t="shared" si="56"/>
        <v>0</v>
      </c>
      <c r="R172" s="145">
        <f t="shared" si="57"/>
        <v>0</v>
      </c>
      <c r="S172" s="130">
        <f t="shared" si="58"/>
        <v>0</v>
      </c>
      <c r="T172" s="130">
        <f t="shared" si="59"/>
        <v>0</v>
      </c>
      <c r="U172" s="141"/>
      <c r="V172" s="123"/>
      <c r="W172" s="134"/>
      <c r="X172" s="347">
        <v>28</v>
      </c>
      <c r="Y172" s="347">
        <v>250</v>
      </c>
      <c r="Z172" s="348" t="s">
        <v>576</v>
      </c>
      <c r="AA172" s="120"/>
      <c r="AB172" s="134"/>
      <c r="AC172" s="200"/>
      <c r="AD172" s="125"/>
      <c r="AE172" s="134"/>
      <c r="AF172" s="200"/>
      <c r="AG172" s="120"/>
      <c r="AH172" s="262"/>
      <c r="AI172" s="262"/>
      <c r="AJ172" s="120"/>
      <c r="AK172" s="262"/>
      <c r="AL172" s="262"/>
      <c r="AM172" s="120"/>
      <c r="AN172" s="262"/>
      <c r="AO172" s="262"/>
      <c r="AP172" s="120"/>
      <c r="AQ172" s="262"/>
      <c r="AR172" s="262"/>
      <c r="AS172" s="120"/>
      <c r="AT172" s="262"/>
      <c r="AU172" s="262"/>
      <c r="AV172" s="120"/>
      <c r="AW172" s="262"/>
      <c r="AX172" s="262"/>
      <c r="AY172" s="120"/>
      <c r="AZ172" s="262"/>
      <c r="BA172" s="262"/>
      <c r="BB172" s="120"/>
      <c r="BC172" s="134"/>
      <c r="BD172" s="200"/>
      <c r="BE172" s="120"/>
      <c r="BF172" s="134"/>
      <c r="BG172" s="200"/>
      <c r="BH172" s="120"/>
      <c r="BI172" s="252"/>
      <c r="BJ172" s="252"/>
      <c r="BK172" s="120"/>
      <c r="BL172" s="134"/>
      <c r="BM172" s="134"/>
      <c r="BN172" s="120"/>
      <c r="BO172" s="252"/>
      <c r="BP172" s="252"/>
      <c r="BQ172" s="120"/>
      <c r="BR172" s="134"/>
      <c r="BS172" s="134"/>
      <c r="BT172" s="120"/>
      <c r="BU172" s="134"/>
      <c r="BV172" s="200"/>
      <c r="BW172" s="120"/>
      <c r="BX172" s="134"/>
      <c r="BY172" s="200"/>
      <c r="BZ172" s="120"/>
      <c r="CA172" s="126"/>
      <c r="CB172" s="126"/>
      <c r="CC172" s="120"/>
      <c r="CD172" s="126"/>
      <c r="CE172" s="126"/>
      <c r="CF172" s="120"/>
      <c r="CG172" s="134"/>
      <c r="CH172" s="134"/>
      <c r="CI172" s="120"/>
      <c r="CJ172" s="200"/>
      <c r="CK172" s="200"/>
      <c r="CL172" s="120"/>
      <c r="CM172" s="200"/>
      <c r="CN172" s="200"/>
      <c r="CO172" s="120"/>
      <c r="CP172" s="134"/>
      <c r="CQ172" s="134"/>
      <c r="CR172" s="120"/>
      <c r="CS172" s="134"/>
      <c r="CT172" s="134"/>
      <c r="CU172" s="120"/>
      <c r="CV172" s="202"/>
      <c r="CW172" s="202"/>
      <c r="CX172" s="120"/>
      <c r="CY172" s="202"/>
      <c r="CZ172" s="202"/>
      <c r="DA172" s="120"/>
      <c r="DB172" s="202"/>
      <c r="DC172" s="202"/>
      <c r="DD172" s="349"/>
      <c r="DE172" s="202"/>
      <c r="DF172" s="202"/>
      <c r="DG172" s="254"/>
      <c r="DH172" s="203"/>
      <c r="DI172" s="203"/>
      <c r="DJ172" s="259"/>
      <c r="DK172" s="136"/>
      <c r="DL172" s="136"/>
      <c r="DM172" s="120"/>
      <c r="DN172" s="233"/>
      <c r="DO172" s="233"/>
      <c r="DP172" s="120"/>
      <c r="DQ172" s="262"/>
      <c r="DR172" s="262"/>
      <c r="DS172" s="120"/>
      <c r="DT172" s="262"/>
      <c r="DU172" s="262"/>
      <c r="DV172" s="120"/>
      <c r="DW172" s="262"/>
      <c r="DX172" s="262"/>
      <c r="DY172" s="120"/>
      <c r="DZ172" s="262"/>
      <c r="EA172" s="262"/>
      <c r="EB172" s="265"/>
      <c r="EC172" s="262"/>
      <c r="ED172" s="262"/>
      <c r="EE172" s="254"/>
      <c r="EF172" s="233"/>
      <c r="EG172" s="233"/>
      <c r="EH172" s="120"/>
      <c r="EI172" s="262"/>
      <c r="EJ172" s="262"/>
      <c r="EK172" s="120"/>
      <c r="EL172" s="262"/>
      <c r="EM172" s="262"/>
      <c r="EN172" s="120"/>
      <c r="EO172" s="262"/>
      <c r="EP172" s="262"/>
      <c r="EQ172" s="120"/>
      <c r="ER172" s="262"/>
      <c r="ES172" s="262"/>
      <c r="ET172" s="120"/>
      <c r="EU172" s="262"/>
      <c r="EV172" s="262"/>
      <c r="EW172" s="120"/>
      <c r="EX172" s="262"/>
      <c r="EY172" s="262"/>
      <c r="EZ172" s="120"/>
      <c r="FA172" s="262"/>
      <c r="FB172" s="262"/>
      <c r="FC172" s="120"/>
      <c r="FD172" s="262"/>
      <c r="FE172" s="262"/>
      <c r="FF172" s="120"/>
      <c r="FG172" s="262"/>
      <c r="FH172" s="262"/>
      <c r="FI172" s="120"/>
      <c r="FJ172" s="262"/>
      <c r="FK172" s="262"/>
      <c r="FL172" s="120"/>
      <c r="FM172" s="262"/>
      <c r="FN172" s="262"/>
      <c r="FO172" s="120"/>
      <c r="FP172" s="262"/>
      <c r="FQ172" s="262"/>
      <c r="FR172" s="120"/>
      <c r="FS172" s="262"/>
      <c r="FT172" s="262"/>
      <c r="FU172" s="120"/>
      <c r="FV172" s="262"/>
      <c r="FW172" s="262"/>
      <c r="FX172" s="120"/>
      <c r="FY172" s="262"/>
      <c r="FZ172" s="262"/>
      <c r="GA172" s="256"/>
      <c r="GB172" s="233"/>
      <c r="GC172" s="233"/>
      <c r="GJ172" s="121">
        <f t="shared" si="60"/>
        <v>0</v>
      </c>
      <c r="GK172" s="121">
        <f t="shared" si="61"/>
        <v>0</v>
      </c>
      <c r="GM172" s="121">
        <f t="shared" si="62"/>
        <v>1</v>
      </c>
      <c r="GN172" s="121">
        <f t="shared" si="63"/>
        <v>0</v>
      </c>
      <c r="GO172" s="121">
        <f t="shared" si="64"/>
        <v>0</v>
      </c>
      <c r="GP172" s="121">
        <f t="shared" si="65"/>
        <v>0</v>
      </c>
      <c r="GQ172" s="121">
        <f t="shared" si="66"/>
        <v>0</v>
      </c>
      <c r="GR172" s="121">
        <f t="shared" si="67"/>
        <v>0</v>
      </c>
    </row>
    <row r="173" spans="2:200" ht="38.25" customHeight="1" x14ac:dyDescent="0.55000000000000004">
      <c r="B173" s="303" t="s">
        <v>480</v>
      </c>
      <c r="C173" s="198"/>
      <c r="D173" s="198"/>
      <c r="E173" s="198"/>
      <c r="F173" s="198"/>
      <c r="G173" s="198"/>
      <c r="H173" s="198"/>
      <c r="I173" s="142" cm="1">
        <f t="array" ref="I173">SUMPRODUCT(($X$2:$GG$2&lt;&gt;"")*($X173:$GG173&lt;&gt;""))</f>
        <v>1</v>
      </c>
      <c r="J173" s="122">
        <f t="shared" si="51"/>
        <v>0</v>
      </c>
      <c r="K173" s="122">
        <f t="shared" si="52"/>
        <v>0</v>
      </c>
      <c r="L173" s="249">
        <f t="shared" si="68"/>
        <v>7000</v>
      </c>
      <c r="M173" s="144">
        <f t="shared" si="53"/>
        <v>784</v>
      </c>
      <c r="N173" s="405"/>
      <c r="O173" s="145">
        <f t="shared" si="54"/>
        <v>0</v>
      </c>
      <c r="P173" s="145">
        <f t="shared" si="55"/>
        <v>0</v>
      </c>
      <c r="Q173" s="145">
        <f t="shared" si="56"/>
        <v>0</v>
      </c>
      <c r="R173" s="145">
        <f t="shared" si="57"/>
        <v>0</v>
      </c>
      <c r="S173" s="130">
        <f t="shared" si="58"/>
        <v>0</v>
      </c>
      <c r="T173" s="130">
        <f t="shared" si="59"/>
        <v>0</v>
      </c>
      <c r="U173" s="141"/>
      <c r="V173" s="123"/>
      <c r="W173" s="134"/>
      <c r="X173" s="347">
        <v>28</v>
      </c>
      <c r="Y173" s="347">
        <v>250</v>
      </c>
      <c r="Z173" s="348" t="s">
        <v>576</v>
      </c>
      <c r="AA173" s="120"/>
      <c r="AB173" s="134"/>
      <c r="AC173" s="200"/>
      <c r="AD173" s="125"/>
      <c r="AE173" s="134"/>
      <c r="AF173" s="200"/>
      <c r="AG173" s="120"/>
      <c r="AH173" s="262"/>
      <c r="AI173" s="262"/>
      <c r="AJ173" s="120"/>
      <c r="AK173" s="262"/>
      <c r="AL173" s="262"/>
      <c r="AM173" s="120"/>
      <c r="AN173" s="262"/>
      <c r="AO173" s="262"/>
      <c r="AP173" s="120"/>
      <c r="AQ173" s="262"/>
      <c r="AR173" s="262"/>
      <c r="AS173" s="120"/>
      <c r="AT173" s="262"/>
      <c r="AU173" s="262"/>
      <c r="AV173" s="120"/>
      <c r="AW173" s="262"/>
      <c r="AX173" s="262"/>
      <c r="AY173" s="120"/>
      <c r="AZ173" s="262"/>
      <c r="BA173" s="262"/>
      <c r="BB173" s="120"/>
      <c r="BC173" s="134"/>
      <c r="BD173" s="200"/>
      <c r="BE173" s="120"/>
      <c r="BF173" s="134"/>
      <c r="BG173" s="200"/>
      <c r="BH173" s="120"/>
      <c r="BI173" s="252"/>
      <c r="BJ173" s="252"/>
      <c r="BK173" s="120"/>
      <c r="BL173" s="134"/>
      <c r="BM173" s="134"/>
      <c r="BN173" s="120"/>
      <c r="BO173" s="252"/>
      <c r="BP173" s="252"/>
      <c r="BQ173" s="120"/>
      <c r="BR173" s="134"/>
      <c r="BS173" s="134"/>
      <c r="BT173" s="120"/>
      <c r="BU173" s="134"/>
      <c r="BV173" s="200"/>
      <c r="BW173" s="120"/>
      <c r="BX173" s="134"/>
      <c r="BY173" s="200"/>
      <c r="BZ173" s="120"/>
      <c r="CA173" s="126"/>
      <c r="CB173" s="126"/>
      <c r="CC173" s="120"/>
      <c r="CD173" s="126"/>
      <c r="CE173" s="126"/>
      <c r="CF173" s="120"/>
      <c r="CG173" s="134"/>
      <c r="CH173" s="134"/>
      <c r="CI173" s="120"/>
      <c r="CJ173" s="200"/>
      <c r="CK173" s="200"/>
      <c r="CL173" s="120"/>
      <c r="CM173" s="200"/>
      <c r="CN173" s="200"/>
      <c r="CO173" s="120"/>
      <c r="CP173" s="134"/>
      <c r="CQ173" s="134"/>
      <c r="CR173" s="120"/>
      <c r="CS173" s="134"/>
      <c r="CT173" s="134"/>
      <c r="CU173" s="120"/>
      <c r="CV173" s="202"/>
      <c r="CW173" s="202"/>
      <c r="CX173" s="120"/>
      <c r="CY173" s="202"/>
      <c r="CZ173" s="202"/>
      <c r="DA173" s="120"/>
      <c r="DB173" s="202"/>
      <c r="DC173" s="202"/>
      <c r="DD173" s="349"/>
      <c r="DE173" s="202"/>
      <c r="DF173" s="202"/>
      <c r="DG173" s="254"/>
      <c r="DH173" s="203"/>
      <c r="DI173" s="203"/>
      <c r="DJ173" s="259"/>
      <c r="DK173" s="136"/>
      <c r="DL173" s="136"/>
      <c r="DM173" s="120"/>
      <c r="DN173" s="233"/>
      <c r="DO173" s="233"/>
      <c r="DP173" s="120"/>
      <c r="DQ173" s="262"/>
      <c r="DR173" s="262"/>
      <c r="DS173" s="120"/>
      <c r="DT173" s="262"/>
      <c r="DU173" s="262"/>
      <c r="DV173" s="120"/>
      <c r="DW173" s="262"/>
      <c r="DX173" s="262"/>
      <c r="DY173" s="120"/>
      <c r="DZ173" s="262"/>
      <c r="EA173" s="262"/>
      <c r="EB173" s="265"/>
      <c r="EC173" s="262"/>
      <c r="ED173" s="262"/>
      <c r="EE173" s="254"/>
      <c r="EF173" s="233"/>
      <c r="EG173" s="233"/>
      <c r="EH173" s="120"/>
      <c r="EI173" s="262"/>
      <c r="EJ173" s="262"/>
      <c r="EK173" s="120"/>
      <c r="EL173" s="262"/>
      <c r="EM173" s="262"/>
      <c r="EN173" s="120"/>
      <c r="EO173" s="262"/>
      <c r="EP173" s="262"/>
      <c r="EQ173" s="120"/>
      <c r="ER173" s="262"/>
      <c r="ES173" s="262"/>
      <c r="ET173" s="120"/>
      <c r="EU173" s="262"/>
      <c r="EV173" s="262"/>
      <c r="EW173" s="120"/>
      <c r="EX173" s="262"/>
      <c r="EY173" s="262"/>
      <c r="EZ173" s="120"/>
      <c r="FA173" s="262"/>
      <c r="FB173" s="262"/>
      <c r="FC173" s="120"/>
      <c r="FD173" s="262"/>
      <c r="FE173" s="262"/>
      <c r="FF173" s="120"/>
      <c r="FG173" s="262"/>
      <c r="FH173" s="262"/>
      <c r="FI173" s="120"/>
      <c r="FJ173" s="262"/>
      <c r="FK173" s="262"/>
      <c r="FL173" s="120"/>
      <c r="FM173" s="262"/>
      <c r="FN173" s="262"/>
      <c r="FO173" s="120"/>
      <c r="FP173" s="262"/>
      <c r="FQ173" s="262"/>
      <c r="FR173" s="120"/>
      <c r="FS173" s="262"/>
      <c r="FT173" s="262"/>
      <c r="FU173" s="120"/>
      <c r="FV173" s="262"/>
      <c r="FW173" s="262"/>
      <c r="FX173" s="120"/>
      <c r="FY173" s="262"/>
      <c r="FZ173" s="262"/>
      <c r="GA173" s="256"/>
      <c r="GB173" s="233"/>
      <c r="GC173" s="233"/>
      <c r="GJ173" s="121">
        <f t="shared" si="60"/>
        <v>0</v>
      </c>
      <c r="GK173" s="121">
        <f t="shared" si="61"/>
        <v>0</v>
      </c>
      <c r="GM173" s="121">
        <f t="shared" si="62"/>
        <v>1</v>
      </c>
      <c r="GN173" s="121">
        <f t="shared" si="63"/>
        <v>0</v>
      </c>
      <c r="GO173" s="121">
        <f t="shared" si="64"/>
        <v>0</v>
      </c>
      <c r="GP173" s="121">
        <f t="shared" si="65"/>
        <v>0</v>
      </c>
      <c r="GQ173" s="121">
        <f t="shared" si="66"/>
        <v>0</v>
      </c>
      <c r="GR173" s="121">
        <f t="shared" si="67"/>
        <v>0</v>
      </c>
    </row>
    <row r="174" spans="2:200" ht="38.25" customHeight="1" x14ac:dyDescent="0.55000000000000004">
      <c r="B174" s="303" t="s">
        <v>478</v>
      </c>
      <c r="C174" s="198"/>
      <c r="D174" s="198"/>
      <c r="E174" s="198"/>
      <c r="F174" s="198"/>
      <c r="G174" s="198"/>
      <c r="H174" s="198"/>
      <c r="I174" s="142" cm="1">
        <f t="array" ref="I174">SUMPRODUCT(($X$2:$GG$2&lt;&gt;"")*($X174:$GG174&lt;&gt;""))</f>
        <v>1</v>
      </c>
      <c r="J174" s="122">
        <f t="shared" si="51"/>
        <v>0</v>
      </c>
      <c r="K174" s="122">
        <f t="shared" si="52"/>
        <v>0</v>
      </c>
      <c r="L174" s="249">
        <f t="shared" si="68"/>
        <v>7000</v>
      </c>
      <c r="M174" s="144">
        <f t="shared" si="53"/>
        <v>784</v>
      </c>
      <c r="N174" s="405"/>
      <c r="O174" s="145">
        <f t="shared" si="54"/>
        <v>0</v>
      </c>
      <c r="P174" s="145">
        <f t="shared" si="55"/>
        <v>0</v>
      </c>
      <c r="Q174" s="145">
        <f t="shared" si="56"/>
        <v>0</v>
      </c>
      <c r="R174" s="145">
        <f t="shared" si="57"/>
        <v>0</v>
      </c>
      <c r="S174" s="130">
        <f t="shared" si="58"/>
        <v>0</v>
      </c>
      <c r="T174" s="130">
        <f t="shared" si="59"/>
        <v>0</v>
      </c>
      <c r="U174" s="141"/>
      <c r="V174" s="123"/>
      <c r="W174" s="134"/>
      <c r="X174" s="347">
        <v>28</v>
      </c>
      <c r="Y174" s="347">
        <v>250</v>
      </c>
      <c r="Z174" s="348" t="s">
        <v>576</v>
      </c>
      <c r="AA174" s="120"/>
      <c r="AB174" s="134"/>
      <c r="AC174" s="200"/>
      <c r="AD174" s="125"/>
      <c r="AE174" s="134"/>
      <c r="AF174" s="200"/>
      <c r="AG174" s="120"/>
      <c r="AH174" s="262"/>
      <c r="AI174" s="262"/>
      <c r="AJ174" s="120"/>
      <c r="AK174" s="262"/>
      <c r="AL174" s="262"/>
      <c r="AM174" s="120"/>
      <c r="AN174" s="262"/>
      <c r="AO174" s="262"/>
      <c r="AP174" s="120"/>
      <c r="AQ174" s="262"/>
      <c r="AR174" s="262"/>
      <c r="AS174" s="120"/>
      <c r="AT174" s="262"/>
      <c r="AU174" s="262"/>
      <c r="AV174" s="120"/>
      <c r="AW174" s="262"/>
      <c r="AX174" s="262"/>
      <c r="AY174" s="120"/>
      <c r="AZ174" s="262"/>
      <c r="BA174" s="262"/>
      <c r="BB174" s="120"/>
      <c r="BC174" s="134"/>
      <c r="BD174" s="200"/>
      <c r="BE174" s="120"/>
      <c r="BF174" s="134"/>
      <c r="BG174" s="200"/>
      <c r="BH174" s="120"/>
      <c r="BI174" s="252"/>
      <c r="BJ174" s="252"/>
      <c r="BK174" s="120"/>
      <c r="BL174" s="134"/>
      <c r="BM174" s="134"/>
      <c r="BN174" s="120"/>
      <c r="BO174" s="252"/>
      <c r="BP174" s="252"/>
      <c r="BQ174" s="120"/>
      <c r="BR174" s="134"/>
      <c r="BS174" s="134"/>
      <c r="BT174" s="120"/>
      <c r="BU174" s="134"/>
      <c r="BV174" s="200"/>
      <c r="BW174" s="120"/>
      <c r="BX174" s="134"/>
      <c r="BY174" s="200"/>
      <c r="BZ174" s="120"/>
      <c r="CA174" s="126"/>
      <c r="CB174" s="126"/>
      <c r="CC174" s="120"/>
      <c r="CD174" s="126"/>
      <c r="CE174" s="126"/>
      <c r="CF174" s="120"/>
      <c r="CG174" s="134"/>
      <c r="CH174" s="134"/>
      <c r="CI174" s="120"/>
      <c r="CJ174" s="200"/>
      <c r="CK174" s="200"/>
      <c r="CL174" s="120"/>
      <c r="CM174" s="200"/>
      <c r="CN174" s="200"/>
      <c r="CO174" s="120"/>
      <c r="CP174" s="134"/>
      <c r="CQ174" s="134"/>
      <c r="CR174" s="120"/>
      <c r="CS174" s="134"/>
      <c r="CT174" s="134"/>
      <c r="CU174" s="120"/>
      <c r="CV174" s="202"/>
      <c r="CW174" s="202"/>
      <c r="CX174" s="120"/>
      <c r="CY174" s="202"/>
      <c r="CZ174" s="202"/>
      <c r="DA174" s="120"/>
      <c r="DB174" s="202"/>
      <c r="DC174" s="202"/>
      <c r="DD174" s="349"/>
      <c r="DE174" s="202"/>
      <c r="DF174" s="202"/>
      <c r="DG174" s="254"/>
      <c r="DH174" s="203"/>
      <c r="DI174" s="203"/>
      <c r="DJ174" s="259"/>
      <c r="DK174" s="136"/>
      <c r="DL174" s="136"/>
      <c r="DM174" s="120"/>
      <c r="DN174" s="233"/>
      <c r="DO174" s="233"/>
      <c r="DP174" s="120"/>
      <c r="DQ174" s="262"/>
      <c r="DR174" s="262"/>
      <c r="DS174" s="120"/>
      <c r="DT174" s="262"/>
      <c r="DU174" s="262"/>
      <c r="DV174" s="120"/>
      <c r="DW174" s="262"/>
      <c r="DX174" s="262"/>
      <c r="DY174" s="120"/>
      <c r="DZ174" s="262"/>
      <c r="EA174" s="262"/>
      <c r="EB174" s="265"/>
      <c r="EC174" s="262"/>
      <c r="ED174" s="262"/>
      <c r="EE174" s="254"/>
      <c r="EF174" s="233"/>
      <c r="EG174" s="233"/>
      <c r="EH174" s="120"/>
      <c r="EI174" s="262"/>
      <c r="EJ174" s="262"/>
      <c r="EK174" s="120"/>
      <c r="EL174" s="262"/>
      <c r="EM174" s="262"/>
      <c r="EN174" s="120"/>
      <c r="EO174" s="262"/>
      <c r="EP174" s="262"/>
      <c r="EQ174" s="120"/>
      <c r="ER174" s="262"/>
      <c r="ES174" s="262"/>
      <c r="ET174" s="120"/>
      <c r="EU174" s="262"/>
      <c r="EV174" s="262"/>
      <c r="EW174" s="120"/>
      <c r="EX174" s="262"/>
      <c r="EY174" s="262"/>
      <c r="EZ174" s="120"/>
      <c r="FA174" s="262"/>
      <c r="FB174" s="262"/>
      <c r="FC174" s="120"/>
      <c r="FD174" s="262"/>
      <c r="FE174" s="262"/>
      <c r="FF174" s="120"/>
      <c r="FG174" s="262"/>
      <c r="FH174" s="262"/>
      <c r="FI174" s="120"/>
      <c r="FJ174" s="262"/>
      <c r="FK174" s="262"/>
      <c r="FL174" s="120"/>
      <c r="FM174" s="262"/>
      <c r="FN174" s="262"/>
      <c r="FO174" s="120"/>
      <c r="FP174" s="262"/>
      <c r="FQ174" s="262"/>
      <c r="FR174" s="120"/>
      <c r="FS174" s="262"/>
      <c r="FT174" s="262"/>
      <c r="FU174" s="120"/>
      <c r="FV174" s="262"/>
      <c r="FW174" s="262"/>
      <c r="FX174" s="120"/>
      <c r="FY174" s="262"/>
      <c r="FZ174" s="262"/>
      <c r="GA174" s="256"/>
      <c r="GB174" s="233"/>
      <c r="GC174" s="233"/>
      <c r="GJ174" s="121">
        <f t="shared" si="60"/>
        <v>0</v>
      </c>
      <c r="GK174" s="121">
        <f t="shared" si="61"/>
        <v>0</v>
      </c>
      <c r="GM174" s="121">
        <f t="shared" si="62"/>
        <v>1</v>
      </c>
      <c r="GN174" s="121">
        <f t="shared" si="63"/>
        <v>0</v>
      </c>
      <c r="GO174" s="121">
        <f t="shared" si="64"/>
        <v>0</v>
      </c>
      <c r="GP174" s="121">
        <f t="shared" si="65"/>
        <v>0</v>
      </c>
      <c r="GQ174" s="121">
        <f t="shared" si="66"/>
        <v>0</v>
      </c>
      <c r="GR174" s="121">
        <f t="shared" si="67"/>
        <v>0</v>
      </c>
    </row>
    <row r="175" spans="2:200" ht="38.25" customHeight="1" x14ac:dyDescent="0.55000000000000004">
      <c r="B175" s="303" t="s">
        <v>475</v>
      </c>
      <c r="C175" s="198"/>
      <c r="D175" s="198"/>
      <c r="E175" s="198"/>
      <c r="F175" s="198"/>
      <c r="G175" s="198"/>
      <c r="H175" s="198"/>
      <c r="I175" s="142" cm="1">
        <f t="array" ref="I175">SUMPRODUCT(($X$2:$GG$2&lt;&gt;"")*($X175:$GG175&lt;&gt;""))</f>
        <v>1</v>
      </c>
      <c r="J175" s="122">
        <f t="shared" si="51"/>
        <v>0</v>
      </c>
      <c r="K175" s="122">
        <f t="shared" si="52"/>
        <v>0</v>
      </c>
      <c r="L175" s="249">
        <f t="shared" si="68"/>
        <v>7000</v>
      </c>
      <c r="M175" s="144">
        <f t="shared" si="53"/>
        <v>784</v>
      </c>
      <c r="N175" s="405"/>
      <c r="O175" s="145">
        <f t="shared" si="54"/>
        <v>0</v>
      </c>
      <c r="P175" s="145">
        <f t="shared" si="55"/>
        <v>0</v>
      </c>
      <c r="Q175" s="145">
        <f t="shared" si="56"/>
        <v>0</v>
      </c>
      <c r="R175" s="145">
        <f t="shared" si="57"/>
        <v>0</v>
      </c>
      <c r="S175" s="130">
        <f t="shared" si="58"/>
        <v>0</v>
      </c>
      <c r="T175" s="130">
        <f t="shared" si="59"/>
        <v>0</v>
      </c>
      <c r="U175" s="141"/>
      <c r="V175" s="123"/>
      <c r="W175" s="134"/>
      <c r="X175" s="347">
        <v>28</v>
      </c>
      <c r="Y175" s="347">
        <v>250</v>
      </c>
      <c r="Z175" s="348" t="s">
        <v>576</v>
      </c>
      <c r="AA175" s="120"/>
      <c r="AB175" s="134"/>
      <c r="AC175" s="200"/>
      <c r="AD175" s="125"/>
      <c r="AE175" s="134"/>
      <c r="AF175" s="200"/>
      <c r="AG175" s="120"/>
      <c r="AH175" s="262"/>
      <c r="AI175" s="262"/>
      <c r="AJ175" s="120"/>
      <c r="AK175" s="262"/>
      <c r="AL175" s="262"/>
      <c r="AM175" s="120"/>
      <c r="AN175" s="262"/>
      <c r="AO175" s="262"/>
      <c r="AP175" s="120"/>
      <c r="AQ175" s="262"/>
      <c r="AR175" s="262"/>
      <c r="AS175" s="120"/>
      <c r="AT175" s="262"/>
      <c r="AU175" s="262"/>
      <c r="AV175" s="120"/>
      <c r="AW175" s="262"/>
      <c r="AX175" s="262"/>
      <c r="AY175" s="120"/>
      <c r="AZ175" s="262"/>
      <c r="BA175" s="262"/>
      <c r="BB175" s="120"/>
      <c r="BC175" s="134"/>
      <c r="BD175" s="200"/>
      <c r="BE175" s="120"/>
      <c r="BF175" s="134"/>
      <c r="BG175" s="200"/>
      <c r="BH175" s="120"/>
      <c r="BI175" s="252"/>
      <c r="BJ175" s="252"/>
      <c r="BK175" s="120"/>
      <c r="BL175" s="134"/>
      <c r="BM175" s="134"/>
      <c r="BN175" s="120"/>
      <c r="BO175" s="252"/>
      <c r="BP175" s="252"/>
      <c r="BQ175" s="120"/>
      <c r="BR175" s="134"/>
      <c r="BS175" s="134"/>
      <c r="BT175" s="120"/>
      <c r="BU175" s="134"/>
      <c r="BV175" s="200"/>
      <c r="BW175" s="120"/>
      <c r="BX175" s="134"/>
      <c r="BY175" s="200"/>
      <c r="BZ175" s="120"/>
      <c r="CA175" s="126"/>
      <c r="CB175" s="126"/>
      <c r="CC175" s="120"/>
      <c r="CD175" s="126"/>
      <c r="CE175" s="126"/>
      <c r="CF175" s="120"/>
      <c r="CG175" s="134"/>
      <c r="CH175" s="134"/>
      <c r="CI175" s="120"/>
      <c r="CJ175" s="200"/>
      <c r="CK175" s="200"/>
      <c r="CL175" s="120"/>
      <c r="CM175" s="200"/>
      <c r="CN175" s="200"/>
      <c r="CO175" s="120"/>
      <c r="CP175" s="134"/>
      <c r="CQ175" s="134"/>
      <c r="CR175" s="120"/>
      <c r="CS175" s="134"/>
      <c r="CT175" s="134"/>
      <c r="CU175" s="120"/>
      <c r="CV175" s="202"/>
      <c r="CW175" s="202"/>
      <c r="CX175" s="120"/>
      <c r="CY175" s="202"/>
      <c r="CZ175" s="202"/>
      <c r="DA175" s="120"/>
      <c r="DB175" s="202"/>
      <c r="DC175" s="202"/>
      <c r="DD175" s="349"/>
      <c r="DE175" s="202"/>
      <c r="DF175" s="202"/>
      <c r="DG175" s="254"/>
      <c r="DH175" s="203"/>
      <c r="DI175" s="203"/>
      <c r="DJ175" s="259"/>
      <c r="DK175" s="136"/>
      <c r="DL175" s="136"/>
      <c r="DM175" s="120"/>
      <c r="DN175" s="233"/>
      <c r="DO175" s="233"/>
      <c r="DP175" s="120"/>
      <c r="DQ175" s="262"/>
      <c r="DR175" s="262"/>
      <c r="DS175" s="120"/>
      <c r="DT175" s="262"/>
      <c r="DU175" s="262"/>
      <c r="DV175" s="120"/>
      <c r="DW175" s="262"/>
      <c r="DX175" s="262"/>
      <c r="DY175" s="120"/>
      <c r="DZ175" s="262"/>
      <c r="EA175" s="262"/>
      <c r="EB175" s="265"/>
      <c r="EC175" s="262"/>
      <c r="ED175" s="262"/>
      <c r="EE175" s="254"/>
      <c r="EF175" s="233"/>
      <c r="EG175" s="233"/>
      <c r="EH175" s="120"/>
      <c r="EI175" s="262"/>
      <c r="EJ175" s="262"/>
      <c r="EK175" s="120"/>
      <c r="EL175" s="262"/>
      <c r="EM175" s="262"/>
      <c r="EN175" s="120"/>
      <c r="EO175" s="262"/>
      <c r="EP175" s="262"/>
      <c r="EQ175" s="120"/>
      <c r="ER175" s="262"/>
      <c r="ES175" s="262"/>
      <c r="ET175" s="120"/>
      <c r="EU175" s="262"/>
      <c r="EV175" s="262"/>
      <c r="EW175" s="120"/>
      <c r="EX175" s="262"/>
      <c r="EY175" s="262"/>
      <c r="EZ175" s="120"/>
      <c r="FA175" s="262"/>
      <c r="FB175" s="262"/>
      <c r="FC175" s="120"/>
      <c r="FD175" s="262"/>
      <c r="FE175" s="262"/>
      <c r="FF175" s="120"/>
      <c r="FG175" s="262"/>
      <c r="FH175" s="262"/>
      <c r="FI175" s="120"/>
      <c r="FJ175" s="262"/>
      <c r="FK175" s="262"/>
      <c r="FL175" s="120"/>
      <c r="FM175" s="262"/>
      <c r="FN175" s="262"/>
      <c r="FO175" s="120"/>
      <c r="FP175" s="262"/>
      <c r="FQ175" s="262"/>
      <c r="FR175" s="120"/>
      <c r="FS175" s="262"/>
      <c r="FT175" s="262"/>
      <c r="FU175" s="120"/>
      <c r="FV175" s="262"/>
      <c r="FW175" s="262"/>
      <c r="FX175" s="120"/>
      <c r="FY175" s="262"/>
      <c r="FZ175" s="262"/>
      <c r="GA175" s="256"/>
      <c r="GB175" s="233"/>
      <c r="GC175" s="233"/>
      <c r="GJ175" s="121">
        <f t="shared" si="60"/>
        <v>0</v>
      </c>
      <c r="GK175" s="121">
        <f t="shared" si="61"/>
        <v>0</v>
      </c>
      <c r="GM175" s="121">
        <f t="shared" si="62"/>
        <v>1</v>
      </c>
      <c r="GN175" s="121">
        <f t="shared" si="63"/>
        <v>0</v>
      </c>
      <c r="GO175" s="121">
        <f t="shared" si="64"/>
        <v>0</v>
      </c>
      <c r="GP175" s="121">
        <f t="shared" si="65"/>
        <v>0</v>
      </c>
      <c r="GQ175" s="121">
        <f t="shared" si="66"/>
        <v>0</v>
      </c>
      <c r="GR175" s="121">
        <f t="shared" si="67"/>
        <v>0</v>
      </c>
    </row>
    <row r="176" spans="2:200" ht="38.25" customHeight="1" x14ac:dyDescent="0.55000000000000004">
      <c r="B176" s="303" t="s">
        <v>474</v>
      </c>
      <c r="C176" s="198"/>
      <c r="D176" s="198"/>
      <c r="E176" s="198"/>
      <c r="F176" s="198"/>
      <c r="G176" s="198"/>
      <c r="H176" s="198"/>
      <c r="I176" s="142" cm="1">
        <f t="array" ref="I176">SUMPRODUCT(($X$2:$GG$2&lt;&gt;"")*($X176:$GG176&lt;&gt;""))</f>
        <v>1</v>
      </c>
      <c r="J176" s="122">
        <f t="shared" si="51"/>
        <v>0</v>
      </c>
      <c r="K176" s="122">
        <f t="shared" si="52"/>
        <v>0</v>
      </c>
      <c r="L176" s="249">
        <f t="shared" si="68"/>
        <v>7000</v>
      </c>
      <c r="M176" s="144">
        <f t="shared" si="53"/>
        <v>784</v>
      </c>
      <c r="N176" s="405"/>
      <c r="O176" s="145">
        <f t="shared" si="54"/>
        <v>0</v>
      </c>
      <c r="P176" s="145">
        <f t="shared" si="55"/>
        <v>0</v>
      </c>
      <c r="Q176" s="145">
        <f t="shared" si="56"/>
        <v>0</v>
      </c>
      <c r="R176" s="145">
        <f t="shared" si="57"/>
        <v>0</v>
      </c>
      <c r="S176" s="130">
        <f t="shared" si="58"/>
        <v>0</v>
      </c>
      <c r="T176" s="130">
        <f t="shared" si="59"/>
        <v>0</v>
      </c>
      <c r="U176" s="141"/>
      <c r="V176" s="123"/>
      <c r="W176" s="134"/>
      <c r="X176" s="347">
        <v>28</v>
      </c>
      <c r="Y176" s="347">
        <v>250</v>
      </c>
      <c r="Z176" s="348" t="s">
        <v>576</v>
      </c>
      <c r="AA176" s="120"/>
      <c r="AB176" s="134"/>
      <c r="AC176" s="200"/>
      <c r="AD176" s="125"/>
      <c r="AE176" s="134"/>
      <c r="AF176" s="200"/>
      <c r="AG176" s="120"/>
      <c r="AH176" s="262"/>
      <c r="AI176" s="262"/>
      <c r="AJ176" s="120"/>
      <c r="AK176" s="262"/>
      <c r="AL176" s="262"/>
      <c r="AM176" s="120"/>
      <c r="AN176" s="262"/>
      <c r="AO176" s="262"/>
      <c r="AP176" s="120"/>
      <c r="AQ176" s="262"/>
      <c r="AR176" s="262"/>
      <c r="AS176" s="120"/>
      <c r="AT176" s="262"/>
      <c r="AU176" s="262"/>
      <c r="AV176" s="120"/>
      <c r="AW176" s="262"/>
      <c r="AX176" s="262"/>
      <c r="AY176" s="120"/>
      <c r="AZ176" s="262"/>
      <c r="BA176" s="262"/>
      <c r="BB176" s="120"/>
      <c r="BC176" s="134"/>
      <c r="BD176" s="200"/>
      <c r="BE176" s="120"/>
      <c r="BF176" s="134"/>
      <c r="BG176" s="200"/>
      <c r="BH176" s="120"/>
      <c r="BI176" s="252"/>
      <c r="BJ176" s="252"/>
      <c r="BK176" s="120"/>
      <c r="BL176" s="134"/>
      <c r="BM176" s="134"/>
      <c r="BN176" s="120"/>
      <c r="BO176" s="252"/>
      <c r="BP176" s="252"/>
      <c r="BQ176" s="120"/>
      <c r="BR176" s="134"/>
      <c r="BS176" s="134"/>
      <c r="BT176" s="120"/>
      <c r="BU176" s="134"/>
      <c r="BV176" s="200"/>
      <c r="BW176" s="120"/>
      <c r="BX176" s="134"/>
      <c r="BY176" s="200"/>
      <c r="BZ176" s="120"/>
      <c r="CA176" s="126"/>
      <c r="CB176" s="126"/>
      <c r="CC176" s="120"/>
      <c r="CD176" s="126"/>
      <c r="CE176" s="126"/>
      <c r="CF176" s="120"/>
      <c r="CG176" s="134"/>
      <c r="CH176" s="134"/>
      <c r="CI176" s="120"/>
      <c r="CJ176" s="200"/>
      <c r="CK176" s="200"/>
      <c r="CL176" s="120"/>
      <c r="CM176" s="200"/>
      <c r="CN176" s="200"/>
      <c r="CO176" s="120"/>
      <c r="CP176" s="134"/>
      <c r="CQ176" s="134"/>
      <c r="CR176" s="120"/>
      <c r="CS176" s="134"/>
      <c r="CT176" s="134"/>
      <c r="CU176" s="120"/>
      <c r="CV176" s="202"/>
      <c r="CW176" s="202"/>
      <c r="CX176" s="120"/>
      <c r="CY176" s="202"/>
      <c r="CZ176" s="202"/>
      <c r="DA176" s="120"/>
      <c r="DB176" s="202"/>
      <c r="DC176" s="202"/>
      <c r="DD176" s="349"/>
      <c r="DE176" s="202"/>
      <c r="DF176" s="202"/>
      <c r="DG176" s="254"/>
      <c r="DH176" s="203"/>
      <c r="DI176" s="203"/>
      <c r="DJ176" s="259"/>
      <c r="DK176" s="136"/>
      <c r="DL176" s="136"/>
      <c r="DM176" s="120"/>
      <c r="DN176" s="233"/>
      <c r="DO176" s="233"/>
      <c r="DP176" s="120"/>
      <c r="DQ176" s="262"/>
      <c r="DR176" s="262"/>
      <c r="DS176" s="120"/>
      <c r="DT176" s="262"/>
      <c r="DU176" s="262"/>
      <c r="DV176" s="120"/>
      <c r="DW176" s="262"/>
      <c r="DX176" s="262"/>
      <c r="DY176" s="120"/>
      <c r="DZ176" s="262"/>
      <c r="EA176" s="262"/>
      <c r="EB176" s="265"/>
      <c r="EC176" s="262"/>
      <c r="ED176" s="262"/>
      <c r="EE176" s="254"/>
      <c r="EF176" s="233"/>
      <c r="EG176" s="233"/>
      <c r="EH176" s="120"/>
      <c r="EI176" s="262"/>
      <c r="EJ176" s="262"/>
      <c r="EK176" s="120"/>
      <c r="EL176" s="262"/>
      <c r="EM176" s="262"/>
      <c r="EN176" s="120"/>
      <c r="EO176" s="262"/>
      <c r="EP176" s="262"/>
      <c r="EQ176" s="120"/>
      <c r="ER176" s="262"/>
      <c r="ES176" s="262"/>
      <c r="ET176" s="120"/>
      <c r="EU176" s="262"/>
      <c r="EV176" s="262"/>
      <c r="EW176" s="120"/>
      <c r="EX176" s="262"/>
      <c r="EY176" s="262"/>
      <c r="EZ176" s="120"/>
      <c r="FA176" s="262"/>
      <c r="FB176" s="262"/>
      <c r="FC176" s="120"/>
      <c r="FD176" s="262"/>
      <c r="FE176" s="262"/>
      <c r="FF176" s="120"/>
      <c r="FG176" s="262"/>
      <c r="FH176" s="262"/>
      <c r="FI176" s="120"/>
      <c r="FJ176" s="262"/>
      <c r="FK176" s="262"/>
      <c r="FL176" s="120"/>
      <c r="FM176" s="262"/>
      <c r="FN176" s="262"/>
      <c r="FO176" s="120"/>
      <c r="FP176" s="262"/>
      <c r="FQ176" s="262"/>
      <c r="FR176" s="120"/>
      <c r="FS176" s="262"/>
      <c r="FT176" s="262"/>
      <c r="FU176" s="120"/>
      <c r="FV176" s="262"/>
      <c r="FW176" s="262"/>
      <c r="FX176" s="120"/>
      <c r="FY176" s="262"/>
      <c r="FZ176" s="262"/>
      <c r="GA176" s="256"/>
      <c r="GB176" s="233"/>
      <c r="GC176" s="233"/>
      <c r="GJ176" s="121">
        <f t="shared" si="60"/>
        <v>0</v>
      </c>
      <c r="GK176" s="121">
        <f t="shared" si="61"/>
        <v>0</v>
      </c>
      <c r="GM176" s="121">
        <f t="shared" si="62"/>
        <v>1</v>
      </c>
      <c r="GN176" s="121">
        <f t="shared" si="63"/>
        <v>0</v>
      </c>
      <c r="GO176" s="121">
        <f t="shared" si="64"/>
        <v>0</v>
      </c>
      <c r="GP176" s="121">
        <f t="shared" si="65"/>
        <v>0</v>
      </c>
      <c r="GQ176" s="121">
        <f t="shared" si="66"/>
        <v>0</v>
      </c>
      <c r="GR176" s="121">
        <f t="shared" si="67"/>
        <v>0</v>
      </c>
    </row>
    <row r="177" spans="2:200" ht="38.25" customHeight="1" x14ac:dyDescent="0.55000000000000004">
      <c r="B177" s="303" t="s">
        <v>476</v>
      </c>
      <c r="C177" s="198"/>
      <c r="D177" s="198"/>
      <c r="E177" s="198"/>
      <c r="F177" s="198"/>
      <c r="G177" s="198"/>
      <c r="H177" s="198"/>
      <c r="I177" s="142" cm="1">
        <f t="array" ref="I177">SUMPRODUCT(($X$2:$GG$2&lt;&gt;"")*($X177:$GG177&lt;&gt;""))</f>
        <v>1</v>
      </c>
      <c r="J177" s="122">
        <f t="shared" si="51"/>
        <v>0</v>
      </c>
      <c r="K177" s="122">
        <f t="shared" si="52"/>
        <v>0</v>
      </c>
      <c r="L177" s="249">
        <f t="shared" si="68"/>
        <v>7000</v>
      </c>
      <c r="M177" s="144">
        <f t="shared" si="53"/>
        <v>784</v>
      </c>
      <c r="N177" s="405"/>
      <c r="O177" s="145">
        <f t="shared" si="54"/>
        <v>0</v>
      </c>
      <c r="P177" s="145">
        <f t="shared" si="55"/>
        <v>0</v>
      </c>
      <c r="Q177" s="145">
        <f t="shared" si="56"/>
        <v>0</v>
      </c>
      <c r="R177" s="145">
        <f t="shared" si="57"/>
        <v>0</v>
      </c>
      <c r="S177" s="130">
        <f t="shared" si="58"/>
        <v>0</v>
      </c>
      <c r="T177" s="130">
        <f t="shared" si="59"/>
        <v>0</v>
      </c>
      <c r="U177" s="141"/>
      <c r="V177" s="123"/>
      <c r="W177" s="134"/>
      <c r="X177" s="347">
        <v>28</v>
      </c>
      <c r="Y177" s="347">
        <v>250</v>
      </c>
      <c r="Z177" s="348" t="s">
        <v>576</v>
      </c>
      <c r="AA177" s="120"/>
      <c r="AB177" s="134"/>
      <c r="AC177" s="200"/>
      <c r="AD177" s="125"/>
      <c r="AE177" s="134"/>
      <c r="AF177" s="200"/>
      <c r="AG177" s="120"/>
      <c r="AH177" s="262"/>
      <c r="AI177" s="262"/>
      <c r="AJ177" s="120"/>
      <c r="AK177" s="262"/>
      <c r="AL177" s="262"/>
      <c r="AM177" s="120"/>
      <c r="AN177" s="262"/>
      <c r="AO177" s="262"/>
      <c r="AP177" s="120"/>
      <c r="AQ177" s="262"/>
      <c r="AR177" s="262"/>
      <c r="AS177" s="120"/>
      <c r="AT177" s="262"/>
      <c r="AU177" s="262"/>
      <c r="AV177" s="120"/>
      <c r="AW177" s="262"/>
      <c r="AX177" s="262"/>
      <c r="AY177" s="120"/>
      <c r="AZ177" s="262"/>
      <c r="BA177" s="262"/>
      <c r="BB177" s="120"/>
      <c r="BC177" s="134"/>
      <c r="BD177" s="200"/>
      <c r="BE177" s="120"/>
      <c r="BF177" s="134"/>
      <c r="BG177" s="200"/>
      <c r="BH177" s="120"/>
      <c r="BI177" s="252"/>
      <c r="BJ177" s="252"/>
      <c r="BK177" s="120"/>
      <c r="BL177" s="134"/>
      <c r="BM177" s="134"/>
      <c r="BN177" s="120"/>
      <c r="BO177" s="252"/>
      <c r="BP177" s="252"/>
      <c r="BQ177" s="120"/>
      <c r="BR177" s="134"/>
      <c r="BS177" s="134"/>
      <c r="BT177" s="120"/>
      <c r="BU177" s="134"/>
      <c r="BV177" s="200"/>
      <c r="BW177" s="120"/>
      <c r="BX177" s="134"/>
      <c r="BY177" s="200"/>
      <c r="BZ177" s="120"/>
      <c r="CA177" s="126"/>
      <c r="CB177" s="126"/>
      <c r="CC177" s="120"/>
      <c r="CD177" s="126"/>
      <c r="CE177" s="126"/>
      <c r="CF177" s="120"/>
      <c r="CG177" s="134"/>
      <c r="CH177" s="134"/>
      <c r="CI177" s="120"/>
      <c r="CJ177" s="200"/>
      <c r="CK177" s="200"/>
      <c r="CL177" s="120"/>
      <c r="CM177" s="200"/>
      <c r="CN177" s="200"/>
      <c r="CO177" s="120"/>
      <c r="CP177" s="134"/>
      <c r="CQ177" s="134"/>
      <c r="CR177" s="120"/>
      <c r="CS177" s="134"/>
      <c r="CT177" s="134"/>
      <c r="CU177" s="120"/>
      <c r="CV177" s="202"/>
      <c r="CW177" s="202"/>
      <c r="CX177" s="120"/>
      <c r="CY177" s="202"/>
      <c r="CZ177" s="202"/>
      <c r="DA177" s="120"/>
      <c r="DB177" s="202"/>
      <c r="DC177" s="202"/>
      <c r="DD177" s="349"/>
      <c r="DE177" s="202"/>
      <c r="DF177" s="202"/>
      <c r="DG177" s="254"/>
      <c r="DH177" s="203"/>
      <c r="DI177" s="203"/>
      <c r="DJ177" s="259"/>
      <c r="DK177" s="136"/>
      <c r="DL177" s="136"/>
      <c r="DM177" s="120"/>
      <c r="DN177" s="233"/>
      <c r="DO177" s="233"/>
      <c r="DP177" s="120"/>
      <c r="DQ177" s="262"/>
      <c r="DR177" s="262"/>
      <c r="DS177" s="120"/>
      <c r="DT177" s="262"/>
      <c r="DU177" s="262"/>
      <c r="DV177" s="120"/>
      <c r="DW177" s="262"/>
      <c r="DX177" s="262"/>
      <c r="DY177" s="120"/>
      <c r="DZ177" s="262"/>
      <c r="EA177" s="262"/>
      <c r="EB177" s="265"/>
      <c r="EC177" s="262"/>
      <c r="ED177" s="262"/>
      <c r="EE177" s="254"/>
      <c r="EF177" s="233"/>
      <c r="EG177" s="233"/>
      <c r="EH177" s="120"/>
      <c r="EI177" s="262"/>
      <c r="EJ177" s="262"/>
      <c r="EK177" s="120"/>
      <c r="EL177" s="262"/>
      <c r="EM177" s="262"/>
      <c r="EN177" s="120"/>
      <c r="EO177" s="262"/>
      <c r="EP177" s="262"/>
      <c r="EQ177" s="120"/>
      <c r="ER177" s="262"/>
      <c r="ES177" s="262"/>
      <c r="ET177" s="120"/>
      <c r="EU177" s="262"/>
      <c r="EV177" s="262"/>
      <c r="EW177" s="120"/>
      <c r="EX177" s="262"/>
      <c r="EY177" s="262"/>
      <c r="EZ177" s="120"/>
      <c r="FA177" s="262"/>
      <c r="FB177" s="262"/>
      <c r="FC177" s="120"/>
      <c r="FD177" s="262"/>
      <c r="FE177" s="262"/>
      <c r="FF177" s="120"/>
      <c r="FG177" s="262"/>
      <c r="FH177" s="262"/>
      <c r="FI177" s="120"/>
      <c r="FJ177" s="262"/>
      <c r="FK177" s="262"/>
      <c r="FL177" s="120"/>
      <c r="FM177" s="262"/>
      <c r="FN177" s="262"/>
      <c r="FO177" s="120"/>
      <c r="FP177" s="262"/>
      <c r="FQ177" s="262"/>
      <c r="FR177" s="120"/>
      <c r="FS177" s="262"/>
      <c r="FT177" s="262"/>
      <c r="FU177" s="120"/>
      <c r="FV177" s="262"/>
      <c r="FW177" s="262"/>
      <c r="FX177" s="120"/>
      <c r="FY177" s="262"/>
      <c r="FZ177" s="262"/>
      <c r="GA177" s="256"/>
      <c r="GB177" s="233"/>
      <c r="GC177" s="233"/>
      <c r="GJ177" s="121">
        <f t="shared" si="60"/>
        <v>0</v>
      </c>
      <c r="GK177" s="121">
        <f t="shared" si="61"/>
        <v>0</v>
      </c>
      <c r="GM177" s="121">
        <f t="shared" si="62"/>
        <v>1</v>
      </c>
      <c r="GN177" s="121">
        <f t="shared" si="63"/>
        <v>0</v>
      </c>
      <c r="GO177" s="121">
        <f t="shared" si="64"/>
        <v>0</v>
      </c>
      <c r="GP177" s="121">
        <f t="shared" si="65"/>
        <v>0</v>
      </c>
      <c r="GQ177" s="121">
        <f t="shared" si="66"/>
        <v>0</v>
      </c>
      <c r="GR177" s="121">
        <f t="shared" si="67"/>
        <v>0</v>
      </c>
    </row>
    <row r="178" spans="2:200" ht="38.25" customHeight="1" x14ac:dyDescent="0.55000000000000004">
      <c r="B178" s="303" t="s">
        <v>477</v>
      </c>
      <c r="C178" s="198"/>
      <c r="D178" s="198"/>
      <c r="E178" s="198"/>
      <c r="F178" s="198"/>
      <c r="G178" s="198"/>
      <c r="H178" s="198"/>
      <c r="I178" s="142" cm="1">
        <f t="array" ref="I178">SUMPRODUCT(($X$2:$GG$2&lt;&gt;"")*($X178:$GG178&lt;&gt;""))</f>
        <v>1</v>
      </c>
      <c r="J178" s="122">
        <f t="shared" si="51"/>
        <v>0</v>
      </c>
      <c r="K178" s="122">
        <f t="shared" si="52"/>
        <v>0</v>
      </c>
      <c r="L178" s="249">
        <f t="shared" si="68"/>
        <v>7000</v>
      </c>
      <c r="M178" s="144">
        <f t="shared" si="53"/>
        <v>784</v>
      </c>
      <c r="N178" s="405"/>
      <c r="O178" s="145">
        <f t="shared" si="54"/>
        <v>0</v>
      </c>
      <c r="P178" s="145">
        <f t="shared" si="55"/>
        <v>0</v>
      </c>
      <c r="Q178" s="145">
        <f t="shared" si="56"/>
        <v>0</v>
      </c>
      <c r="R178" s="145">
        <f t="shared" si="57"/>
        <v>0</v>
      </c>
      <c r="S178" s="130">
        <f t="shared" si="58"/>
        <v>0</v>
      </c>
      <c r="T178" s="130">
        <f t="shared" si="59"/>
        <v>0</v>
      </c>
      <c r="U178" s="141"/>
      <c r="V178" s="123"/>
      <c r="W178" s="134"/>
      <c r="X178" s="347">
        <v>28</v>
      </c>
      <c r="Y178" s="347">
        <v>250</v>
      </c>
      <c r="Z178" s="348" t="s">
        <v>576</v>
      </c>
      <c r="AA178" s="120"/>
      <c r="AB178" s="134"/>
      <c r="AC178" s="200"/>
      <c r="AD178" s="125"/>
      <c r="AE178" s="134"/>
      <c r="AF178" s="200"/>
      <c r="AG178" s="120"/>
      <c r="AH178" s="262"/>
      <c r="AI178" s="262"/>
      <c r="AJ178" s="120"/>
      <c r="AK178" s="262"/>
      <c r="AL178" s="262"/>
      <c r="AM178" s="120"/>
      <c r="AN178" s="262"/>
      <c r="AO178" s="262"/>
      <c r="AP178" s="120"/>
      <c r="AQ178" s="262"/>
      <c r="AR178" s="262"/>
      <c r="AS178" s="120"/>
      <c r="AT178" s="262"/>
      <c r="AU178" s="262"/>
      <c r="AV178" s="120"/>
      <c r="AW178" s="262"/>
      <c r="AX178" s="262"/>
      <c r="AY178" s="120"/>
      <c r="AZ178" s="262"/>
      <c r="BA178" s="262"/>
      <c r="BB178" s="120"/>
      <c r="BC178" s="134"/>
      <c r="BD178" s="200"/>
      <c r="BE178" s="120"/>
      <c r="BF178" s="134"/>
      <c r="BG178" s="200"/>
      <c r="BH178" s="120"/>
      <c r="BI178" s="252"/>
      <c r="BJ178" s="252"/>
      <c r="BK178" s="120"/>
      <c r="BL178" s="134"/>
      <c r="BM178" s="134"/>
      <c r="BN178" s="120"/>
      <c r="BO178" s="252"/>
      <c r="BP178" s="252"/>
      <c r="BQ178" s="120"/>
      <c r="BR178" s="134"/>
      <c r="BS178" s="134"/>
      <c r="BT178" s="120"/>
      <c r="BU178" s="134"/>
      <c r="BV178" s="200"/>
      <c r="BW178" s="120"/>
      <c r="BX178" s="134"/>
      <c r="BY178" s="200"/>
      <c r="BZ178" s="120"/>
      <c r="CA178" s="126"/>
      <c r="CB178" s="126"/>
      <c r="CC178" s="120"/>
      <c r="CD178" s="126"/>
      <c r="CE178" s="126"/>
      <c r="CF178" s="120"/>
      <c r="CG178" s="134"/>
      <c r="CH178" s="134"/>
      <c r="CI178" s="120"/>
      <c r="CJ178" s="200"/>
      <c r="CK178" s="200"/>
      <c r="CL178" s="120"/>
      <c r="CM178" s="200"/>
      <c r="CN178" s="200"/>
      <c r="CO178" s="120"/>
      <c r="CP178" s="134"/>
      <c r="CQ178" s="134"/>
      <c r="CR178" s="120"/>
      <c r="CS178" s="134"/>
      <c r="CT178" s="134"/>
      <c r="CU178" s="120"/>
      <c r="CV178" s="202"/>
      <c r="CW178" s="202"/>
      <c r="CX178" s="120"/>
      <c r="CY178" s="202"/>
      <c r="CZ178" s="202"/>
      <c r="DA178" s="120"/>
      <c r="DB178" s="202"/>
      <c r="DC178" s="202"/>
      <c r="DD178" s="349"/>
      <c r="DE178" s="202"/>
      <c r="DF178" s="202"/>
      <c r="DG178" s="254"/>
      <c r="DH178" s="203"/>
      <c r="DI178" s="203"/>
      <c r="DJ178" s="259"/>
      <c r="DK178" s="136"/>
      <c r="DL178" s="136"/>
      <c r="DM178" s="120"/>
      <c r="DN178" s="233"/>
      <c r="DO178" s="233"/>
      <c r="DP178" s="120"/>
      <c r="DQ178" s="262"/>
      <c r="DR178" s="262"/>
      <c r="DS178" s="120"/>
      <c r="DT178" s="262"/>
      <c r="DU178" s="262"/>
      <c r="DV178" s="120"/>
      <c r="DW178" s="262"/>
      <c r="DX178" s="262"/>
      <c r="DY178" s="120"/>
      <c r="DZ178" s="262"/>
      <c r="EA178" s="262"/>
      <c r="EB178" s="265"/>
      <c r="EC178" s="262"/>
      <c r="ED178" s="262"/>
      <c r="EE178" s="254"/>
      <c r="EF178" s="233"/>
      <c r="EG178" s="233"/>
      <c r="EH178" s="120"/>
      <c r="EI178" s="262"/>
      <c r="EJ178" s="262"/>
      <c r="EK178" s="120"/>
      <c r="EL178" s="262"/>
      <c r="EM178" s="262"/>
      <c r="EN178" s="120"/>
      <c r="EO178" s="262"/>
      <c r="EP178" s="262"/>
      <c r="EQ178" s="120"/>
      <c r="ER178" s="262"/>
      <c r="ES178" s="262"/>
      <c r="ET178" s="120"/>
      <c r="EU178" s="262"/>
      <c r="EV178" s="262"/>
      <c r="EW178" s="120"/>
      <c r="EX178" s="262"/>
      <c r="EY178" s="262"/>
      <c r="EZ178" s="120"/>
      <c r="FA178" s="262"/>
      <c r="FB178" s="262"/>
      <c r="FC178" s="120"/>
      <c r="FD178" s="262"/>
      <c r="FE178" s="262"/>
      <c r="FF178" s="120"/>
      <c r="FG178" s="262"/>
      <c r="FH178" s="262"/>
      <c r="FI178" s="120"/>
      <c r="FJ178" s="262"/>
      <c r="FK178" s="262"/>
      <c r="FL178" s="120"/>
      <c r="FM178" s="262"/>
      <c r="FN178" s="262"/>
      <c r="FO178" s="120"/>
      <c r="FP178" s="262"/>
      <c r="FQ178" s="262"/>
      <c r="FR178" s="120"/>
      <c r="FS178" s="262"/>
      <c r="FT178" s="262"/>
      <c r="FU178" s="120"/>
      <c r="FV178" s="262"/>
      <c r="FW178" s="262"/>
      <c r="FX178" s="120"/>
      <c r="FY178" s="262"/>
      <c r="FZ178" s="262"/>
      <c r="GA178" s="256"/>
      <c r="GB178" s="233"/>
      <c r="GC178" s="233"/>
      <c r="GJ178" s="121">
        <f t="shared" si="60"/>
        <v>0</v>
      </c>
      <c r="GK178" s="121">
        <f t="shared" si="61"/>
        <v>0</v>
      </c>
      <c r="GM178" s="121">
        <f t="shared" si="62"/>
        <v>1</v>
      </c>
      <c r="GN178" s="121">
        <f t="shared" si="63"/>
        <v>0</v>
      </c>
      <c r="GO178" s="121">
        <f t="shared" si="64"/>
        <v>0</v>
      </c>
      <c r="GP178" s="121">
        <f t="shared" si="65"/>
        <v>0</v>
      </c>
      <c r="GQ178" s="121">
        <f t="shared" si="66"/>
        <v>0</v>
      </c>
      <c r="GR178" s="121">
        <f t="shared" si="67"/>
        <v>0</v>
      </c>
    </row>
    <row r="179" spans="2:200" ht="38.25" customHeight="1" x14ac:dyDescent="0.55000000000000004">
      <c r="B179" s="303" t="s">
        <v>483</v>
      </c>
      <c r="C179" s="198"/>
      <c r="D179" s="198"/>
      <c r="E179" s="198"/>
      <c r="F179" s="198"/>
      <c r="G179" s="198"/>
      <c r="H179" s="198"/>
      <c r="I179" s="142" cm="1">
        <f t="array" ref="I179">SUMPRODUCT(($X$2:$GG$2&lt;&gt;"")*($X179:$GG179&lt;&gt;""))</f>
        <v>0</v>
      </c>
      <c r="J179" s="122">
        <f t="shared" si="51"/>
        <v>0</v>
      </c>
      <c r="K179" s="122">
        <f t="shared" si="52"/>
        <v>0</v>
      </c>
      <c r="L179" s="249">
        <f t="shared" si="68"/>
        <v>7000</v>
      </c>
      <c r="M179" s="144">
        <f t="shared" si="53"/>
        <v>0</v>
      </c>
      <c r="N179" s="405"/>
      <c r="O179" s="145">
        <f t="shared" si="54"/>
        <v>0</v>
      </c>
      <c r="P179" s="145">
        <f t="shared" si="55"/>
        <v>0</v>
      </c>
      <c r="Q179" s="145">
        <f t="shared" si="56"/>
        <v>0</v>
      </c>
      <c r="R179" s="145">
        <f t="shared" si="57"/>
        <v>0</v>
      </c>
      <c r="S179" s="130">
        <f t="shared" si="58"/>
        <v>0</v>
      </c>
      <c r="T179" s="130">
        <f t="shared" si="59"/>
        <v>0</v>
      </c>
      <c r="U179" s="141"/>
      <c r="V179" s="123"/>
      <c r="W179" s="134"/>
      <c r="X179" s="124"/>
      <c r="Y179" s="134"/>
      <c r="Z179" s="200"/>
      <c r="AA179" s="120"/>
      <c r="AB179" s="134"/>
      <c r="AC179" s="200"/>
      <c r="AD179" s="125"/>
      <c r="AE179" s="134"/>
      <c r="AF179" s="200"/>
      <c r="AG179" s="120"/>
      <c r="AH179" s="262"/>
      <c r="AI179" s="262"/>
      <c r="AJ179" s="120"/>
      <c r="AK179" s="262"/>
      <c r="AL179" s="262"/>
      <c r="AM179" s="120"/>
      <c r="AN179" s="262"/>
      <c r="AO179" s="262"/>
      <c r="AP179" s="120"/>
      <c r="AQ179" s="262"/>
      <c r="AR179" s="262"/>
      <c r="AS179" s="120"/>
      <c r="AT179" s="262"/>
      <c r="AU179" s="262"/>
      <c r="AV179" s="120"/>
      <c r="AW179" s="262"/>
      <c r="AX179" s="262"/>
      <c r="AY179" s="120"/>
      <c r="AZ179" s="262"/>
      <c r="BA179" s="262"/>
      <c r="BB179" s="120"/>
      <c r="BC179" s="134"/>
      <c r="BD179" s="200"/>
      <c r="BE179" s="120"/>
      <c r="BF179" s="134"/>
      <c r="BG179" s="200"/>
      <c r="BH179" s="120"/>
      <c r="BI179" s="252"/>
      <c r="BJ179" s="252"/>
      <c r="BK179" s="120"/>
      <c r="BL179" s="134"/>
      <c r="BM179" s="134"/>
      <c r="BN179" s="120"/>
      <c r="BO179" s="252"/>
      <c r="BP179" s="252"/>
      <c r="BQ179" s="120"/>
      <c r="BR179" s="134"/>
      <c r="BS179" s="134"/>
      <c r="BT179" s="120"/>
      <c r="BU179" s="134"/>
      <c r="BV179" s="200"/>
      <c r="BW179" s="120"/>
      <c r="BX179" s="134"/>
      <c r="BY179" s="200"/>
      <c r="BZ179" s="120"/>
      <c r="CA179" s="126"/>
      <c r="CB179" s="126"/>
      <c r="CC179" s="120"/>
      <c r="CD179" s="126"/>
      <c r="CE179" s="126"/>
      <c r="CF179" s="120"/>
      <c r="CG179" s="134"/>
      <c r="CH179" s="134"/>
      <c r="CI179" s="120"/>
      <c r="CJ179" s="200"/>
      <c r="CK179" s="200"/>
      <c r="CL179" s="120"/>
      <c r="CM179" s="200"/>
      <c r="CN179" s="200"/>
      <c r="CO179" s="120"/>
      <c r="CP179" s="134"/>
      <c r="CQ179" s="134"/>
      <c r="CR179" s="120"/>
      <c r="CS179" s="134"/>
      <c r="CT179" s="134"/>
      <c r="CU179" s="120"/>
      <c r="CV179" s="202"/>
      <c r="CW179" s="202"/>
      <c r="CX179" s="120"/>
      <c r="CY179" s="202"/>
      <c r="CZ179" s="202"/>
      <c r="DA179" s="120"/>
      <c r="DB179" s="202"/>
      <c r="DC179" s="202"/>
      <c r="DD179" s="349"/>
      <c r="DE179" s="202"/>
      <c r="DF179" s="202"/>
      <c r="DG179" s="254"/>
      <c r="DH179" s="203"/>
      <c r="DI179" s="203"/>
      <c r="DJ179" s="259"/>
      <c r="DK179" s="136"/>
      <c r="DL179" s="136"/>
      <c r="DM179" s="120"/>
      <c r="DN179" s="233"/>
      <c r="DO179" s="233"/>
      <c r="DP179" s="120"/>
      <c r="DQ179" s="262"/>
      <c r="DR179" s="262"/>
      <c r="DS179" s="120"/>
      <c r="DT179" s="262"/>
      <c r="DU179" s="262"/>
      <c r="DV179" s="120"/>
      <c r="DW179" s="262"/>
      <c r="DX179" s="262"/>
      <c r="DY179" s="120"/>
      <c r="DZ179" s="262"/>
      <c r="EA179" s="262"/>
      <c r="EB179" s="265"/>
      <c r="EC179" s="262"/>
      <c r="ED179" s="262"/>
      <c r="EE179" s="254"/>
      <c r="EF179" s="233"/>
      <c r="EG179" s="233"/>
      <c r="EH179" s="120"/>
      <c r="EI179" s="262"/>
      <c r="EJ179" s="262"/>
      <c r="EK179" s="120"/>
      <c r="EL179" s="262"/>
      <c r="EM179" s="262"/>
      <c r="EN179" s="120"/>
      <c r="EO179" s="262"/>
      <c r="EP179" s="262"/>
      <c r="EQ179" s="120"/>
      <c r="ER179" s="262"/>
      <c r="ES179" s="262"/>
      <c r="ET179" s="120"/>
      <c r="EU179" s="262"/>
      <c r="EV179" s="262"/>
      <c r="EW179" s="120"/>
      <c r="EX179" s="262"/>
      <c r="EY179" s="262"/>
      <c r="EZ179" s="120"/>
      <c r="FA179" s="262"/>
      <c r="FB179" s="262"/>
      <c r="FC179" s="120"/>
      <c r="FD179" s="262"/>
      <c r="FE179" s="262"/>
      <c r="FF179" s="120"/>
      <c r="FG179" s="262"/>
      <c r="FH179" s="262"/>
      <c r="FI179" s="120"/>
      <c r="FJ179" s="262"/>
      <c r="FK179" s="262"/>
      <c r="FL179" s="120"/>
      <c r="FM179" s="262"/>
      <c r="FN179" s="262"/>
      <c r="FO179" s="120"/>
      <c r="FP179" s="262"/>
      <c r="FQ179" s="262"/>
      <c r="FR179" s="120"/>
      <c r="FS179" s="262"/>
      <c r="FT179" s="262"/>
      <c r="FU179" s="120"/>
      <c r="FV179" s="262"/>
      <c r="FW179" s="262"/>
      <c r="FX179" s="120"/>
      <c r="FY179" s="262"/>
      <c r="FZ179" s="262"/>
      <c r="GA179" s="256"/>
      <c r="GB179" s="233"/>
      <c r="GC179" s="233"/>
      <c r="GJ179" s="121">
        <f t="shared" si="60"/>
        <v>0</v>
      </c>
      <c r="GK179" s="121">
        <f t="shared" si="61"/>
        <v>0</v>
      </c>
      <c r="GM179" s="121">
        <f t="shared" si="62"/>
        <v>0</v>
      </c>
      <c r="GN179" s="121">
        <f t="shared" si="63"/>
        <v>0</v>
      </c>
      <c r="GO179" s="121">
        <f t="shared" si="64"/>
        <v>0</v>
      </c>
      <c r="GP179" s="121">
        <f t="shared" si="65"/>
        <v>0</v>
      </c>
      <c r="GQ179" s="121">
        <f t="shared" si="66"/>
        <v>0</v>
      </c>
      <c r="GR179" s="121">
        <f t="shared" si="67"/>
        <v>0</v>
      </c>
    </row>
    <row r="180" spans="2:200" ht="38.25" customHeight="1" x14ac:dyDescent="0.55000000000000004">
      <c r="B180" s="303" t="s">
        <v>484</v>
      </c>
      <c r="C180" s="198"/>
      <c r="D180" s="198"/>
      <c r="E180" s="198"/>
      <c r="F180" s="198"/>
      <c r="G180" s="198"/>
      <c r="H180" s="198"/>
      <c r="I180" s="142" cm="1">
        <f t="array" ref="I180">SUMPRODUCT(($X$2:$GG$2&lt;&gt;"")*($X180:$GG180&lt;&gt;""))</f>
        <v>1</v>
      </c>
      <c r="J180" s="122">
        <f t="shared" si="51"/>
        <v>0</v>
      </c>
      <c r="K180" s="122">
        <f t="shared" si="52"/>
        <v>0</v>
      </c>
      <c r="L180" s="249">
        <f t="shared" si="68"/>
        <v>7000</v>
      </c>
      <c r="M180" s="144">
        <f t="shared" si="53"/>
        <v>784</v>
      </c>
      <c r="N180" s="405"/>
      <c r="O180" s="145">
        <f t="shared" si="54"/>
        <v>0</v>
      </c>
      <c r="P180" s="145">
        <f t="shared" si="55"/>
        <v>0</v>
      </c>
      <c r="Q180" s="145">
        <f t="shared" si="56"/>
        <v>0</v>
      </c>
      <c r="R180" s="145">
        <f t="shared" si="57"/>
        <v>0</v>
      </c>
      <c r="S180" s="130">
        <f t="shared" si="58"/>
        <v>0</v>
      </c>
      <c r="T180" s="130">
        <f t="shared" si="59"/>
        <v>0</v>
      </c>
      <c r="U180" s="141"/>
      <c r="V180" s="123"/>
      <c r="W180" s="134"/>
      <c r="X180" s="347">
        <v>28</v>
      </c>
      <c r="Y180" s="347">
        <v>250</v>
      </c>
      <c r="Z180" s="348" t="s">
        <v>576</v>
      </c>
      <c r="AA180" s="120"/>
      <c r="AB180" s="134"/>
      <c r="AC180" s="200"/>
      <c r="AD180" s="125"/>
      <c r="AE180" s="134"/>
      <c r="AF180" s="200"/>
      <c r="AG180" s="120"/>
      <c r="AH180" s="262"/>
      <c r="AI180" s="262"/>
      <c r="AJ180" s="120"/>
      <c r="AK180" s="262"/>
      <c r="AL180" s="262"/>
      <c r="AM180" s="120"/>
      <c r="AN180" s="262"/>
      <c r="AO180" s="262"/>
      <c r="AP180" s="120"/>
      <c r="AQ180" s="262"/>
      <c r="AR180" s="262"/>
      <c r="AS180" s="120"/>
      <c r="AT180" s="262"/>
      <c r="AU180" s="262"/>
      <c r="AV180" s="120"/>
      <c r="AW180" s="262"/>
      <c r="AX180" s="262"/>
      <c r="AY180" s="120"/>
      <c r="AZ180" s="262"/>
      <c r="BA180" s="262"/>
      <c r="BB180" s="120"/>
      <c r="BC180" s="134"/>
      <c r="BD180" s="200"/>
      <c r="BE180" s="120"/>
      <c r="BF180" s="134"/>
      <c r="BG180" s="200"/>
      <c r="BH180" s="120"/>
      <c r="BI180" s="252"/>
      <c r="BJ180" s="252"/>
      <c r="BK180" s="120"/>
      <c r="BL180" s="134"/>
      <c r="BM180" s="134"/>
      <c r="BN180" s="120"/>
      <c r="BO180" s="252"/>
      <c r="BP180" s="252"/>
      <c r="BQ180" s="120"/>
      <c r="BR180" s="134"/>
      <c r="BS180" s="134"/>
      <c r="BT180" s="120"/>
      <c r="BU180" s="134"/>
      <c r="BV180" s="200"/>
      <c r="BW180" s="120"/>
      <c r="BX180" s="134"/>
      <c r="BY180" s="200"/>
      <c r="BZ180" s="120"/>
      <c r="CA180" s="126"/>
      <c r="CB180" s="126"/>
      <c r="CC180" s="120"/>
      <c r="CD180" s="126"/>
      <c r="CE180" s="126"/>
      <c r="CF180" s="120"/>
      <c r="CG180" s="134"/>
      <c r="CH180" s="134"/>
      <c r="CI180" s="120"/>
      <c r="CJ180" s="200"/>
      <c r="CK180" s="200"/>
      <c r="CL180" s="120"/>
      <c r="CM180" s="200"/>
      <c r="CN180" s="200"/>
      <c r="CO180" s="120"/>
      <c r="CP180" s="134"/>
      <c r="CQ180" s="134"/>
      <c r="CR180" s="120"/>
      <c r="CS180" s="134"/>
      <c r="CT180" s="134"/>
      <c r="CU180" s="120"/>
      <c r="CV180" s="202"/>
      <c r="CW180" s="202"/>
      <c r="CX180" s="120"/>
      <c r="CY180" s="202"/>
      <c r="CZ180" s="202"/>
      <c r="DA180" s="120"/>
      <c r="DB180" s="202"/>
      <c r="DC180" s="202"/>
      <c r="DD180" s="349"/>
      <c r="DE180" s="202"/>
      <c r="DF180" s="202"/>
      <c r="DG180" s="254"/>
      <c r="DH180" s="203"/>
      <c r="DI180" s="203"/>
      <c r="DJ180" s="259"/>
      <c r="DK180" s="136"/>
      <c r="DL180" s="136"/>
      <c r="DM180" s="120"/>
      <c r="DN180" s="233"/>
      <c r="DO180" s="233"/>
      <c r="DP180" s="120"/>
      <c r="DQ180" s="262"/>
      <c r="DR180" s="262"/>
      <c r="DS180" s="120"/>
      <c r="DT180" s="262"/>
      <c r="DU180" s="262"/>
      <c r="DV180" s="120"/>
      <c r="DW180" s="262"/>
      <c r="DX180" s="262"/>
      <c r="DY180" s="120"/>
      <c r="DZ180" s="262"/>
      <c r="EA180" s="262"/>
      <c r="EB180" s="265"/>
      <c r="EC180" s="262"/>
      <c r="ED180" s="262"/>
      <c r="EE180" s="254"/>
      <c r="EF180" s="233"/>
      <c r="EG180" s="233"/>
      <c r="EH180" s="120"/>
      <c r="EI180" s="262"/>
      <c r="EJ180" s="262"/>
      <c r="EK180" s="120"/>
      <c r="EL180" s="262"/>
      <c r="EM180" s="262"/>
      <c r="EN180" s="120"/>
      <c r="EO180" s="262"/>
      <c r="EP180" s="262"/>
      <c r="EQ180" s="120"/>
      <c r="ER180" s="262"/>
      <c r="ES180" s="262"/>
      <c r="ET180" s="120"/>
      <c r="EU180" s="262"/>
      <c r="EV180" s="262"/>
      <c r="EW180" s="120"/>
      <c r="EX180" s="262"/>
      <c r="EY180" s="262"/>
      <c r="EZ180" s="120"/>
      <c r="FA180" s="262"/>
      <c r="FB180" s="262"/>
      <c r="FC180" s="120"/>
      <c r="FD180" s="262"/>
      <c r="FE180" s="262"/>
      <c r="FF180" s="120"/>
      <c r="FG180" s="262"/>
      <c r="FH180" s="262"/>
      <c r="FI180" s="120"/>
      <c r="FJ180" s="262"/>
      <c r="FK180" s="262"/>
      <c r="FL180" s="120"/>
      <c r="FM180" s="262"/>
      <c r="FN180" s="262"/>
      <c r="FO180" s="120"/>
      <c r="FP180" s="262"/>
      <c r="FQ180" s="262"/>
      <c r="FR180" s="120"/>
      <c r="FS180" s="262"/>
      <c r="FT180" s="262"/>
      <c r="FU180" s="120"/>
      <c r="FV180" s="262"/>
      <c r="FW180" s="262"/>
      <c r="FX180" s="120"/>
      <c r="FY180" s="262"/>
      <c r="FZ180" s="262"/>
      <c r="GA180" s="256"/>
      <c r="GB180" s="233"/>
      <c r="GC180" s="233"/>
      <c r="GJ180" s="121">
        <f t="shared" si="60"/>
        <v>0</v>
      </c>
      <c r="GK180" s="121">
        <f t="shared" si="61"/>
        <v>0</v>
      </c>
      <c r="GM180" s="121">
        <f t="shared" si="62"/>
        <v>1</v>
      </c>
      <c r="GN180" s="121">
        <f t="shared" si="63"/>
        <v>0</v>
      </c>
      <c r="GO180" s="121">
        <f t="shared" si="64"/>
        <v>0</v>
      </c>
      <c r="GP180" s="121">
        <f t="shared" si="65"/>
        <v>0</v>
      </c>
      <c r="GQ180" s="121">
        <f t="shared" si="66"/>
        <v>0</v>
      </c>
      <c r="GR180" s="121">
        <f t="shared" si="67"/>
        <v>0</v>
      </c>
    </row>
    <row r="181" spans="2:200" ht="38.25" customHeight="1" x14ac:dyDescent="0.55000000000000004">
      <c r="B181" s="306" t="s">
        <v>358</v>
      </c>
      <c r="C181" s="198">
        <v>1</v>
      </c>
      <c r="D181" s="198"/>
      <c r="E181" s="198"/>
      <c r="F181" s="198"/>
      <c r="G181" s="198"/>
      <c r="H181" s="198"/>
      <c r="I181" s="142" cm="1">
        <f t="array" ref="I181">SUMPRODUCT(($X$2:$GG$2&lt;&gt;"")*($X181:$GG181&lt;&gt;""))</f>
        <v>1</v>
      </c>
      <c r="J181" s="122">
        <f t="shared" si="51"/>
        <v>1</v>
      </c>
      <c r="K181" s="122">
        <f t="shared" si="52"/>
        <v>14</v>
      </c>
      <c r="L181" s="249">
        <f t="shared" si="68"/>
        <v>7000</v>
      </c>
      <c r="M181" s="144">
        <f t="shared" si="53"/>
        <v>1120</v>
      </c>
      <c r="N181" s="405"/>
      <c r="O181" s="145">
        <f t="shared" si="54"/>
        <v>0</v>
      </c>
      <c r="P181" s="145">
        <f t="shared" si="55"/>
        <v>0</v>
      </c>
      <c r="Q181" s="145">
        <f t="shared" si="56"/>
        <v>0</v>
      </c>
      <c r="R181" s="145">
        <f t="shared" si="57"/>
        <v>0</v>
      </c>
      <c r="S181" s="130">
        <f t="shared" si="58"/>
        <v>0</v>
      </c>
      <c r="T181" s="130">
        <f t="shared" si="59"/>
        <v>0</v>
      </c>
      <c r="U181" s="141"/>
      <c r="V181" s="123"/>
      <c r="W181" s="134"/>
      <c r="X181" s="347">
        <v>20</v>
      </c>
      <c r="Y181" s="347">
        <v>250</v>
      </c>
      <c r="Z181" s="348" t="s">
        <v>576</v>
      </c>
      <c r="AA181" s="120"/>
      <c r="AB181" s="134"/>
      <c r="AC181" s="200"/>
      <c r="AD181" s="125"/>
      <c r="AE181" s="134"/>
      <c r="AF181" s="200"/>
      <c r="AG181" s="120"/>
      <c r="AH181" s="262"/>
      <c r="AI181" s="262"/>
      <c r="AJ181" s="120"/>
      <c r="AK181" s="262"/>
      <c r="AL181" s="262"/>
      <c r="AM181" s="120"/>
      <c r="AN181" s="262"/>
      <c r="AO181" s="262"/>
      <c r="AP181" s="120"/>
      <c r="AQ181" s="262"/>
      <c r="AR181" s="262"/>
      <c r="AS181" s="120"/>
      <c r="AT181" s="262"/>
      <c r="AU181" s="262"/>
      <c r="AV181" s="120"/>
      <c r="AW181" s="262"/>
      <c r="AX181" s="262"/>
      <c r="AY181" s="120"/>
      <c r="AZ181" s="262"/>
      <c r="BA181" s="262"/>
      <c r="BB181" s="120"/>
      <c r="BC181" s="134"/>
      <c r="BD181" s="200"/>
      <c r="BE181" s="120"/>
      <c r="BF181" s="134"/>
      <c r="BG181" s="200"/>
      <c r="BH181" s="120"/>
      <c r="BI181" s="126"/>
      <c r="BJ181" s="126"/>
      <c r="BK181" s="120"/>
      <c r="BL181" s="134"/>
      <c r="BM181" s="134"/>
      <c r="BN181" s="120"/>
      <c r="BO181" s="252"/>
      <c r="BP181" s="252"/>
      <c r="BQ181" s="120"/>
      <c r="BR181" s="134"/>
      <c r="BS181" s="134"/>
      <c r="BT181" s="120"/>
      <c r="BU181" s="134"/>
      <c r="BV181" s="200"/>
      <c r="BW181" s="120"/>
      <c r="BX181" s="134"/>
      <c r="BY181" s="200"/>
      <c r="BZ181" s="120"/>
      <c r="CA181" s="126"/>
      <c r="CB181" s="126"/>
      <c r="CC181" s="120"/>
      <c r="CD181" s="126"/>
      <c r="CE181" s="126"/>
      <c r="CF181" s="120"/>
      <c r="CG181" s="134"/>
      <c r="CH181" s="134"/>
      <c r="CI181" s="120"/>
      <c r="CJ181" s="200"/>
      <c r="CK181" s="200"/>
      <c r="CL181" s="120"/>
      <c r="CM181" s="200"/>
      <c r="CN181" s="200"/>
      <c r="CO181" s="120"/>
      <c r="CP181" s="134"/>
      <c r="CQ181" s="134"/>
      <c r="CR181" s="120"/>
      <c r="CS181" s="134"/>
      <c r="CT181" s="134"/>
      <c r="CU181" s="120"/>
      <c r="CV181" s="202"/>
      <c r="CW181" s="202"/>
      <c r="CX181" s="120"/>
      <c r="CY181" s="202"/>
      <c r="CZ181" s="202"/>
      <c r="DA181" s="120"/>
      <c r="DB181" s="202"/>
      <c r="DC181" s="202"/>
      <c r="DD181" s="349"/>
      <c r="DE181" s="202"/>
      <c r="DF181" s="202"/>
      <c r="DG181" s="254"/>
      <c r="DH181" s="203"/>
      <c r="DI181" s="203"/>
      <c r="DJ181" s="259"/>
      <c r="DK181" s="136"/>
      <c r="DL181" s="136"/>
      <c r="DM181" s="120"/>
      <c r="DN181" s="233"/>
      <c r="DO181" s="233"/>
      <c r="DP181" s="120"/>
      <c r="DQ181" s="262"/>
      <c r="DR181" s="262"/>
      <c r="DS181" s="120"/>
      <c r="DT181" s="262"/>
      <c r="DU181" s="262"/>
      <c r="DV181" s="120"/>
      <c r="DW181" s="262"/>
      <c r="DX181" s="262"/>
      <c r="DY181" s="120"/>
      <c r="DZ181" s="262"/>
      <c r="EA181" s="262"/>
      <c r="EB181" s="265"/>
      <c r="EC181" s="262"/>
      <c r="ED181" s="262"/>
      <c r="EE181" s="255"/>
      <c r="EF181" s="200"/>
      <c r="EG181" s="200"/>
      <c r="EH181" s="120"/>
      <c r="EI181" s="262"/>
      <c r="EJ181" s="262"/>
      <c r="EK181" s="120"/>
      <c r="EL181" s="262"/>
      <c r="EM181" s="262"/>
      <c r="EN181" s="120"/>
      <c r="EO181" s="262"/>
      <c r="EP181" s="262"/>
      <c r="EQ181" s="120"/>
      <c r="ER181" s="262"/>
      <c r="ES181" s="262"/>
      <c r="ET181" s="120"/>
      <c r="EU181" s="262"/>
      <c r="EV181" s="262"/>
      <c r="EW181" s="120"/>
      <c r="EX181" s="262"/>
      <c r="EY181" s="262"/>
      <c r="EZ181" s="120"/>
      <c r="FA181" s="262"/>
      <c r="FB181" s="262"/>
      <c r="FC181" s="120"/>
      <c r="FD181" s="262"/>
      <c r="FE181" s="262"/>
      <c r="FF181" s="120"/>
      <c r="FG181" s="262"/>
      <c r="FH181" s="262"/>
      <c r="FI181" s="120"/>
      <c r="FJ181" s="262"/>
      <c r="FK181" s="262"/>
      <c r="FL181" s="120"/>
      <c r="FM181" s="262"/>
      <c r="FN181" s="262"/>
      <c r="FO181" s="120"/>
      <c r="FP181" s="262"/>
      <c r="FQ181" s="262"/>
      <c r="FR181" s="120"/>
      <c r="FS181" s="262"/>
      <c r="FT181" s="262"/>
      <c r="FU181" s="120"/>
      <c r="FV181" s="262"/>
      <c r="FW181" s="262"/>
      <c r="FX181" s="120"/>
      <c r="FY181" s="262"/>
      <c r="FZ181" s="262"/>
      <c r="GA181" s="256"/>
      <c r="GB181" s="233"/>
      <c r="GC181" s="233"/>
      <c r="GJ181" s="121">
        <f t="shared" si="60"/>
        <v>0</v>
      </c>
      <c r="GK181" s="121">
        <f t="shared" si="61"/>
        <v>0</v>
      </c>
      <c r="GM181" s="121">
        <f t="shared" si="62"/>
        <v>1</v>
      </c>
      <c r="GN181" s="121">
        <f t="shared" si="63"/>
        <v>0</v>
      </c>
      <c r="GO181" s="121">
        <f t="shared" si="64"/>
        <v>0</v>
      </c>
      <c r="GP181" s="121">
        <f t="shared" si="65"/>
        <v>0</v>
      </c>
      <c r="GQ181" s="121">
        <f t="shared" si="66"/>
        <v>0</v>
      </c>
      <c r="GR181" s="121">
        <f t="shared" si="67"/>
        <v>0</v>
      </c>
    </row>
    <row r="182" spans="2:200" ht="38.25" customHeight="1" x14ac:dyDescent="0.55000000000000004">
      <c r="B182" s="303" t="s">
        <v>426</v>
      </c>
      <c r="C182" s="198"/>
      <c r="D182" s="198"/>
      <c r="E182" s="198"/>
      <c r="F182" s="198"/>
      <c r="G182" s="198"/>
      <c r="H182" s="198"/>
      <c r="I182" s="142" cm="1">
        <f t="array" ref="I182">SUMPRODUCT(($X$2:$GG$2&lt;&gt;"")*($X182:$GG182&lt;&gt;""))</f>
        <v>1</v>
      </c>
      <c r="J182" s="122">
        <f t="shared" si="51"/>
        <v>0</v>
      </c>
      <c r="K182" s="122">
        <f t="shared" si="52"/>
        <v>0</v>
      </c>
      <c r="L182" s="249">
        <f t="shared" si="68"/>
        <v>7000</v>
      </c>
      <c r="M182" s="144">
        <f t="shared" si="53"/>
        <v>700</v>
      </c>
      <c r="N182" s="405"/>
      <c r="O182" s="145">
        <f t="shared" si="54"/>
        <v>0</v>
      </c>
      <c r="P182" s="145">
        <f t="shared" si="55"/>
        <v>0</v>
      </c>
      <c r="Q182" s="145">
        <f t="shared" si="56"/>
        <v>0</v>
      </c>
      <c r="R182" s="145">
        <f t="shared" si="57"/>
        <v>0</v>
      </c>
      <c r="S182" s="130">
        <f t="shared" si="58"/>
        <v>0</v>
      </c>
      <c r="T182" s="130">
        <f t="shared" si="59"/>
        <v>0</v>
      </c>
      <c r="U182" s="141"/>
      <c r="V182" s="123"/>
      <c r="W182" s="134"/>
      <c r="X182" s="347">
        <v>25</v>
      </c>
      <c r="Y182" s="347">
        <v>250</v>
      </c>
      <c r="Z182" s="348" t="s">
        <v>576</v>
      </c>
      <c r="AA182" s="120"/>
      <c r="AB182" s="134"/>
      <c r="AC182" s="200"/>
      <c r="AD182" s="125"/>
      <c r="AE182" s="134"/>
      <c r="AF182" s="200"/>
      <c r="AG182" s="120"/>
      <c r="AH182" s="262"/>
      <c r="AI182" s="262"/>
      <c r="AJ182" s="120"/>
      <c r="AK182" s="262"/>
      <c r="AL182" s="262"/>
      <c r="AM182" s="120"/>
      <c r="AN182" s="262"/>
      <c r="AO182" s="262"/>
      <c r="AP182" s="120"/>
      <c r="AQ182" s="262"/>
      <c r="AR182" s="262"/>
      <c r="AS182" s="120"/>
      <c r="AT182" s="262"/>
      <c r="AU182" s="262"/>
      <c r="AV182" s="120"/>
      <c r="AW182" s="262"/>
      <c r="AX182" s="262"/>
      <c r="AY182" s="120"/>
      <c r="AZ182" s="262"/>
      <c r="BA182" s="262"/>
      <c r="BB182" s="120"/>
      <c r="BC182" s="134"/>
      <c r="BD182" s="200"/>
      <c r="BE182" s="120"/>
      <c r="BF182" s="134"/>
      <c r="BG182" s="200"/>
      <c r="BH182" s="120"/>
      <c r="BI182" s="252"/>
      <c r="BJ182" s="252"/>
      <c r="BK182" s="120"/>
      <c r="BL182" s="134"/>
      <c r="BM182" s="134"/>
      <c r="BN182" s="120"/>
      <c r="BO182" s="252"/>
      <c r="BP182" s="252"/>
      <c r="BQ182" s="120"/>
      <c r="BR182" s="134"/>
      <c r="BS182" s="134"/>
      <c r="BT182" s="120"/>
      <c r="BU182" s="134"/>
      <c r="BV182" s="200"/>
      <c r="BW182" s="120"/>
      <c r="BX182" s="134"/>
      <c r="BY182" s="200"/>
      <c r="BZ182" s="120"/>
      <c r="CA182" s="126"/>
      <c r="CB182" s="126"/>
      <c r="CC182" s="120"/>
      <c r="CD182" s="126"/>
      <c r="CE182" s="126"/>
      <c r="CF182" s="120"/>
      <c r="CG182" s="134"/>
      <c r="CH182" s="134"/>
      <c r="CI182" s="120"/>
      <c r="CJ182" s="200"/>
      <c r="CK182" s="200"/>
      <c r="CL182" s="120"/>
      <c r="CM182" s="200"/>
      <c r="CN182" s="200"/>
      <c r="CO182" s="120"/>
      <c r="CP182" s="134"/>
      <c r="CQ182" s="134"/>
      <c r="CR182" s="120"/>
      <c r="CS182" s="134"/>
      <c r="CT182" s="134"/>
      <c r="CU182" s="120"/>
      <c r="CV182" s="202"/>
      <c r="CW182" s="202"/>
      <c r="CX182" s="120"/>
      <c r="CY182" s="202"/>
      <c r="CZ182" s="202"/>
      <c r="DA182" s="120"/>
      <c r="DB182" s="202"/>
      <c r="DC182" s="202"/>
      <c r="DD182" s="349"/>
      <c r="DE182" s="202"/>
      <c r="DF182" s="202"/>
      <c r="DG182" s="254"/>
      <c r="DH182" s="203"/>
      <c r="DI182" s="203"/>
      <c r="DJ182" s="259"/>
      <c r="DK182" s="136"/>
      <c r="DL182" s="136"/>
      <c r="DM182" s="120"/>
      <c r="DN182" s="233"/>
      <c r="DO182" s="233"/>
      <c r="DP182" s="120"/>
      <c r="DQ182" s="262"/>
      <c r="DR182" s="262"/>
      <c r="DS182" s="120"/>
      <c r="DT182" s="262"/>
      <c r="DU182" s="262"/>
      <c r="DV182" s="120"/>
      <c r="DW182" s="262"/>
      <c r="DX182" s="262"/>
      <c r="DY182" s="120"/>
      <c r="DZ182" s="262"/>
      <c r="EA182" s="262"/>
      <c r="EB182" s="265"/>
      <c r="EC182" s="262"/>
      <c r="ED182" s="262"/>
      <c r="EE182" s="254"/>
      <c r="EF182" s="233"/>
      <c r="EG182" s="233"/>
      <c r="EH182" s="120"/>
      <c r="EI182" s="262"/>
      <c r="EJ182" s="262"/>
      <c r="EK182" s="120"/>
      <c r="EL182" s="262"/>
      <c r="EM182" s="262"/>
      <c r="EN182" s="120"/>
      <c r="EO182" s="262"/>
      <c r="EP182" s="262"/>
      <c r="EQ182" s="120"/>
      <c r="ER182" s="262"/>
      <c r="ES182" s="262"/>
      <c r="ET182" s="120"/>
      <c r="EU182" s="262"/>
      <c r="EV182" s="262"/>
      <c r="EW182" s="120"/>
      <c r="EX182" s="262"/>
      <c r="EY182" s="262"/>
      <c r="EZ182" s="120"/>
      <c r="FA182" s="262"/>
      <c r="FB182" s="262"/>
      <c r="FC182" s="120"/>
      <c r="FD182" s="262"/>
      <c r="FE182" s="262"/>
      <c r="FF182" s="120"/>
      <c r="FG182" s="262"/>
      <c r="FH182" s="262"/>
      <c r="FI182" s="120"/>
      <c r="FJ182" s="262"/>
      <c r="FK182" s="262"/>
      <c r="FL182" s="120"/>
      <c r="FM182" s="262"/>
      <c r="FN182" s="262"/>
      <c r="FO182" s="120"/>
      <c r="FP182" s="262"/>
      <c r="FQ182" s="262"/>
      <c r="FR182" s="120"/>
      <c r="FS182" s="262"/>
      <c r="FT182" s="262"/>
      <c r="FU182" s="120"/>
      <c r="FV182" s="262"/>
      <c r="FW182" s="262"/>
      <c r="FX182" s="120"/>
      <c r="FY182" s="262"/>
      <c r="FZ182" s="262"/>
      <c r="GA182" s="256"/>
      <c r="GB182" s="233"/>
      <c r="GC182" s="233"/>
      <c r="GJ182" s="121">
        <f t="shared" si="60"/>
        <v>0</v>
      </c>
      <c r="GK182" s="121">
        <f t="shared" si="61"/>
        <v>0</v>
      </c>
      <c r="GM182" s="121">
        <f t="shared" si="62"/>
        <v>1</v>
      </c>
      <c r="GN182" s="121">
        <f t="shared" si="63"/>
        <v>0</v>
      </c>
      <c r="GO182" s="121">
        <f t="shared" si="64"/>
        <v>0</v>
      </c>
      <c r="GP182" s="121">
        <f t="shared" si="65"/>
        <v>0</v>
      </c>
      <c r="GQ182" s="121">
        <f t="shared" si="66"/>
        <v>0</v>
      </c>
      <c r="GR182" s="121">
        <f t="shared" si="67"/>
        <v>0</v>
      </c>
    </row>
    <row r="183" spans="2:200" ht="38.25" customHeight="1" x14ac:dyDescent="0.55000000000000004">
      <c r="B183" s="303" t="s">
        <v>499</v>
      </c>
      <c r="C183" s="198"/>
      <c r="D183" s="198"/>
      <c r="E183" s="198"/>
      <c r="F183" s="198"/>
      <c r="G183" s="198"/>
      <c r="H183" s="198"/>
      <c r="I183" s="142" cm="1">
        <f t="array" ref="I183">SUMPRODUCT(($X$2:$GG$2&lt;&gt;"")*($X183:$GG183&lt;&gt;""))</f>
        <v>2</v>
      </c>
      <c r="J183" s="122">
        <f t="shared" si="51"/>
        <v>0</v>
      </c>
      <c r="K183" s="122">
        <f t="shared" si="52"/>
        <v>0</v>
      </c>
      <c r="L183" s="249">
        <f t="shared" si="68"/>
        <v>7000</v>
      </c>
      <c r="M183" s="144">
        <f t="shared" si="53"/>
        <v>1960.0000000000002</v>
      </c>
      <c r="N183" s="405"/>
      <c r="O183" s="145">
        <f t="shared" si="54"/>
        <v>0</v>
      </c>
      <c r="P183" s="145">
        <f t="shared" si="55"/>
        <v>0</v>
      </c>
      <c r="Q183" s="145">
        <f t="shared" si="56"/>
        <v>0</v>
      </c>
      <c r="R183" s="145">
        <f t="shared" si="57"/>
        <v>0</v>
      </c>
      <c r="S183" s="130">
        <f t="shared" si="58"/>
        <v>0</v>
      </c>
      <c r="T183" s="130">
        <f t="shared" si="59"/>
        <v>0</v>
      </c>
      <c r="U183" s="141"/>
      <c r="V183" s="123"/>
      <c r="W183" s="134"/>
      <c r="X183" s="347">
        <v>35</v>
      </c>
      <c r="Y183" s="347">
        <v>250</v>
      </c>
      <c r="Z183" s="348" t="s">
        <v>576</v>
      </c>
      <c r="AA183" s="120"/>
      <c r="AB183" s="134"/>
      <c r="AC183" s="200"/>
      <c r="AD183" s="125"/>
      <c r="AE183" s="134"/>
      <c r="AF183" s="200"/>
      <c r="AG183" s="120"/>
      <c r="AH183" s="262"/>
      <c r="AI183" s="262"/>
      <c r="AJ183" s="120"/>
      <c r="AK183" s="262"/>
      <c r="AL183" s="262"/>
      <c r="AM183" s="120"/>
      <c r="AN183" s="262"/>
      <c r="AO183" s="262"/>
      <c r="AP183" s="120"/>
      <c r="AQ183" s="262"/>
      <c r="AR183" s="262"/>
      <c r="AS183" s="120"/>
      <c r="AT183" s="262"/>
      <c r="AU183" s="262"/>
      <c r="AV183" s="120"/>
      <c r="AW183" s="262"/>
      <c r="AX183" s="262"/>
      <c r="AY183" s="120"/>
      <c r="AZ183" s="262"/>
      <c r="BA183" s="262"/>
      <c r="BB183" s="120"/>
      <c r="BC183" s="134"/>
      <c r="BD183" s="200"/>
      <c r="BE183" s="120"/>
      <c r="BF183" s="134"/>
      <c r="BG183" s="200"/>
      <c r="BH183" s="120"/>
      <c r="BI183" s="252"/>
      <c r="BJ183" s="252"/>
      <c r="BK183" s="120"/>
      <c r="BL183" s="134"/>
      <c r="BM183" s="134"/>
      <c r="BN183" s="120"/>
      <c r="BO183" s="252"/>
      <c r="BP183" s="252"/>
      <c r="BQ183" s="120"/>
      <c r="BR183" s="134"/>
      <c r="BS183" s="134"/>
      <c r="BT183" s="120"/>
      <c r="BU183" s="134"/>
      <c r="BV183" s="200"/>
      <c r="BW183" s="120"/>
      <c r="BX183" s="134"/>
      <c r="BY183" s="200"/>
      <c r="BZ183" s="120"/>
      <c r="CA183" s="126"/>
      <c r="CB183" s="126"/>
      <c r="CC183" s="120"/>
      <c r="CD183" s="126"/>
      <c r="CE183" s="126"/>
      <c r="CF183" s="120"/>
      <c r="CG183" s="134"/>
      <c r="CH183" s="134"/>
      <c r="CI183" s="120"/>
      <c r="CJ183" s="200"/>
      <c r="CK183" s="200"/>
      <c r="CL183" s="120"/>
      <c r="CM183" s="200"/>
      <c r="CN183" s="200"/>
      <c r="CO183" s="120"/>
      <c r="CP183" s="134"/>
      <c r="CQ183" s="134"/>
      <c r="CR183" s="120"/>
      <c r="CS183" s="134"/>
      <c r="CT183" s="134"/>
      <c r="CU183" s="120"/>
      <c r="CV183" s="202"/>
      <c r="CW183" s="202"/>
      <c r="CX183" s="120"/>
      <c r="CY183" s="202"/>
      <c r="CZ183" s="202"/>
      <c r="DA183" s="120"/>
      <c r="DB183" s="202"/>
      <c r="DC183" s="202"/>
      <c r="DD183" s="349"/>
      <c r="DE183" s="202"/>
      <c r="DF183" s="202"/>
      <c r="DG183" s="254"/>
      <c r="DH183" s="203"/>
      <c r="DI183" s="203"/>
      <c r="DJ183" s="259"/>
      <c r="DK183" s="136"/>
      <c r="DL183" s="136"/>
      <c r="DM183" s="120"/>
      <c r="DN183" s="233"/>
      <c r="DO183" s="233"/>
      <c r="DP183" s="120"/>
      <c r="DQ183" s="262"/>
      <c r="DR183" s="262"/>
      <c r="DS183" s="120"/>
      <c r="DT183" s="262"/>
      <c r="DU183" s="262"/>
      <c r="DV183" s="120"/>
      <c r="DW183" s="262"/>
      <c r="DX183" s="262"/>
      <c r="DY183" s="120"/>
      <c r="DZ183" s="262"/>
      <c r="EA183" s="262"/>
      <c r="EB183" s="265"/>
      <c r="EC183" s="262"/>
      <c r="ED183" s="262"/>
      <c r="EE183" s="254"/>
      <c r="EF183" s="233"/>
      <c r="EG183" s="233"/>
      <c r="EH183" s="120"/>
      <c r="EI183" s="262"/>
      <c r="EJ183" s="262"/>
      <c r="EK183" s="120"/>
      <c r="EL183" s="262"/>
      <c r="EM183" s="262"/>
      <c r="EN183" s="120"/>
      <c r="EO183" s="262"/>
      <c r="EP183" s="262"/>
      <c r="EQ183" s="120"/>
      <c r="ER183" s="262"/>
      <c r="ES183" s="262"/>
      <c r="ET183" s="120"/>
      <c r="EU183" s="262"/>
      <c r="EV183" s="262"/>
      <c r="EW183" s="120"/>
      <c r="EX183" s="262"/>
      <c r="EY183" s="262"/>
      <c r="EZ183" s="120"/>
      <c r="FA183" s="262"/>
      <c r="FB183" s="262"/>
      <c r="FC183" s="120"/>
      <c r="FD183" s="262"/>
      <c r="FE183" s="262"/>
      <c r="FF183" s="120"/>
      <c r="FG183" s="262"/>
      <c r="FH183" s="262"/>
      <c r="FI183" s="120"/>
      <c r="FJ183" s="262"/>
      <c r="FK183" s="262"/>
      <c r="FL183" s="120"/>
      <c r="FM183" s="262"/>
      <c r="FN183" s="262"/>
      <c r="FO183" s="120"/>
      <c r="FP183" s="262"/>
      <c r="FQ183" s="262"/>
      <c r="FR183" s="120"/>
      <c r="FS183" s="262"/>
      <c r="FT183" s="262"/>
      <c r="FU183" s="120"/>
      <c r="FV183" s="262"/>
      <c r="FW183" s="262"/>
      <c r="FX183" s="120"/>
      <c r="FY183" s="262"/>
      <c r="FZ183" s="262"/>
      <c r="GA183" s="256"/>
      <c r="GB183" s="233"/>
      <c r="GC183" s="233"/>
      <c r="GD183" s="351">
        <v>40</v>
      </c>
      <c r="GE183" s="351">
        <v>1000</v>
      </c>
      <c r="GF183" s="351" t="s">
        <v>800</v>
      </c>
      <c r="GJ183" s="121">
        <f t="shared" si="60"/>
        <v>560</v>
      </c>
      <c r="GK183" s="121">
        <f t="shared" si="61"/>
        <v>0</v>
      </c>
      <c r="GM183" s="121">
        <f t="shared" si="62"/>
        <v>1</v>
      </c>
      <c r="GN183" s="121">
        <f t="shared" si="63"/>
        <v>0</v>
      </c>
      <c r="GO183" s="121">
        <f t="shared" si="64"/>
        <v>0</v>
      </c>
      <c r="GP183" s="121">
        <f t="shared" si="65"/>
        <v>0</v>
      </c>
      <c r="GQ183" s="121">
        <f t="shared" si="66"/>
        <v>0</v>
      </c>
      <c r="GR183" s="121">
        <f t="shared" si="67"/>
        <v>0</v>
      </c>
    </row>
    <row r="184" spans="2:200" ht="38.25" customHeight="1" x14ac:dyDescent="0.55000000000000004">
      <c r="B184" s="303" t="s">
        <v>504</v>
      </c>
      <c r="C184" s="198"/>
      <c r="D184" s="198"/>
      <c r="E184" s="198"/>
      <c r="F184" s="198"/>
      <c r="G184" s="198"/>
      <c r="H184" s="198"/>
      <c r="I184" s="142" cm="1">
        <f t="array" ref="I184">SUMPRODUCT(($X$2:$GG$2&lt;&gt;"")*($X184:$GG184&lt;&gt;""))</f>
        <v>0</v>
      </c>
      <c r="J184" s="122">
        <f t="shared" si="51"/>
        <v>0</v>
      </c>
      <c r="K184" s="122">
        <f t="shared" si="52"/>
        <v>0</v>
      </c>
      <c r="L184" s="249">
        <f t="shared" si="68"/>
        <v>7000</v>
      </c>
      <c r="M184" s="144">
        <f t="shared" si="53"/>
        <v>0</v>
      </c>
      <c r="N184" s="405"/>
      <c r="O184" s="145">
        <f t="shared" si="54"/>
        <v>0</v>
      </c>
      <c r="P184" s="145">
        <f t="shared" si="55"/>
        <v>0</v>
      </c>
      <c r="Q184" s="145">
        <f t="shared" si="56"/>
        <v>0</v>
      </c>
      <c r="R184" s="145">
        <f t="shared" si="57"/>
        <v>0</v>
      </c>
      <c r="S184" s="130">
        <f t="shared" si="58"/>
        <v>0</v>
      </c>
      <c r="T184" s="130">
        <f t="shared" si="59"/>
        <v>0</v>
      </c>
      <c r="U184" s="141"/>
      <c r="V184" s="123"/>
      <c r="W184" s="134"/>
      <c r="X184" s="124"/>
      <c r="Y184" s="134"/>
      <c r="Z184" s="200"/>
      <c r="AA184" s="120"/>
      <c r="AB184" s="134"/>
      <c r="AC184" s="200"/>
      <c r="AD184" s="125"/>
      <c r="AE184" s="134"/>
      <c r="AF184" s="200"/>
      <c r="AG184" s="120"/>
      <c r="AH184" s="262"/>
      <c r="AI184" s="262"/>
      <c r="AJ184" s="120"/>
      <c r="AK184" s="262"/>
      <c r="AL184" s="262"/>
      <c r="AM184" s="120"/>
      <c r="AN184" s="262"/>
      <c r="AO184" s="262"/>
      <c r="AP184" s="120"/>
      <c r="AQ184" s="262"/>
      <c r="AR184" s="262"/>
      <c r="AS184" s="120"/>
      <c r="AT184" s="262"/>
      <c r="AU184" s="262"/>
      <c r="AV184" s="120"/>
      <c r="AW184" s="262"/>
      <c r="AX184" s="262"/>
      <c r="AY184" s="120"/>
      <c r="AZ184" s="262"/>
      <c r="BA184" s="262"/>
      <c r="BB184" s="120"/>
      <c r="BC184" s="134"/>
      <c r="BD184" s="200"/>
      <c r="BE184" s="120"/>
      <c r="BF184" s="134"/>
      <c r="BG184" s="200"/>
      <c r="BH184" s="120"/>
      <c r="BI184" s="252"/>
      <c r="BJ184" s="252"/>
      <c r="BK184" s="120"/>
      <c r="BL184" s="134"/>
      <c r="BM184" s="134"/>
      <c r="BN184" s="120"/>
      <c r="BO184" s="252"/>
      <c r="BP184" s="252"/>
      <c r="BQ184" s="120"/>
      <c r="BR184" s="134"/>
      <c r="BS184" s="134"/>
      <c r="BT184" s="120"/>
      <c r="BU184" s="134"/>
      <c r="BV184" s="200"/>
      <c r="BW184" s="120"/>
      <c r="BX184" s="134"/>
      <c r="BY184" s="200"/>
      <c r="BZ184" s="120"/>
      <c r="CA184" s="126"/>
      <c r="CB184" s="126"/>
      <c r="CC184" s="120"/>
      <c r="CD184" s="126"/>
      <c r="CE184" s="126"/>
      <c r="CF184" s="120"/>
      <c r="CG184" s="134"/>
      <c r="CH184" s="134"/>
      <c r="CI184" s="120"/>
      <c r="CJ184" s="200"/>
      <c r="CK184" s="200"/>
      <c r="CL184" s="120"/>
      <c r="CM184" s="200"/>
      <c r="CN184" s="200"/>
      <c r="CO184" s="120"/>
      <c r="CP184" s="134"/>
      <c r="CQ184" s="134"/>
      <c r="CR184" s="120"/>
      <c r="CS184" s="134"/>
      <c r="CT184" s="134"/>
      <c r="CU184" s="120"/>
      <c r="CV184" s="202"/>
      <c r="CW184" s="202"/>
      <c r="CX184" s="120"/>
      <c r="CY184" s="202"/>
      <c r="CZ184" s="202"/>
      <c r="DA184" s="120"/>
      <c r="DB184" s="202"/>
      <c r="DC184" s="202"/>
      <c r="DD184" s="349"/>
      <c r="DE184" s="202"/>
      <c r="DF184" s="202"/>
      <c r="DG184" s="254"/>
      <c r="DH184" s="203"/>
      <c r="DI184" s="203"/>
      <c r="DJ184" s="259"/>
      <c r="DK184" s="136"/>
      <c r="DL184" s="136"/>
      <c r="DM184" s="120"/>
      <c r="DN184" s="233"/>
      <c r="DO184" s="233"/>
      <c r="DP184" s="120"/>
      <c r="DQ184" s="262"/>
      <c r="DR184" s="262"/>
      <c r="DS184" s="120"/>
      <c r="DT184" s="262"/>
      <c r="DU184" s="262"/>
      <c r="DV184" s="120"/>
      <c r="DW184" s="262"/>
      <c r="DX184" s="262"/>
      <c r="DY184" s="120"/>
      <c r="DZ184" s="262"/>
      <c r="EA184" s="262"/>
      <c r="EB184" s="265"/>
      <c r="EC184" s="262"/>
      <c r="ED184" s="262"/>
      <c r="EE184" s="254"/>
      <c r="EF184" s="233"/>
      <c r="EG184" s="233"/>
      <c r="EH184" s="120"/>
      <c r="EI184" s="262"/>
      <c r="EJ184" s="262"/>
      <c r="EK184" s="120"/>
      <c r="EL184" s="262"/>
      <c r="EM184" s="262"/>
      <c r="EN184" s="120"/>
      <c r="EO184" s="262"/>
      <c r="EP184" s="262"/>
      <c r="EQ184" s="120"/>
      <c r="ER184" s="262"/>
      <c r="ES184" s="262"/>
      <c r="ET184" s="120"/>
      <c r="EU184" s="262"/>
      <c r="EV184" s="262"/>
      <c r="EW184" s="120"/>
      <c r="EX184" s="262"/>
      <c r="EY184" s="262"/>
      <c r="EZ184" s="120"/>
      <c r="FA184" s="262"/>
      <c r="FB184" s="262"/>
      <c r="FC184" s="120"/>
      <c r="FD184" s="262"/>
      <c r="FE184" s="262"/>
      <c r="FF184" s="120"/>
      <c r="FG184" s="262"/>
      <c r="FH184" s="262"/>
      <c r="FI184" s="120"/>
      <c r="FJ184" s="262"/>
      <c r="FK184" s="262"/>
      <c r="FL184" s="120"/>
      <c r="FM184" s="262"/>
      <c r="FN184" s="262"/>
      <c r="FO184" s="120"/>
      <c r="FP184" s="262"/>
      <c r="FQ184" s="262"/>
      <c r="FR184" s="120"/>
      <c r="FS184" s="262"/>
      <c r="FT184" s="262"/>
      <c r="FU184" s="120"/>
      <c r="FV184" s="262"/>
      <c r="FW184" s="262"/>
      <c r="FX184" s="120"/>
      <c r="FY184" s="262"/>
      <c r="FZ184" s="262"/>
      <c r="GA184" s="256"/>
      <c r="GB184" s="233"/>
      <c r="GC184" s="233"/>
      <c r="GJ184" s="121">
        <f t="shared" si="60"/>
        <v>0</v>
      </c>
      <c r="GK184" s="121">
        <f t="shared" si="61"/>
        <v>0</v>
      </c>
      <c r="GM184" s="121">
        <f t="shared" si="62"/>
        <v>0</v>
      </c>
      <c r="GN184" s="121">
        <f t="shared" si="63"/>
        <v>0</v>
      </c>
      <c r="GO184" s="121">
        <f t="shared" si="64"/>
        <v>0</v>
      </c>
      <c r="GP184" s="121">
        <f t="shared" si="65"/>
        <v>0</v>
      </c>
      <c r="GQ184" s="121">
        <f t="shared" si="66"/>
        <v>0</v>
      </c>
      <c r="GR184" s="121">
        <f t="shared" si="67"/>
        <v>0</v>
      </c>
    </row>
    <row r="185" spans="2:200" ht="38.25" customHeight="1" x14ac:dyDescent="0.55000000000000004">
      <c r="B185" s="303" t="s">
        <v>496</v>
      </c>
      <c r="C185" s="198"/>
      <c r="D185" s="198"/>
      <c r="E185" s="198"/>
      <c r="F185" s="198"/>
      <c r="G185" s="198"/>
      <c r="H185" s="198"/>
      <c r="I185" s="142" cm="1">
        <f t="array" ref="I185">SUMPRODUCT(($X$2:$GG$2&lt;&gt;"")*($X185:$GG185&lt;&gt;""))</f>
        <v>0</v>
      </c>
      <c r="J185" s="122">
        <f t="shared" si="51"/>
        <v>0</v>
      </c>
      <c r="K185" s="122">
        <f t="shared" si="52"/>
        <v>0</v>
      </c>
      <c r="L185" s="249">
        <f t="shared" si="68"/>
        <v>7000</v>
      </c>
      <c r="M185" s="144">
        <f t="shared" si="53"/>
        <v>0</v>
      </c>
      <c r="N185" s="405"/>
      <c r="O185" s="145">
        <f t="shared" si="54"/>
        <v>0</v>
      </c>
      <c r="P185" s="145">
        <f t="shared" si="55"/>
        <v>0</v>
      </c>
      <c r="Q185" s="145">
        <f t="shared" si="56"/>
        <v>0</v>
      </c>
      <c r="R185" s="145">
        <f t="shared" si="57"/>
        <v>0</v>
      </c>
      <c r="S185" s="130">
        <f t="shared" si="58"/>
        <v>0</v>
      </c>
      <c r="T185" s="130">
        <f t="shared" si="59"/>
        <v>0</v>
      </c>
      <c r="U185" s="141"/>
      <c r="V185" s="123"/>
      <c r="W185" s="134"/>
      <c r="X185" s="124"/>
      <c r="Y185" s="134"/>
      <c r="Z185" s="200"/>
      <c r="AA185" s="120"/>
      <c r="AB185" s="134"/>
      <c r="AC185" s="200"/>
      <c r="AD185" s="125"/>
      <c r="AE185" s="134"/>
      <c r="AF185" s="200"/>
      <c r="AG185" s="120"/>
      <c r="AH185" s="262"/>
      <c r="AI185" s="262"/>
      <c r="AJ185" s="120"/>
      <c r="AK185" s="262"/>
      <c r="AL185" s="262"/>
      <c r="AM185" s="120"/>
      <c r="AN185" s="262"/>
      <c r="AO185" s="262"/>
      <c r="AP185" s="120"/>
      <c r="AQ185" s="262"/>
      <c r="AR185" s="262"/>
      <c r="AS185" s="120"/>
      <c r="AT185" s="262"/>
      <c r="AU185" s="262"/>
      <c r="AV185" s="120"/>
      <c r="AW185" s="262"/>
      <c r="AX185" s="262"/>
      <c r="AY185" s="120"/>
      <c r="AZ185" s="262"/>
      <c r="BA185" s="262"/>
      <c r="BB185" s="120"/>
      <c r="BC185" s="134"/>
      <c r="BD185" s="200"/>
      <c r="BE185" s="120"/>
      <c r="BF185" s="134"/>
      <c r="BG185" s="200"/>
      <c r="BH185" s="120"/>
      <c r="BI185" s="252"/>
      <c r="BJ185" s="252"/>
      <c r="BK185" s="120"/>
      <c r="BL185" s="134"/>
      <c r="BM185" s="134"/>
      <c r="BN185" s="120"/>
      <c r="BO185" s="252"/>
      <c r="BP185" s="252"/>
      <c r="BQ185" s="120"/>
      <c r="BR185" s="134"/>
      <c r="BS185" s="134"/>
      <c r="BT185" s="120"/>
      <c r="BU185" s="134"/>
      <c r="BV185" s="200"/>
      <c r="BW185" s="120"/>
      <c r="BX185" s="134"/>
      <c r="BY185" s="200"/>
      <c r="BZ185" s="120"/>
      <c r="CA185" s="126"/>
      <c r="CB185" s="126"/>
      <c r="CC185" s="120"/>
      <c r="CD185" s="126"/>
      <c r="CE185" s="126"/>
      <c r="CF185" s="120"/>
      <c r="CG185" s="134"/>
      <c r="CH185" s="134"/>
      <c r="CI185" s="120"/>
      <c r="CJ185" s="200"/>
      <c r="CK185" s="200"/>
      <c r="CL185" s="120"/>
      <c r="CM185" s="200"/>
      <c r="CN185" s="200"/>
      <c r="CO185" s="120"/>
      <c r="CP185" s="134"/>
      <c r="CQ185" s="134"/>
      <c r="CR185" s="120"/>
      <c r="CS185" s="134"/>
      <c r="CT185" s="134"/>
      <c r="CU185" s="120"/>
      <c r="CV185" s="202"/>
      <c r="CW185" s="202"/>
      <c r="CX185" s="120"/>
      <c r="CY185" s="202"/>
      <c r="CZ185" s="202"/>
      <c r="DA185" s="120"/>
      <c r="DB185" s="202"/>
      <c r="DC185" s="202"/>
      <c r="DD185" s="349"/>
      <c r="DE185" s="202"/>
      <c r="DF185" s="202"/>
      <c r="DG185" s="254"/>
      <c r="DH185" s="203"/>
      <c r="DI185" s="203"/>
      <c r="DJ185" s="259"/>
      <c r="DK185" s="136"/>
      <c r="DL185" s="136"/>
      <c r="DM185" s="120"/>
      <c r="DN185" s="233"/>
      <c r="DO185" s="233"/>
      <c r="DP185" s="120"/>
      <c r="DQ185" s="262"/>
      <c r="DR185" s="262"/>
      <c r="DS185" s="120"/>
      <c r="DT185" s="262"/>
      <c r="DU185" s="262"/>
      <c r="DV185" s="120"/>
      <c r="DW185" s="262"/>
      <c r="DX185" s="262"/>
      <c r="DY185" s="120"/>
      <c r="DZ185" s="262"/>
      <c r="EA185" s="262"/>
      <c r="EB185" s="265"/>
      <c r="EC185" s="262"/>
      <c r="ED185" s="262"/>
      <c r="EE185" s="254"/>
      <c r="EF185" s="233"/>
      <c r="EG185" s="233"/>
      <c r="EH185" s="120"/>
      <c r="EI185" s="262"/>
      <c r="EJ185" s="262"/>
      <c r="EK185" s="120"/>
      <c r="EL185" s="262"/>
      <c r="EM185" s="262"/>
      <c r="EN185" s="120"/>
      <c r="EO185" s="262"/>
      <c r="EP185" s="262"/>
      <c r="EQ185" s="120"/>
      <c r="ER185" s="262"/>
      <c r="ES185" s="262"/>
      <c r="ET185" s="120"/>
      <c r="EU185" s="262"/>
      <c r="EV185" s="262"/>
      <c r="EW185" s="120"/>
      <c r="EX185" s="262"/>
      <c r="EY185" s="262"/>
      <c r="EZ185" s="120"/>
      <c r="FA185" s="262"/>
      <c r="FB185" s="262"/>
      <c r="FC185" s="120"/>
      <c r="FD185" s="262"/>
      <c r="FE185" s="262"/>
      <c r="FF185" s="120"/>
      <c r="FG185" s="262"/>
      <c r="FH185" s="262"/>
      <c r="FI185" s="120"/>
      <c r="FJ185" s="262"/>
      <c r="FK185" s="262"/>
      <c r="FL185" s="120"/>
      <c r="FM185" s="262"/>
      <c r="FN185" s="262"/>
      <c r="FO185" s="120"/>
      <c r="FP185" s="262"/>
      <c r="FQ185" s="262"/>
      <c r="FR185" s="120"/>
      <c r="FS185" s="262"/>
      <c r="FT185" s="262"/>
      <c r="FU185" s="120"/>
      <c r="FV185" s="262"/>
      <c r="FW185" s="262"/>
      <c r="FX185" s="120"/>
      <c r="FY185" s="262"/>
      <c r="FZ185" s="262"/>
      <c r="GA185" s="256"/>
      <c r="GB185" s="233"/>
      <c r="GC185" s="233"/>
      <c r="GJ185" s="121">
        <f t="shared" si="60"/>
        <v>0</v>
      </c>
      <c r="GK185" s="121">
        <f t="shared" si="61"/>
        <v>0</v>
      </c>
      <c r="GM185" s="121">
        <f t="shared" si="62"/>
        <v>0</v>
      </c>
      <c r="GN185" s="121">
        <f t="shared" si="63"/>
        <v>0</v>
      </c>
      <c r="GO185" s="121">
        <f t="shared" si="64"/>
        <v>0</v>
      </c>
      <c r="GP185" s="121">
        <f t="shared" si="65"/>
        <v>0</v>
      </c>
      <c r="GQ185" s="121">
        <f t="shared" si="66"/>
        <v>0</v>
      </c>
      <c r="GR185" s="121">
        <f t="shared" si="67"/>
        <v>0</v>
      </c>
    </row>
    <row r="186" spans="2:200" ht="38.25" customHeight="1" x14ac:dyDescent="0.55000000000000004">
      <c r="B186" s="303" t="s">
        <v>503</v>
      </c>
      <c r="C186" s="198"/>
      <c r="D186" s="198"/>
      <c r="E186" s="198"/>
      <c r="F186" s="198"/>
      <c r="G186" s="198"/>
      <c r="H186" s="198"/>
      <c r="I186" s="142" cm="1">
        <f t="array" ref="I186">SUMPRODUCT(($X$2:$GG$2&lt;&gt;"")*($X186:$GG186&lt;&gt;""))</f>
        <v>1</v>
      </c>
      <c r="J186" s="122">
        <f t="shared" si="51"/>
        <v>0</v>
      </c>
      <c r="K186" s="122">
        <f t="shared" si="52"/>
        <v>0</v>
      </c>
      <c r="L186" s="249">
        <f t="shared" si="68"/>
        <v>7000</v>
      </c>
      <c r="M186" s="144">
        <f t="shared" si="53"/>
        <v>0</v>
      </c>
      <c r="N186" s="405"/>
      <c r="O186" s="145">
        <f t="shared" si="54"/>
        <v>0</v>
      </c>
      <c r="P186" s="145">
        <f t="shared" si="55"/>
        <v>0</v>
      </c>
      <c r="Q186" s="145">
        <f t="shared" si="56"/>
        <v>0</v>
      </c>
      <c r="R186" s="145">
        <f t="shared" si="57"/>
        <v>0</v>
      </c>
      <c r="S186" s="130">
        <f t="shared" si="58"/>
        <v>0</v>
      </c>
      <c r="T186" s="130">
        <f t="shared" si="59"/>
        <v>0</v>
      </c>
      <c r="U186" s="141"/>
      <c r="V186" s="123"/>
      <c r="W186" s="134"/>
      <c r="X186" s="124"/>
      <c r="Y186" s="134"/>
      <c r="Z186" s="200"/>
      <c r="AA186" s="120"/>
      <c r="AB186" s="134"/>
      <c r="AC186" s="200"/>
      <c r="AD186" s="125"/>
      <c r="AE186" s="134"/>
      <c r="AF186" s="200"/>
      <c r="AG186" s="120"/>
      <c r="AH186" s="262"/>
      <c r="AI186" s="262"/>
      <c r="AJ186" s="120"/>
      <c r="AK186" s="262"/>
      <c r="AL186" s="262"/>
      <c r="AM186" s="120"/>
      <c r="AN186" s="262"/>
      <c r="AO186" s="262"/>
      <c r="AP186" s="120"/>
      <c r="AQ186" s="262"/>
      <c r="AR186" s="262"/>
      <c r="AS186" s="120"/>
      <c r="AT186" s="262"/>
      <c r="AU186" s="262"/>
      <c r="AV186" s="120"/>
      <c r="AW186" s="262"/>
      <c r="AX186" s="262"/>
      <c r="AY186" s="120"/>
      <c r="AZ186" s="262"/>
      <c r="BA186" s="262"/>
      <c r="BB186" s="120"/>
      <c r="BC186" s="134"/>
      <c r="BD186" s="200"/>
      <c r="BE186" s="120"/>
      <c r="BF186" s="134"/>
      <c r="BG186" s="200"/>
      <c r="BH186" s="120"/>
      <c r="BI186" s="252"/>
      <c r="BJ186" s="252"/>
      <c r="BK186" s="120"/>
      <c r="BL186" s="134"/>
      <c r="BM186" s="134"/>
      <c r="BN186" s="120"/>
      <c r="BO186" s="252"/>
      <c r="BP186" s="252"/>
      <c r="BQ186" s="120"/>
      <c r="BR186" s="134"/>
      <c r="BS186" s="134"/>
      <c r="BT186" s="120"/>
      <c r="BU186" s="134"/>
      <c r="BV186" s="200"/>
      <c r="BW186" s="120"/>
      <c r="BX186" s="134"/>
      <c r="BY186" s="200"/>
      <c r="BZ186" s="120"/>
      <c r="CA186" s="126"/>
      <c r="CB186" s="126"/>
      <c r="CC186" s="120"/>
      <c r="CD186" s="126"/>
      <c r="CE186" s="126"/>
      <c r="CF186" s="120"/>
      <c r="CG186" s="134"/>
      <c r="CH186" s="134"/>
      <c r="CI186" s="120"/>
      <c r="CJ186" s="200"/>
      <c r="CK186" s="200"/>
      <c r="CL186" s="120"/>
      <c r="CM186" s="200"/>
      <c r="CN186" s="200"/>
      <c r="CO186" s="120"/>
      <c r="CP186" s="134"/>
      <c r="CQ186" s="134"/>
      <c r="CR186" s="120"/>
      <c r="CS186" s="134"/>
      <c r="CT186" s="134"/>
      <c r="CU186" s="120"/>
      <c r="CV186" s="202"/>
      <c r="CW186" s="202"/>
      <c r="CX186" s="120"/>
      <c r="CY186" s="202"/>
      <c r="CZ186" s="202"/>
      <c r="DA186" s="120"/>
      <c r="DB186" s="202"/>
      <c r="DC186" s="202"/>
      <c r="DD186" s="349"/>
      <c r="DE186" s="202"/>
      <c r="DF186" s="202"/>
      <c r="DG186" s="254"/>
      <c r="DH186" s="203"/>
      <c r="DI186" s="203"/>
      <c r="DJ186" s="259"/>
      <c r="DK186" s="136"/>
      <c r="DL186" s="136"/>
      <c r="DM186" s="120"/>
      <c r="DN186" s="233"/>
      <c r="DO186" s="233"/>
      <c r="DP186" s="120"/>
      <c r="DQ186" s="262"/>
      <c r="DR186" s="262"/>
      <c r="DS186" s="120"/>
      <c r="DT186" s="262"/>
      <c r="DU186" s="262"/>
      <c r="DV186" s="120"/>
      <c r="DW186" s="262"/>
      <c r="DX186" s="262"/>
      <c r="DY186" s="120"/>
      <c r="DZ186" s="262"/>
      <c r="EA186" s="262"/>
      <c r="EB186" s="265"/>
      <c r="EC186" s="262"/>
      <c r="ED186" s="262"/>
      <c r="EE186" s="254"/>
      <c r="EF186" s="233"/>
      <c r="EG186" s="233"/>
      <c r="EH186" s="120"/>
      <c r="EI186" s="262"/>
      <c r="EJ186" s="262"/>
      <c r="EK186" s="120"/>
      <c r="EL186" s="262"/>
      <c r="EM186" s="262"/>
      <c r="EN186" s="120"/>
      <c r="EO186" s="262"/>
      <c r="EP186" s="262"/>
      <c r="EQ186" s="120"/>
      <c r="ER186" s="262"/>
      <c r="ES186" s="262"/>
      <c r="ET186" s="120"/>
      <c r="EU186" s="262"/>
      <c r="EV186" s="262"/>
      <c r="EW186" s="120"/>
      <c r="EX186" s="262"/>
      <c r="EY186" s="262"/>
      <c r="EZ186" s="120"/>
      <c r="FA186" s="262"/>
      <c r="FB186" s="262"/>
      <c r="FC186" s="120"/>
      <c r="FD186" s="262"/>
      <c r="FE186" s="262"/>
      <c r="FF186" s="120"/>
      <c r="FG186" s="262"/>
      <c r="FH186" s="262"/>
      <c r="FI186" s="120"/>
      <c r="FJ186" s="262"/>
      <c r="FK186" s="262"/>
      <c r="FL186" s="120"/>
      <c r="FM186" s="262"/>
      <c r="FN186" s="262"/>
      <c r="FO186" s="120"/>
      <c r="FP186" s="262"/>
      <c r="FQ186" s="262"/>
      <c r="FR186" s="120"/>
      <c r="FS186" s="262"/>
      <c r="FT186" s="262"/>
      <c r="FU186" s="120"/>
      <c r="FV186" s="262"/>
      <c r="FW186" s="262"/>
      <c r="FX186" s="120"/>
      <c r="FY186" s="262"/>
      <c r="FZ186" s="262"/>
      <c r="GA186" s="256"/>
      <c r="GB186" s="233"/>
      <c r="GC186" s="233"/>
      <c r="GD186" s="351">
        <v>40</v>
      </c>
      <c r="GE186" s="351">
        <v>1000</v>
      </c>
      <c r="GF186" s="351" t="s">
        <v>800</v>
      </c>
      <c r="GJ186" s="121">
        <f t="shared" si="60"/>
        <v>280</v>
      </c>
      <c r="GK186" s="121">
        <f t="shared" si="61"/>
        <v>0</v>
      </c>
      <c r="GM186" s="121">
        <f t="shared" si="62"/>
        <v>0</v>
      </c>
      <c r="GN186" s="121">
        <f t="shared" si="63"/>
        <v>0</v>
      </c>
      <c r="GO186" s="121">
        <f t="shared" si="64"/>
        <v>0</v>
      </c>
      <c r="GP186" s="121">
        <f t="shared" si="65"/>
        <v>0</v>
      </c>
      <c r="GQ186" s="121">
        <f t="shared" si="66"/>
        <v>0</v>
      </c>
      <c r="GR186" s="121">
        <f t="shared" si="67"/>
        <v>0</v>
      </c>
    </row>
    <row r="187" spans="2:200" ht="38.25" customHeight="1" thickBot="1" x14ac:dyDescent="0.55000000000000004">
      <c r="B187" s="312" t="s">
        <v>141</v>
      </c>
      <c r="C187" s="142">
        <v>96</v>
      </c>
      <c r="D187" s="142"/>
      <c r="E187" s="142"/>
      <c r="F187" s="142"/>
      <c r="G187" s="142"/>
      <c r="H187" s="142"/>
      <c r="I187" s="142" cm="1">
        <f t="array" ref="I187">SUMPRODUCT(($X$2:$GG$2&lt;&gt;"")*($X187:$GG187&lt;&gt;""))</f>
        <v>1</v>
      </c>
      <c r="J187" s="122">
        <f t="shared" ref="J187" si="69">I187*C187</f>
        <v>96</v>
      </c>
      <c r="K187" s="122">
        <f t="shared" ref="K187" si="70">($L$1/$K$2)*J187</f>
        <v>1344</v>
      </c>
      <c r="L187" s="143">
        <f t="shared" ref="L187" si="71">$L$1</f>
        <v>7000</v>
      </c>
      <c r="M187" s="144">
        <f t="shared" ref="M187" si="72">IFERROR(IF(N(Y187)=0,0,(X187/Y187)*L187*(C187+D187+E187+I187)),0)</f>
        <v>13580</v>
      </c>
      <c r="N187" s="405"/>
      <c r="O187" s="145">
        <f t="shared" ref="O187" si="73">IFERROR(IF(N(AE187)=0,0,(AD187/AE187)*L187*(C187+D187+E187+I187)),0)</f>
        <v>0</v>
      </c>
      <c r="P187" s="145">
        <f t="shared" ref="P187" si="74">(IFERROR(AA187/AB187,0)+IFERROR(AG187/AH187,0)+IFERROR(AJ187/AK187,0)+IFERROR(AM187/AN187,0)+IFERROR(AP187/AQ187,0)+IFERROR(AS187/AT187,0)+IFERROR(AV187/AW187,0)+IFERROR(AY187/AZ187,0)+IFERROR(BB187/BC187,0)+IFERROR(BE187/BF187,0)+IFERROR(BH187/BI187,0)+IFERROR(BK187/BL187,0)+IFERROR(BN187/BO187,0)+IFERROR(BQ187/BR187,0)+IFERROR(BT187/BU187,0)+IFERROR(BW187/BX187,0)+IFERROR(BZ187/CA187,0)+IFERROR(CC187/CD187,0)+IFERROR(CF187/CG187,0)+IFERROR(CI187/CJ187,0)+IFERROR(CL187/CM187,0)+IFERROR(CO187/CP187,0)+IFERROR(CR187/CS187,0)+IFERROR(CU187/CV187,0)+IFERROR(CX187/CY187,0)+IFERROR(DA187/DB187,0)+IFERROR(DM187/DN187,0)+IFERROR(DP187/DQ187,0)+IFERROR(DS187/DT187,0)+IFERROR(DV187/DW187,0)+IFERROR(DY187/DZ187,0)+IFERROR(EH187/EI187,0)+IFERROR(EK187/EL187,0)+IFERROR(EN187/EO187,0)+IFERROR(EQ187/ER187,0)+IFERROR(ET187/EU187,0)+IFERROR(EW187/EX187,0)+IFERROR(EZ187/FA187,0)+IFERROR(FC187/FD187,0)+IFERROR(FF187/FG187,0)+IFERROR(FI187/FJ187,0)+IFERROR(FL187/FM187,0)+IFERROR(FO187/FP187,0)+IFERROR(FR187/FS187,0)+IFERROR(FU187/FV187,0)+IFERROR(FX187/FY187,0))*L187*(C187+D187+E187+I187)</f>
        <v>0</v>
      </c>
      <c r="Q187" s="145">
        <f t="shared" ref="Q187" si="75">IFERROR(IF(N(EC187)=0,0,(EB187/EC187)*L187*(C187+D187+E187+I187)),0)</f>
        <v>0</v>
      </c>
      <c r="R187" s="145">
        <f t="shared" ref="R187" si="76">(IFERROR(DJ187/DK187,0)+IFERROR(DG187/DH187,0)+IFERROR(EE187/EF187,0)+IFERROR(GA187/GB187,0))*L187*(C187+D187+E187+I187)</f>
        <v>0</v>
      </c>
      <c r="S187" s="130">
        <f t="shared" ref="S187" si="77">IFERROR(IF(N(W187)=0,0,(V187/W187)*L187*(C187+D187+E187+I187)),0)</f>
        <v>0</v>
      </c>
      <c r="T187" s="130">
        <f t="shared" ref="T187" si="78">IFERROR(IF(N(DE187)=0,0,(DD187/DE187)*L187*(C187+D187+E187+I187)),0)</f>
        <v>0</v>
      </c>
      <c r="U187" s="131"/>
      <c r="V187" s="136"/>
      <c r="W187" s="136"/>
      <c r="X187" s="347">
        <v>5</v>
      </c>
      <c r="Y187" s="347">
        <v>250</v>
      </c>
      <c r="Z187" s="348" t="s">
        <v>576</v>
      </c>
      <c r="AA187" s="136"/>
      <c r="AB187" s="136"/>
      <c r="AC187" s="200"/>
      <c r="AD187" s="135"/>
      <c r="AE187" s="204"/>
      <c r="AF187" s="200"/>
      <c r="AG187" s="135"/>
      <c r="AH187" s="135"/>
      <c r="AI187" s="135"/>
      <c r="AJ187" s="204"/>
      <c r="AK187" s="204"/>
      <c r="AL187" s="204"/>
      <c r="AM187" s="136"/>
      <c r="AN187" s="136"/>
      <c r="AO187" s="136"/>
      <c r="AP187" s="136"/>
      <c r="AQ187" s="136"/>
      <c r="AR187" s="136"/>
      <c r="AS187" s="136"/>
      <c r="AT187" s="136"/>
      <c r="AU187" s="136"/>
      <c r="AV187" s="136"/>
      <c r="AW187" s="136"/>
      <c r="AX187" s="136"/>
      <c r="AY187" s="136"/>
      <c r="AZ187" s="136"/>
      <c r="BA187" s="136"/>
      <c r="BB187" s="137"/>
      <c r="BC187" s="137"/>
      <c r="BD187" s="200"/>
      <c r="BE187" s="137"/>
      <c r="BF187" s="137"/>
      <c r="BG187" s="200"/>
      <c r="BH187" s="137"/>
      <c r="BI187" s="137"/>
      <c r="BJ187" s="137"/>
      <c r="BK187" s="137"/>
      <c r="BL187" s="137"/>
      <c r="BM187" s="137"/>
      <c r="BN187" s="137"/>
      <c r="BO187" s="137"/>
      <c r="BP187" s="137"/>
      <c r="BQ187" s="137"/>
      <c r="BR187" s="137"/>
      <c r="BS187" s="137"/>
      <c r="BT187" s="137"/>
      <c r="BU187" s="137"/>
      <c r="BV187" s="200"/>
      <c r="BW187" s="137"/>
      <c r="BX187" s="137"/>
      <c r="BY187" s="200"/>
      <c r="BZ187" s="137"/>
      <c r="CA187" s="137"/>
      <c r="CB187" s="137"/>
      <c r="CC187" s="137"/>
      <c r="CD187" s="137"/>
      <c r="CE187" s="137"/>
      <c r="CF187" s="135"/>
      <c r="CG187" s="135"/>
      <c r="CH187" s="135"/>
      <c r="CI187" s="135"/>
      <c r="CJ187" s="135"/>
      <c r="CK187" s="135"/>
      <c r="CL187" s="135"/>
      <c r="CM187" s="135"/>
      <c r="CN187" s="135"/>
      <c r="CO187" s="135"/>
      <c r="CP187" s="135"/>
      <c r="CQ187" s="135"/>
      <c r="CR187" s="129"/>
      <c r="CS187" s="129"/>
      <c r="CT187" s="129"/>
      <c r="CU187" s="129"/>
      <c r="CV187" s="129"/>
      <c r="CW187" s="129"/>
      <c r="CX187" s="129"/>
      <c r="CY187" s="129"/>
      <c r="CZ187" s="129"/>
      <c r="DA187" s="120"/>
      <c r="DB187" s="129"/>
      <c r="DC187" s="129"/>
      <c r="DD187" s="129"/>
      <c r="DE187" s="129"/>
      <c r="DF187" s="129"/>
      <c r="DG187" s="129"/>
      <c r="DH187" s="129"/>
      <c r="DI187" s="129"/>
      <c r="DJ187" s="129"/>
      <c r="DK187" s="129"/>
      <c r="DL187" s="129"/>
      <c r="DM187" s="233"/>
      <c r="DN187" s="233"/>
      <c r="DO187" s="233"/>
      <c r="DP187" s="260"/>
      <c r="DQ187" s="233"/>
      <c r="DR187" s="233"/>
      <c r="DS187" s="233"/>
      <c r="DT187" s="233"/>
      <c r="DU187" s="233"/>
      <c r="DV187" s="233"/>
      <c r="DW187" s="233"/>
      <c r="DX187" s="233"/>
      <c r="DY187" s="233"/>
      <c r="DZ187" s="233"/>
      <c r="EA187" s="233"/>
      <c r="EB187" s="233"/>
      <c r="EC187" s="233"/>
      <c r="ED187" s="233"/>
      <c r="EE187" s="257"/>
      <c r="EF187" s="233"/>
      <c r="EG187" s="233"/>
      <c r="EH187" s="120"/>
      <c r="EI187" s="262"/>
      <c r="EJ187" s="262"/>
      <c r="EK187" s="120"/>
      <c r="EL187" s="262"/>
      <c r="EM187" s="262"/>
      <c r="EN187" s="120"/>
      <c r="EO187" s="262"/>
      <c r="EP187" s="262"/>
      <c r="EQ187" s="120"/>
      <c r="ER187" s="262"/>
      <c r="ES187" s="262"/>
      <c r="ET187" s="120"/>
      <c r="EU187" s="262"/>
      <c r="EV187" s="262"/>
      <c r="EW187" s="120"/>
      <c r="EX187" s="262"/>
      <c r="EY187" s="262"/>
      <c r="EZ187" s="120"/>
      <c r="FA187" s="262"/>
      <c r="FB187" s="262"/>
      <c r="FC187" s="120"/>
      <c r="FD187" s="262"/>
      <c r="FE187" s="262"/>
      <c r="FF187" s="120"/>
      <c r="FG187" s="262"/>
      <c r="FH187" s="262"/>
      <c r="FI187" s="120"/>
      <c r="FJ187" s="262"/>
      <c r="FK187" s="262"/>
      <c r="FL187" s="120"/>
      <c r="FM187" s="262"/>
      <c r="FN187" s="262"/>
      <c r="FO187" s="120"/>
      <c r="FP187" s="262"/>
      <c r="FQ187" s="262"/>
      <c r="FR187" s="120"/>
      <c r="FS187" s="262"/>
      <c r="FT187" s="262"/>
      <c r="FU187" s="120"/>
      <c r="FV187" s="262"/>
      <c r="FW187" s="262"/>
      <c r="FX187" s="120"/>
      <c r="FY187" s="262"/>
      <c r="FZ187" s="262"/>
      <c r="GA187" s="256"/>
      <c r="GB187" s="233"/>
      <c r="GC187" s="233"/>
      <c r="GJ187" s="121">
        <f t="shared" ref="GJ187" si="79">(GD187/4000)*L187*(C187+D187+E187+I187)</f>
        <v>0</v>
      </c>
      <c r="GK187" s="121">
        <f t="shared" ref="GK187" si="80">(GG187/4000)*L187*(C187+D187+E187+I187)</f>
        <v>0</v>
      </c>
    </row>
    <row r="188" spans="2:200" s="152" customFormat="1" ht="37.9" customHeight="1" thickTop="1" thickBot="1" x14ac:dyDescent="0.45">
      <c r="B188" s="313" t="s">
        <v>155</v>
      </c>
      <c r="C188" s="196">
        <f t="shared" ref="C188:J188" si="81">SUM(C31:C187)</f>
        <v>355</v>
      </c>
      <c r="D188" s="196">
        <f t="shared" si="81"/>
        <v>291</v>
      </c>
      <c r="E188" s="196">
        <f t="shared" si="81"/>
        <v>308</v>
      </c>
      <c r="F188" s="196"/>
      <c r="G188" s="196"/>
      <c r="H188" s="196"/>
      <c r="I188" s="196">
        <f t="shared" si="81"/>
        <v>369</v>
      </c>
      <c r="J188" s="196">
        <f t="shared" si="81"/>
        <v>1206</v>
      </c>
      <c r="K188" s="196">
        <f>SUM(K3:K187)</f>
        <v>16884</v>
      </c>
      <c r="L188" s="146">
        <f>L1*(C188+D188+E188)</f>
        <v>6678000</v>
      </c>
      <c r="M188" s="147">
        <f t="shared" ref="M188:S188" si="82">SUM(M31:M187)</f>
        <v>1908272.8</v>
      </c>
      <c r="N188" s="407"/>
      <c r="O188" s="148">
        <f t="shared" si="82"/>
        <v>791950.71666666667</v>
      </c>
      <c r="P188" s="148">
        <f t="shared" si="82"/>
        <v>804031.54999999993</v>
      </c>
      <c r="Q188" s="148">
        <f t="shared" si="82"/>
        <v>1192.8</v>
      </c>
      <c r="R188" s="148">
        <f t="shared" si="82"/>
        <v>631.75</v>
      </c>
      <c r="S188" s="149">
        <f t="shared" si="82"/>
        <v>259450.91666666669</v>
      </c>
      <c r="T188" s="192">
        <f>SUM(T31:T187)</f>
        <v>39844</v>
      </c>
      <c r="U188" s="150"/>
      <c r="V188" s="151"/>
      <c r="W188" s="151"/>
      <c r="CX188" s="491" t="s">
        <v>142</v>
      </c>
      <c r="CY188" s="491"/>
      <c r="CZ188" s="491"/>
      <c r="DA188" s="491"/>
      <c r="DB188" s="491"/>
      <c r="DC188" s="491"/>
      <c r="DD188" s="491"/>
      <c r="DE188" s="491"/>
      <c r="DF188" s="491"/>
      <c r="DG188" s="491"/>
      <c r="DH188" s="491"/>
      <c r="DI188" s="491"/>
      <c r="DJ188" s="491"/>
      <c r="DK188" s="245"/>
      <c r="DL188" s="245"/>
      <c r="DP188" s="261"/>
      <c r="GJ188" s="152">
        <f>SUM(GJ31:GJ187)</f>
        <v>22960</v>
      </c>
      <c r="GK188" s="152">
        <f>SUM(GK31:GK187)</f>
        <v>9450</v>
      </c>
    </row>
    <row r="189" spans="2:200" s="152" customFormat="1" ht="37.9" customHeight="1" thickTop="1" x14ac:dyDescent="0.45">
      <c r="B189" s="314" t="s">
        <v>143</v>
      </c>
      <c r="C189" s="153"/>
      <c r="D189" s="153"/>
      <c r="E189" s="153"/>
      <c r="F189" s="153"/>
      <c r="G189" s="153"/>
      <c r="H189" s="153"/>
      <c r="I189" s="153"/>
      <c r="J189" s="153"/>
      <c r="K189" s="153"/>
      <c r="L189" s="192"/>
      <c r="M189" s="193">
        <f>M188/$L$188</f>
        <v>0.28575513626834381</v>
      </c>
      <c r="N189" s="408"/>
      <c r="O189" s="194">
        <f>O188/$L$188</f>
        <v>0.11859100279524808</v>
      </c>
      <c r="P189" s="194">
        <f t="shared" ref="P189:S189" si="83">P188/$L$188</f>
        <v>0.12040005241090146</v>
      </c>
      <c r="Q189" s="194">
        <f t="shared" si="83"/>
        <v>1.7861635220125786E-4</v>
      </c>
      <c r="R189" s="194">
        <f t="shared" si="83"/>
        <v>9.4601677148846962E-5</v>
      </c>
      <c r="S189" s="195">
        <f t="shared" si="83"/>
        <v>3.8851589797344516E-2</v>
      </c>
      <c r="T189" s="251">
        <f>T188/$L$188</f>
        <v>5.9664570230607969E-3</v>
      </c>
      <c r="U189" s="154"/>
      <c r="V189" s="155"/>
      <c r="W189" s="155"/>
      <c r="X189" s="156"/>
      <c r="Y189" s="156"/>
      <c r="AA189" s="156"/>
      <c r="AB189" s="156"/>
      <c r="AD189" s="156"/>
      <c r="AE189" s="156"/>
      <c r="AG189" s="156"/>
      <c r="AH189" s="156"/>
      <c r="AI189" s="156"/>
      <c r="AJ189" s="156"/>
      <c r="AK189" s="156"/>
      <c r="AL189" s="156"/>
      <c r="AM189" s="156"/>
      <c r="AN189" s="156"/>
      <c r="AO189" s="156"/>
      <c r="AP189" s="156"/>
      <c r="AQ189" s="156"/>
      <c r="AR189" s="156"/>
      <c r="AS189" s="156"/>
      <c r="AT189" s="156"/>
      <c r="AU189" s="156"/>
      <c r="AV189" s="156"/>
      <c r="AW189" s="156"/>
      <c r="AX189" s="156"/>
      <c r="AY189" s="156"/>
      <c r="AZ189" s="156"/>
      <c r="BA189" s="156"/>
      <c r="BB189" s="156"/>
      <c r="BC189" s="156"/>
      <c r="BE189" s="156"/>
      <c r="BF189" s="156"/>
      <c r="BH189" s="156"/>
      <c r="BI189" s="156"/>
      <c r="BJ189" s="156"/>
      <c r="BK189" s="156"/>
      <c r="BL189" s="156"/>
      <c r="BM189" s="156"/>
      <c r="BN189" s="156"/>
      <c r="BO189" s="156"/>
      <c r="BP189" s="156"/>
      <c r="BQ189" s="156"/>
      <c r="BR189" s="156"/>
      <c r="BS189" s="156"/>
      <c r="BT189" s="156"/>
      <c r="BU189" s="156"/>
      <c r="BW189" s="156"/>
      <c r="BX189" s="156"/>
      <c r="BZ189" s="156"/>
      <c r="CA189" s="156"/>
      <c r="CB189" s="156"/>
      <c r="CC189" s="156"/>
      <c r="CD189" s="156"/>
      <c r="CE189" s="156"/>
      <c r="CF189" s="156"/>
      <c r="CG189" s="156"/>
      <c r="CH189" s="156"/>
      <c r="CI189" s="156"/>
      <c r="CJ189" s="156"/>
      <c r="CK189" s="156"/>
      <c r="CL189" s="156"/>
      <c r="CM189" s="156"/>
      <c r="CN189" s="156"/>
      <c r="CO189" s="156"/>
      <c r="CP189" s="156"/>
      <c r="CQ189" s="156"/>
      <c r="CR189" s="156"/>
      <c r="CS189" s="156"/>
      <c r="CT189" s="156"/>
      <c r="CU189" s="156"/>
      <c r="CV189" s="156"/>
      <c r="CW189" s="156"/>
      <c r="DP189" s="261"/>
      <c r="GJ189" s="150">
        <f>GJ188/$L$188</f>
        <v>3.4381551362683439E-3</v>
      </c>
      <c r="GK189" s="150">
        <f>GK188/$L$188</f>
        <v>1.4150943396226414E-3</v>
      </c>
    </row>
    <row r="190" spans="2:200" ht="38.5" customHeight="1" x14ac:dyDescent="0.45">
      <c r="B190" s="315"/>
      <c r="C190" s="157"/>
      <c r="D190" s="157"/>
      <c r="E190" s="157"/>
      <c r="F190" s="157"/>
      <c r="G190" s="157"/>
      <c r="H190" s="157"/>
      <c r="I190" s="157"/>
      <c r="J190" s="157"/>
      <c r="K190" s="157"/>
      <c r="L190" s="158"/>
      <c r="M190" s="158"/>
      <c r="N190" s="158"/>
      <c r="O190" s="158"/>
      <c r="P190" s="158"/>
      <c r="Q190" s="158"/>
      <c r="R190" s="158"/>
      <c r="S190" s="158"/>
      <c r="T190" s="158"/>
      <c r="U190" s="159" t="s">
        <v>94</v>
      </c>
      <c r="V190" s="160"/>
      <c r="W190" s="160"/>
      <c r="X190" s="248" t="s">
        <v>371</v>
      </c>
      <c r="Y190" s="235"/>
      <c r="AA190" s="160"/>
      <c r="AB190" s="160"/>
      <c r="AD190" s="161" t="s">
        <v>144</v>
      </c>
      <c r="AE190" s="156"/>
      <c r="AG190" s="156"/>
      <c r="AH190" s="156"/>
      <c r="AI190" s="156"/>
      <c r="AJ190" s="119" t="s">
        <v>73</v>
      </c>
      <c r="AK190" s="163"/>
      <c r="AL190" s="163"/>
      <c r="AM190" s="160"/>
      <c r="AN190" s="160"/>
      <c r="AO190" s="160"/>
      <c r="AP190" s="162" t="s">
        <v>145</v>
      </c>
      <c r="AQ190" s="163"/>
      <c r="AR190" s="163"/>
      <c r="AS190" s="163"/>
      <c r="AT190" s="163"/>
      <c r="AU190" s="163"/>
      <c r="AV190" s="164"/>
      <c r="AW190" s="164"/>
      <c r="AX190" s="164"/>
      <c r="AY190" s="165">
        <v>60</v>
      </c>
      <c r="AZ190" s="178"/>
      <c r="BA190" s="178"/>
      <c r="BB190" s="156"/>
      <c r="BC190" s="156"/>
      <c r="BE190" s="166" t="s">
        <v>18</v>
      </c>
      <c r="BF190" s="236"/>
      <c r="BH190" s="156"/>
      <c r="BI190" s="156"/>
      <c r="BJ190" s="156"/>
      <c r="BK190" s="167" t="s">
        <v>17</v>
      </c>
      <c r="BL190" s="237"/>
      <c r="BM190" s="237"/>
      <c r="BN190" s="156"/>
      <c r="BO190" s="156"/>
      <c r="BP190" s="156"/>
      <c r="BQ190" s="166" t="s">
        <v>18</v>
      </c>
      <c r="BR190" s="236"/>
      <c r="BS190" s="236"/>
      <c r="BT190" s="156"/>
      <c r="BU190" s="156"/>
      <c r="BW190" s="168" t="s">
        <v>528</v>
      </c>
      <c r="BX190" s="238"/>
      <c r="BZ190" s="169"/>
      <c r="CA190" s="169"/>
      <c r="CB190" s="169"/>
      <c r="CC190" s="170" t="s">
        <v>96</v>
      </c>
      <c r="CD190" s="239"/>
      <c r="CE190" s="239"/>
      <c r="CF190" s="156"/>
      <c r="CG190" s="156"/>
      <c r="CH190" s="156"/>
      <c r="CI190" s="171" t="s">
        <v>95</v>
      </c>
      <c r="CJ190" s="240"/>
      <c r="CK190" s="240"/>
      <c r="CL190" s="156"/>
      <c r="CM190" s="156"/>
      <c r="CN190" s="156"/>
      <c r="CO190" s="172" t="s">
        <v>147</v>
      </c>
      <c r="CP190" s="242"/>
      <c r="CQ190" s="242"/>
      <c r="CR190" s="156"/>
      <c r="CS190" s="156"/>
      <c r="CT190" s="156"/>
      <c r="CU190" s="156"/>
      <c r="DA190" s="119" t="s">
        <v>368</v>
      </c>
      <c r="DG190" s="246" t="s">
        <v>369</v>
      </c>
      <c r="DM190" s="247"/>
    </row>
    <row r="191" spans="2:200" ht="38.5" customHeight="1" x14ac:dyDescent="0.45">
      <c r="B191" s="316"/>
      <c r="C191" s="157"/>
      <c r="D191" s="157"/>
      <c r="E191" s="157"/>
      <c r="F191" s="157"/>
      <c r="G191" s="157"/>
      <c r="H191" s="157"/>
      <c r="I191" s="157"/>
      <c r="J191" s="157"/>
      <c r="K191" s="157"/>
      <c r="L191" s="158"/>
      <c r="M191" s="158"/>
      <c r="N191" s="158"/>
      <c r="O191" s="158"/>
      <c r="P191" s="158"/>
      <c r="Q191" s="158"/>
      <c r="R191" s="158"/>
      <c r="S191" s="158"/>
      <c r="T191" s="158"/>
      <c r="U191" s="173" t="s">
        <v>148</v>
      </c>
      <c r="V191" s="174"/>
      <c r="W191" s="174"/>
      <c r="X191" s="175"/>
      <c r="Y191" s="175"/>
      <c r="AA191" s="201"/>
      <c r="AB191" s="201"/>
      <c r="AD191" s="176" t="s">
        <v>56</v>
      </c>
      <c r="AJ191" s="175"/>
      <c r="AK191" s="175"/>
      <c r="AL191" s="175"/>
      <c r="AM191" s="174"/>
      <c r="AN191" s="174"/>
      <c r="AO191" s="174"/>
      <c r="AP191" s="177" t="s">
        <v>20</v>
      </c>
      <c r="AQ191" s="178"/>
      <c r="AR191" s="178"/>
      <c r="AS191" s="178"/>
      <c r="AT191" s="178"/>
      <c r="AU191" s="178"/>
      <c r="AV191" s="164"/>
      <c r="AW191" s="164"/>
      <c r="AX191" s="164"/>
      <c r="AY191" s="164"/>
      <c r="AZ191" s="164"/>
      <c r="BA191" s="164"/>
      <c r="BE191" s="179"/>
      <c r="BF191" s="179"/>
      <c r="BK191" s="175"/>
      <c r="BL191" s="175"/>
      <c r="BM191" s="175"/>
      <c r="BQ191" s="179"/>
      <c r="BR191" s="179"/>
      <c r="BS191" s="179"/>
      <c r="BW191" s="180"/>
      <c r="BX191" s="180"/>
      <c r="BZ191" s="181"/>
      <c r="CA191" s="181"/>
      <c r="CB191" s="181"/>
      <c r="CC191" s="182"/>
      <c r="CD191" s="182"/>
      <c r="CE191" s="182"/>
      <c r="CI191" s="183" t="s">
        <v>149</v>
      </c>
      <c r="CJ191" s="241"/>
      <c r="CK191" s="241"/>
      <c r="CO191" s="184" t="s">
        <v>150</v>
      </c>
      <c r="CP191" s="243"/>
      <c r="CQ191" s="243"/>
    </row>
    <row r="192" spans="2:200" ht="38.5" customHeight="1" x14ac:dyDescent="0.4">
      <c r="B192" s="317"/>
      <c r="C192" s="185"/>
      <c r="D192" s="185"/>
      <c r="E192" s="185"/>
      <c r="F192" s="185"/>
      <c r="G192" s="185"/>
      <c r="H192" s="185"/>
      <c r="I192" s="185"/>
      <c r="J192" s="185"/>
      <c r="K192" s="185"/>
      <c r="L192" s="186"/>
      <c r="M192" s="187"/>
      <c r="N192" s="187"/>
      <c r="O192" s="187"/>
      <c r="P192" s="187"/>
      <c r="Q192" s="187"/>
      <c r="R192" s="187"/>
      <c r="S192" s="187"/>
      <c r="T192" s="187"/>
      <c r="AP192" s="189" t="s">
        <v>151</v>
      </c>
      <c r="AQ192" s="178"/>
      <c r="AR192" s="178"/>
      <c r="AS192" s="178"/>
      <c r="AT192" s="178"/>
      <c r="AU192" s="178"/>
      <c r="CI192" s="183" t="s">
        <v>152</v>
      </c>
      <c r="CJ192" s="241"/>
      <c r="CK192" s="241"/>
      <c r="CO192" s="138" t="s">
        <v>153</v>
      </c>
      <c r="CP192" s="244"/>
      <c r="CQ192" s="244"/>
    </row>
    <row r="196" spans="16:18" x14ac:dyDescent="0.4">
      <c r="P196" s="492"/>
      <c r="Q196" s="492"/>
    </row>
    <row r="197" spans="16:18" x14ac:dyDescent="0.4">
      <c r="P197" s="493"/>
      <c r="Q197" s="493"/>
      <c r="R197" s="190"/>
    </row>
  </sheetData>
  <autoFilter ref="A2:FP192" xr:uid="{DEA66B68-3C60-40C3-9A77-47A4BC7D820B}">
    <sortState xmlns:xlrd2="http://schemas.microsoft.com/office/spreadsheetml/2017/richdata2" ref="A3:FP214">
      <sortCondition ref="B2"/>
    </sortState>
  </autoFilter>
  <mergeCells count="5">
    <mergeCell ref="CX188:DJ188"/>
    <mergeCell ref="P196:Q196"/>
    <mergeCell ref="P197:Q197"/>
    <mergeCell ref="C1:E1"/>
    <mergeCell ref="F1:H1"/>
  </mergeCells>
  <phoneticPr fontId="46" type="noConversion"/>
  <conditionalFormatting sqref="M192:T192">
    <cfRule type="cellIs" dxfId="6" priority="1" operator="lessThan">
      <formula>0</formula>
    </cfRule>
  </conditionalFormatting>
  <hyperlinks>
    <hyperlink ref="O2" r:id="rId1" display="NEXVG#@" xr:uid="{17D89597-EB0C-4399-9B93-C0DF8855A7E2}"/>
  </hyperlinks>
  <printOptions horizontalCentered="1" verticalCentered="1"/>
  <pageMargins left="0" right="0.25" top="0" bottom="0" header="0" footer="0"/>
  <pageSetup paperSize="8" scale="35" orientation="landscape" horizontalDpi="300" verticalDpi="300" r:id="rId2"/>
  <headerFooter alignWithMargins="0"/>
  <colBreaks count="1" manualBreakCount="1">
    <brk id="125" max="191" man="1"/>
  </colBreak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0A8CA-6379-48BC-BA31-D29525DDBAE8}">
  <dimension ref="A1:D84"/>
  <sheetViews>
    <sheetView workbookViewId="0">
      <selection activeCell="C55" sqref="C55"/>
    </sheetView>
  </sheetViews>
  <sheetFormatPr defaultRowHeight="12.5" x14ac:dyDescent="0.25"/>
  <cols>
    <col min="1" max="1" width="8.1796875" customWidth="1"/>
    <col min="2" max="2" width="54.54296875" customWidth="1"/>
    <col min="3" max="3" width="41.1796875" customWidth="1"/>
    <col min="4" max="4" width="79.7265625" customWidth="1"/>
  </cols>
  <sheetData>
    <row r="1" spans="1:4" ht="20" x14ac:dyDescent="0.4">
      <c r="A1" s="289" t="s">
        <v>636</v>
      </c>
    </row>
    <row r="2" spans="1:4" ht="13" x14ac:dyDescent="0.3">
      <c r="A2" s="290" t="s">
        <v>637</v>
      </c>
    </row>
    <row r="4" spans="1:4" ht="15.5" x14ac:dyDescent="0.35">
      <c r="A4" s="291" t="s">
        <v>638</v>
      </c>
      <c r="B4" s="292"/>
      <c r="C4" s="292"/>
      <c r="D4" s="292"/>
    </row>
    <row r="5" spans="1:4" ht="13" x14ac:dyDescent="0.3">
      <c r="A5" s="296" t="s">
        <v>639</v>
      </c>
      <c r="B5" s="296" t="s">
        <v>640</v>
      </c>
      <c r="C5" s="296" t="s">
        <v>641</v>
      </c>
      <c r="D5" s="296" t="s">
        <v>642</v>
      </c>
    </row>
    <row r="6" spans="1:4" x14ac:dyDescent="0.25">
      <c r="A6" s="297" t="s">
        <v>643</v>
      </c>
      <c r="B6" s="297" t="s">
        <v>94</v>
      </c>
      <c r="C6" s="297" t="s">
        <v>644</v>
      </c>
      <c r="D6" s="297" t="s">
        <v>645</v>
      </c>
    </row>
    <row r="7" spans="1:4" x14ac:dyDescent="0.25">
      <c r="A7" s="297" t="s">
        <v>213</v>
      </c>
      <c r="B7" s="297" t="s">
        <v>371</v>
      </c>
      <c r="C7" s="297" t="s">
        <v>646</v>
      </c>
      <c r="D7" s="297" t="s">
        <v>647</v>
      </c>
    </row>
    <row r="8" spans="1:4" x14ac:dyDescent="0.25">
      <c r="A8" s="297" t="s">
        <v>648</v>
      </c>
      <c r="B8" s="297" t="s">
        <v>529</v>
      </c>
      <c r="C8" s="297" t="s">
        <v>649</v>
      </c>
      <c r="D8" s="297" t="s">
        <v>650</v>
      </c>
    </row>
    <row r="9" spans="1:4" x14ac:dyDescent="0.25">
      <c r="A9" s="297" t="s">
        <v>651</v>
      </c>
      <c r="B9" s="297" t="s">
        <v>368</v>
      </c>
      <c r="C9" s="297" t="s">
        <v>652</v>
      </c>
      <c r="D9" s="297" t="s">
        <v>653</v>
      </c>
    </row>
    <row r="10" spans="1:4" x14ac:dyDescent="0.25">
      <c r="A10" s="297" t="s">
        <v>654</v>
      </c>
      <c r="B10" s="297" t="s">
        <v>369</v>
      </c>
      <c r="C10" s="297" t="s">
        <v>19</v>
      </c>
      <c r="D10" s="297" t="s">
        <v>655</v>
      </c>
    </row>
    <row r="11" spans="1:4" x14ac:dyDescent="0.25">
      <c r="A11" s="297" t="s">
        <v>656</v>
      </c>
      <c r="B11" s="297" t="s">
        <v>96</v>
      </c>
      <c r="C11" s="297" t="s">
        <v>123</v>
      </c>
      <c r="D11" s="297" t="s">
        <v>657</v>
      </c>
    </row>
    <row r="12" spans="1:4" x14ac:dyDescent="0.25">
      <c r="A12" s="297" t="s">
        <v>658</v>
      </c>
      <c r="B12" s="297" t="s">
        <v>528</v>
      </c>
      <c r="C12" s="297" t="s">
        <v>659</v>
      </c>
      <c r="D12" s="297" t="s">
        <v>660</v>
      </c>
    </row>
    <row r="13" spans="1:4" x14ac:dyDescent="0.25">
      <c r="A13" s="297" t="s">
        <v>661</v>
      </c>
      <c r="B13" s="298" t="s">
        <v>662</v>
      </c>
      <c r="C13" s="298" t="s">
        <v>663</v>
      </c>
      <c r="D13" s="298" t="s">
        <v>664</v>
      </c>
    </row>
    <row r="14" spans="1:4" x14ac:dyDescent="0.25">
      <c r="A14" s="320" t="s">
        <v>788</v>
      </c>
      <c r="B14" s="321" t="s">
        <v>789</v>
      </c>
      <c r="C14" s="320" t="s">
        <v>790</v>
      </c>
      <c r="D14" s="321" t="s">
        <v>791</v>
      </c>
    </row>
    <row r="15" spans="1:4" x14ac:dyDescent="0.25">
      <c r="A15" s="321" t="s">
        <v>792</v>
      </c>
      <c r="B15" s="322" t="s">
        <v>793</v>
      </c>
      <c r="C15" s="320" t="s">
        <v>794</v>
      </c>
      <c r="D15" s="322" t="s">
        <v>795</v>
      </c>
    </row>
    <row r="16" spans="1:4" ht="15.5" x14ac:dyDescent="0.35">
      <c r="A16" s="291" t="s">
        <v>665</v>
      </c>
      <c r="B16" s="292"/>
      <c r="C16" s="292"/>
      <c r="D16" s="292"/>
    </row>
    <row r="17" spans="1:4" ht="13" x14ac:dyDescent="0.3">
      <c r="A17" s="296" t="s">
        <v>666</v>
      </c>
      <c r="B17" s="296" t="s">
        <v>667</v>
      </c>
      <c r="C17" s="296" t="s">
        <v>639</v>
      </c>
      <c r="D17" s="296" t="s">
        <v>668</v>
      </c>
    </row>
    <row r="18" spans="1:4" ht="13" x14ac:dyDescent="0.3">
      <c r="A18" s="297">
        <v>1</v>
      </c>
      <c r="B18" s="299" t="s">
        <v>669</v>
      </c>
      <c r="C18" s="297" t="s">
        <v>670</v>
      </c>
      <c r="D18" s="297" t="s">
        <v>643</v>
      </c>
    </row>
    <row r="19" spans="1:4" ht="13" x14ac:dyDescent="0.3">
      <c r="A19" s="297">
        <v>2</v>
      </c>
      <c r="B19" s="299" t="s">
        <v>671</v>
      </c>
      <c r="C19" s="297" t="s">
        <v>672</v>
      </c>
      <c r="D19" s="297" t="s">
        <v>648</v>
      </c>
    </row>
    <row r="20" spans="1:4" ht="13" x14ac:dyDescent="0.3">
      <c r="A20" s="297">
        <v>3</v>
      </c>
      <c r="B20" s="299" t="s">
        <v>673</v>
      </c>
      <c r="C20" s="297" t="s">
        <v>674</v>
      </c>
      <c r="D20" s="297" t="s">
        <v>213</v>
      </c>
    </row>
    <row r="21" spans="1:4" ht="13" x14ac:dyDescent="0.3">
      <c r="A21" s="297" t="s">
        <v>4</v>
      </c>
      <c r="B21" s="299" t="s">
        <v>675</v>
      </c>
      <c r="C21" s="297" t="s">
        <v>23</v>
      </c>
      <c r="D21" s="297" t="s">
        <v>648</v>
      </c>
    </row>
    <row r="22" spans="1:4" ht="13" x14ac:dyDescent="0.3">
      <c r="A22" s="297">
        <v>4</v>
      </c>
      <c r="B22" s="299" t="s">
        <v>676</v>
      </c>
      <c r="C22" s="297" t="s">
        <v>677</v>
      </c>
      <c r="D22" s="297" t="s">
        <v>648</v>
      </c>
    </row>
    <row r="23" spans="1:4" ht="13" x14ac:dyDescent="0.3">
      <c r="A23" s="297" t="s">
        <v>5</v>
      </c>
      <c r="B23" s="299" t="s">
        <v>678</v>
      </c>
      <c r="C23" s="297" t="s">
        <v>679</v>
      </c>
      <c r="D23" s="297" t="s">
        <v>648</v>
      </c>
    </row>
    <row r="24" spans="1:4" ht="13" x14ac:dyDescent="0.3">
      <c r="A24" s="297" t="s">
        <v>6</v>
      </c>
      <c r="B24" s="299" t="s">
        <v>680</v>
      </c>
      <c r="C24" s="297" t="s">
        <v>681</v>
      </c>
      <c r="D24" s="297" t="s">
        <v>648</v>
      </c>
    </row>
    <row r="25" spans="1:4" ht="13" x14ac:dyDescent="0.3">
      <c r="A25" s="297" t="s">
        <v>7</v>
      </c>
      <c r="B25" s="299" t="s">
        <v>682</v>
      </c>
      <c r="C25" s="297" t="s">
        <v>683</v>
      </c>
      <c r="D25" s="297" t="s">
        <v>648</v>
      </c>
    </row>
    <row r="26" spans="1:4" ht="13" x14ac:dyDescent="0.3">
      <c r="A26" s="297" t="s">
        <v>8</v>
      </c>
      <c r="B26" s="299" t="s">
        <v>684</v>
      </c>
      <c r="C26" s="297" t="s">
        <v>685</v>
      </c>
      <c r="D26" s="297" t="s">
        <v>648</v>
      </c>
    </row>
    <row r="27" spans="1:4" ht="13" x14ac:dyDescent="0.3">
      <c r="A27" s="297" t="s">
        <v>9</v>
      </c>
      <c r="B27" s="299" t="s">
        <v>686</v>
      </c>
      <c r="C27" s="297" t="s">
        <v>687</v>
      </c>
      <c r="D27" s="297" t="s">
        <v>648</v>
      </c>
    </row>
    <row r="28" spans="1:4" ht="13" x14ac:dyDescent="0.3">
      <c r="A28" s="297" t="s">
        <v>65</v>
      </c>
      <c r="B28" s="299" t="s">
        <v>688</v>
      </c>
      <c r="C28" s="297" t="s">
        <v>689</v>
      </c>
      <c r="D28" s="297" t="s">
        <v>648</v>
      </c>
    </row>
    <row r="29" spans="1:4" ht="13" x14ac:dyDescent="0.3">
      <c r="A29" s="297" t="s">
        <v>66</v>
      </c>
      <c r="B29" s="299" t="s">
        <v>690</v>
      </c>
      <c r="C29" s="297" t="s">
        <v>691</v>
      </c>
      <c r="D29" s="297" t="s">
        <v>648</v>
      </c>
    </row>
    <row r="30" spans="1:4" ht="13" x14ac:dyDescent="0.3">
      <c r="A30" s="297" t="s">
        <v>67</v>
      </c>
      <c r="B30" s="299" t="s">
        <v>692</v>
      </c>
      <c r="C30" s="297" t="s">
        <v>693</v>
      </c>
      <c r="D30" s="297" t="s">
        <v>648</v>
      </c>
    </row>
    <row r="31" spans="1:4" ht="13" x14ac:dyDescent="0.3">
      <c r="A31" s="297" t="s">
        <v>68</v>
      </c>
      <c r="B31" s="299" t="s">
        <v>694</v>
      </c>
      <c r="C31" s="297" t="s">
        <v>695</v>
      </c>
      <c r="D31" s="297" t="s">
        <v>648</v>
      </c>
    </row>
    <row r="32" spans="1:4" ht="13" x14ac:dyDescent="0.3">
      <c r="A32" s="297" t="s">
        <v>69</v>
      </c>
      <c r="B32" s="299" t="s">
        <v>696</v>
      </c>
      <c r="C32" s="297" t="s">
        <v>697</v>
      </c>
      <c r="D32" s="297" t="s">
        <v>648</v>
      </c>
    </row>
    <row r="33" spans="1:4" ht="13" x14ac:dyDescent="0.3">
      <c r="A33" s="297" t="s">
        <v>70</v>
      </c>
      <c r="B33" s="299" t="s">
        <v>698</v>
      </c>
      <c r="C33" s="297" t="s">
        <v>699</v>
      </c>
      <c r="D33" s="297" t="s">
        <v>648</v>
      </c>
    </row>
    <row r="34" spans="1:4" ht="13" x14ac:dyDescent="0.3">
      <c r="A34" s="297" t="s">
        <v>124</v>
      </c>
      <c r="B34" s="299" t="s">
        <v>700</v>
      </c>
      <c r="C34" s="297" t="s">
        <v>701</v>
      </c>
      <c r="D34" s="297" t="s">
        <v>648</v>
      </c>
    </row>
    <row r="35" spans="1:4" ht="13" x14ac:dyDescent="0.3">
      <c r="A35" s="297" t="s">
        <v>125</v>
      </c>
      <c r="B35" s="299" t="s">
        <v>702</v>
      </c>
      <c r="C35" s="297" t="s">
        <v>703</v>
      </c>
      <c r="D35" s="297" t="s">
        <v>648</v>
      </c>
    </row>
    <row r="36" spans="1:4" ht="13" x14ac:dyDescent="0.3">
      <c r="A36" s="297" t="s">
        <v>10</v>
      </c>
      <c r="B36" s="299" t="s">
        <v>704</v>
      </c>
      <c r="C36" s="297" t="s">
        <v>705</v>
      </c>
      <c r="D36" s="297" t="s">
        <v>648</v>
      </c>
    </row>
    <row r="37" spans="1:4" ht="13" x14ac:dyDescent="0.3">
      <c r="A37" s="297" t="s">
        <v>11</v>
      </c>
      <c r="B37" s="299" t="s">
        <v>706</v>
      </c>
      <c r="C37" s="297" t="s">
        <v>707</v>
      </c>
      <c r="D37" s="297" t="s">
        <v>648</v>
      </c>
    </row>
    <row r="38" spans="1:4" ht="13" x14ac:dyDescent="0.3">
      <c r="A38" s="297" t="s">
        <v>631</v>
      </c>
      <c r="B38" s="300" t="s">
        <v>708</v>
      </c>
      <c r="C38" s="297" t="s">
        <v>709</v>
      </c>
      <c r="D38" s="297" t="s">
        <v>648</v>
      </c>
    </row>
    <row r="39" spans="1:4" ht="13" x14ac:dyDescent="0.3">
      <c r="A39" s="297" t="s">
        <v>633</v>
      </c>
      <c r="B39" s="300" t="s">
        <v>710</v>
      </c>
      <c r="C39" s="297" t="s">
        <v>711</v>
      </c>
      <c r="D39" s="297" t="s">
        <v>648</v>
      </c>
    </row>
    <row r="40" spans="1:4" ht="13" x14ac:dyDescent="0.3">
      <c r="A40" s="297" t="s">
        <v>634</v>
      </c>
      <c r="B40" s="300" t="s">
        <v>712</v>
      </c>
      <c r="C40" s="297" t="s">
        <v>153</v>
      </c>
      <c r="D40" s="297" t="s">
        <v>648</v>
      </c>
    </row>
    <row r="41" spans="1:4" ht="13" x14ac:dyDescent="0.3">
      <c r="A41" s="297" t="s">
        <v>635</v>
      </c>
      <c r="B41" s="300" t="s">
        <v>713</v>
      </c>
      <c r="C41" s="297" t="s">
        <v>714</v>
      </c>
      <c r="D41" s="297" t="s">
        <v>654</v>
      </c>
    </row>
    <row r="42" spans="1:4" ht="13" x14ac:dyDescent="0.3">
      <c r="A42" s="297">
        <v>5</v>
      </c>
      <c r="B42" s="300" t="s">
        <v>715</v>
      </c>
      <c r="C42" s="297" t="s">
        <v>716</v>
      </c>
      <c r="D42" s="297" t="s">
        <v>648</v>
      </c>
    </row>
    <row r="43" spans="1:4" ht="13" x14ac:dyDescent="0.3">
      <c r="A43" s="297" t="s">
        <v>12</v>
      </c>
      <c r="B43" s="300" t="s">
        <v>717</v>
      </c>
      <c r="C43" s="297" t="s">
        <v>718</v>
      </c>
      <c r="D43" s="297" t="s">
        <v>648</v>
      </c>
    </row>
    <row r="44" spans="1:4" ht="13" x14ac:dyDescent="0.3">
      <c r="A44" s="297" t="s">
        <v>13</v>
      </c>
      <c r="B44" s="300" t="s">
        <v>719</v>
      </c>
      <c r="C44" s="297" t="s">
        <v>720</v>
      </c>
      <c r="D44" s="297" t="s">
        <v>648</v>
      </c>
    </row>
    <row r="45" spans="1:4" ht="13" x14ac:dyDescent="0.3">
      <c r="A45" s="297">
        <v>6</v>
      </c>
      <c r="B45" s="300" t="s">
        <v>721</v>
      </c>
      <c r="C45" s="297" t="s">
        <v>663</v>
      </c>
      <c r="D45" s="297" t="s">
        <v>648</v>
      </c>
    </row>
    <row r="46" spans="1:4" ht="13" x14ac:dyDescent="0.3">
      <c r="A46" s="297" t="s">
        <v>14</v>
      </c>
      <c r="B46" s="300" t="s">
        <v>722</v>
      </c>
      <c r="C46" s="297" t="s">
        <v>723</v>
      </c>
      <c r="D46" s="297" t="s">
        <v>648</v>
      </c>
    </row>
    <row r="47" spans="1:4" ht="13" x14ac:dyDescent="0.3">
      <c r="A47" s="297" t="s">
        <v>126</v>
      </c>
      <c r="B47" s="300" t="s">
        <v>724</v>
      </c>
      <c r="C47" s="297" t="s">
        <v>725</v>
      </c>
      <c r="D47" s="297" t="s">
        <v>648</v>
      </c>
    </row>
    <row r="48" spans="1:4" ht="13" x14ac:dyDescent="0.3">
      <c r="A48" s="297" t="s">
        <v>15</v>
      </c>
      <c r="B48" s="300" t="s">
        <v>726</v>
      </c>
      <c r="C48" s="297" t="s">
        <v>727</v>
      </c>
      <c r="D48" s="297" t="s">
        <v>648</v>
      </c>
    </row>
    <row r="49" spans="1:4" ht="13" x14ac:dyDescent="0.3">
      <c r="A49" s="297" t="s">
        <v>127</v>
      </c>
      <c r="B49" s="300" t="s">
        <v>728</v>
      </c>
      <c r="C49" s="297" t="s">
        <v>729</v>
      </c>
      <c r="D49" s="297" t="s">
        <v>648</v>
      </c>
    </row>
    <row r="50" spans="1:4" ht="13" x14ac:dyDescent="0.3">
      <c r="A50" s="297" t="s">
        <v>630</v>
      </c>
      <c r="B50" s="300" t="s">
        <v>730</v>
      </c>
      <c r="C50" s="297" t="s">
        <v>731</v>
      </c>
      <c r="D50" s="297" t="s">
        <v>654</v>
      </c>
    </row>
    <row r="51" spans="1:4" ht="13" x14ac:dyDescent="0.3">
      <c r="A51" s="297">
        <v>7</v>
      </c>
      <c r="B51" s="300" t="s">
        <v>732</v>
      </c>
      <c r="C51" s="297" t="s">
        <v>733</v>
      </c>
      <c r="D51" s="297" t="s">
        <v>648</v>
      </c>
    </row>
    <row r="52" spans="1:4" ht="13" x14ac:dyDescent="0.3">
      <c r="A52" s="297" t="s">
        <v>632</v>
      </c>
      <c r="B52" s="300" t="s">
        <v>734</v>
      </c>
      <c r="C52" s="297" t="s">
        <v>735</v>
      </c>
      <c r="D52" s="297" t="s">
        <v>648</v>
      </c>
    </row>
    <row r="53" spans="1:4" ht="13" x14ac:dyDescent="0.3">
      <c r="A53" s="297">
        <v>8</v>
      </c>
      <c r="B53" s="300" t="s">
        <v>146</v>
      </c>
      <c r="C53" s="297" t="s">
        <v>736</v>
      </c>
      <c r="D53" s="297" t="s">
        <v>658</v>
      </c>
    </row>
    <row r="54" spans="1:4" ht="13" x14ac:dyDescent="0.3">
      <c r="A54" s="297">
        <v>9</v>
      </c>
      <c r="B54" s="300" t="s">
        <v>123</v>
      </c>
      <c r="C54" s="297" t="s">
        <v>737</v>
      </c>
      <c r="D54" s="297" t="s">
        <v>656</v>
      </c>
    </row>
    <row r="55" spans="1:4" ht="13" x14ac:dyDescent="0.3">
      <c r="A55" s="297">
        <v>10</v>
      </c>
      <c r="B55" s="301" t="s">
        <v>738</v>
      </c>
      <c r="C55" s="297" t="s">
        <v>739</v>
      </c>
      <c r="D55" s="298" t="s">
        <v>663</v>
      </c>
    </row>
    <row r="56" spans="1:4" ht="13" x14ac:dyDescent="0.3">
      <c r="A56" s="297">
        <v>11</v>
      </c>
      <c r="B56" s="300" t="s">
        <v>740</v>
      </c>
      <c r="C56" s="297" t="s">
        <v>663</v>
      </c>
      <c r="D56" s="297"/>
    </row>
    <row r="57" spans="1:4" ht="13" x14ac:dyDescent="0.3">
      <c r="A57" s="297" t="s">
        <v>613</v>
      </c>
      <c r="B57" s="300" t="s">
        <v>741</v>
      </c>
      <c r="C57" s="297" t="s">
        <v>742</v>
      </c>
      <c r="D57" s="297" t="s">
        <v>648</v>
      </c>
    </row>
    <row r="58" spans="1:4" ht="13" x14ac:dyDescent="0.3">
      <c r="A58" s="297" t="s">
        <v>614</v>
      </c>
      <c r="B58" s="300" t="s">
        <v>743</v>
      </c>
      <c r="C58" s="297" t="s">
        <v>744</v>
      </c>
      <c r="D58" s="297" t="s">
        <v>648</v>
      </c>
    </row>
    <row r="59" spans="1:4" ht="13" x14ac:dyDescent="0.3">
      <c r="A59" s="297" t="s">
        <v>615</v>
      </c>
      <c r="B59" s="300" t="s">
        <v>745</v>
      </c>
      <c r="C59" s="297" t="s">
        <v>746</v>
      </c>
      <c r="D59" s="297" t="s">
        <v>648</v>
      </c>
    </row>
    <row r="60" spans="1:4" ht="13" x14ac:dyDescent="0.3">
      <c r="A60" s="297" t="s">
        <v>616</v>
      </c>
      <c r="B60" s="300" t="s">
        <v>747</v>
      </c>
      <c r="C60" s="297" t="s">
        <v>748</v>
      </c>
      <c r="D60" s="297" t="s">
        <v>651</v>
      </c>
    </row>
    <row r="61" spans="1:4" ht="13" x14ac:dyDescent="0.3">
      <c r="A61" s="297" t="s">
        <v>617</v>
      </c>
      <c r="B61" s="300" t="s">
        <v>749</v>
      </c>
      <c r="C61" s="297" t="s">
        <v>750</v>
      </c>
      <c r="D61" s="297" t="s">
        <v>654</v>
      </c>
    </row>
    <row r="62" spans="1:4" ht="13" x14ac:dyDescent="0.3">
      <c r="A62" s="297">
        <v>12</v>
      </c>
      <c r="B62" s="300" t="s">
        <v>751</v>
      </c>
      <c r="C62" s="297" t="s">
        <v>663</v>
      </c>
      <c r="D62" s="297"/>
    </row>
    <row r="63" spans="1:4" ht="13" x14ac:dyDescent="0.3">
      <c r="A63" s="297" t="s">
        <v>618</v>
      </c>
      <c r="B63" s="300" t="s">
        <v>752</v>
      </c>
      <c r="C63" s="297" t="s">
        <v>753</v>
      </c>
      <c r="D63" s="297" t="s">
        <v>648</v>
      </c>
    </row>
    <row r="64" spans="1:4" ht="13" x14ac:dyDescent="0.3">
      <c r="A64" s="297" t="s">
        <v>619</v>
      </c>
      <c r="B64" s="300" t="s">
        <v>754</v>
      </c>
      <c r="C64" s="297" t="s">
        <v>755</v>
      </c>
      <c r="D64" s="297" t="s">
        <v>648</v>
      </c>
    </row>
    <row r="65" spans="1:4" ht="13" x14ac:dyDescent="0.3">
      <c r="A65" s="297" t="s">
        <v>620</v>
      </c>
      <c r="B65" s="300" t="s">
        <v>756</v>
      </c>
      <c r="C65" s="297" t="s">
        <v>757</v>
      </c>
      <c r="D65" s="297" t="s">
        <v>648</v>
      </c>
    </row>
    <row r="66" spans="1:4" ht="13" x14ac:dyDescent="0.3">
      <c r="A66" s="297" t="s">
        <v>621</v>
      </c>
      <c r="B66" s="300" t="s">
        <v>758</v>
      </c>
      <c r="C66" s="297" t="s">
        <v>759</v>
      </c>
      <c r="D66" s="297" t="s">
        <v>648</v>
      </c>
    </row>
    <row r="67" spans="1:4" ht="13" x14ac:dyDescent="0.3">
      <c r="A67" s="297" t="s">
        <v>622</v>
      </c>
      <c r="B67" s="300" t="s">
        <v>760</v>
      </c>
      <c r="C67" s="297" t="s">
        <v>761</v>
      </c>
      <c r="D67" s="297" t="s">
        <v>648</v>
      </c>
    </row>
    <row r="68" spans="1:4" ht="13" x14ac:dyDescent="0.3">
      <c r="A68" s="297" t="s">
        <v>623</v>
      </c>
      <c r="B68" s="300" t="s">
        <v>762</v>
      </c>
      <c r="C68" s="297" t="s">
        <v>763</v>
      </c>
      <c r="D68" s="297" t="s">
        <v>648</v>
      </c>
    </row>
    <row r="69" spans="1:4" ht="13" x14ac:dyDescent="0.3">
      <c r="A69" s="297" t="s">
        <v>624</v>
      </c>
      <c r="B69" s="300" t="s">
        <v>764</v>
      </c>
      <c r="C69" s="297" t="s">
        <v>765</v>
      </c>
      <c r="D69" s="297" t="s">
        <v>648</v>
      </c>
    </row>
    <row r="70" spans="1:4" ht="13" x14ac:dyDescent="0.3">
      <c r="A70" s="297" t="s">
        <v>625</v>
      </c>
      <c r="B70" s="300" t="s">
        <v>766</v>
      </c>
      <c r="C70" s="297" t="s">
        <v>767</v>
      </c>
      <c r="D70" s="297" t="s">
        <v>648</v>
      </c>
    </row>
    <row r="71" spans="1:4" ht="13" x14ac:dyDescent="0.3">
      <c r="A71" s="297">
        <v>13</v>
      </c>
      <c r="B71" s="300" t="s">
        <v>768</v>
      </c>
      <c r="C71" s="297" t="s">
        <v>769</v>
      </c>
      <c r="D71" s="297" t="s">
        <v>654</v>
      </c>
    </row>
    <row r="72" spans="1:4" ht="13" x14ac:dyDescent="0.3">
      <c r="A72" s="297">
        <v>14</v>
      </c>
      <c r="B72" s="300" t="s">
        <v>770</v>
      </c>
      <c r="C72" s="297" t="s">
        <v>663</v>
      </c>
      <c r="D72" s="297"/>
    </row>
    <row r="73" spans="1:4" ht="13" x14ac:dyDescent="0.3">
      <c r="A73" s="297" t="s">
        <v>626</v>
      </c>
      <c r="B73" s="300" t="s">
        <v>771</v>
      </c>
      <c r="C73" s="297" t="s">
        <v>772</v>
      </c>
      <c r="D73" s="297" t="s">
        <v>648</v>
      </c>
    </row>
    <row r="74" spans="1:4" ht="13" x14ac:dyDescent="0.3">
      <c r="A74" s="297" t="s">
        <v>627</v>
      </c>
      <c r="B74" s="300" t="s">
        <v>773</v>
      </c>
      <c r="C74" s="297" t="s">
        <v>774</v>
      </c>
      <c r="D74" s="297" t="s">
        <v>648</v>
      </c>
    </row>
    <row r="75" spans="1:4" ht="13" x14ac:dyDescent="0.3">
      <c r="A75" s="297" t="s">
        <v>628</v>
      </c>
      <c r="B75" s="300" t="s">
        <v>775</v>
      </c>
      <c r="C75" s="297" t="s">
        <v>776</v>
      </c>
      <c r="D75" s="297" t="s">
        <v>648</v>
      </c>
    </row>
    <row r="76" spans="1:4" ht="13" x14ac:dyDescent="0.3">
      <c r="A76" s="297" t="s">
        <v>631</v>
      </c>
      <c r="B76" s="300" t="s">
        <v>781</v>
      </c>
      <c r="C76" s="297" t="s">
        <v>777</v>
      </c>
      <c r="D76" s="297" t="s">
        <v>648</v>
      </c>
    </row>
    <row r="77" spans="1:4" ht="13" x14ac:dyDescent="0.3">
      <c r="A77" s="297" t="s">
        <v>629</v>
      </c>
      <c r="B77" s="300" t="s">
        <v>778</v>
      </c>
      <c r="C77" s="297" t="s">
        <v>779</v>
      </c>
      <c r="D77" s="297" t="s">
        <v>648</v>
      </c>
    </row>
    <row r="78" spans="1:4" ht="13" x14ac:dyDescent="0.3">
      <c r="A78" s="294">
        <v>15</v>
      </c>
      <c r="B78" s="323" t="s">
        <v>796</v>
      </c>
      <c r="C78" s="320" t="s">
        <v>797</v>
      </c>
      <c r="D78" s="320" t="s">
        <v>788</v>
      </c>
    </row>
    <row r="79" spans="1:4" ht="13" x14ac:dyDescent="0.3">
      <c r="A79" s="294">
        <v>16</v>
      </c>
      <c r="B79" s="294" t="s">
        <v>798</v>
      </c>
      <c r="C79" s="320" t="s">
        <v>799</v>
      </c>
      <c r="D79" s="320" t="s">
        <v>792</v>
      </c>
    </row>
    <row r="80" spans="1:4" ht="13" x14ac:dyDescent="0.3">
      <c r="A80" s="295" t="s">
        <v>780</v>
      </c>
    </row>
    <row r="82" spans="1:2" ht="15.5" x14ac:dyDescent="0.35">
      <c r="A82" s="291" t="s">
        <v>810</v>
      </c>
      <c r="B82" s="292"/>
    </row>
    <row r="83" spans="1:2" ht="13" x14ac:dyDescent="0.3">
      <c r="A83" s="358" t="s">
        <v>813</v>
      </c>
      <c r="B83" t="s">
        <v>811</v>
      </c>
    </row>
    <row r="84" spans="1:2" ht="13" x14ac:dyDescent="0.3">
      <c r="A84" s="359" t="s">
        <v>814</v>
      </c>
      <c r="B84" t="s">
        <v>812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81DB-4CCB-4306-8E12-D67464F06BE2}">
  <sheetPr codeName="Sheet8">
    <pageSetUpPr fitToPage="1"/>
  </sheetPr>
  <dimension ref="A1:N38"/>
  <sheetViews>
    <sheetView view="pageBreakPreview" topLeftCell="A8" zoomScale="32" zoomScaleNormal="71" zoomScaleSheetLayoutView="71" zoomScalePageLayoutView="50" workbookViewId="0">
      <selection activeCell="P21" sqref="P21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523" t="s">
        <v>28</v>
      </c>
      <c r="B4" s="524"/>
      <c r="C4" s="524"/>
      <c r="D4" s="524"/>
      <c r="E4" s="524"/>
      <c r="F4" s="524"/>
      <c r="G4" s="524"/>
      <c r="H4" s="524"/>
      <c r="I4" s="524"/>
      <c r="J4" s="524"/>
      <c r="K4" s="525"/>
    </row>
    <row r="5" spans="1:14" ht="24.75" customHeight="1" x14ac:dyDescent="0.6">
      <c r="A5" s="62"/>
      <c r="B5" s="63"/>
      <c r="C5" s="103" t="s">
        <v>79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86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105" t="s">
        <v>71</v>
      </c>
      <c r="E19" s="57"/>
      <c r="F19" s="36"/>
      <c r="G19" s="36"/>
      <c r="H19" s="15"/>
      <c r="I19" s="15"/>
      <c r="J19" s="113">
        <v>50</v>
      </c>
      <c r="K19" s="48"/>
    </row>
    <row r="20" spans="1:11" s="2" customFormat="1" ht="43.5" customHeight="1" x14ac:dyDescent="0.35">
      <c r="A20" s="515">
        <v>2</v>
      </c>
      <c r="B20" s="516"/>
      <c r="C20" s="96" t="s">
        <v>26</v>
      </c>
      <c r="D20" s="106" t="s">
        <v>73</v>
      </c>
      <c r="E20" s="60"/>
      <c r="F20" s="46"/>
      <c r="G20" s="46"/>
      <c r="H20" s="15"/>
      <c r="I20" s="15"/>
      <c r="J20" s="113">
        <v>125</v>
      </c>
      <c r="K20" s="48"/>
    </row>
    <row r="21" spans="1:11" s="2" customFormat="1" ht="43.5" customHeight="1" x14ac:dyDescent="0.35">
      <c r="A21" s="515">
        <v>3</v>
      </c>
      <c r="B21" s="516"/>
      <c r="C21" s="96" t="s">
        <v>0</v>
      </c>
      <c r="D21" s="107" t="s">
        <v>72</v>
      </c>
      <c r="E21" s="57"/>
      <c r="F21" s="14"/>
      <c r="G21" s="14"/>
      <c r="H21" s="15"/>
      <c r="I21" s="15"/>
      <c r="J21" s="113">
        <v>167</v>
      </c>
      <c r="K21" s="48"/>
    </row>
    <row r="22" spans="1:11" s="2" customFormat="1" ht="43.5" customHeight="1" x14ac:dyDescent="0.35">
      <c r="A22" s="515" t="s">
        <v>5</v>
      </c>
      <c r="B22" s="516"/>
      <c r="C22" s="84" t="s">
        <v>80</v>
      </c>
      <c r="D22" s="106" t="s">
        <v>73</v>
      </c>
      <c r="E22" s="57"/>
      <c r="F22" s="199" t="s">
        <v>183</v>
      </c>
      <c r="G22" s="14"/>
      <c r="H22" s="15"/>
      <c r="I22" s="15"/>
      <c r="J22" s="113">
        <v>26</v>
      </c>
      <c r="K22" s="48"/>
    </row>
    <row r="23" spans="1:11" s="2" customFormat="1" ht="43.5" customHeight="1" x14ac:dyDescent="0.35">
      <c r="A23" s="515" t="s">
        <v>6</v>
      </c>
      <c r="B23" s="516"/>
      <c r="C23" s="84" t="s">
        <v>81</v>
      </c>
      <c r="D23" s="106" t="s">
        <v>73</v>
      </c>
      <c r="E23" s="57"/>
      <c r="F23" s="199" t="s">
        <v>183</v>
      </c>
      <c r="G23" s="36"/>
      <c r="H23" s="15"/>
      <c r="I23" s="15"/>
      <c r="J23" s="113">
        <v>39</v>
      </c>
      <c r="K23" s="48"/>
    </row>
    <row r="24" spans="1:11" s="2" customFormat="1" ht="43.5" customHeight="1" x14ac:dyDescent="0.35">
      <c r="A24" s="515" t="s">
        <v>7</v>
      </c>
      <c r="B24" s="516"/>
      <c r="C24" s="84" t="s">
        <v>82</v>
      </c>
      <c r="D24" s="106" t="s">
        <v>73</v>
      </c>
      <c r="E24" s="57"/>
      <c r="F24" s="199" t="s">
        <v>183</v>
      </c>
      <c r="G24" s="14"/>
      <c r="H24" s="15"/>
      <c r="I24" s="15"/>
      <c r="J24" s="113">
        <v>43</v>
      </c>
      <c r="K24" s="48"/>
    </row>
    <row r="25" spans="1:11" s="2" customFormat="1" ht="43.5" customHeight="1" x14ac:dyDescent="0.35">
      <c r="A25" s="513" t="s">
        <v>65</v>
      </c>
      <c r="B25" s="514"/>
      <c r="C25" s="85" t="s">
        <v>74</v>
      </c>
      <c r="D25" s="106" t="s">
        <v>73</v>
      </c>
      <c r="E25" s="57"/>
      <c r="F25" s="199" t="s">
        <v>183</v>
      </c>
      <c r="G25" s="14"/>
      <c r="H25" s="15"/>
      <c r="I25" s="15"/>
      <c r="J25" s="113">
        <v>7.8</v>
      </c>
      <c r="K25" s="48"/>
    </row>
    <row r="26" spans="1:11" s="2" customFormat="1" ht="43.5" customHeight="1" x14ac:dyDescent="0.35">
      <c r="A26" s="513" t="s">
        <v>66</v>
      </c>
      <c r="B26" s="514"/>
      <c r="C26" s="85" t="s">
        <v>75</v>
      </c>
      <c r="D26" s="106" t="s">
        <v>73</v>
      </c>
      <c r="E26" s="57"/>
      <c r="F26" s="199" t="s">
        <v>183</v>
      </c>
      <c r="G26" s="14"/>
      <c r="H26" s="15"/>
      <c r="I26" s="15"/>
      <c r="J26" s="113">
        <v>7.8</v>
      </c>
      <c r="K26" s="48"/>
    </row>
    <row r="27" spans="1:11" s="2" customFormat="1" ht="43.5" customHeight="1" x14ac:dyDescent="0.35">
      <c r="A27" s="513" t="s">
        <v>67</v>
      </c>
      <c r="B27" s="514"/>
      <c r="C27" s="85" t="s">
        <v>76</v>
      </c>
      <c r="D27" s="106" t="s">
        <v>73</v>
      </c>
      <c r="E27" s="57"/>
      <c r="F27" s="199" t="s">
        <v>183</v>
      </c>
      <c r="G27" s="14"/>
      <c r="H27" s="15"/>
      <c r="I27" s="15"/>
      <c r="J27" s="113">
        <v>6</v>
      </c>
      <c r="K27" s="48"/>
    </row>
    <row r="28" spans="1:11" s="2" customFormat="1" ht="43.5" customHeight="1" x14ac:dyDescent="0.35">
      <c r="A28" s="513" t="s">
        <v>68</v>
      </c>
      <c r="B28" s="514"/>
      <c r="C28" s="85" t="s">
        <v>77</v>
      </c>
      <c r="D28" s="106" t="s">
        <v>73</v>
      </c>
      <c r="E28" s="57"/>
      <c r="F28" s="199" t="s">
        <v>183</v>
      </c>
      <c r="G28" s="14"/>
      <c r="H28" s="15"/>
      <c r="I28" s="15"/>
      <c r="J28" s="113">
        <v>6</v>
      </c>
      <c r="K28" s="48"/>
    </row>
    <row r="29" spans="1:11" s="2" customFormat="1" ht="43.5" customHeight="1" x14ac:dyDescent="0.35">
      <c r="A29" s="513" t="s">
        <v>69</v>
      </c>
      <c r="B29" s="514"/>
      <c r="C29" s="85" t="s">
        <v>83</v>
      </c>
      <c r="D29" s="106" t="s">
        <v>73</v>
      </c>
      <c r="E29" s="57"/>
      <c r="F29" s="199" t="s">
        <v>183</v>
      </c>
      <c r="G29" s="14"/>
      <c r="H29" s="15"/>
      <c r="I29" s="15"/>
      <c r="J29" s="113">
        <v>5.5</v>
      </c>
      <c r="K29" s="48"/>
    </row>
    <row r="30" spans="1:11" s="2" customFormat="1" ht="43.5" customHeight="1" x14ac:dyDescent="0.35">
      <c r="A30" s="513" t="s">
        <v>70</v>
      </c>
      <c r="B30" s="514"/>
      <c r="C30" s="102" t="s">
        <v>84</v>
      </c>
      <c r="D30" s="106" t="s">
        <v>73</v>
      </c>
      <c r="E30" s="61"/>
      <c r="F30" s="199" t="s">
        <v>183</v>
      </c>
      <c r="G30" s="14"/>
      <c r="H30" s="15"/>
      <c r="I30" s="15"/>
      <c r="J30" s="113">
        <v>5.5</v>
      </c>
      <c r="K30" s="48"/>
    </row>
    <row r="31" spans="1:11" s="2" customFormat="1" ht="43.5" customHeight="1" x14ac:dyDescent="0.35">
      <c r="A31" s="515">
        <v>9</v>
      </c>
      <c r="B31" s="516"/>
      <c r="C31" s="86" t="s">
        <v>22</v>
      </c>
      <c r="D31" s="108" t="s">
        <v>78</v>
      </c>
      <c r="E31" s="61"/>
      <c r="F31" s="199" t="s">
        <v>183</v>
      </c>
      <c r="G31" s="14"/>
      <c r="H31" s="15"/>
      <c r="I31" s="15"/>
      <c r="J31" s="113">
        <v>114</v>
      </c>
      <c r="K31" s="48"/>
    </row>
    <row r="32" spans="1:11" ht="13.5" customHeight="1" x14ac:dyDescent="0.6">
      <c r="A32" s="99"/>
      <c r="B32" s="100"/>
      <c r="C32" s="87"/>
      <c r="D32" s="40"/>
      <c r="E32" s="40"/>
      <c r="F32" s="40"/>
      <c r="G32" s="40"/>
      <c r="H32" s="4"/>
      <c r="I32" s="4"/>
      <c r="J32" s="4"/>
      <c r="K32" s="5"/>
    </row>
    <row r="33" spans="1:11" ht="18.75" customHeight="1" x14ac:dyDescent="0.6">
      <c r="A33" s="104" t="s">
        <v>47</v>
      </c>
      <c r="B33" s="101"/>
      <c r="C33" s="90"/>
      <c r="D33" s="505" t="s">
        <v>55</v>
      </c>
      <c r="E33" s="505"/>
      <c r="F33" s="505"/>
      <c r="G33" s="505"/>
      <c r="H33" s="505"/>
      <c r="I33" s="505"/>
      <c r="J33" s="505"/>
      <c r="K33" s="506"/>
    </row>
    <row r="34" spans="1:11" ht="18.75" customHeight="1" x14ac:dyDescent="0.35">
      <c r="A34" s="6"/>
      <c r="B34" s="13"/>
      <c r="C34" s="13"/>
      <c r="D34" s="507"/>
      <c r="E34" s="507"/>
      <c r="F34" s="507"/>
      <c r="G34" s="507"/>
      <c r="H34" s="507"/>
      <c r="I34" s="507"/>
      <c r="J34" s="507"/>
      <c r="K34" s="508"/>
    </row>
    <row r="35" spans="1:11" ht="18.75" customHeight="1" x14ac:dyDescent="0.35">
      <c r="A35" s="68"/>
      <c r="B35" s="69"/>
      <c r="C35" s="69"/>
      <c r="D35" s="70"/>
      <c r="E35" s="70"/>
      <c r="F35" s="70"/>
      <c r="G35" s="70"/>
      <c r="H35" s="69"/>
      <c r="I35" s="69"/>
      <c r="J35" s="71"/>
      <c r="K35" s="72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64</v>
      </c>
    </row>
  </sheetData>
  <sheetProtection sort="0" autoFilter="0"/>
  <dataConsolidate/>
  <mergeCells count="25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A20:B20"/>
    <mergeCell ref="A21:B21"/>
    <mergeCell ref="A22:B22"/>
    <mergeCell ref="A23:B23"/>
    <mergeCell ref="A24:B24"/>
    <mergeCell ref="D33:K34"/>
    <mergeCell ref="A25:B25"/>
    <mergeCell ref="A26:B26"/>
    <mergeCell ref="A27:B27"/>
    <mergeCell ref="A28:B28"/>
    <mergeCell ref="A29:B29"/>
    <mergeCell ref="A31:B31"/>
    <mergeCell ref="A30:B30"/>
  </mergeCells>
  <dataValidations count="1">
    <dataValidation allowBlank="1" showDropDown="1" showInputMessage="1" showErrorMessage="1" sqref="C9" xr:uid="{5161939D-D4E2-4394-BBBF-F9B87117F660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FC4B6-2D72-4583-8D0C-E782A3F019E3}">
  <sheetPr codeName="Sheet9">
    <pageSetUpPr fitToPage="1"/>
  </sheetPr>
  <dimension ref="A1:N38"/>
  <sheetViews>
    <sheetView view="pageBreakPreview" topLeftCell="A16" zoomScale="71" zoomScaleNormal="71" zoomScaleSheetLayoutView="71" zoomScalePageLayoutView="50" workbookViewId="0">
      <selection activeCell="C26" sqref="C26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523" t="s">
        <v>28</v>
      </c>
      <c r="B4" s="524"/>
      <c r="C4" s="524"/>
      <c r="D4" s="524"/>
      <c r="E4" s="524"/>
      <c r="F4" s="524"/>
      <c r="G4" s="524"/>
      <c r="H4" s="524"/>
      <c r="I4" s="524"/>
      <c r="J4" s="524"/>
      <c r="K4" s="525"/>
    </row>
    <row r="5" spans="1:14" ht="24.75" customHeight="1" x14ac:dyDescent="0.6">
      <c r="A5" s="62"/>
      <c r="B5" s="63"/>
      <c r="C5" s="103" t="s">
        <v>85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86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105" t="s">
        <v>71</v>
      </c>
      <c r="E19" s="57"/>
      <c r="F19" s="36"/>
      <c r="G19" s="36"/>
      <c r="H19" s="15"/>
      <c r="I19" s="15"/>
      <c r="J19" s="113">
        <v>60</v>
      </c>
      <c r="K19" s="48"/>
    </row>
    <row r="20" spans="1:11" s="2" customFormat="1" ht="43.5" customHeight="1" x14ac:dyDescent="0.35">
      <c r="A20" s="515">
        <v>2</v>
      </c>
      <c r="B20" s="516"/>
      <c r="C20" s="96" t="s">
        <v>26</v>
      </c>
      <c r="D20" s="107" t="s">
        <v>72</v>
      </c>
      <c r="E20" s="60"/>
      <c r="F20" s="46"/>
      <c r="G20" s="46"/>
      <c r="H20" s="15"/>
      <c r="I20" s="15"/>
      <c r="J20" s="113">
        <v>92</v>
      </c>
      <c r="K20" s="48"/>
    </row>
    <row r="21" spans="1:11" s="2" customFormat="1" ht="43.5" customHeight="1" x14ac:dyDescent="0.35">
      <c r="A21" s="515">
        <v>3</v>
      </c>
      <c r="B21" s="516"/>
      <c r="C21" s="96" t="s">
        <v>0</v>
      </c>
      <c r="D21" s="107" t="s">
        <v>72</v>
      </c>
      <c r="E21" s="57"/>
      <c r="F21" s="14"/>
      <c r="G21" s="14"/>
      <c r="H21" s="15"/>
      <c r="I21" s="15"/>
      <c r="J21" s="113">
        <v>250</v>
      </c>
      <c r="K21" s="48"/>
    </row>
    <row r="22" spans="1:11" s="2" customFormat="1" ht="43.5" customHeight="1" x14ac:dyDescent="0.35">
      <c r="A22" s="515" t="s">
        <v>4</v>
      </c>
      <c r="B22" s="516"/>
      <c r="C22" s="84" t="s">
        <v>1</v>
      </c>
      <c r="D22" s="107" t="s">
        <v>72</v>
      </c>
      <c r="E22" s="57"/>
      <c r="F22" s="199" t="s">
        <v>183</v>
      </c>
      <c r="G22" s="14"/>
      <c r="H22" s="15"/>
      <c r="I22" s="15"/>
      <c r="J22" s="113">
        <v>68</v>
      </c>
      <c r="K22" s="48"/>
    </row>
    <row r="23" spans="1:11" s="2" customFormat="1" ht="43.5" customHeight="1" x14ac:dyDescent="0.35">
      <c r="A23" s="515" t="s">
        <v>6</v>
      </c>
      <c r="B23" s="516"/>
      <c r="C23" s="84" t="s">
        <v>81</v>
      </c>
      <c r="D23" s="106" t="s">
        <v>73</v>
      </c>
      <c r="E23" s="57"/>
      <c r="F23" s="199" t="s">
        <v>183</v>
      </c>
      <c r="G23" s="36"/>
      <c r="H23" s="15"/>
      <c r="I23" s="15"/>
      <c r="J23" s="113">
        <v>60</v>
      </c>
      <c r="K23" s="48"/>
    </row>
    <row r="24" spans="1:11" s="2" customFormat="1" ht="43.5" customHeight="1" x14ac:dyDescent="0.35">
      <c r="A24" s="513" t="s">
        <v>67</v>
      </c>
      <c r="B24" s="514"/>
      <c r="C24" s="85" t="s">
        <v>76</v>
      </c>
      <c r="D24" s="106" t="s">
        <v>73</v>
      </c>
      <c r="E24" s="57"/>
      <c r="F24" s="199" t="s">
        <v>183</v>
      </c>
      <c r="G24" s="14"/>
      <c r="H24" s="15"/>
      <c r="I24" s="15"/>
      <c r="J24" s="113">
        <v>28</v>
      </c>
      <c r="K24" s="48"/>
    </row>
    <row r="25" spans="1:11" s="2" customFormat="1" ht="43.5" customHeight="1" x14ac:dyDescent="0.35">
      <c r="A25" s="513" t="s">
        <v>68</v>
      </c>
      <c r="B25" s="514"/>
      <c r="C25" s="85" t="s">
        <v>77</v>
      </c>
      <c r="D25" s="106" t="s">
        <v>73</v>
      </c>
      <c r="E25" s="57"/>
      <c r="F25" s="199" t="s">
        <v>183</v>
      </c>
      <c r="G25" s="14"/>
      <c r="H25" s="15"/>
      <c r="I25" s="15"/>
      <c r="J25" s="113">
        <v>28</v>
      </c>
      <c r="K25" s="48"/>
    </row>
    <row r="26" spans="1:11" s="2" customFormat="1" ht="43.5" customHeight="1" x14ac:dyDescent="0.35">
      <c r="A26" s="515">
        <v>8</v>
      </c>
      <c r="B26" s="516"/>
      <c r="C26" s="84" t="s">
        <v>3</v>
      </c>
      <c r="D26" s="110">
        <v>46</v>
      </c>
      <c r="E26" s="57"/>
      <c r="F26" s="199" t="s">
        <v>183</v>
      </c>
      <c r="G26" s="14"/>
      <c r="H26" s="15"/>
      <c r="I26" s="15"/>
      <c r="J26" s="113">
        <v>0.125</v>
      </c>
      <c r="K26" s="48"/>
    </row>
    <row r="27" spans="1:11" s="2" customFormat="1" ht="43.5" customHeight="1" x14ac:dyDescent="0.35">
      <c r="A27" s="515">
        <v>9</v>
      </c>
      <c r="B27" s="516"/>
      <c r="C27" s="86" t="s">
        <v>22</v>
      </c>
      <c r="D27" s="108" t="s">
        <v>78</v>
      </c>
      <c r="E27" s="57"/>
      <c r="F27" s="199" t="s">
        <v>183</v>
      </c>
      <c r="G27" s="14"/>
      <c r="H27" s="15"/>
      <c r="I27" s="15"/>
      <c r="J27" s="113">
        <v>136</v>
      </c>
      <c r="K27" s="48"/>
    </row>
    <row r="28" spans="1:11" s="2" customFormat="1" ht="43.5" customHeight="1" x14ac:dyDescent="0.35">
      <c r="A28" s="513"/>
      <c r="B28" s="514"/>
      <c r="C28" s="85"/>
      <c r="D28" s="109"/>
      <c r="E28" s="57"/>
      <c r="F28" s="14"/>
      <c r="G28" s="14"/>
      <c r="H28" s="15"/>
      <c r="I28" s="15"/>
      <c r="J28" s="16"/>
      <c r="K28" s="48"/>
    </row>
    <row r="29" spans="1:11" s="2" customFormat="1" ht="43.5" customHeight="1" x14ac:dyDescent="0.35">
      <c r="A29" s="513"/>
      <c r="B29" s="514"/>
      <c r="C29" s="85"/>
      <c r="D29" s="109"/>
      <c r="E29" s="57"/>
      <c r="F29" s="14"/>
      <c r="G29" s="14"/>
      <c r="H29" s="15"/>
      <c r="I29" s="15"/>
      <c r="J29" s="16"/>
      <c r="K29" s="48"/>
    </row>
    <row r="30" spans="1:11" s="2" customFormat="1" ht="43.5" customHeight="1" x14ac:dyDescent="0.35">
      <c r="A30" s="515"/>
      <c r="B30" s="516"/>
      <c r="C30" s="84"/>
      <c r="D30" s="111"/>
      <c r="E30" s="61"/>
      <c r="F30" s="14"/>
      <c r="G30" s="14"/>
      <c r="H30" s="15"/>
      <c r="I30" s="15"/>
      <c r="J30" s="16"/>
      <c r="K30" s="48"/>
    </row>
    <row r="31" spans="1:11" s="2" customFormat="1" ht="43.5" customHeight="1" x14ac:dyDescent="0.35">
      <c r="A31" s="515"/>
      <c r="B31" s="516"/>
      <c r="C31" s="86"/>
      <c r="D31" s="112"/>
      <c r="E31" s="61"/>
      <c r="F31" s="14"/>
      <c r="G31" s="14"/>
      <c r="H31" s="15"/>
      <c r="I31" s="15"/>
      <c r="J31" s="16"/>
      <c r="K31" s="48"/>
    </row>
    <row r="32" spans="1:11" ht="13.5" customHeight="1" x14ac:dyDescent="0.6">
      <c r="A32" s="99"/>
      <c r="B32" s="100"/>
      <c r="C32" s="87"/>
      <c r="D32" s="40"/>
      <c r="E32" s="40"/>
      <c r="F32" s="40"/>
      <c r="G32" s="40"/>
      <c r="H32" s="4"/>
      <c r="I32" s="4"/>
      <c r="J32" s="4"/>
      <c r="K32" s="5"/>
    </row>
    <row r="33" spans="1:11" ht="18.75" customHeight="1" x14ac:dyDescent="0.6">
      <c r="A33" s="104" t="s">
        <v>47</v>
      </c>
      <c r="B33" s="101"/>
      <c r="C33" s="90"/>
      <c r="D33" s="505" t="s">
        <v>55</v>
      </c>
      <c r="E33" s="505"/>
      <c r="F33" s="505"/>
      <c r="G33" s="505"/>
      <c r="H33" s="505"/>
      <c r="I33" s="505"/>
      <c r="J33" s="505"/>
      <c r="K33" s="506"/>
    </row>
    <row r="34" spans="1:11" ht="18.75" customHeight="1" x14ac:dyDescent="0.35">
      <c r="A34" s="6"/>
      <c r="B34" s="13"/>
      <c r="C34" s="13"/>
      <c r="D34" s="507"/>
      <c r="E34" s="507"/>
      <c r="F34" s="507"/>
      <c r="G34" s="507"/>
      <c r="H34" s="507"/>
      <c r="I34" s="507"/>
      <c r="J34" s="507"/>
      <c r="K34" s="508"/>
    </row>
    <row r="35" spans="1:11" ht="18.75" customHeight="1" x14ac:dyDescent="0.35">
      <c r="A35" s="68"/>
      <c r="B35" s="69"/>
      <c r="C35" s="69"/>
      <c r="D35" s="70"/>
      <c r="E35" s="70"/>
      <c r="F35" s="70"/>
      <c r="G35" s="70"/>
      <c r="H35" s="69"/>
      <c r="I35" s="69"/>
      <c r="J35" s="71"/>
      <c r="K35" s="72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64</v>
      </c>
    </row>
  </sheetData>
  <sheetProtection sort="0" autoFilter="0"/>
  <dataConsolidate/>
  <mergeCells count="25">
    <mergeCell ref="D33:K34"/>
    <mergeCell ref="A26:B26"/>
    <mergeCell ref="A27:B27"/>
    <mergeCell ref="A28:B28"/>
    <mergeCell ref="A29:B29"/>
    <mergeCell ref="A30:B30"/>
    <mergeCell ref="A31:B31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F11:I11"/>
    <mergeCell ref="C2:K2"/>
    <mergeCell ref="C3:K3"/>
    <mergeCell ref="A4:K4"/>
    <mergeCell ref="C7:C8"/>
    <mergeCell ref="A8:B8"/>
  </mergeCells>
  <conditionalFormatting sqref="C26">
    <cfRule type="cellIs" dxfId="5" priority="1" operator="equal">
      <formula>0</formula>
    </cfRule>
  </conditionalFormatting>
  <conditionalFormatting sqref="C30">
    <cfRule type="cellIs" dxfId="4" priority="2" operator="equal">
      <formula>0</formula>
    </cfRule>
  </conditionalFormatting>
  <dataValidations disablePrompts="1" count="1">
    <dataValidation allowBlank="1" showDropDown="1" showInputMessage="1" showErrorMessage="1" sqref="C9" xr:uid="{289502E2-58B5-4780-B001-02D2028329F3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A04D-7D0D-4190-930A-FFCD37F3905D}">
  <sheetPr codeName="Sheet10">
    <pageSetUpPr fitToPage="1"/>
  </sheetPr>
  <dimension ref="A1:N38"/>
  <sheetViews>
    <sheetView view="pageBreakPreview" zoomScale="44" zoomScaleNormal="71" zoomScaleSheetLayoutView="71" zoomScalePageLayoutView="50" workbookViewId="0">
      <selection activeCell="C23" sqref="C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523" t="s">
        <v>28</v>
      </c>
      <c r="B4" s="524"/>
      <c r="C4" s="524"/>
      <c r="D4" s="524"/>
      <c r="E4" s="524"/>
      <c r="F4" s="524"/>
      <c r="G4" s="524"/>
      <c r="H4" s="524"/>
      <c r="I4" s="524"/>
      <c r="J4" s="524"/>
      <c r="K4" s="525"/>
    </row>
    <row r="5" spans="1:14" ht="24.75" customHeight="1" x14ac:dyDescent="0.6">
      <c r="A5" s="62"/>
      <c r="B5" s="63"/>
      <c r="C5" s="103" t="s">
        <v>87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86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105" t="s">
        <v>71</v>
      </c>
      <c r="E19" s="57"/>
      <c r="F19" s="36"/>
      <c r="G19" s="36"/>
      <c r="H19" s="15"/>
      <c r="I19" s="15"/>
      <c r="J19" s="113">
        <v>53</v>
      </c>
      <c r="K19" s="48"/>
    </row>
    <row r="20" spans="1:11" s="2" customFormat="1" ht="43.5" customHeight="1" x14ac:dyDescent="0.35">
      <c r="A20" s="526">
        <v>3</v>
      </c>
      <c r="B20" s="527"/>
      <c r="C20" s="96" t="s">
        <v>0</v>
      </c>
      <c r="D20" s="107" t="s">
        <v>72</v>
      </c>
      <c r="E20" s="60"/>
      <c r="F20" s="46"/>
      <c r="G20" s="46"/>
      <c r="H20" s="15"/>
      <c r="I20" s="15"/>
      <c r="J20" s="113">
        <v>470</v>
      </c>
      <c r="K20" s="48"/>
    </row>
    <row r="21" spans="1:11" s="2" customFormat="1" ht="43.5" customHeight="1" x14ac:dyDescent="0.35">
      <c r="A21" s="513" t="s">
        <v>65</v>
      </c>
      <c r="B21" s="514"/>
      <c r="C21" s="85" t="s">
        <v>74</v>
      </c>
      <c r="D21" s="107" t="s">
        <v>72</v>
      </c>
      <c r="E21" s="57"/>
      <c r="F21" s="199" t="s">
        <v>183</v>
      </c>
      <c r="G21" s="14"/>
      <c r="H21" s="15"/>
      <c r="I21" s="15"/>
      <c r="J21" s="113">
        <v>20</v>
      </c>
      <c r="K21" s="48"/>
    </row>
    <row r="22" spans="1:11" s="2" customFormat="1" ht="43.5" customHeight="1" x14ac:dyDescent="0.35">
      <c r="A22" s="513" t="s">
        <v>66</v>
      </c>
      <c r="B22" s="514"/>
      <c r="C22" s="85" t="s">
        <v>75</v>
      </c>
      <c r="D22" s="107" t="s">
        <v>72</v>
      </c>
      <c r="E22" s="57"/>
      <c r="F22" s="199" t="s">
        <v>183</v>
      </c>
      <c r="G22" s="14"/>
      <c r="H22" s="15"/>
      <c r="I22" s="15"/>
      <c r="J22" s="113">
        <v>20</v>
      </c>
      <c r="K22" s="48"/>
    </row>
    <row r="23" spans="1:11" s="2" customFormat="1" ht="43.5" customHeight="1" x14ac:dyDescent="0.35">
      <c r="A23" s="515" t="s">
        <v>14</v>
      </c>
      <c r="B23" s="516"/>
      <c r="C23" s="84" t="s">
        <v>50</v>
      </c>
      <c r="D23" s="107" t="s">
        <v>72</v>
      </c>
      <c r="E23" s="57"/>
      <c r="F23" s="199" t="s">
        <v>183</v>
      </c>
      <c r="G23" s="36"/>
      <c r="H23" s="15"/>
      <c r="I23" s="15"/>
      <c r="J23" s="113">
        <v>24.5</v>
      </c>
      <c r="K23" s="48"/>
    </row>
    <row r="24" spans="1:11" s="2" customFormat="1" ht="43.5" customHeight="1" x14ac:dyDescent="0.35">
      <c r="A24" s="515" t="s">
        <v>15</v>
      </c>
      <c r="B24" s="516"/>
      <c r="C24" s="84" t="s">
        <v>51</v>
      </c>
      <c r="D24" s="107" t="s">
        <v>72</v>
      </c>
      <c r="E24" s="57"/>
      <c r="F24" s="199" t="s">
        <v>183</v>
      </c>
      <c r="G24" s="14"/>
      <c r="H24" s="15"/>
      <c r="I24" s="15"/>
      <c r="J24" s="113">
        <v>24.5</v>
      </c>
      <c r="K24" s="48"/>
    </row>
    <row r="25" spans="1:11" s="2" customFormat="1" ht="43.5" customHeight="1" x14ac:dyDescent="0.35">
      <c r="A25" s="515">
        <v>9</v>
      </c>
      <c r="B25" s="516"/>
      <c r="C25" s="86" t="s">
        <v>22</v>
      </c>
      <c r="D25" s="108" t="s">
        <v>78</v>
      </c>
      <c r="E25" s="57"/>
      <c r="F25" s="199" t="s">
        <v>183</v>
      </c>
      <c r="G25" s="14"/>
      <c r="H25" s="15"/>
      <c r="I25" s="15"/>
      <c r="J25" s="113">
        <v>104</v>
      </c>
      <c r="K25" s="48"/>
    </row>
    <row r="26" spans="1:11" s="2" customFormat="1" ht="43.5" customHeight="1" x14ac:dyDescent="0.35">
      <c r="A26" s="515"/>
      <c r="B26" s="516"/>
      <c r="C26" s="86"/>
      <c r="D26" s="112"/>
      <c r="E26" s="57"/>
      <c r="F26" s="14"/>
      <c r="G26" s="14"/>
      <c r="H26" s="15"/>
      <c r="I26" s="15"/>
      <c r="J26" s="113"/>
      <c r="K26" s="48"/>
    </row>
    <row r="27" spans="1:11" s="2" customFormat="1" ht="43.5" customHeight="1" x14ac:dyDescent="0.35">
      <c r="A27" s="515"/>
      <c r="B27" s="516"/>
      <c r="C27" s="86"/>
      <c r="D27" s="112"/>
      <c r="E27" s="57"/>
      <c r="F27" s="14"/>
      <c r="G27" s="14"/>
      <c r="H27" s="15"/>
      <c r="I27" s="15"/>
      <c r="J27" s="113"/>
      <c r="K27" s="48"/>
    </row>
    <row r="28" spans="1:11" s="2" customFormat="1" ht="43.5" customHeight="1" x14ac:dyDescent="0.35">
      <c r="A28" s="513"/>
      <c r="B28" s="514"/>
      <c r="C28" s="85"/>
      <c r="D28" s="109"/>
      <c r="E28" s="57"/>
      <c r="F28" s="14"/>
      <c r="G28" s="14"/>
      <c r="H28" s="15"/>
      <c r="I28" s="15"/>
      <c r="J28" s="16"/>
      <c r="K28" s="48"/>
    </row>
    <row r="29" spans="1:11" s="2" customFormat="1" ht="43.5" customHeight="1" x14ac:dyDescent="0.35">
      <c r="A29" s="513"/>
      <c r="B29" s="514"/>
      <c r="C29" s="85"/>
      <c r="D29" s="109"/>
      <c r="E29" s="57"/>
      <c r="F29" s="14"/>
      <c r="G29" s="14"/>
      <c r="H29" s="15"/>
      <c r="I29" s="15"/>
      <c r="J29" s="16"/>
      <c r="K29" s="48"/>
    </row>
    <row r="30" spans="1:11" s="2" customFormat="1" ht="43.5" customHeight="1" x14ac:dyDescent="0.35">
      <c r="A30" s="515"/>
      <c r="B30" s="516"/>
      <c r="C30" s="84"/>
      <c r="D30" s="111"/>
      <c r="E30" s="61"/>
      <c r="F30" s="14"/>
      <c r="G30" s="14"/>
      <c r="H30" s="15"/>
      <c r="I30" s="15"/>
      <c r="J30" s="16"/>
      <c r="K30" s="48"/>
    </row>
    <row r="31" spans="1:11" s="2" customFormat="1" ht="43.5" customHeight="1" x14ac:dyDescent="0.35">
      <c r="A31" s="515"/>
      <c r="B31" s="516"/>
      <c r="C31" s="86"/>
      <c r="D31" s="112"/>
      <c r="E31" s="61"/>
      <c r="F31" s="14"/>
      <c r="G31" s="14"/>
      <c r="H31" s="15"/>
      <c r="I31" s="15"/>
      <c r="J31" s="16"/>
      <c r="K31" s="48"/>
    </row>
    <row r="32" spans="1:11" ht="13.5" customHeight="1" x14ac:dyDescent="0.6">
      <c r="A32" s="99"/>
      <c r="B32" s="100"/>
      <c r="C32" s="87"/>
      <c r="D32" s="40"/>
      <c r="E32" s="40"/>
      <c r="F32" s="40"/>
      <c r="G32" s="40"/>
      <c r="H32" s="4"/>
      <c r="I32" s="4"/>
      <c r="J32" s="4"/>
      <c r="K32" s="5"/>
    </row>
    <row r="33" spans="1:11" ht="18.75" customHeight="1" x14ac:dyDescent="0.6">
      <c r="A33" s="104" t="s">
        <v>47</v>
      </c>
      <c r="B33" s="101"/>
      <c r="C33" s="90"/>
      <c r="D33" s="505" t="s">
        <v>55</v>
      </c>
      <c r="E33" s="505"/>
      <c r="F33" s="505"/>
      <c r="G33" s="505"/>
      <c r="H33" s="505"/>
      <c r="I33" s="505"/>
      <c r="J33" s="505"/>
      <c r="K33" s="506"/>
    </row>
    <row r="34" spans="1:11" ht="18.75" customHeight="1" x14ac:dyDescent="0.35">
      <c r="A34" s="6"/>
      <c r="B34" s="13"/>
      <c r="C34" s="13"/>
      <c r="D34" s="507"/>
      <c r="E34" s="507"/>
      <c r="F34" s="507"/>
      <c r="G34" s="507"/>
      <c r="H34" s="507"/>
      <c r="I34" s="507"/>
      <c r="J34" s="507"/>
      <c r="K34" s="508"/>
    </row>
    <row r="35" spans="1:11" ht="18.75" customHeight="1" x14ac:dyDescent="0.35">
      <c r="A35" s="68"/>
      <c r="B35" s="69"/>
      <c r="C35" s="69"/>
      <c r="D35" s="70"/>
      <c r="E35" s="70"/>
      <c r="F35" s="70"/>
      <c r="G35" s="70"/>
      <c r="H35" s="69"/>
      <c r="I35" s="69"/>
      <c r="J35" s="71"/>
      <c r="K35" s="72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64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conditionalFormatting sqref="C30">
    <cfRule type="cellIs" dxfId="3" priority="2" operator="equal">
      <formula>0</formula>
    </cfRule>
  </conditionalFormatting>
  <dataValidations count="1">
    <dataValidation allowBlank="1" showDropDown="1" showInputMessage="1" showErrorMessage="1" sqref="C9" xr:uid="{B8AB8D82-7DDE-4D40-A251-30759F87EDBE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CE572-9F08-440B-AA9C-95654152A0B8}">
  <sheetPr codeName="Sheet11">
    <pageSetUpPr fitToPage="1"/>
  </sheetPr>
  <dimension ref="A1:N38"/>
  <sheetViews>
    <sheetView view="pageBreakPreview" zoomScale="71" zoomScaleNormal="71" zoomScaleSheetLayoutView="71" zoomScalePageLayoutView="50" workbookViewId="0">
      <selection activeCell="C23" sqref="C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523" t="s">
        <v>28</v>
      </c>
      <c r="B4" s="524"/>
      <c r="C4" s="524"/>
      <c r="D4" s="524"/>
      <c r="E4" s="524"/>
      <c r="F4" s="524"/>
      <c r="G4" s="524"/>
      <c r="H4" s="524"/>
      <c r="I4" s="524"/>
      <c r="J4" s="524"/>
      <c r="K4" s="525"/>
    </row>
    <row r="5" spans="1:14" ht="24.75" customHeight="1" x14ac:dyDescent="0.6">
      <c r="A5" s="62"/>
      <c r="B5" s="63"/>
      <c r="C5" s="103" t="s">
        <v>88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86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105" t="s">
        <v>71</v>
      </c>
      <c r="E19" s="57"/>
      <c r="F19" s="36"/>
      <c r="G19" s="36"/>
      <c r="H19" s="15"/>
      <c r="I19" s="15"/>
      <c r="J19" s="113">
        <v>120</v>
      </c>
      <c r="K19" s="48"/>
    </row>
    <row r="20" spans="1:11" s="2" customFormat="1" ht="43.5" customHeight="1" x14ac:dyDescent="0.35">
      <c r="A20" s="526">
        <v>3</v>
      </c>
      <c r="B20" s="527"/>
      <c r="C20" s="96" t="s">
        <v>0</v>
      </c>
      <c r="D20" s="107" t="s">
        <v>72</v>
      </c>
      <c r="E20" s="60"/>
      <c r="F20" s="46"/>
      <c r="G20" s="46"/>
      <c r="H20" s="15"/>
      <c r="I20" s="15"/>
      <c r="J20" s="113">
        <v>1300</v>
      </c>
      <c r="K20" s="48"/>
    </row>
    <row r="21" spans="1:11" s="2" customFormat="1" ht="43.5" customHeight="1" x14ac:dyDescent="0.35">
      <c r="A21" s="513" t="s">
        <v>65</v>
      </c>
      <c r="B21" s="514"/>
      <c r="C21" s="85" t="s">
        <v>74</v>
      </c>
      <c r="D21" s="107" t="s">
        <v>72</v>
      </c>
      <c r="E21" s="57"/>
      <c r="F21" s="199" t="s">
        <v>183</v>
      </c>
      <c r="G21" s="14"/>
      <c r="H21" s="15"/>
      <c r="I21" s="15"/>
      <c r="J21" s="113">
        <v>85</v>
      </c>
      <c r="K21" s="48"/>
    </row>
    <row r="22" spans="1:11" s="2" customFormat="1" ht="43.5" customHeight="1" x14ac:dyDescent="0.35">
      <c r="A22" s="513" t="s">
        <v>66</v>
      </c>
      <c r="B22" s="514"/>
      <c r="C22" s="85" t="s">
        <v>75</v>
      </c>
      <c r="D22" s="107" t="s">
        <v>72</v>
      </c>
      <c r="E22" s="57"/>
      <c r="F22" s="199" t="s">
        <v>183</v>
      </c>
      <c r="G22" s="14"/>
      <c r="H22" s="15"/>
      <c r="I22" s="15"/>
      <c r="J22" s="113">
        <v>85</v>
      </c>
      <c r="K22" s="48"/>
    </row>
    <row r="23" spans="1:11" s="2" customFormat="1" ht="43.5" customHeight="1" x14ac:dyDescent="0.35">
      <c r="A23" s="515">
        <v>5</v>
      </c>
      <c r="B23" s="516"/>
      <c r="C23" s="84" t="s">
        <v>89</v>
      </c>
      <c r="D23" s="107" t="s">
        <v>72</v>
      </c>
      <c r="E23" s="57"/>
      <c r="F23" s="199" t="s">
        <v>183</v>
      </c>
      <c r="G23" s="36"/>
      <c r="H23" s="15"/>
      <c r="I23" s="15"/>
      <c r="J23" s="113">
        <v>36</v>
      </c>
      <c r="K23" s="48"/>
    </row>
    <row r="24" spans="1:11" s="2" customFormat="1" ht="43.5" customHeight="1" x14ac:dyDescent="0.35">
      <c r="A24" s="515" t="s">
        <v>14</v>
      </c>
      <c r="B24" s="516"/>
      <c r="C24" s="84" t="s">
        <v>50</v>
      </c>
      <c r="D24" s="107" t="s">
        <v>72</v>
      </c>
      <c r="E24" s="57"/>
      <c r="F24" s="199" t="s">
        <v>183</v>
      </c>
      <c r="G24" s="14"/>
      <c r="H24" s="15"/>
      <c r="I24" s="15"/>
      <c r="J24" s="113">
        <v>30</v>
      </c>
      <c r="K24" s="48"/>
    </row>
    <row r="25" spans="1:11" s="2" customFormat="1" ht="43.5" customHeight="1" x14ac:dyDescent="0.35">
      <c r="A25" s="515" t="s">
        <v>15</v>
      </c>
      <c r="B25" s="516"/>
      <c r="C25" s="84" t="s">
        <v>51</v>
      </c>
      <c r="D25" s="107" t="s">
        <v>72</v>
      </c>
      <c r="E25" s="57"/>
      <c r="F25" s="199" t="s">
        <v>183</v>
      </c>
      <c r="G25" s="14"/>
      <c r="H25" s="15"/>
      <c r="I25" s="15"/>
      <c r="J25" s="113">
        <v>30</v>
      </c>
      <c r="K25" s="48"/>
    </row>
    <row r="26" spans="1:11" s="2" customFormat="1" ht="43.5" customHeight="1" x14ac:dyDescent="0.35">
      <c r="A26" s="515">
        <v>9</v>
      </c>
      <c r="B26" s="516"/>
      <c r="C26" s="86" t="s">
        <v>22</v>
      </c>
      <c r="D26" s="108" t="s">
        <v>78</v>
      </c>
      <c r="E26" s="57"/>
      <c r="F26" s="199" t="s">
        <v>183</v>
      </c>
      <c r="G26" s="14"/>
      <c r="H26" s="15"/>
      <c r="I26" s="15"/>
      <c r="J26" s="113">
        <v>180</v>
      </c>
      <c r="K26" s="48"/>
    </row>
    <row r="27" spans="1:11" s="2" customFormat="1" ht="43.5" customHeight="1" x14ac:dyDescent="0.35">
      <c r="A27" s="515"/>
      <c r="B27" s="516"/>
      <c r="C27" s="86"/>
      <c r="D27" s="112"/>
      <c r="E27" s="57"/>
      <c r="F27" s="14"/>
      <c r="G27" s="14"/>
      <c r="H27" s="15"/>
      <c r="I27" s="15"/>
      <c r="J27" s="113"/>
      <c r="K27" s="48"/>
    </row>
    <row r="28" spans="1:11" s="2" customFormat="1" ht="43.5" customHeight="1" x14ac:dyDescent="0.35">
      <c r="A28" s="513"/>
      <c r="B28" s="514"/>
      <c r="C28" s="85"/>
      <c r="D28" s="109"/>
      <c r="E28" s="57"/>
      <c r="F28" s="14"/>
      <c r="G28" s="14"/>
      <c r="H28" s="15"/>
      <c r="I28" s="15"/>
      <c r="J28" s="16"/>
      <c r="K28" s="48"/>
    </row>
    <row r="29" spans="1:11" s="2" customFormat="1" ht="43.5" customHeight="1" x14ac:dyDescent="0.35">
      <c r="A29" s="513"/>
      <c r="B29" s="514"/>
      <c r="C29" s="85"/>
      <c r="D29" s="109"/>
      <c r="E29" s="57"/>
      <c r="F29" s="14"/>
      <c r="G29" s="14"/>
      <c r="H29" s="15"/>
      <c r="I29" s="15"/>
      <c r="J29" s="16"/>
      <c r="K29" s="48"/>
    </row>
    <row r="30" spans="1:11" s="2" customFormat="1" ht="43.5" customHeight="1" x14ac:dyDescent="0.35">
      <c r="A30" s="515"/>
      <c r="B30" s="516"/>
      <c r="C30" s="84"/>
      <c r="D30" s="111"/>
      <c r="E30" s="61"/>
      <c r="F30" s="14"/>
      <c r="G30" s="14"/>
      <c r="H30" s="15"/>
      <c r="I30" s="15"/>
      <c r="J30" s="16"/>
      <c r="K30" s="48"/>
    </row>
    <row r="31" spans="1:11" s="2" customFormat="1" ht="43.5" customHeight="1" x14ac:dyDescent="0.35">
      <c r="A31" s="515"/>
      <c r="B31" s="516"/>
      <c r="C31" s="86"/>
      <c r="D31" s="112"/>
      <c r="E31" s="61"/>
      <c r="F31" s="14"/>
      <c r="G31" s="14"/>
      <c r="H31" s="15"/>
      <c r="I31" s="15"/>
      <c r="J31" s="16"/>
      <c r="K31" s="48"/>
    </row>
    <row r="32" spans="1:11" ht="13.5" customHeight="1" x14ac:dyDescent="0.6">
      <c r="A32" s="99"/>
      <c r="B32" s="100"/>
      <c r="C32" s="87"/>
      <c r="D32" s="40"/>
      <c r="E32" s="40"/>
      <c r="F32" s="40"/>
      <c r="G32" s="40"/>
      <c r="H32" s="4"/>
      <c r="I32" s="4"/>
      <c r="J32" s="4"/>
      <c r="K32" s="5"/>
    </row>
    <row r="33" spans="1:11" ht="18.75" customHeight="1" x14ac:dyDescent="0.6">
      <c r="A33" s="104" t="s">
        <v>47</v>
      </c>
      <c r="B33" s="101"/>
      <c r="C33" s="90"/>
      <c r="D33" s="505" t="s">
        <v>55</v>
      </c>
      <c r="E33" s="505"/>
      <c r="F33" s="505"/>
      <c r="G33" s="505"/>
      <c r="H33" s="505"/>
      <c r="I33" s="505"/>
      <c r="J33" s="505"/>
      <c r="K33" s="506"/>
    </row>
    <row r="34" spans="1:11" ht="18.75" customHeight="1" x14ac:dyDescent="0.35">
      <c r="A34" s="6"/>
      <c r="B34" s="13"/>
      <c r="C34" s="13"/>
      <c r="D34" s="507"/>
      <c r="E34" s="507"/>
      <c r="F34" s="507"/>
      <c r="G34" s="507"/>
      <c r="H34" s="507"/>
      <c r="I34" s="507"/>
      <c r="J34" s="507"/>
      <c r="K34" s="508"/>
    </row>
    <row r="35" spans="1:11" ht="18.75" customHeight="1" x14ac:dyDescent="0.35">
      <c r="A35" s="68"/>
      <c r="B35" s="69"/>
      <c r="C35" s="69"/>
      <c r="D35" s="70"/>
      <c r="E35" s="70"/>
      <c r="F35" s="70"/>
      <c r="G35" s="70"/>
      <c r="H35" s="69"/>
      <c r="I35" s="69"/>
      <c r="J35" s="71"/>
      <c r="K35" s="72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64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conditionalFormatting sqref="C30">
    <cfRule type="cellIs" dxfId="2" priority="1" operator="equal">
      <formula>0</formula>
    </cfRule>
  </conditionalFormatting>
  <dataValidations count="1">
    <dataValidation allowBlank="1" showDropDown="1" showInputMessage="1" showErrorMessage="1" sqref="C9" xr:uid="{90A6B123-E5C6-4E04-94D1-C41E74A3A52E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59E7F-E4B7-41A9-85AD-5679C3F934CD}">
  <sheetPr codeName="Sheet12">
    <pageSetUpPr fitToPage="1"/>
  </sheetPr>
  <dimension ref="A1:N38"/>
  <sheetViews>
    <sheetView view="pageBreakPreview" zoomScale="41" zoomScaleNormal="71" zoomScaleSheetLayoutView="71" zoomScalePageLayoutView="50" workbookViewId="0">
      <selection activeCell="C23" sqref="C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523" t="s">
        <v>28</v>
      </c>
      <c r="B4" s="524"/>
      <c r="C4" s="524"/>
      <c r="D4" s="524"/>
      <c r="E4" s="524"/>
      <c r="F4" s="524"/>
      <c r="G4" s="524"/>
      <c r="H4" s="524"/>
      <c r="I4" s="524"/>
      <c r="J4" s="524"/>
      <c r="K4" s="525"/>
    </row>
    <row r="5" spans="1:14" ht="24.75" customHeight="1" x14ac:dyDescent="0.6">
      <c r="A5" s="62"/>
      <c r="B5" s="63"/>
      <c r="C5" s="103" t="s">
        <v>92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86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105" t="s">
        <v>71</v>
      </c>
      <c r="E19" s="57"/>
      <c r="F19" s="36"/>
      <c r="G19" s="36"/>
      <c r="H19" s="15"/>
      <c r="I19" s="15"/>
      <c r="J19" s="113">
        <v>55</v>
      </c>
      <c r="K19" s="48"/>
    </row>
    <row r="20" spans="1:11" s="2" customFormat="1" ht="43.5" customHeight="1" x14ac:dyDescent="0.35">
      <c r="A20" s="515">
        <v>2</v>
      </c>
      <c r="B20" s="516"/>
      <c r="C20" s="96" t="s">
        <v>26</v>
      </c>
      <c r="D20" s="107" t="s">
        <v>72</v>
      </c>
      <c r="E20" s="60"/>
      <c r="F20" s="46"/>
      <c r="G20" s="46"/>
      <c r="H20" s="15"/>
      <c r="I20" s="15"/>
      <c r="J20" s="113">
        <v>220</v>
      </c>
      <c r="K20" s="48"/>
    </row>
    <row r="21" spans="1:11" s="2" customFormat="1" ht="43.5" customHeight="1" x14ac:dyDescent="0.35">
      <c r="A21" s="526">
        <v>3</v>
      </c>
      <c r="B21" s="527"/>
      <c r="C21" s="96" t="s">
        <v>0</v>
      </c>
      <c r="D21" s="107" t="s">
        <v>72</v>
      </c>
      <c r="E21" s="57"/>
      <c r="F21" s="14"/>
      <c r="G21" s="14"/>
      <c r="H21" s="15"/>
      <c r="I21" s="15"/>
      <c r="J21" s="113">
        <v>80</v>
      </c>
      <c r="K21" s="48"/>
    </row>
    <row r="22" spans="1:11" s="2" customFormat="1" ht="43.5" customHeight="1" x14ac:dyDescent="0.35">
      <c r="A22" s="513" t="s">
        <v>65</v>
      </c>
      <c r="B22" s="514"/>
      <c r="C22" s="85" t="s">
        <v>74</v>
      </c>
      <c r="D22" s="107" t="s">
        <v>72</v>
      </c>
      <c r="E22" s="57"/>
      <c r="F22" s="14"/>
      <c r="G22" s="14"/>
      <c r="H22" s="15"/>
      <c r="I22" s="15"/>
      <c r="J22" s="113">
        <v>23</v>
      </c>
      <c r="K22" s="48"/>
    </row>
    <row r="23" spans="1:11" s="2" customFormat="1" ht="43.5" customHeight="1" x14ac:dyDescent="0.35">
      <c r="A23" s="513" t="s">
        <v>66</v>
      </c>
      <c r="B23" s="514"/>
      <c r="C23" s="85" t="s">
        <v>75</v>
      </c>
      <c r="D23" s="107" t="s">
        <v>72</v>
      </c>
      <c r="E23" s="57"/>
      <c r="F23" s="36"/>
      <c r="G23" s="36"/>
      <c r="H23" s="15"/>
      <c r="I23" s="15"/>
      <c r="J23" s="113">
        <v>23</v>
      </c>
      <c r="K23" s="48"/>
    </row>
    <row r="24" spans="1:11" s="2" customFormat="1" ht="43.5" customHeight="1" x14ac:dyDescent="0.35">
      <c r="A24" s="515">
        <v>9</v>
      </c>
      <c r="B24" s="516"/>
      <c r="C24" s="86" t="s">
        <v>22</v>
      </c>
      <c r="D24" s="108" t="s">
        <v>78</v>
      </c>
      <c r="E24" s="57"/>
      <c r="F24" s="14"/>
      <c r="G24" s="14"/>
      <c r="H24" s="15"/>
      <c r="I24" s="15"/>
      <c r="J24" s="113">
        <v>140</v>
      </c>
      <c r="K24" s="48"/>
    </row>
    <row r="25" spans="1:11" s="2" customFormat="1" ht="43.5" customHeight="1" x14ac:dyDescent="0.35">
      <c r="A25" s="97"/>
      <c r="B25" s="98"/>
      <c r="C25" s="84"/>
      <c r="D25" s="109"/>
      <c r="E25" s="57"/>
      <c r="F25" s="14"/>
      <c r="G25" s="14"/>
      <c r="H25" s="15"/>
      <c r="I25" s="15"/>
      <c r="J25" s="113"/>
      <c r="K25" s="48"/>
    </row>
    <row r="26" spans="1:11" s="2" customFormat="1" ht="43.5" customHeight="1" x14ac:dyDescent="0.35">
      <c r="A26" s="97"/>
      <c r="B26" s="98"/>
      <c r="C26" s="84"/>
      <c r="D26" s="109"/>
      <c r="E26" s="57"/>
      <c r="F26" s="14"/>
      <c r="G26" s="14"/>
      <c r="H26" s="15"/>
      <c r="I26" s="15"/>
      <c r="J26" s="113"/>
      <c r="K26" s="48"/>
    </row>
    <row r="27" spans="1:11" s="2" customFormat="1" ht="43.5" customHeight="1" x14ac:dyDescent="0.35">
      <c r="A27" s="97"/>
      <c r="B27" s="98"/>
      <c r="C27" s="86"/>
      <c r="D27" s="112"/>
      <c r="E27" s="57"/>
      <c r="F27" s="14"/>
      <c r="G27" s="14"/>
      <c r="H27" s="15"/>
      <c r="I27" s="15"/>
      <c r="J27" s="113"/>
      <c r="K27" s="48"/>
    </row>
    <row r="28" spans="1:11" s="2" customFormat="1" ht="43.5" customHeight="1" x14ac:dyDescent="0.35">
      <c r="A28" s="513"/>
      <c r="B28" s="514"/>
      <c r="C28" s="85"/>
      <c r="D28" s="109"/>
      <c r="E28" s="57"/>
      <c r="F28" s="14"/>
      <c r="G28" s="14"/>
      <c r="H28" s="15"/>
      <c r="I28" s="15"/>
      <c r="J28" s="16"/>
      <c r="K28" s="48"/>
    </row>
    <row r="29" spans="1:11" s="2" customFormat="1" ht="43.5" customHeight="1" x14ac:dyDescent="0.35">
      <c r="A29" s="513"/>
      <c r="B29" s="514"/>
      <c r="C29" s="85"/>
      <c r="D29" s="109"/>
      <c r="E29" s="57"/>
      <c r="F29" s="14"/>
      <c r="G29" s="14"/>
      <c r="H29" s="15"/>
      <c r="I29" s="15"/>
      <c r="J29" s="16"/>
      <c r="K29" s="48"/>
    </row>
    <row r="30" spans="1:11" s="2" customFormat="1" ht="43.5" customHeight="1" x14ac:dyDescent="0.35">
      <c r="A30" s="515"/>
      <c r="B30" s="516"/>
      <c r="C30" s="84"/>
      <c r="D30" s="111"/>
      <c r="E30" s="61"/>
      <c r="F30" s="14"/>
      <c r="G30" s="14"/>
      <c r="H30" s="15"/>
      <c r="I30" s="15"/>
      <c r="J30" s="16"/>
      <c r="K30" s="48"/>
    </row>
    <row r="31" spans="1:11" s="2" customFormat="1" ht="43.5" customHeight="1" x14ac:dyDescent="0.35">
      <c r="A31" s="515"/>
      <c r="B31" s="516"/>
      <c r="C31" s="86"/>
      <c r="D31" s="112"/>
      <c r="E31" s="61"/>
      <c r="F31" s="14"/>
      <c r="G31" s="14"/>
      <c r="H31" s="15"/>
      <c r="I31" s="15"/>
      <c r="J31" s="16"/>
      <c r="K31" s="48"/>
    </row>
    <row r="32" spans="1:11" ht="13.5" customHeight="1" x14ac:dyDescent="0.6">
      <c r="A32" s="99"/>
      <c r="B32" s="100"/>
      <c r="C32" s="87"/>
      <c r="D32" s="40"/>
      <c r="E32" s="40"/>
      <c r="F32" s="40"/>
      <c r="G32" s="40"/>
      <c r="H32" s="4"/>
      <c r="I32" s="4"/>
      <c r="J32" s="4"/>
      <c r="K32" s="5"/>
    </row>
    <row r="33" spans="1:11" ht="18.75" customHeight="1" x14ac:dyDescent="0.6">
      <c r="A33" s="104" t="s">
        <v>47</v>
      </c>
      <c r="B33" s="101"/>
      <c r="C33" s="90"/>
      <c r="D33" s="505" t="s">
        <v>55</v>
      </c>
      <c r="E33" s="505"/>
      <c r="F33" s="505"/>
      <c r="G33" s="505"/>
      <c r="H33" s="505"/>
      <c r="I33" s="505"/>
      <c r="J33" s="505"/>
      <c r="K33" s="506"/>
    </row>
    <row r="34" spans="1:11" ht="18.75" customHeight="1" x14ac:dyDescent="0.35">
      <c r="A34" s="6"/>
      <c r="B34" s="13"/>
      <c r="C34" s="13"/>
      <c r="D34" s="507"/>
      <c r="E34" s="507"/>
      <c r="F34" s="507"/>
      <c r="G34" s="507"/>
      <c r="H34" s="507"/>
      <c r="I34" s="507"/>
      <c r="J34" s="507"/>
      <c r="K34" s="508"/>
    </row>
    <row r="35" spans="1:11" ht="18.75" customHeight="1" x14ac:dyDescent="0.35">
      <c r="A35" s="68"/>
      <c r="B35" s="69"/>
      <c r="C35" s="69"/>
      <c r="D35" s="70"/>
      <c r="E35" s="70"/>
      <c r="F35" s="70"/>
      <c r="G35" s="70"/>
      <c r="H35" s="69"/>
      <c r="I35" s="69"/>
      <c r="J35" s="71"/>
      <c r="K35" s="72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64</v>
      </c>
    </row>
  </sheetData>
  <sheetProtection sort="0" autoFilter="0"/>
  <dataConsolidate/>
  <mergeCells count="22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A20:B20"/>
    <mergeCell ref="A21:B21"/>
    <mergeCell ref="A22:B22"/>
    <mergeCell ref="A23:B23"/>
    <mergeCell ref="A24:B24"/>
    <mergeCell ref="D33:K34"/>
    <mergeCell ref="A28:B28"/>
    <mergeCell ref="A29:B29"/>
    <mergeCell ref="A30:B30"/>
    <mergeCell ref="A31:B31"/>
  </mergeCells>
  <conditionalFormatting sqref="C30">
    <cfRule type="cellIs" dxfId="1" priority="1" operator="equal">
      <formula>0</formula>
    </cfRule>
  </conditionalFormatting>
  <dataValidations count="1">
    <dataValidation allowBlank="1" showDropDown="1" showInputMessage="1" showErrorMessage="1" sqref="C9" xr:uid="{4F69556B-BED0-478F-8169-E0AEF4A42934}"/>
  </dataValidations>
  <printOptions horizontalCentered="1" verticalCentered="1"/>
  <pageMargins left="0" right="0" top="0" bottom="0" header="0" footer="0"/>
  <pageSetup paperSize="9" scale="47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7C26D-A568-47DF-8DFA-9B3280D749AE}">
  <sheetPr codeName="Sheet13">
    <pageSetUpPr fitToPage="1"/>
  </sheetPr>
  <dimension ref="A1:N38"/>
  <sheetViews>
    <sheetView zoomScale="43" zoomScaleNormal="71" zoomScaleSheetLayoutView="71" zoomScalePageLayoutView="50" workbookViewId="0">
      <selection activeCell="C26" sqref="C26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11.269531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8.7265625" style="1" customWidth="1"/>
    <col min="9" max="9" width="29.26953125" style="1" customWidth="1"/>
    <col min="10" max="10" width="16.54296875" style="1" customWidth="1"/>
    <col min="11" max="11" width="46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523" t="s">
        <v>28</v>
      </c>
      <c r="B4" s="524"/>
      <c r="C4" s="524"/>
      <c r="D4" s="524"/>
      <c r="E4" s="524"/>
      <c r="F4" s="524"/>
      <c r="G4" s="524"/>
      <c r="H4" s="524"/>
      <c r="I4" s="524"/>
      <c r="J4" s="524"/>
      <c r="K4" s="525"/>
    </row>
    <row r="5" spans="1:14" ht="24.75" customHeight="1" x14ac:dyDescent="0.6">
      <c r="A5" s="62"/>
      <c r="B5" s="63"/>
      <c r="C5" s="103" t="s">
        <v>91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86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105" t="s">
        <v>71</v>
      </c>
      <c r="E19" s="57"/>
      <c r="F19" s="36"/>
      <c r="G19" s="36"/>
      <c r="H19" s="15"/>
      <c r="I19" s="15"/>
      <c r="J19" s="113">
        <v>70</v>
      </c>
      <c r="K19" s="48"/>
    </row>
    <row r="20" spans="1:11" s="2" customFormat="1" ht="43.5" customHeight="1" x14ac:dyDescent="0.35">
      <c r="A20" s="526">
        <v>3</v>
      </c>
      <c r="B20" s="527"/>
      <c r="C20" s="96" t="s">
        <v>0</v>
      </c>
      <c r="D20" s="107" t="s">
        <v>72</v>
      </c>
      <c r="E20" s="60"/>
      <c r="F20" s="46"/>
      <c r="G20" s="46"/>
      <c r="H20" s="15"/>
      <c r="I20" s="15"/>
      <c r="J20" s="113">
        <v>1350</v>
      </c>
      <c r="K20" s="48"/>
    </row>
    <row r="21" spans="1:11" s="2" customFormat="1" ht="43.5" customHeight="1" x14ac:dyDescent="0.35">
      <c r="A21" s="513" t="s">
        <v>65</v>
      </c>
      <c r="B21" s="514"/>
      <c r="C21" s="85" t="s">
        <v>74</v>
      </c>
      <c r="D21" s="107" t="s">
        <v>72</v>
      </c>
      <c r="E21" s="57"/>
      <c r="F21" s="14"/>
      <c r="G21" s="14"/>
      <c r="H21" s="15"/>
      <c r="I21" s="15"/>
      <c r="J21" s="113">
        <v>43</v>
      </c>
      <c r="K21" s="48"/>
    </row>
    <row r="22" spans="1:11" s="2" customFormat="1" ht="43.5" customHeight="1" x14ac:dyDescent="0.35">
      <c r="A22" s="513" t="s">
        <v>66</v>
      </c>
      <c r="B22" s="514"/>
      <c r="C22" s="85" t="s">
        <v>75</v>
      </c>
      <c r="D22" s="107" t="s">
        <v>72</v>
      </c>
      <c r="E22" s="57"/>
      <c r="F22" s="14"/>
      <c r="G22" s="14"/>
      <c r="H22" s="15"/>
      <c r="I22" s="15"/>
      <c r="J22" s="113">
        <v>43</v>
      </c>
      <c r="K22" s="48"/>
    </row>
    <row r="23" spans="1:11" s="2" customFormat="1" ht="43.5" customHeight="1" x14ac:dyDescent="0.35">
      <c r="A23" s="515" t="s">
        <v>12</v>
      </c>
      <c r="B23" s="516"/>
      <c r="C23" s="84" t="s">
        <v>90</v>
      </c>
      <c r="D23" s="107" t="s">
        <v>72</v>
      </c>
      <c r="E23" s="57"/>
      <c r="F23" s="36"/>
      <c r="G23" s="36"/>
      <c r="H23" s="15"/>
      <c r="I23" s="15"/>
      <c r="J23" s="113">
        <v>15</v>
      </c>
      <c r="K23" s="48"/>
    </row>
    <row r="24" spans="1:11" s="2" customFormat="1" ht="43.5" customHeight="1" x14ac:dyDescent="0.35">
      <c r="A24" s="515" t="s">
        <v>14</v>
      </c>
      <c r="B24" s="516"/>
      <c r="C24" s="84" t="s">
        <v>50</v>
      </c>
      <c r="D24" s="107" t="s">
        <v>72</v>
      </c>
      <c r="E24" s="57"/>
      <c r="F24" s="14"/>
      <c r="G24" s="14"/>
      <c r="H24" s="15"/>
      <c r="I24" s="15"/>
      <c r="J24" s="113">
        <v>25</v>
      </c>
      <c r="K24" s="48"/>
    </row>
    <row r="25" spans="1:11" s="2" customFormat="1" ht="43.5" customHeight="1" x14ac:dyDescent="0.35">
      <c r="A25" s="515" t="s">
        <v>15</v>
      </c>
      <c r="B25" s="516"/>
      <c r="C25" s="84" t="s">
        <v>51</v>
      </c>
      <c r="D25" s="107" t="s">
        <v>72</v>
      </c>
      <c r="E25" s="57"/>
      <c r="F25" s="14"/>
      <c r="G25" s="14"/>
      <c r="H25" s="15"/>
      <c r="I25" s="15"/>
      <c r="J25" s="113">
        <v>25</v>
      </c>
      <c r="K25" s="48"/>
    </row>
    <row r="26" spans="1:11" s="2" customFormat="1" ht="43.5" customHeight="1" x14ac:dyDescent="0.35">
      <c r="A26" s="515">
        <v>9</v>
      </c>
      <c r="B26" s="516"/>
      <c r="C26" s="86" t="s">
        <v>22</v>
      </c>
      <c r="D26" s="108" t="s">
        <v>78</v>
      </c>
      <c r="E26" s="57"/>
      <c r="F26" s="14"/>
      <c r="G26" s="14"/>
      <c r="H26" s="15"/>
      <c r="I26" s="15"/>
      <c r="J26" s="113">
        <v>139</v>
      </c>
      <c r="K26" s="48"/>
    </row>
    <row r="27" spans="1:11" s="2" customFormat="1" ht="43.5" customHeight="1" x14ac:dyDescent="0.35">
      <c r="A27" s="515"/>
      <c r="B27" s="516"/>
      <c r="C27" s="86"/>
      <c r="D27" s="112"/>
      <c r="E27" s="57"/>
      <c r="F27" s="14"/>
      <c r="G27" s="14"/>
      <c r="H27" s="15"/>
      <c r="I27" s="15"/>
      <c r="J27" s="113"/>
      <c r="K27" s="48"/>
    </row>
    <row r="28" spans="1:11" s="2" customFormat="1" ht="43.5" customHeight="1" x14ac:dyDescent="0.35">
      <c r="A28" s="513"/>
      <c r="B28" s="514"/>
      <c r="C28" s="85"/>
      <c r="D28" s="109"/>
      <c r="E28" s="57"/>
      <c r="F28" s="14"/>
      <c r="G28" s="14"/>
      <c r="H28" s="15"/>
      <c r="I28" s="15"/>
      <c r="J28" s="16"/>
      <c r="K28" s="48"/>
    </row>
    <row r="29" spans="1:11" s="2" customFormat="1" ht="43.5" customHeight="1" x14ac:dyDescent="0.35">
      <c r="A29" s="513"/>
      <c r="B29" s="514"/>
      <c r="C29" s="85"/>
      <c r="D29" s="109"/>
      <c r="E29" s="57"/>
      <c r="F29" s="14"/>
      <c r="G29" s="14"/>
      <c r="H29" s="15"/>
      <c r="I29" s="15"/>
      <c r="J29" s="16"/>
      <c r="K29" s="48"/>
    </row>
    <row r="30" spans="1:11" s="2" customFormat="1" ht="43.5" customHeight="1" x14ac:dyDescent="0.35">
      <c r="A30" s="515"/>
      <c r="B30" s="516"/>
      <c r="C30" s="84"/>
      <c r="D30" s="111"/>
      <c r="E30" s="61"/>
      <c r="F30" s="14"/>
      <c r="G30" s="14"/>
      <c r="H30" s="15"/>
      <c r="I30" s="15"/>
      <c r="J30" s="16"/>
      <c r="K30" s="48"/>
    </row>
    <row r="31" spans="1:11" s="2" customFormat="1" ht="43.5" customHeight="1" x14ac:dyDescent="0.35">
      <c r="A31" s="515"/>
      <c r="B31" s="516"/>
      <c r="C31" s="86"/>
      <c r="D31" s="112"/>
      <c r="E31" s="61"/>
      <c r="F31" s="14"/>
      <c r="G31" s="14"/>
      <c r="H31" s="15"/>
      <c r="I31" s="15"/>
      <c r="J31" s="16"/>
      <c r="K31" s="48"/>
    </row>
    <row r="32" spans="1:11" ht="13.5" customHeight="1" x14ac:dyDescent="0.6">
      <c r="A32" s="99"/>
      <c r="B32" s="100"/>
      <c r="C32" s="87"/>
      <c r="D32" s="40"/>
      <c r="E32" s="40"/>
      <c r="F32" s="40"/>
      <c r="G32" s="40"/>
      <c r="H32" s="4"/>
      <c r="I32" s="4"/>
      <c r="J32" s="4"/>
      <c r="K32" s="5"/>
    </row>
    <row r="33" spans="1:11" ht="18.75" customHeight="1" x14ac:dyDescent="0.6">
      <c r="A33" s="104" t="s">
        <v>47</v>
      </c>
      <c r="B33" s="101"/>
      <c r="C33" s="90"/>
      <c r="D33" s="505" t="s">
        <v>55</v>
      </c>
      <c r="E33" s="505"/>
      <c r="F33" s="505"/>
      <c r="G33" s="505"/>
      <c r="H33" s="505"/>
      <c r="I33" s="505"/>
      <c r="J33" s="505"/>
      <c r="K33" s="506"/>
    </row>
    <row r="34" spans="1:11" ht="18.75" customHeight="1" x14ac:dyDescent="0.35">
      <c r="A34" s="6"/>
      <c r="B34" s="13"/>
      <c r="C34" s="13"/>
      <c r="D34" s="507"/>
      <c r="E34" s="507"/>
      <c r="F34" s="507"/>
      <c r="G34" s="507"/>
      <c r="H34" s="507"/>
      <c r="I34" s="507"/>
      <c r="J34" s="507"/>
      <c r="K34" s="508"/>
    </row>
    <row r="35" spans="1:11" ht="18.75" customHeight="1" x14ac:dyDescent="0.35">
      <c r="A35" s="68"/>
      <c r="B35" s="69"/>
      <c r="C35" s="69"/>
      <c r="D35" s="70"/>
      <c r="E35" s="70"/>
      <c r="F35" s="70"/>
      <c r="G35" s="70"/>
      <c r="H35" s="69"/>
      <c r="I35" s="69"/>
      <c r="J35" s="71"/>
      <c r="K35" s="72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20" x14ac:dyDescent="0.4">
      <c r="A38" s="20" t="s">
        <v>64</v>
      </c>
    </row>
  </sheetData>
  <sheetProtection sort="0" autoFilter="0"/>
  <dataConsolidate/>
  <mergeCells count="25">
    <mergeCell ref="F11:I11"/>
    <mergeCell ref="C2:K2"/>
    <mergeCell ref="C3:K3"/>
    <mergeCell ref="A4:K4"/>
    <mergeCell ref="C7:C8"/>
    <mergeCell ref="A8:B8"/>
    <mergeCell ref="A25:B25"/>
    <mergeCell ref="F12:I12"/>
    <mergeCell ref="F13:H13"/>
    <mergeCell ref="B15:K15"/>
    <mergeCell ref="B16:K16"/>
    <mergeCell ref="A17:B18"/>
    <mergeCell ref="A19:B19"/>
    <mergeCell ref="A20:B20"/>
    <mergeCell ref="A21:B21"/>
    <mergeCell ref="A22:B22"/>
    <mergeCell ref="A23:B23"/>
    <mergeCell ref="A24:B24"/>
    <mergeCell ref="D33:K34"/>
    <mergeCell ref="A26:B26"/>
    <mergeCell ref="A27:B27"/>
    <mergeCell ref="A28:B28"/>
    <mergeCell ref="A29:B29"/>
    <mergeCell ref="A30:B30"/>
    <mergeCell ref="A31:B31"/>
  </mergeCells>
  <conditionalFormatting sqref="C30">
    <cfRule type="cellIs" dxfId="0" priority="1" operator="equal">
      <formula>0</formula>
    </cfRule>
  </conditionalFormatting>
  <dataValidations count="1">
    <dataValidation allowBlank="1" showDropDown="1" showInputMessage="1" showErrorMessage="1" sqref="C9" xr:uid="{EB000E9E-CA83-46D8-B893-F1F112A20212}"/>
  </dataValidations>
  <printOptions horizontalCentered="1" verticalCentered="1"/>
  <pageMargins left="0" right="0" top="0" bottom="0" header="0" footer="0"/>
  <pageSetup paperSize="9" scale="12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F6623-ADE9-477E-AD9F-F6AC7EBD7FF2}">
  <sheetPr codeName="Sheet4">
    <pageSetUpPr fitToPage="1"/>
  </sheetPr>
  <dimension ref="A1:N42"/>
  <sheetViews>
    <sheetView view="pageBreakPreview" zoomScale="71" zoomScaleNormal="71" zoomScaleSheetLayoutView="71" zoomScalePageLayoutView="50" workbookViewId="0">
      <selection activeCell="A23" sqref="A23:B23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7.72656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6.7265625" style="1" customWidth="1"/>
    <col min="9" max="9" width="26.54296875" style="1" customWidth="1"/>
    <col min="10" max="10" width="17.54296875" style="1" customWidth="1"/>
    <col min="11" max="11" width="44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499" t="s">
        <v>28</v>
      </c>
      <c r="B4" s="500"/>
      <c r="C4" s="500"/>
      <c r="D4" s="500"/>
      <c r="E4" s="500"/>
      <c r="F4" s="500"/>
      <c r="G4" s="500"/>
      <c r="H4" s="500"/>
      <c r="I4" s="500"/>
      <c r="J4" s="500"/>
      <c r="K4" s="501"/>
    </row>
    <row r="5" spans="1:14" ht="24.75" customHeight="1" x14ac:dyDescent="0.6">
      <c r="A5" s="62"/>
      <c r="B5" s="63"/>
      <c r="C5" s="50" t="s">
        <v>52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40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81" t="s">
        <v>16</v>
      </c>
      <c r="E19" s="57"/>
      <c r="F19" s="36"/>
      <c r="G19" s="36"/>
      <c r="H19" s="15"/>
      <c r="I19" s="15"/>
      <c r="J19" s="16"/>
      <c r="K19" s="48"/>
    </row>
    <row r="20" spans="1:11" s="2" customFormat="1" ht="43.5" customHeight="1" x14ac:dyDescent="0.35">
      <c r="A20" s="515">
        <v>2</v>
      </c>
      <c r="B20" s="516"/>
      <c r="C20" s="96" t="s">
        <v>26</v>
      </c>
      <c r="D20" s="58" t="s">
        <v>45</v>
      </c>
      <c r="E20" s="60"/>
      <c r="F20" s="46"/>
      <c r="G20" s="46"/>
      <c r="H20" s="15"/>
      <c r="I20" s="15"/>
      <c r="J20" s="16"/>
      <c r="K20" s="48"/>
    </row>
    <row r="21" spans="1:11" s="2" customFormat="1" ht="43.5" customHeight="1" x14ac:dyDescent="0.35">
      <c r="A21" s="515">
        <v>3</v>
      </c>
      <c r="B21" s="516"/>
      <c r="C21" s="96" t="s">
        <v>0</v>
      </c>
      <c r="D21" s="82" t="s">
        <v>20</v>
      </c>
      <c r="E21" s="57"/>
      <c r="F21" s="14"/>
      <c r="G21" s="14"/>
      <c r="H21" s="15"/>
      <c r="I21" s="15"/>
      <c r="J21" s="16"/>
      <c r="K21" s="48"/>
    </row>
    <row r="22" spans="1:11" s="2" customFormat="1" ht="43.5" customHeight="1" x14ac:dyDescent="0.35">
      <c r="A22" s="515" t="s">
        <v>8</v>
      </c>
      <c r="B22" s="516"/>
      <c r="C22" s="84" t="s">
        <v>60</v>
      </c>
      <c r="D22" s="58" t="s">
        <v>45</v>
      </c>
      <c r="E22" s="57"/>
      <c r="F22" s="14"/>
      <c r="G22" s="14"/>
      <c r="H22" s="15"/>
      <c r="I22" s="15"/>
      <c r="J22" s="16"/>
      <c r="K22" s="48"/>
    </row>
    <row r="23" spans="1:11" s="2" customFormat="1" ht="43.5" customHeight="1" x14ac:dyDescent="0.35">
      <c r="A23" s="515" t="s">
        <v>9</v>
      </c>
      <c r="B23" s="516"/>
      <c r="C23" s="84" t="s">
        <v>61</v>
      </c>
      <c r="D23" s="58" t="s">
        <v>45</v>
      </c>
      <c r="E23" s="57"/>
      <c r="F23" s="14"/>
      <c r="G23" s="14"/>
      <c r="H23" s="15"/>
      <c r="I23" s="15"/>
      <c r="J23" s="16"/>
      <c r="K23" s="48"/>
    </row>
    <row r="24" spans="1:11" s="2" customFormat="1" ht="43.5" customHeight="1" x14ac:dyDescent="0.35">
      <c r="A24" s="515">
        <v>9</v>
      </c>
      <c r="B24" s="516"/>
      <c r="C24" s="86" t="s">
        <v>22</v>
      </c>
      <c r="D24" s="59" t="s">
        <v>23</v>
      </c>
      <c r="E24" s="61"/>
      <c r="F24" s="14"/>
      <c r="G24" s="14"/>
      <c r="H24" s="15"/>
      <c r="I24" s="15"/>
      <c r="J24" s="16"/>
      <c r="K24" s="48"/>
    </row>
    <row r="25" spans="1:11" s="2" customFormat="1" ht="43.5" customHeight="1" x14ac:dyDescent="0.35">
      <c r="A25" s="97"/>
      <c r="B25" s="98"/>
      <c r="C25" s="86"/>
      <c r="D25" s="61"/>
      <c r="E25" s="61"/>
      <c r="F25" s="14"/>
      <c r="G25" s="14"/>
      <c r="H25" s="15"/>
      <c r="I25" s="15"/>
      <c r="J25" s="16"/>
      <c r="K25" s="48"/>
    </row>
    <row r="26" spans="1:11" s="2" customFormat="1" ht="43.5" customHeight="1" x14ac:dyDescent="0.35">
      <c r="A26" s="97"/>
      <c r="B26" s="98"/>
      <c r="C26" s="86"/>
      <c r="D26" s="61"/>
      <c r="E26" s="61"/>
      <c r="F26" s="14"/>
      <c r="G26" s="14"/>
      <c r="H26" s="15"/>
      <c r="I26" s="15"/>
      <c r="J26" s="16"/>
      <c r="K26" s="48"/>
    </row>
    <row r="27" spans="1:11" s="2" customFormat="1" ht="43.5" customHeight="1" x14ac:dyDescent="0.35">
      <c r="A27" s="97"/>
      <c r="B27" s="98"/>
      <c r="C27" s="86"/>
      <c r="D27" s="61"/>
      <c r="E27" s="61"/>
      <c r="F27" s="14"/>
      <c r="G27" s="14"/>
      <c r="H27" s="15"/>
      <c r="I27" s="15"/>
      <c r="J27" s="16"/>
      <c r="K27" s="48"/>
    </row>
    <row r="28" spans="1:11" s="2" customFormat="1" ht="43.5" customHeight="1" x14ac:dyDescent="0.35">
      <c r="A28" s="97"/>
      <c r="B28" s="98"/>
      <c r="C28" s="86"/>
      <c r="D28" s="61"/>
      <c r="E28" s="61"/>
      <c r="F28" s="14"/>
      <c r="G28" s="14"/>
      <c r="H28" s="15"/>
      <c r="I28" s="15"/>
      <c r="J28" s="16"/>
      <c r="K28" s="48"/>
    </row>
    <row r="29" spans="1:11" s="2" customFormat="1" ht="43.5" customHeight="1" x14ac:dyDescent="0.35">
      <c r="A29" s="528" t="s">
        <v>46</v>
      </c>
      <c r="B29" s="529"/>
      <c r="C29" s="89"/>
      <c r="D29" s="14" t="s">
        <v>46</v>
      </c>
      <c r="E29" s="14"/>
      <c r="F29" s="14"/>
      <c r="G29" s="14"/>
      <c r="H29" s="15"/>
      <c r="I29" s="15"/>
      <c r="J29" s="16"/>
      <c r="K29" s="48"/>
    </row>
    <row r="30" spans="1:11" ht="13.5" customHeight="1" x14ac:dyDescent="0.35">
      <c r="A30" s="3"/>
      <c r="B30" s="4"/>
      <c r="C30" s="4"/>
      <c r="D30" s="40"/>
      <c r="E30" s="40"/>
      <c r="F30" s="40"/>
      <c r="G30" s="40"/>
      <c r="H30" s="4"/>
      <c r="I30" s="4"/>
      <c r="J30" s="4"/>
      <c r="K30" s="5"/>
    </row>
    <row r="31" spans="1:11" ht="18.75" customHeight="1" x14ac:dyDescent="0.4">
      <c r="A31" s="65" t="s">
        <v>47</v>
      </c>
      <c r="B31" s="66"/>
      <c r="C31" s="67"/>
      <c r="D31" s="505" t="s">
        <v>55</v>
      </c>
      <c r="E31" s="505"/>
      <c r="F31" s="505"/>
      <c r="G31" s="505"/>
      <c r="H31" s="505"/>
      <c r="I31" s="505"/>
      <c r="J31" s="505"/>
      <c r="K31" s="506"/>
    </row>
    <row r="32" spans="1:11" ht="18.75" customHeight="1" x14ac:dyDescent="0.35">
      <c r="A32" s="6"/>
      <c r="B32" s="13"/>
      <c r="C32" s="13"/>
      <c r="D32" s="507"/>
      <c r="E32" s="507"/>
      <c r="F32" s="507"/>
      <c r="G32" s="507"/>
      <c r="H32" s="507"/>
      <c r="I32" s="507"/>
      <c r="J32" s="507"/>
      <c r="K32" s="508"/>
    </row>
    <row r="33" spans="1:11" ht="18.75" customHeight="1" x14ac:dyDescent="0.35">
      <c r="A33" s="68"/>
      <c r="B33" s="69"/>
      <c r="C33" s="69"/>
      <c r="D33" s="70"/>
      <c r="E33" s="70"/>
      <c r="F33" s="70"/>
      <c r="G33" s="70"/>
      <c r="H33" s="69"/>
      <c r="I33" s="69"/>
      <c r="J33" s="71"/>
      <c r="K33" s="72"/>
    </row>
    <row r="34" spans="1:11" ht="18.75" customHeight="1" x14ac:dyDescent="0.25">
      <c r="A34" s="73"/>
      <c r="B34" s="74"/>
      <c r="C34" s="74"/>
      <c r="D34" s="74"/>
      <c r="E34" s="74"/>
      <c r="F34" s="74"/>
      <c r="G34" s="74"/>
      <c r="H34" s="74"/>
      <c r="I34" s="74"/>
      <c r="J34" s="74"/>
      <c r="K34" s="75"/>
    </row>
    <row r="35" spans="1:11" ht="18.75" customHeight="1" x14ac:dyDescent="0.25">
      <c r="A35" s="73"/>
      <c r="B35" s="74"/>
      <c r="C35" s="74"/>
      <c r="D35" s="74"/>
      <c r="E35" s="74"/>
      <c r="F35" s="74"/>
      <c r="G35" s="74"/>
      <c r="H35" s="74"/>
      <c r="I35" s="74"/>
      <c r="J35" s="74"/>
      <c r="K35" s="75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3"/>
      <c r="B37" s="74"/>
      <c r="C37" s="74"/>
      <c r="D37" s="74"/>
      <c r="E37" s="74"/>
      <c r="F37" s="74"/>
      <c r="G37" s="74"/>
      <c r="H37" s="74"/>
      <c r="I37" s="74"/>
      <c r="J37" s="74"/>
      <c r="K37" s="75"/>
    </row>
    <row r="38" spans="1:11" ht="18.75" customHeight="1" x14ac:dyDescent="0.25">
      <c r="A38" s="73"/>
      <c r="B38" s="74"/>
      <c r="C38" s="74"/>
      <c r="D38" s="74"/>
      <c r="E38" s="74"/>
      <c r="F38" s="74"/>
      <c r="G38" s="74"/>
      <c r="H38" s="74"/>
      <c r="I38" s="74"/>
      <c r="J38" s="74"/>
      <c r="K38" s="75"/>
    </row>
    <row r="39" spans="1:11" ht="18.75" customHeight="1" x14ac:dyDescent="0.25">
      <c r="A39" s="7"/>
      <c r="B39" s="8"/>
      <c r="C39" s="8"/>
      <c r="D39" s="8"/>
      <c r="E39" s="8"/>
      <c r="F39" s="8"/>
      <c r="G39" s="8"/>
      <c r="H39" s="8"/>
      <c r="I39" s="8"/>
      <c r="J39" s="8"/>
      <c r="K39" s="9"/>
    </row>
    <row r="40" spans="1:11" ht="18.75" customHeight="1" x14ac:dyDescent="0.25">
      <c r="A40" s="12"/>
      <c r="K40" s="10"/>
    </row>
    <row r="41" spans="1:11" ht="18.75" customHeight="1" x14ac:dyDescent="0.4">
      <c r="A41" s="20" t="s">
        <v>62</v>
      </c>
      <c r="K41" s="10"/>
    </row>
    <row r="42" spans="1:11" ht="18.75" customHeight="1" x14ac:dyDescent="0.25">
      <c r="A42" s="7"/>
      <c r="B42" s="8"/>
      <c r="C42" s="8"/>
      <c r="D42" s="8"/>
      <c r="E42" s="8"/>
      <c r="F42" s="8"/>
      <c r="G42" s="8"/>
      <c r="H42" s="8"/>
      <c r="I42" s="8"/>
      <c r="J42" s="8"/>
      <c r="K42" s="9"/>
    </row>
  </sheetData>
  <sheetProtection sort="0" autoFilter="0"/>
  <dataConsolidate/>
  <mergeCells count="19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D31:K32"/>
    <mergeCell ref="A24:B24"/>
    <mergeCell ref="A29:B29"/>
    <mergeCell ref="A20:B20"/>
    <mergeCell ref="A21:B21"/>
    <mergeCell ref="A22:B22"/>
    <mergeCell ref="A23:B23"/>
  </mergeCells>
  <dataValidations disablePrompts="1" count="1">
    <dataValidation allowBlank="1" showDropDown="1" showInputMessage="1" showErrorMessage="1" sqref="C9" xr:uid="{613CCD6F-FED7-4C89-9A2A-D908AC6E5723}"/>
  </dataValidations>
  <printOptions horizontalCentered="1" verticalCentered="1"/>
  <pageMargins left="0.25" right="0.25" top="0.25" bottom="0.25" header="0" footer="0"/>
  <pageSetup paperSize="9" scale="4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5F4AF-8D95-46E8-AD57-8C7C2F67D9F7}">
  <sheetPr codeName="Sheet6">
    <pageSetUpPr fitToPage="1"/>
  </sheetPr>
  <dimension ref="A1:N41"/>
  <sheetViews>
    <sheetView view="pageBreakPreview" zoomScale="71" zoomScaleNormal="71" zoomScaleSheetLayoutView="71" zoomScalePageLayoutView="50" workbookViewId="0">
      <selection activeCell="C22" sqref="C22"/>
    </sheetView>
  </sheetViews>
  <sheetFormatPr defaultColWidth="7" defaultRowHeight="12.5" x14ac:dyDescent="0.25"/>
  <cols>
    <col min="1" max="1" width="4.54296875" style="1" customWidth="1"/>
    <col min="2" max="2" width="5.7265625" style="1" customWidth="1"/>
    <col min="3" max="3" width="99.26953125" style="1" customWidth="1"/>
    <col min="4" max="4" width="7.7265625" style="1" customWidth="1"/>
    <col min="5" max="5" width="24.453125" style="1" customWidth="1"/>
    <col min="6" max="6" width="15.26953125" style="1" customWidth="1"/>
    <col min="7" max="7" width="14.26953125" style="1" customWidth="1"/>
    <col min="8" max="8" width="16.7265625" style="1" customWidth="1"/>
    <col min="9" max="9" width="26.54296875" style="1" customWidth="1"/>
    <col min="10" max="10" width="17.54296875" style="1" customWidth="1"/>
    <col min="11" max="11" width="44.7265625" style="1" customWidth="1"/>
    <col min="12" max="16384" width="7" style="1"/>
  </cols>
  <sheetData>
    <row r="1" spans="1:14" ht="21" customHeight="1" x14ac:dyDescent="0.3">
      <c r="A1" s="42"/>
      <c r="B1" s="43"/>
      <c r="C1" s="43"/>
      <c r="D1" s="43"/>
      <c r="E1" s="43"/>
      <c r="F1" s="43"/>
      <c r="G1" s="43"/>
      <c r="H1" s="43"/>
      <c r="I1" s="43"/>
      <c r="J1" s="43"/>
      <c r="K1" s="83" t="s">
        <v>59</v>
      </c>
    </row>
    <row r="2" spans="1:14" ht="24.75" customHeight="1" x14ac:dyDescent="0.5">
      <c r="A2" s="79"/>
      <c r="B2" s="11"/>
      <c r="C2" s="495" t="s">
        <v>63</v>
      </c>
      <c r="D2" s="495"/>
      <c r="E2" s="495"/>
      <c r="F2" s="495"/>
      <c r="G2" s="495"/>
      <c r="H2" s="495"/>
      <c r="I2" s="495"/>
      <c r="J2" s="495"/>
      <c r="K2" s="496"/>
    </row>
    <row r="3" spans="1:14" ht="24.75" customHeight="1" x14ac:dyDescent="0.5">
      <c r="A3" s="12"/>
      <c r="B3" s="11"/>
      <c r="C3" s="497"/>
      <c r="D3" s="497"/>
      <c r="E3" s="497"/>
      <c r="F3" s="497"/>
      <c r="G3" s="497"/>
      <c r="H3" s="497"/>
      <c r="I3" s="497"/>
      <c r="J3" s="497"/>
      <c r="K3" s="498"/>
    </row>
    <row r="4" spans="1:14" ht="24.75" customHeight="1" x14ac:dyDescent="0.25">
      <c r="A4" s="499" t="s">
        <v>28</v>
      </c>
      <c r="B4" s="500"/>
      <c r="C4" s="500"/>
      <c r="D4" s="500"/>
      <c r="E4" s="500"/>
      <c r="F4" s="500"/>
      <c r="G4" s="500"/>
      <c r="H4" s="500"/>
      <c r="I4" s="500"/>
      <c r="J4" s="500"/>
      <c r="K4" s="501"/>
    </row>
    <row r="5" spans="1:14" ht="24.75" customHeight="1" x14ac:dyDescent="0.6">
      <c r="A5" s="62"/>
      <c r="B5" s="63"/>
      <c r="C5" s="50" t="s">
        <v>53</v>
      </c>
      <c r="D5" s="49"/>
      <c r="E5" s="49"/>
      <c r="F5" s="52"/>
      <c r="G5" s="52"/>
      <c r="H5" s="51"/>
      <c r="I5" s="49"/>
      <c r="J5" s="49"/>
      <c r="K5" s="64"/>
    </row>
    <row r="6" spans="1:14" s="13" customFormat="1" ht="24.75" customHeight="1" x14ac:dyDescent="0.4">
      <c r="A6" s="20"/>
      <c r="B6" s="21"/>
      <c r="C6" s="30"/>
      <c r="D6" s="35"/>
      <c r="E6" s="35"/>
      <c r="F6" s="35"/>
      <c r="G6" s="35"/>
      <c r="H6" s="35"/>
      <c r="I6" s="37"/>
      <c r="J6" s="32"/>
      <c r="K6" s="33"/>
    </row>
    <row r="7" spans="1:14" ht="16" customHeight="1" x14ac:dyDescent="0.4">
      <c r="A7" s="23"/>
      <c r="B7" s="21"/>
      <c r="C7" s="502"/>
      <c r="D7" s="21"/>
      <c r="E7" s="21"/>
      <c r="F7" s="21"/>
      <c r="G7" s="21"/>
      <c r="H7" s="21"/>
      <c r="I7" s="21"/>
      <c r="J7" s="21"/>
      <c r="K7" s="22"/>
    </row>
    <row r="8" spans="1:14" ht="26.15" customHeight="1" x14ac:dyDescent="0.4">
      <c r="A8" s="503"/>
      <c r="B8" s="504"/>
      <c r="C8" s="502"/>
      <c r="D8" s="25"/>
      <c r="E8" s="25"/>
      <c r="F8" s="25"/>
      <c r="G8" s="25"/>
      <c r="H8" s="25"/>
      <c r="I8" s="25"/>
      <c r="J8" s="25"/>
      <c r="K8" s="26"/>
    </row>
    <row r="9" spans="1:14" ht="26.15" customHeight="1" x14ac:dyDescent="0.4">
      <c r="A9" s="44"/>
      <c r="B9" s="45"/>
      <c r="C9" s="24"/>
      <c r="D9" s="25"/>
      <c r="E9" s="25"/>
      <c r="F9" s="25"/>
      <c r="G9" s="25"/>
      <c r="H9" s="25"/>
      <c r="I9" s="25"/>
      <c r="J9" s="25"/>
      <c r="K9" s="26"/>
    </row>
    <row r="10" spans="1:14" ht="24.75" customHeight="1" x14ac:dyDescent="0.4">
      <c r="A10" s="27"/>
      <c r="B10" s="25"/>
      <c r="C10" s="41"/>
      <c r="D10" s="25"/>
      <c r="E10" s="25"/>
      <c r="F10" s="76" t="s">
        <v>29</v>
      </c>
      <c r="G10" s="76"/>
      <c r="H10" s="25"/>
      <c r="I10" s="76"/>
      <c r="J10" s="76"/>
      <c r="K10" s="26"/>
    </row>
    <row r="11" spans="1:14" ht="24.75" customHeight="1" x14ac:dyDescent="0.4">
      <c r="A11" s="27"/>
      <c r="B11" s="25"/>
      <c r="C11" s="41"/>
      <c r="D11" s="25"/>
      <c r="E11" s="25"/>
      <c r="F11" s="517" t="s">
        <v>30</v>
      </c>
      <c r="G11" s="517"/>
      <c r="H11" s="517"/>
      <c r="I11" s="517"/>
      <c r="J11" s="76"/>
      <c r="K11" s="26"/>
    </row>
    <row r="12" spans="1:14" ht="24.75" customHeight="1" x14ac:dyDescent="0.5">
      <c r="A12" s="29"/>
      <c r="B12" s="21"/>
      <c r="C12" s="21"/>
      <c r="D12" s="21"/>
      <c r="E12" s="21"/>
      <c r="F12" s="517" t="s">
        <v>31</v>
      </c>
      <c r="G12" s="517"/>
      <c r="H12" s="517"/>
      <c r="I12" s="517"/>
      <c r="J12" s="78"/>
      <c r="K12" s="56"/>
    </row>
    <row r="13" spans="1:14" ht="24.75" customHeight="1" x14ac:dyDescent="0.5">
      <c r="A13" s="29"/>
      <c r="B13" s="21"/>
      <c r="C13" s="21"/>
      <c r="D13" s="21"/>
      <c r="E13" s="21"/>
      <c r="F13" s="518" t="s">
        <v>32</v>
      </c>
      <c r="G13" s="518"/>
      <c r="H13" s="518"/>
      <c r="I13" s="80"/>
      <c r="J13" s="25"/>
      <c r="K13" s="56"/>
    </row>
    <row r="14" spans="1:14" ht="24.75" customHeight="1" x14ac:dyDescent="0.5">
      <c r="A14" s="29"/>
      <c r="B14" s="21"/>
      <c r="C14" s="21"/>
      <c r="D14" s="21"/>
      <c r="E14" s="21"/>
      <c r="F14" s="21"/>
      <c r="G14" s="21"/>
      <c r="H14" s="21"/>
      <c r="I14" s="21"/>
      <c r="J14" s="25"/>
      <c r="K14" s="28"/>
    </row>
    <row r="15" spans="1:14" ht="24.75" customHeight="1" x14ac:dyDescent="0.5">
      <c r="A15" s="53"/>
      <c r="B15" s="519" t="s">
        <v>33</v>
      </c>
      <c r="C15" s="519"/>
      <c r="D15" s="519"/>
      <c r="E15" s="519"/>
      <c r="F15" s="519"/>
      <c r="G15" s="519"/>
      <c r="H15" s="519"/>
      <c r="I15" s="519"/>
      <c r="J15" s="519"/>
      <c r="K15" s="520"/>
      <c r="L15" s="55"/>
      <c r="M15" s="55"/>
      <c r="N15" s="55"/>
    </row>
    <row r="16" spans="1:14" ht="24.75" customHeight="1" x14ac:dyDescent="0.5">
      <c r="A16" s="54"/>
      <c r="B16" s="521" t="s">
        <v>34</v>
      </c>
      <c r="C16" s="521"/>
      <c r="D16" s="521"/>
      <c r="E16" s="521"/>
      <c r="F16" s="521"/>
      <c r="G16" s="521"/>
      <c r="H16" s="521"/>
      <c r="I16" s="521"/>
      <c r="J16" s="521"/>
      <c r="K16" s="522"/>
      <c r="L16" s="55"/>
      <c r="M16" s="55"/>
      <c r="N16" s="55"/>
    </row>
    <row r="17" spans="1:11" ht="65.25" customHeight="1" x14ac:dyDescent="0.25">
      <c r="A17" s="509" t="s">
        <v>54</v>
      </c>
      <c r="B17" s="510"/>
      <c r="C17" s="92" t="s">
        <v>35</v>
      </c>
      <c r="D17" s="17" t="s">
        <v>24</v>
      </c>
      <c r="E17" s="91" t="s">
        <v>57</v>
      </c>
      <c r="F17" s="17" t="s">
        <v>36</v>
      </c>
      <c r="G17" s="91" t="s">
        <v>37</v>
      </c>
      <c r="H17" s="77" t="s">
        <v>38</v>
      </c>
      <c r="I17" s="93" t="s">
        <v>39</v>
      </c>
      <c r="J17" s="34" t="s">
        <v>40</v>
      </c>
      <c r="K17" s="94" t="s">
        <v>189</v>
      </c>
    </row>
    <row r="18" spans="1:11" s="19" customFormat="1" ht="64.5" customHeight="1" x14ac:dyDescent="0.25">
      <c r="A18" s="511"/>
      <c r="B18" s="512"/>
      <c r="C18" s="31"/>
      <c r="D18" s="18" t="s">
        <v>25</v>
      </c>
      <c r="E18" s="18" t="s">
        <v>58</v>
      </c>
      <c r="F18" s="18" t="s">
        <v>41</v>
      </c>
      <c r="G18" s="18" t="s">
        <v>42</v>
      </c>
      <c r="H18" s="39" t="s">
        <v>43</v>
      </c>
      <c r="I18" s="38" t="s">
        <v>44</v>
      </c>
      <c r="J18" s="47" t="s">
        <v>187</v>
      </c>
      <c r="K18" s="18" t="s">
        <v>188</v>
      </c>
    </row>
    <row r="19" spans="1:11" s="2" customFormat="1" ht="43.5" customHeight="1" x14ac:dyDescent="0.35">
      <c r="A19" s="515">
        <v>1</v>
      </c>
      <c r="B19" s="516"/>
      <c r="C19" s="95" t="s">
        <v>21</v>
      </c>
      <c r="D19" s="81" t="s">
        <v>16</v>
      </c>
      <c r="E19" s="57"/>
      <c r="F19" s="36"/>
      <c r="G19" s="36"/>
      <c r="H19" s="15"/>
      <c r="I19" s="15"/>
      <c r="J19" s="16"/>
      <c r="K19" s="48"/>
    </row>
    <row r="20" spans="1:11" s="2" customFormat="1" ht="43.5" customHeight="1" x14ac:dyDescent="0.35">
      <c r="A20" s="515">
        <v>2</v>
      </c>
      <c r="B20" s="516"/>
      <c r="C20" s="96" t="s">
        <v>26</v>
      </c>
      <c r="D20" s="58" t="s">
        <v>45</v>
      </c>
      <c r="E20" s="60"/>
      <c r="F20" s="46"/>
      <c r="G20" s="46"/>
      <c r="H20" s="15"/>
      <c r="I20" s="15"/>
      <c r="J20" s="16"/>
      <c r="K20" s="48"/>
    </row>
    <row r="21" spans="1:11" s="2" customFormat="1" ht="43.5" customHeight="1" x14ac:dyDescent="0.35">
      <c r="A21" s="515">
        <v>3</v>
      </c>
      <c r="B21" s="516"/>
      <c r="C21" s="96" t="s">
        <v>0</v>
      </c>
      <c r="D21" s="82" t="s">
        <v>20</v>
      </c>
      <c r="E21" s="57"/>
      <c r="F21" s="14"/>
      <c r="G21" s="14"/>
      <c r="H21" s="15"/>
      <c r="I21" s="15"/>
      <c r="J21" s="16"/>
      <c r="K21" s="48"/>
    </row>
    <row r="22" spans="1:11" s="2" customFormat="1" ht="43.5" customHeight="1" x14ac:dyDescent="0.35">
      <c r="A22" s="515">
        <v>4</v>
      </c>
      <c r="B22" s="516"/>
      <c r="C22" s="84" t="s">
        <v>27</v>
      </c>
      <c r="D22" s="58" t="s">
        <v>45</v>
      </c>
      <c r="E22" s="57"/>
      <c r="F22" s="14"/>
      <c r="G22" s="14"/>
      <c r="H22" s="15"/>
      <c r="I22" s="15"/>
      <c r="J22" s="16"/>
      <c r="K22" s="48"/>
    </row>
    <row r="23" spans="1:11" s="2" customFormat="1" ht="43.5" customHeight="1" x14ac:dyDescent="0.35">
      <c r="A23" s="515" t="s">
        <v>10</v>
      </c>
      <c r="B23" s="516"/>
      <c r="C23" s="84" t="s">
        <v>49</v>
      </c>
      <c r="D23" s="58" t="s">
        <v>45</v>
      </c>
      <c r="E23" s="57"/>
      <c r="F23" s="36"/>
      <c r="G23" s="36"/>
      <c r="H23" s="15"/>
      <c r="I23" s="15"/>
      <c r="J23" s="16"/>
      <c r="K23" s="48"/>
    </row>
    <row r="24" spans="1:11" s="2" customFormat="1" ht="43.5" customHeight="1" x14ac:dyDescent="0.35">
      <c r="A24" s="515" t="s">
        <v>11</v>
      </c>
      <c r="B24" s="516"/>
      <c r="C24" s="84" t="s">
        <v>2</v>
      </c>
      <c r="D24" s="58" t="s">
        <v>45</v>
      </c>
      <c r="E24" s="57"/>
      <c r="F24" s="14"/>
      <c r="G24" s="14"/>
      <c r="H24" s="15"/>
      <c r="I24" s="15"/>
      <c r="J24" s="16"/>
      <c r="K24" s="48"/>
    </row>
    <row r="25" spans="1:11" s="2" customFormat="1" ht="43.5" customHeight="1" x14ac:dyDescent="0.35">
      <c r="A25" s="515">
        <v>9</v>
      </c>
      <c r="B25" s="516"/>
      <c r="C25" s="86" t="s">
        <v>22</v>
      </c>
      <c r="D25" s="59" t="s">
        <v>23</v>
      </c>
      <c r="E25" s="61"/>
      <c r="F25" s="14"/>
      <c r="G25" s="14"/>
      <c r="H25" s="15"/>
      <c r="I25" s="15"/>
      <c r="J25" s="16"/>
      <c r="K25" s="48"/>
    </row>
    <row r="26" spans="1:11" s="2" customFormat="1" ht="43.5" customHeight="1" x14ac:dyDescent="0.35">
      <c r="A26" s="97"/>
      <c r="B26" s="98"/>
      <c r="C26" s="86"/>
      <c r="D26" s="61"/>
      <c r="E26" s="61"/>
      <c r="F26" s="14"/>
      <c r="G26" s="14"/>
      <c r="H26" s="15"/>
      <c r="I26" s="15"/>
      <c r="J26" s="16"/>
      <c r="K26" s="48"/>
    </row>
    <row r="27" spans="1:11" s="2" customFormat="1" ht="43.5" customHeight="1" x14ac:dyDescent="0.35">
      <c r="A27" s="528" t="s">
        <v>46</v>
      </c>
      <c r="B27" s="529"/>
      <c r="C27" s="85"/>
      <c r="D27" s="14" t="s">
        <v>46</v>
      </c>
      <c r="E27" s="14"/>
      <c r="F27" s="14"/>
      <c r="G27" s="14"/>
      <c r="H27" s="15"/>
      <c r="I27" s="15"/>
      <c r="J27" s="16"/>
      <c r="K27" s="48"/>
    </row>
    <row r="28" spans="1:11" ht="13.5" customHeight="1" x14ac:dyDescent="0.6">
      <c r="A28" s="99"/>
      <c r="B28" s="100"/>
      <c r="C28" s="87"/>
      <c r="D28" s="40"/>
      <c r="E28" s="40"/>
      <c r="F28" s="40"/>
      <c r="G28" s="40"/>
      <c r="H28" s="4"/>
      <c r="I28" s="4"/>
      <c r="J28" s="4"/>
      <c r="K28" s="5"/>
    </row>
    <row r="29" spans="1:11" ht="18.75" customHeight="1" x14ac:dyDescent="0.6">
      <c r="A29" s="88" t="s">
        <v>47</v>
      </c>
      <c r="B29" s="101"/>
      <c r="C29" s="90"/>
      <c r="D29" s="505" t="s">
        <v>55</v>
      </c>
      <c r="E29" s="505"/>
      <c r="F29" s="505"/>
      <c r="G29" s="505"/>
      <c r="H29" s="505"/>
      <c r="I29" s="505"/>
      <c r="J29" s="505"/>
      <c r="K29" s="506"/>
    </row>
    <row r="30" spans="1:11" ht="18.75" customHeight="1" x14ac:dyDescent="0.35">
      <c r="A30" s="6"/>
      <c r="B30" s="13"/>
      <c r="C30" s="13"/>
      <c r="D30" s="507"/>
      <c r="E30" s="507"/>
      <c r="F30" s="507"/>
      <c r="G30" s="507"/>
      <c r="H30" s="507"/>
      <c r="I30" s="507"/>
      <c r="J30" s="507"/>
      <c r="K30" s="508"/>
    </row>
    <row r="31" spans="1:11" ht="18.75" customHeight="1" x14ac:dyDescent="0.35">
      <c r="A31" s="68"/>
      <c r="B31" s="69"/>
      <c r="C31" s="69"/>
      <c r="D31" s="70"/>
      <c r="E31" s="70"/>
      <c r="F31" s="70"/>
      <c r="G31" s="70"/>
      <c r="H31" s="69"/>
      <c r="I31" s="69"/>
      <c r="J31" s="71"/>
      <c r="K31" s="72"/>
    </row>
    <row r="32" spans="1:11" ht="18.75" customHeight="1" x14ac:dyDescent="0.25">
      <c r="A32" s="73"/>
      <c r="B32" s="74"/>
      <c r="C32" s="74"/>
      <c r="D32" s="74"/>
      <c r="E32" s="74"/>
      <c r="F32" s="74"/>
      <c r="G32" s="74"/>
      <c r="H32" s="74"/>
      <c r="I32" s="74"/>
      <c r="J32" s="74"/>
      <c r="K32" s="75"/>
    </row>
    <row r="33" spans="1:11" ht="18.75" customHeight="1" x14ac:dyDescent="0.25">
      <c r="A33" s="73"/>
      <c r="B33" s="74"/>
      <c r="C33" s="74"/>
      <c r="D33" s="74"/>
      <c r="E33" s="74"/>
      <c r="F33" s="74"/>
      <c r="G33" s="74"/>
      <c r="H33" s="74"/>
      <c r="I33" s="74"/>
      <c r="J33" s="74"/>
      <c r="K33" s="75"/>
    </row>
    <row r="34" spans="1:11" ht="18.75" customHeight="1" x14ac:dyDescent="0.25">
      <c r="A34" s="73"/>
      <c r="B34" s="74"/>
      <c r="C34" s="74"/>
      <c r="D34" s="74"/>
      <c r="E34" s="74"/>
      <c r="F34" s="74"/>
      <c r="G34" s="74"/>
      <c r="H34" s="74"/>
      <c r="I34" s="74"/>
      <c r="J34" s="74"/>
      <c r="K34" s="75"/>
    </row>
    <row r="35" spans="1:11" ht="18.75" customHeight="1" x14ac:dyDescent="0.25">
      <c r="A35" s="73"/>
      <c r="B35" s="74"/>
      <c r="C35" s="74"/>
      <c r="D35" s="74"/>
      <c r="E35" s="74"/>
      <c r="F35" s="74"/>
      <c r="G35" s="74"/>
      <c r="H35" s="74"/>
      <c r="I35" s="74"/>
      <c r="J35" s="74"/>
      <c r="K35" s="75"/>
    </row>
    <row r="36" spans="1:11" ht="18.75" customHeight="1" x14ac:dyDescent="0.25">
      <c r="A36" s="73"/>
      <c r="B36" s="74"/>
      <c r="C36" s="74"/>
      <c r="D36" s="74"/>
      <c r="E36" s="74"/>
      <c r="F36" s="74"/>
      <c r="G36" s="74"/>
      <c r="H36" s="74"/>
      <c r="I36" s="74"/>
      <c r="J36" s="74"/>
      <c r="K36" s="75"/>
    </row>
    <row r="37" spans="1:11" ht="18.75" customHeight="1" x14ac:dyDescent="0.25">
      <c r="A37" s="7"/>
      <c r="B37" s="8"/>
      <c r="C37" s="8"/>
      <c r="D37" s="8"/>
      <c r="E37" s="8"/>
      <c r="F37" s="8"/>
      <c r="G37" s="8"/>
      <c r="H37" s="8"/>
      <c r="I37" s="8"/>
      <c r="J37" s="8"/>
      <c r="K37" s="9"/>
    </row>
    <row r="38" spans="1:11" ht="18.75" customHeight="1" x14ac:dyDescent="0.25">
      <c r="A38" s="12"/>
      <c r="K38" s="10"/>
    </row>
    <row r="39" spans="1:11" ht="18.75" customHeight="1" x14ac:dyDescent="0.35">
      <c r="A39" s="6" t="s">
        <v>48</v>
      </c>
      <c r="K39" s="10"/>
    </row>
    <row r="40" spans="1:11" ht="18.75" customHeight="1" x14ac:dyDescent="0.25">
      <c r="A40" s="7"/>
      <c r="B40" s="8"/>
      <c r="C40" s="8"/>
      <c r="D40" s="8"/>
      <c r="E40" s="8"/>
      <c r="F40" s="8"/>
      <c r="G40" s="8"/>
      <c r="H40" s="8"/>
      <c r="I40" s="8"/>
      <c r="J40" s="8"/>
      <c r="K40" s="9"/>
    </row>
    <row r="41" spans="1:11" ht="20" x14ac:dyDescent="0.4">
      <c r="A41" s="20" t="s">
        <v>62</v>
      </c>
    </row>
  </sheetData>
  <sheetProtection sort="0" autoFilter="0"/>
  <dataConsolidate/>
  <mergeCells count="20">
    <mergeCell ref="A19:B19"/>
    <mergeCell ref="C2:K2"/>
    <mergeCell ref="C3:K3"/>
    <mergeCell ref="A4:K4"/>
    <mergeCell ref="C7:C8"/>
    <mergeCell ref="A8:B8"/>
    <mergeCell ref="F11:I11"/>
    <mergeCell ref="F12:I12"/>
    <mergeCell ref="F13:H13"/>
    <mergeCell ref="B15:K15"/>
    <mergeCell ref="B16:K16"/>
    <mergeCell ref="A17:B18"/>
    <mergeCell ref="D29:K30"/>
    <mergeCell ref="A24:B24"/>
    <mergeCell ref="A25:B25"/>
    <mergeCell ref="A27:B27"/>
    <mergeCell ref="A20:B20"/>
    <mergeCell ref="A21:B21"/>
    <mergeCell ref="A22:B22"/>
    <mergeCell ref="A23:B23"/>
  </mergeCells>
  <dataValidations count="1">
    <dataValidation allowBlank="1" showDropDown="1" showInputMessage="1" showErrorMessage="1" sqref="C9" xr:uid="{F1497476-70C4-48AE-93B1-3CE6E4E7FC64}"/>
  </dataValidations>
  <printOptions horizontalCentered="1" verticalCentered="1"/>
  <pageMargins left="0.25" right="0.25" top="0.25" bottom="0.25" header="0" footer="0"/>
  <pageSetup paperSize="9" scale="47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A3FA9-9D2B-4E00-A77E-694D85DB6595}">
  <dimension ref="A1:I24"/>
  <sheetViews>
    <sheetView workbookViewId="0">
      <selection activeCell="G2" sqref="G2"/>
    </sheetView>
  </sheetViews>
  <sheetFormatPr defaultRowHeight="12.5" x14ac:dyDescent="0.25"/>
  <cols>
    <col min="1" max="1" width="42.7265625" customWidth="1"/>
    <col min="2" max="2" width="13.7265625" customWidth="1"/>
    <col min="3" max="3" width="9.81640625" customWidth="1"/>
    <col min="4" max="4" width="26" customWidth="1"/>
    <col min="5" max="5" width="19.81640625" style="410" bestFit="1" customWidth="1"/>
    <col min="14" max="14" width="14.26953125" bestFit="1" customWidth="1"/>
    <col min="25" max="25" width="14.26953125" bestFit="1" customWidth="1"/>
  </cols>
  <sheetData>
    <row r="1" spans="1:9" ht="13" thickBot="1" x14ac:dyDescent="0.3">
      <c r="A1" s="411" t="s">
        <v>898</v>
      </c>
      <c r="B1" s="411" t="s">
        <v>910</v>
      </c>
      <c r="C1" s="411" t="s">
        <v>917</v>
      </c>
      <c r="D1" s="411" t="s">
        <v>899</v>
      </c>
      <c r="E1" s="426" t="s">
        <v>900</v>
      </c>
      <c r="F1" s="411" t="s">
        <v>917</v>
      </c>
      <c r="G1" s="414" t="s">
        <v>918</v>
      </c>
    </row>
    <row r="2" spans="1:9" ht="33" customHeight="1" thickTop="1" thickBot="1" x14ac:dyDescent="0.3">
      <c r="A2" s="412" t="s">
        <v>867</v>
      </c>
      <c r="B2" s="412" t="s">
        <v>911</v>
      </c>
      <c r="C2" s="427"/>
      <c r="D2" s="412" t="s">
        <v>868</v>
      </c>
      <c r="E2" s="425" t="s">
        <v>901</v>
      </c>
      <c r="F2" s="420"/>
      <c r="G2" s="437">
        <v>150</v>
      </c>
      <c r="I2" s="436">
        <v>150</v>
      </c>
    </row>
    <row r="3" spans="1:9" ht="33" customHeight="1" thickTop="1" x14ac:dyDescent="0.25">
      <c r="A3" s="412" t="s">
        <v>869</v>
      </c>
      <c r="B3" s="412" t="s">
        <v>911</v>
      </c>
      <c r="C3" s="427"/>
      <c r="D3" s="412" t="s">
        <v>870</v>
      </c>
      <c r="E3" s="425" t="s">
        <v>902</v>
      </c>
      <c r="F3" s="421"/>
      <c r="G3" s="378"/>
    </row>
    <row r="4" spans="1:9" ht="33" customHeight="1" x14ac:dyDescent="0.25">
      <c r="A4" s="412" t="s">
        <v>871</v>
      </c>
      <c r="B4" s="412"/>
      <c r="C4" s="417"/>
      <c r="D4" s="412" t="s">
        <v>872</v>
      </c>
      <c r="E4" s="425" t="s">
        <v>903</v>
      </c>
      <c r="F4" s="433"/>
      <c r="G4" s="378"/>
    </row>
    <row r="5" spans="1:9" ht="33" customHeight="1" x14ac:dyDescent="0.25">
      <c r="A5" s="412" t="s">
        <v>369</v>
      </c>
      <c r="B5" s="412" t="s">
        <v>911</v>
      </c>
      <c r="C5" s="413"/>
      <c r="D5" s="412" t="s">
        <v>873</v>
      </c>
      <c r="E5" s="425" t="s">
        <v>904</v>
      </c>
      <c r="F5" s="424"/>
      <c r="G5" s="378"/>
    </row>
    <row r="6" spans="1:9" ht="33" customHeight="1" x14ac:dyDescent="0.25">
      <c r="A6" s="412" t="s">
        <v>874</v>
      </c>
      <c r="B6" s="412" t="s">
        <v>911</v>
      </c>
      <c r="C6" s="413"/>
      <c r="D6" s="412" t="s">
        <v>875</v>
      </c>
      <c r="E6" s="425" t="s">
        <v>904</v>
      </c>
      <c r="F6" s="424"/>
      <c r="G6" s="378"/>
    </row>
    <row r="7" spans="1:9" ht="33" customHeight="1" x14ac:dyDescent="0.25">
      <c r="A7" s="412" t="s">
        <v>876</v>
      </c>
      <c r="B7" s="412" t="s">
        <v>911</v>
      </c>
      <c r="C7" s="413"/>
      <c r="D7" s="412" t="s">
        <v>868</v>
      </c>
      <c r="E7" s="425" t="s">
        <v>901</v>
      </c>
      <c r="F7" s="420"/>
      <c r="G7" s="378"/>
    </row>
    <row r="8" spans="1:9" ht="33" customHeight="1" x14ac:dyDescent="0.25">
      <c r="A8" s="412" t="s">
        <v>877</v>
      </c>
      <c r="B8" s="412" t="s">
        <v>911</v>
      </c>
      <c r="C8" s="413"/>
      <c r="D8" s="412" t="s">
        <v>878</v>
      </c>
      <c r="E8" s="425" t="s">
        <v>905</v>
      </c>
      <c r="F8" s="422"/>
      <c r="G8" s="378"/>
    </row>
    <row r="9" spans="1:9" ht="33" customHeight="1" x14ac:dyDescent="0.25">
      <c r="A9" s="412" t="s">
        <v>879</v>
      </c>
      <c r="B9" s="412" t="s">
        <v>911</v>
      </c>
      <c r="C9" s="413"/>
      <c r="D9" s="412" t="s">
        <v>870</v>
      </c>
      <c r="E9" s="425" t="s">
        <v>902</v>
      </c>
      <c r="F9" s="421"/>
      <c r="G9" s="378"/>
    </row>
    <row r="10" spans="1:9" ht="33" customHeight="1" x14ac:dyDescent="0.25">
      <c r="A10" s="412" t="s">
        <v>880</v>
      </c>
      <c r="B10" s="412" t="s">
        <v>911</v>
      </c>
      <c r="C10" s="413"/>
      <c r="D10" s="412" t="s">
        <v>881</v>
      </c>
      <c r="E10" s="425" t="s">
        <v>906</v>
      </c>
      <c r="F10" s="421"/>
      <c r="G10" s="378"/>
    </row>
    <row r="11" spans="1:9" ht="33" customHeight="1" x14ac:dyDescent="0.25">
      <c r="A11" s="412" t="s">
        <v>371</v>
      </c>
      <c r="B11" s="412" t="s">
        <v>912</v>
      </c>
      <c r="C11" s="415"/>
      <c r="D11" s="412" t="s">
        <v>882</v>
      </c>
      <c r="E11" s="425" t="s">
        <v>907</v>
      </c>
      <c r="F11" s="428"/>
      <c r="G11" s="378"/>
    </row>
    <row r="12" spans="1:9" ht="33" customHeight="1" x14ac:dyDescent="0.25">
      <c r="A12" s="412" t="s">
        <v>883</v>
      </c>
      <c r="B12" s="412" t="s">
        <v>913</v>
      </c>
      <c r="C12" s="418"/>
      <c r="D12" s="412" t="s">
        <v>868</v>
      </c>
      <c r="E12" s="425" t="s">
        <v>901</v>
      </c>
      <c r="F12" s="420"/>
      <c r="G12" s="378"/>
    </row>
    <row r="13" spans="1:9" ht="33" customHeight="1" x14ac:dyDescent="0.25">
      <c r="A13" s="412" t="s">
        <v>884</v>
      </c>
      <c r="B13" s="412" t="s">
        <v>914</v>
      </c>
      <c r="C13" s="416"/>
      <c r="D13" s="412" t="s">
        <v>878</v>
      </c>
      <c r="E13" s="425" t="s">
        <v>905</v>
      </c>
      <c r="F13" s="422"/>
      <c r="G13" s="378"/>
    </row>
    <row r="14" spans="1:9" ht="33" customHeight="1" x14ac:dyDescent="0.25">
      <c r="A14" s="412" t="s">
        <v>885</v>
      </c>
      <c r="B14" s="412" t="s">
        <v>914</v>
      </c>
      <c r="C14" s="416"/>
      <c r="D14" s="412" t="s">
        <v>868</v>
      </c>
      <c r="E14" s="425" t="s">
        <v>901</v>
      </c>
      <c r="F14" s="420"/>
      <c r="G14" s="378"/>
    </row>
    <row r="15" spans="1:9" ht="33" customHeight="1" x14ac:dyDescent="0.25">
      <c r="A15" s="412" t="s">
        <v>886</v>
      </c>
      <c r="B15" s="412" t="s">
        <v>914</v>
      </c>
      <c r="C15" s="416"/>
      <c r="D15" s="412" t="s">
        <v>882</v>
      </c>
      <c r="E15" s="425" t="s">
        <v>907</v>
      </c>
      <c r="F15" s="428"/>
      <c r="G15" s="378"/>
    </row>
    <row r="16" spans="1:9" ht="33" customHeight="1" x14ac:dyDescent="0.25">
      <c r="A16" s="412" t="s">
        <v>887</v>
      </c>
      <c r="B16" s="412" t="s">
        <v>914</v>
      </c>
      <c r="C16" s="416"/>
      <c r="D16" s="412" t="s">
        <v>888</v>
      </c>
      <c r="E16" s="425" t="s">
        <v>908</v>
      </c>
      <c r="F16" s="423"/>
      <c r="G16" s="378"/>
    </row>
    <row r="17" spans="1:7" ht="33" customHeight="1" x14ac:dyDescent="0.25">
      <c r="A17" s="412" t="s">
        <v>889</v>
      </c>
      <c r="B17" s="412" t="s">
        <v>914</v>
      </c>
      <c r="C17" s="416"/>
      <c r="D17" s="412" t="s">
        <v>870</v>
      </c>
      <c r="E17" s="425" t="s">
        <v>902</v>
      </c>
      <c r="F17" s="421"/>
      <c r="G17" s="378"/>
    </row>
    <row r="18" spans="1:7" ht="33" customHeight="1" x14ac:dyDescent="0.25">
      <c r="A18" s="412" t="s">
        <v>890</v>
      </c>
      <c r="B18" s="412" t="s">
        <v>914</v>
      </c>
      <c r="C18" s="416"/>
      <c r="D18" s="412" t="s">
        <v>870</v>
      </c>
      <c r="E18" s="425" t="s">
        <v>902</v>
      </c>
      <c r="F18" s="421"/>
      <c r="G18" s="378"/>
    </row>
    <row r="19" spans="1:7" ht="33" customHeight="1" x14ac:dyDescent="0.25">
      <c r="A19" s="412" t="s">
        <v>891</v>
      </c>
      <c r="B19" s="412" t="s">
        <v>914</v>
      </c>
      <c r="C19" s="416"/>
      <c r="D19" s="412" t="s">
        <v>870</v>
      </c>
      <c r="E19" s="425" t="s">
        <v>902</v>
      </c>
      <c r="F19" s="421"/>
      <c r="G19" s="378"/>
    </row>
    <row r="20" spans="1:7" ht="33" customHeight="1" x14ac:dyDescent="0.25">
      <c r="A20" s="412" t="s">
        <v>892</v>
      </c>
      <c r="B20" s="412" t="s">
        <v>914</v>
      </c>
      <c r="C20" s="416"/>
      <c r="D20" s="412" t="s">
        <v>893</v>
      </c>
      <c r="E20" s="425" t="s">
        <v>909</v>
      </c>
      <c r="F20" s="429"/>
      <c r="G20" s="378"/>
    </row>
    <row r="21" spans="1:7" ht="33" customHeight="1" x14ac:dyDescent="0.25">
      <c r="A21" s="412" t="s">
        <v>894</v>
      </c>
      <c r="B21" s="412" t="s">
        <v>914</v>
      </c>
      <c r="C21" s="416"/>
      <c r="D21" s="412" t="s">
        <v>868</v>
      </c>
      <c r="E21" s="425" t="s">
        <v>901</v>
      </c>
      <c r="F21" s="420"/>
      <c r="G21" s="378"/>
    </row>
    <row r="22" spans="1:7" ht="33" customHeight="1" x14ac:dyDescent="0.25">
      <c r="A22" s="412" t="s">
        <v>895</v>
      </c>
      <c r="B22" s="412" t="s">
        <v>915</v>
      </c>
      <c r="C22" s="419"/>
      <c r="D22" s="412" t="s">
        <v>868</v>
      </c>
      <c r="E22" s="425" t="s">
        <v>901</v>
      </c>
      <c r="F22" s="420"/>
      <c r="G22" s="378"/>
    </row>
    <row r="23" spans="1:7" ht="33" customHeight="1" x14ac:dyDescent="0.25">
      <c r="A23" s="412" t="s">
        <v>896</v>
      </c>
      <c r="B23" s="412" t="s">
        <v>916</v>
      </c>
      <c r="C23" s="417"/>
      <c r="D23" s="412" t="s">
        <v>872</v>
      </c>
      <c r="E23" s="425" t="s">
        <v>903</v>
      </c>
      <c r="F23" s="433"/>
      <c r="G23" s="378"/>
    </row>
    <row r="24" spans="1:7" ht="33" customHeight="1" x14ac:dyDescent="0.25">
      <c r="A24" s="412" t="s">
        <v>897</v>
      </c>
      <c r="B24" s="412" t="s">
        <v>913</v>
      </c>
      <c r="C24" s="418"/>
      <c r="D24" s="412" t="s">
        <v>868</v>
      </c>
      <c r="E24" s="425" t="s">
        <v>901</v>
      </c>
      <c r="F24" s="420"/>
      <c r="G24" s="378"/>
    </row>
  </sheetData>
  <autoFilter ref="A1:E24" xr:uid="{C0EA3FA9-9D2B-4E00-A77E-694D85DB6595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43967-61D4-478A-8C6A-DFF2B5295372}">
  <dimension ref="A1:L19"/>
  <sheetViews>
    <sheetView showGridLines="0" showRowColHeaders="0" zoomScaleNormal="100" workbookViewId="0">
      <selection activeCell="T7" sqref="T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2.5" x14ac:dyDescent="0.25"/>
  <cols>
    <col min="1" max="1" width="14.7265625" bestFit="1" customWidth="1"/>
    <col min="2" max="12" width="6.81640625" customWidth="1"/>
  </cols>
  <sheetData>
    <row r="1" spans="1:12" ht="18" customHeight="1" x14ac:dyDescent="0.25">
      <c r="D1" s="412" t="s">
        <v>911</v>
      </c>
      <c r="E1" s="412"/>
      <c r="F1" s="412" t="s">
        <v>912</v>
      </c>
      <c r="G1" s="412"/>
      <c r="H1" s="412" t="s">
        <v>913</v>
      </c>
      <c r="I1" s="412"/>
      <c r="J1" s="412" t="s">
        <v>914</v>
      </c>
      <c r="K1" s="412"/>
      <c r="L1" s="412" t="s">
        <v>915</v>
      </c>
    </row>
    <row r="2" spans="1:12" ht="18" customHeight="1" x14ac:dyDescent="0.25">
      <c r="D2" s="434"/>
      <c r="F2" s="415"/>
      <c r="H2" s="455"/>
      <c r="J2" s="472"/>
      <c r="L2" s="419"/>
    </row>
    <row r="3" spans="1:12" ht="18" customHeight="1" thickBot="1" x14ac:dyDescent="0.3"/>
    <row r="4" spans="1:12" ht="18" customHeight="1" thickTop="1" thickBot="1" x14ac:dyDescent="0.3">
      <c r="A4" s="425" t="s">
        <v>901</v>
      </c>
      <c r="B4" s="420"/>
      <c r="D4" s="435"/>
      <c r="F4" s="441"/>
      <c r="H4" s="456"/>
      <c r="J4" s="473"/>
      <c r="L4" s="464"/>
    </row>
    <row r="5" spans="1:12" ht="18" customHeight="1" thickTop="1" thickBot="1" x14ac:dyDescent="0.3"/>
    <row r="6" spans="1:12" ht="18" customHeight="1" thickTop="1" thickBot="1" x14ac:dyDescent="0.3">
      <c r="A6" s="425" t="s">
        <v>902</v>
      </c>
      <c r="B6" s="430"/>
      <c r="D6" s="442"/>
      <c r="F6" s="448"/>
      <c r="H6" s="457"/>
      <c r="J6" s="474"/>
      <c r="L6" s="465"/>
    </row>
    <row r="7" spans="1:12" ht="18" customHeight="1" thickTop="1" thickBot="1" x14ac:dyDescent="0.3"/>
    <row r="8" spans="1:12" ht="18" customHeight="1" thickTop="1" thickBot="1" x14ac:dyDescent="0.3">
      <c r="A8" s="425" t="s">
        <v>903</v>
      </c>
      <c r="B8" s="417"/>
      <c r="D8" s="443"/>
      <c r="F8" s="449"/>
      <c r="H8" s="458"/>
      <c r="J8" s="475"/>
      <c r="L8" s="466"/>
    </row>
    <row r="9" spans="1:12" ht="18" customHeight="1" thickTop="1" thickBot="1" x14ac:dyDescent="0.3"/>
    <row r="10" spans="1:12" ht="18" customHeight="1" thickTop="1" thickBot="1" x14ac:dyDescent="0.3">
      <c r="A10" s="425" t="s">
        <v>904</v>
      </c>
      <c r="B10" s="432"/>
      <c r="D10" s="444"/>
      <c r="F10" s="450"/>
      <c r="H10" s="459"/>
      <c r="J10" s="476"/>
      <c r="L10" s="467"/>
    </row>
    <row r="11" spans="1:12" ht="18" customHeight="1" thickTop="1" thickBot="1" x14ac:dyDescent="0.3"/>
    <row r="12" spans="1:12" ht="18" customHeight="1" thickTop="1" thickBot="1" x14ac:dyDescent="0.3">
      <c r="A12" s="425" t="s">
        <v>905</v>
      </c>
      <c r="B12" s="422"/>
      <c r="D12" s="440"/>
      <c r="F12" s="451"/>
      <c r="H12" s="460"/>
      <c r="J12" s="477"/>
      <c r="L12" s="468"/>
    </row>
    <row r="13" spans="1:12" ht="18" customHeight="1" thickTop="1" thickBot="1" x14ac:dyDescent="0.3"/>
    <row r="14" spans="1:12" ht="18" customHeight="1" thickTop="1" thickBot="1" x14ac:dyDescent="0.3">
      <c r="A14" s="425" t="s">
        <v>907</v>
      </c>
      <c r="B14" s="438"/>
      <c r="D14" s="445"/>
      <c r="F14" s="452"/>
      <c r="H14" s="461"/>
      <c r="J14" s="478"/>
      <c r="L14" s="469"/>
    </row>
    <row r="15" spans="1:12" ht="18" customHeight="1" thickTop="1" thickBot="1" x14ac:dyDescent="0.3"/>
    <row r="16" spans="1:12" ht="18" customHeight="1" thickTop="1" thickBot="1" x14ac:dyDescent="0.3">
      <c r="A16" s="425" t="s">
        <v>908</v>
      </c>
      <c r="B16" s="431"/>
      <c r="D16" s="446"/>
      <c r="F16" s="453"/>
      <c r="H16" s="462"/>
      <c r="J16" s="479"/>
      <c r="L16" s="470"/>
    </row>
    <row r="17" spans="1:12" ht="18" customHeight="1" thickTop="1" thickBot="1" x14ac:dyDescent="0.3"/>
    <row r="18" spans="1:12" ht="18" customHeight="1" thickTop="1" thickBot="1" x14ac:dyDescent="0.3">
      <c r="A18" s="425" t="s">
        <v>909</v>
      </c>
      <c r="B18" s="439"/>
      <c r="D18" s="447"/>
      <c r="F18" s="454"/>
      <c r="H18" s="463"/>
      <c r="J18" s="480"/>
      <c r="L18" s="471"/>
    </row>
    <row r="19" spans="1:12" ht="13" thickTop="1" x14ac:dyDescent="0.25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91C16B46B96F4197AB52A29ECE1F3B" ma:contentTypeVersion="14" ma:contentTypeDescription="Create a new document." ma:contentTypeScope="" ma:versionID="5e537ab29c569075ad97aabf97b34318">
  <xsd:schema xmlns:xsd="http://www.w3.org/2001/XMLSchema" xmlns:xs="http://www.w3.org/2001/XMLSchema" xmlns:p="http://schemas.microsoft.com/office/2006/metadata/properties" xmlns:ns3="1d2291ba-c939-4039-8b44-571f7f512a84" xmlns:ns4="d7529220-dd0c-43c4-8d20-2b74dabcb8fb" targetNamespace="http://schemas.microsoft.com/office/2006/metadata/properties" ma:root="true" ma:fieldsID="59c66faa76b2978dff7add25da003e07" ns3:_="" ns4:_="">
    <xsd:import namespace="1d2291ba-c939-4039-8b44-571f7f512a84"/>
    <xsd:import namespace="d7529220-dd0c-43c4-8d20-2b74dabcb8f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2291ba-c939-4039-8b44-571f7f512a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29220-dd0c-43c4-8d20-2b74dabcb8f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24B56F-9AA5-4F83-9D53-8E0444412D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2291ba-c939-4039-8b44-571f7f512a84"/>
    <ds:schemaRef ds:uri="d7529220-dd0c-43c4-8d20-2b74dabcb8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B57B7F2-4E92-47B3-9703-83FA31D44F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EEFDC3-423B-496F-A877-FCFC10F9066C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1d2291ba-c939-4039-8b44-571f7f512a84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  <ds:schemaRef ds:uri="d7529220-dd0c-43c4-8d20-2b74dabcb8fb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11</vt:i4>
      </vt:variant>
    </vt:vector>
  </HeadingPairs>
  <TitlesOfParts>
    <vt:vector size="27" baseType="lpstr">
      <vt:lpstr>Label</vt:lpstr>
      <vt:lpstr>Data</vt:lpstr>
      <vt:lpstr>Summary</vt:lpstr>
      <vt:lpstr>Comparison</vt:lpstr>
      <vt:lpstr>Lube Frequency BMSK</vt:lpstr>
      <vt:lpstr>Lube Legend</vt:lpstr>
      <vt:lpstr>HM400-3MO</vt:lpstr>
      <vt:lpstr>NHL TR60</vt:lpstr>
      <vt:lpstr>PC800-8EO</vt:lpstr>
      <vt:lpstr>PC2000-8</vt:lpstr>
      <vt:lpstr>D9R</vt:lpstr>
      <vt:lpstr>EX1200</vt:lpstr>
      <vt:lpstr>K D275</vt:lpstr>
      <vt:lpstr>KGD825-2</vt:lpstr>
      <vt:lpstr>Indicator</vt:lpstr>
      <vt:lpstr>Template indicator</vt:lpstr>
      <vt:lpstr>D9R!Print_Area</vt:lpstr>
      <vt:lpstr>Data!Print_Area</vt:lpstr>
      <vt:lpstr>'EX1200'!Print_Area</vt:lpstr>
      <vt:lpstr>'HM400-3MO'!Print_Area</vt:lpstr>
      <vt:lpstr>'K D275'!Print_Area</vt:lpstr>
      <vt:lpstr>'KGD825-2'!Print_Area</vt:lpstr>
      <vt:lpstr>Label!Print_Area</vt:lpstr>
      <vt:lpstr>'Lube Frequency BMSK'!Print_Area</vt:lpstr>
      <vt:lpstr>'NHL TR60'!Print_Area</vt:lpstr>
      <vt:lpstr>'PC2000-8'!Print_Area</vt:lpstr>
      <vt:lpstr>'PC800-8EO'!Print_Area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2015-12-18T04:53:11Z</dcterms:created>
  <dcterms:modified xsi:type="dcterms:W3CDTF">2026-08-22T03:18:22Z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0x0101006891C16B46B96F4197AB52A29ECE1F3B</vt:lpwstr>
  </property>
</Properties>
</file>