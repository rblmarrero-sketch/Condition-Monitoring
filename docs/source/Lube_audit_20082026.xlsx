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.gomez\Desktop\"/>
    </mc:Choice>
  </mc:AlternateContent>
  <xr:revisionPtr revIDLastSave="0" documentId="8_{F9124739-304B-4884-84ED-A7D5C7B04D4C}" xr6:coauthVersionLast="47" xr6:coauthVersionMax="47" xr10:uidLastSave="{00000000-0000-0000-0000-000000000000}"/>
  <bookViews>
    <workbookView xWindow="-38520" yWindow="-120" windowWidth="38640" windowHeight="21120" tabRatio="520" activeTab="1" xr2:uid="{6251A129-6FF2-420F-A40F-3C71A4B1D93A}"/>
  </bookViews>
  <sheets>
    <sheet name="Lube Audit" sheetId="1" r:id="rId1"/>
    <sheet name="Extra lubes required" sheetId="3" r:id="rId2"/>
    <sheet name="Summary" sheetId="4" r:id="rId3"/>
  </sheets>
  <definedNames>
    <definedName name="_xlnm._FilterDatabase" localSheetId="1" hidden="1">'Extra lubes required'!$B$1:$L$28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E14" i="4"/>
  <c r="E13" i="4"/>
  <c r="G3" i="3"/>
  <c r="G9" i="3"/>
  <c r="I9" i="3"/>
  <c r="I11" i="3" s="1"/>
  <c r="I10" i="3"/>
  <c r="I8" i="3"/>
  <c r="I4" i="3"/>
  <c r="I2" i="3"/>
  <c r="I22" i="3"/>
  <c r="I17" i="3"/>
  <c r="H24" i="4"/>
  <c r="F24" i="4"/>
  <c r="I27" i="3"/>
  <c r="I26" i="3"/>
  <c r="J3" i="4"/>
  <c r="J4" i="4"/>
  <c r="J5" i="4"/>
  <c r="J6" i="4"/>
  <c r="J7" i="4"/>
  <c r="G26" i="4" s="1"/>
  <c r="H26" i="4" s="1"/>
  <c r="J8" i="4"/>
  <c r="J9" i="4"/>
  <c r="J10" i="4"/>
  <c r="J11" i="4"/>
  <c r="J12" i="4"/>
  <c r="J13" i="4"/>
  <c r="J14" i="4"/>
  <c r="J15" i="4"/>
  <c r="J16" i="4"/>
  <c r="J2" i="4"/>
  <c r="H3" i="4"/>
  <c r="H4" i="4"/>
  <c r="H5" i="4"/>
  <c r="H6" i="4"/>
  <c r="H7" i="4"/>
  <c r="E26" i="4" s="1"/>
  <c r="F26" i="4" s="1"/>
  <c r="H8" i="4"/>
  <c r="H9" i="4"/>
  <c r="H10" i="4"/>
  <c r="H11" i="4"/>
  <c r="H12" i="4"/>
  <c r="H13" i="4"/>
  <c r="H14" i="4"/>
  <c r="H15" i="4"/>
  <c r="H16" i="4"/>
  <c r="H2" i="4"/>
  <c r="I25" i="3"/>
  <c r="I7" i="3"/>
  <c r="I24" i="3"/>
  <c r="I23" i="3"/>
  <c r="I21" i="3"/>
  <c r="I19" i="3"/>
  <c r="I18" i="3"/>
  <c r="I16" i="3"/>
  <c r="I3" i="3"/>
  <c r="I5" i="3"/>
  <c r="I14" i="3"/>
  <c r="J92" i="1"/>
  <c r="J91" i="1"/>
  <c r="J85" i="1"/>
  <c r="J84" i="1"/>
  <c r="J83" i="1"/>
  <c r="J82" i="1"/>
  <c r="J77" i="1"/>
  <c r="J76" i="1"/>
  <c r="J75" i="1"/>
  <c r="J74" i="1"/>
  <c r="J69" i="1"/>
  <c r="J68" i="1"/>
  <c r="J67" i="1"/>
  <c r="J36" i="1"/>
  <c r="J52" i="1"/>
  <c r="J59" i="1"/>
  <c r="J66" i="1"/>
  <c r="J63" i="1"/>
  <c r="J62" i="1"/>
  <c r="J61" i="1"/>
  <c r="J60" i="1"/>
  <c r="J53" i="1"/>
  <c r="J41" i="1"/>
  <c r="J39" i="1"/>
  <c r="J38" i="1"/>
  <c r="J37" i="1"/>
  <c r="J34" i="1"/>
  <c r="J32" i="1"/>
  <c r="J31" i="1"/>
  <c r="J30" i="1"/>
  <c r="J29" i="1"/>
  <c r="G27" i="4" l="1"/>
  <c r="H27" i="4" s="1"/>
  <c r="G28" i="4"/>
  <c r="H28" i="4" s="1"/>
  <c r="G29" i="4"/>
  <c r="H29" i="4" s="1"/>
  <c r="G30" i="4"/>
  <c r="H30" i="4" s="1"/>
  <c r="E27" i="4"/>
  <c r="F27" i="4" s="1"/>
  <c r="E28" i="4"/>
  <c r="F28" i="4" s="1"/>
  <c r="E29" i="4"/>
  <c r="F29" i="4" s="1"/>
  <c r="E30" i="4"/>
  <c r="F30" i="4" s="1"/>
  <c r="G25" i="4"/>
  <c r="H25" i="4" s="1"/>
  <c r="E25" i="4"/>
  <c r="F25" i="4" s="1"/>
</calcChain>
</file>

<file path=xl/sharedStrings.xml><?xml version="1.0" encoding="utf-8"?>
<sst xmlns="http://schemas.openxmlformats.org/spreadsheetml/2006/main" count="906" uniqueCount="267">
  <si>
    <t>Fleet</t>
  </si>
  <si>
    <t>Model</t>
  </si>
  <si>
    <t>Component</t>
  </si>
  <si>
    <t>OEM specs</t>
  </si>
  <si>
    <t>Included in the 2027 RAS</t>
  </si>
  <si>
    <t>Attached the specs (yes/no)</t>
  </si>
  <si>
    <t>Frequency</t>
  </si>
  <si>
    <t>Engine</t>
  </si>
  <si>
    <t>Dozer</t>
  </si>
  <si>
    <t xml:space="preserve">Excavator </t>
  </si>
  <si>
    <t>Shantui SD60</t>
  </si>
  <si>
    <t>LiuGong 990FH</t>
  </si>
  <si>
    <t>LiuGong CLG970E</t>
  </si>
  <si>
    <t xml:space="preserve">Grader </t>
  </si>
  <si>
    <t>LiuGong CLG426</t>
  </si>
  <si>
    <t xml:space="preserve">Loader </t>
  </si>
  <si>
    <t>LiuGong CLGF330</t>
  </si>
  <si>
    <t>Hydraulic</t>
  </si>
  <si>
    <t>Grease</t>
  </si>
  <si>
    <t>Coolant</t>
  </si>
  <si>
    <t>Transmission and Torque converter</t>
  </si>
  <si>
    <t>Axles</t>
  </si>
  <si>
    <t>2000 hrs</t>
  </si>
  <si>
    <t>1000 hrs</t>
  </si>
  <si>
    <t>250 hrs</t>
  </si>
  <si>
    <t>Volume per machine (liters for oil/ kg for grease)</t>
  </si>
  <si>
    <t xml:space="preserve">front axle 37 / rear axle 37 </t>
  </si>
  <si>
    <t>API GL-5 85W-90 gear oil for heavy load vehicle</t>
  </si>
  <si>
    <t>Teboil Hypoid 75W-90</t>
  </si>
  <si>
    <t>R134a</t>
  </si>
  <si>
    <t>#2 molybdenium disulfide lithium-based grease</t>
  </si>
  <si>
    <t>Comments</t>
  </si>
  <si>
    <t>#8 hydraulic-transmission oil</t>
  </si>
  <si>
    <t>Winter: API CH-4 5W-40. Summer: API CH-4 15W-40</t>
  </si>
  <si>
    <t>Winter: HM-46 anti-wear hydraulic oil. Summer: HV-46 low temperature antiwear hydraulic oil</t>
  </si>
  <si>
    <t>• API GL-4, GL-5, GL-4/5, MT-1
• MIL-PRF-2105E
• SAE J2360
• MB 235.0/235.8
• MAN 341 Type E3, Z2, 342 Type M3
• Scania STO 1:0
• Volvo 97312
• ZF TE-ML 02B, 05A, 12L, 12N, 16F, 17B, 19C, 21A</t>
  </si>
  <si>
    <t>Axles, tandem, gearcase</t>
  </si>
  <si>
    <t>Winter: API CJ-4 0W-40. Summer: API CH-4 15W-40</t>
  </si>
  <si>
    <t>Winter: Shell Spirax S4 TXM 10W-30. Summer: API CH-4 15W-40</t>
  </si>
  <si>
    <t>Teboil Wetol W 5W-30</t>
  </si>
  <si>
    <t>Drills</t>
  </si>
  <si>
    <t>Hanjin</t>
  </si>
  <si>
    <t>Sunward 165</t>
  </si>
  <si>
    <t>Sunward 250</t>
  </si>
  <si>
    <t>Showels</t>
  </si>
  <si>
    <t>WK-35</t>
  </si>
  <si>
    <t>WK-55</t>
  </si>
  <si>
    <t>Trucks</t>
  </si>
  <si>
    <t>NHL NTE 150</t>
  </si>
  <si>
    <t>NHL NTE 360</t>
  </si>
  <si>
    <t>NHL TR60</t>
  </si>
  <si>
    <t>From 20W-40 till 5W-40. lower -30C Chevron DELO 400 LE Synt</t>
  </si>
  <si>
    <t>Summer: SHC 680 OH, Winter: SHC460 OH</t>
  </si>
  <si>
    <t>Electric wheel reductor</t>
  </si>
  <si>
    <t>Hydraulic system</t>
  </si>
  <si>
    <t>Summer: SAE 30, Winter: SAE 10W, Arctic: Chevron Texamatic 1888</t>
  </si>
  <si>
    <t>Suspention cylinders</t>
  </si>
  <si>
    <t>Centralize Lubrication</t>
  </si>
  <si>
    <t>Front wheel grease</t>
  </si>
  <si>
    <t>Electric drive system motor</t>
  </si>
  <si>
    <t>Chevron Ulti-Plex Synt Grease EP</t>
  </si>
  <si>
    <t>SHC100</t>
  </si>
  <si>
    <t>0.12</t>
  </si>
  <si>
    <t>OAT</t>
  </si>
  <si>
    <t>5000 hrs</t>
  </si>
  <si>
    <t>3000 hrs (synt)/ 500hrs (mineral)</t>
  </si>
  <si>
    <t>Transmission</t>
  </si>
  <si>
    <t>Differential planetary gears power takeoff</t>
  </si>
  <si>
    <t>Grease fittings drivelines steering column</t>
  </si>
  <si>
    <t>Ride cylinders</t>
  </si>
  <si>
    <t>Engine oil with 1% sulphated ash. Sulphated ash must not exceed 1,85% limit/ API CH or CI-4. From 20W-40 till 5W-20</t>
  </si>
  <si>
    <t>Heavy Duty coolant</t>
  </si>
  <si>
    <t>Fully synt lithium based ester. -60 to - 30 NLGI 00 Mobil LiFu SHC007. -30 to - 10 NLGI 0 Mobil LiFu SHC007, -10 to +10 NLGI 01, +10 NLGI 2</t>
  </si>
  <si>
    <t>Front wheel bearings</t>
  </si>
  <si>
    <t>Wide temperature range -extreme pressure antiwear synt grease. Chevron Ulti-Plex Synt Grease EP</t>
  </si>
  <si>
    <t>28 (front) + 34 (rear) = 62</t>
  </si>
  <si>
    <t>216 (main tank) + 61 (steering tank) = 276</t>
  </si>
  <si>
    <t>Power train (including torque converter, transmission and bevel gear case)</t>
  </si>
  <si>
    <t>Winter: SAE 10W. Summer: SAE 30</t>
  </si>
  <si>
    <t>Damper case</t>
  </si>
  <si>
    <t>Final drive case (each side)</t>
  </si>
  <si>
    <t>Pivot shaft case (each side)</t>
  </si>
  <si>
    <t>Hydraulic oil tank</t>
  </si>
  <si>
    <t>Idler (each)</t>
  </si>
  <si>
    <t>Track roller (each)</t>
  </si>
  <si>
    <t>Carrier roller (each)</t>
  </si>
  <si>
    <t>Bogie cartridge pin (each)</t>
  </si>
  <si>
    <t>Lubricant points</t>
  </si>
  <si>
    <t>Cooling</t>
  </si>
  <si>
    <t>SAE 10W-30 API CH</t>
  </si>
  <si>
    <t>SAE 30</t>
  </si>
  <si>
    <t>SAE 10W</t>
  </si>
  <si>
    <t>SAE 85W-140</t>
  </si>
  <si>
    <t>Recommendation. Option #2</t>
  </si>
  <si>
    <t>2.1</t>
  </si>
  <si>
    <t>61</t>
  </si>
  <si>
    <t>18</t>
  </si>
  <si>
    <t>280</t>
  </si>
  <si>
    <t>1</t>
  </si>
  <si>
    <t>1.4</t>
  </si>
  <si>
    <t>0.8</t>
  </si>
  <si>
    <t>0.095</t>
  </si>
  <si>
    <t>122</t>
  </si>
  <si>
    <t>Swing reduction gear</t>
  </si>
  <si>
    <t>Travel reduction gear</t>
  </si>
  <si>
    <t>Winter: API CI-4 0W-30. Summer: API CI-4 10W-30</t>
  </si>
  <si>
    <t>Extreme pressure graphene reinforced grease</t>
  </si>
  <si>
    <t>75W-90 API GL-5</t>
  </si>
  <si>
    <t>L-VG 46W long service life and wide temperature range anti-wear hydraulic oil</t>
  </si>
  <si>
    <t>Specs. Option#2</t>
  </si>
  <si>
    <t>API CH-4 0W-30</t>
  </si>
  <si>
    <t>500 hrs</t>
  </si>
  <si>
    <t>ISO VG32</t>
  </si>
  <si>
    <t>Rotation gear box</t>
  </si>
  <si>
    <t>Mobil SHC 626</t>
  </si>
  <si>
    <t>Engine gear box</t>
  </si>
  <si>
    <t>60% antifreeze 40% water</t>
  </si>
  <si>
    <t xml:space="preserve">Hydraulic </t>
  </si>
  <si>
    <t>Moly #2, SHC100</t>
  </si>
  <si>
    <t>Travel reducer</t>
  </si>
  <si>
    <t>Slewing reducer</t>
  </si>
  <si>
    <t>1500 hrs</t>
  </si>
  <si>
    <t>-40 antifreeze</t>
  </si>
  <si>
    <t>SAE 30, 75W-90, BP gear 220</t>
  </si>
  <si>
    <t>antiwear oil L-HV46, Univis N32 (above-48)</t>
  </si>
  <si>
    <t>API CF-4 5W-30 - 15W-40</t>
  </si>
  <si>
    <t xml:space="preserve">Summer: Teboil Super HPD Plus 15W-40  </t>
  </si>
  <si>
    <t>SAE 30, ISO 220</t>
  </si>
  <si>
    <t>Hoist Gearbox</t>
  </si>
  <si>
    <t>Slew gearbox</t>
  </si>
  <si>
    <t>Propel gearbox</t>
  </si>
  <si>
    <t>Crowd gearbox</t>
  </si>
  <si>
    <t>ISO 320</t>
  </si>
  <si>
    <t>ISO 150</t>
  </si>
  <si>
    <t>Compressor</t>
  </si>
  <si>
    <t>4000 hrs</t>
  </si>
  <si>
    <t>2x370</t>
  </si>
  <si>
    <t>2x490</t>
  </si>
  <si>
    <t>LEMARC CARTERRA SH 150</t>
  </si>
  <si>
    <t>Lemarc recommendation</t>
  </si>
  <si>
    <t>LEMARC CARTERRA SH 220</t>
  </si>
  <si>
    <t>LEMARC FROSTGUARD G12+ Extra</t>
  </si>
  <si>
    <t>3X370</t>
  </si>
  <si>
    <t>2X850</t>
  </si>
  <si>
    <t>• API GL-4
• Allison C4
• CAT TO-2
• Case NH CNH MAT 3505 / 3509 / 3525
• Case MS B6, 1206, 1207
• Ford / New Holland ESN-M2C 86B/C, 134D
• Ford / New Holland FNHA-2-C-200.00
• John Deere J20C
• Kubota UDT Fluid
• MF CMS M 1100, 1127A/B, 1143, 1145
• Sauer Sundstrand
• Denison HF-0, HF-1, HF-2
• Vickers I-280-S, M 2950 S
• Valtra G2-08</t>
  </si>
  <si>
    <t>• API CI-4
• MB 228.3
• Volvo VDS-3
• Caterpillar ECF-2
• Cummins CES 20078
• MTU Oil Category 2
• ZF TE-ML 04C/04P
• ПАО «Автодизель» (ЯМЗ)
• ACEA E4/E7
• MAN M 3275
• Renault VI RLD-2
• MACK EO-N
• Deutz DQC III-18
• JASO DH-1
• John Deere JDQ 78A
• ПАО «Тутаевский моторный завод»</t>
  </si>
  <si>
    <t>LEMARC HYDRARD HVLP-ZF LT 32</t>
  </si>
  <si>
    <t>LEMARC LEGUARD AC 5W30</t>
  </si>
  <si>
    <t>LEMARC LEGUARD 0W-40</t>
  </si>
  <si>
    <t>LEMARC HYDRARD XV 32</t>
  </si>
  <si>
    <t>Lubricant oil</t>
  </si>
  <si>
    <t>LEMARC AEROGUARD SH 46</t>
  </si>
  <si>
    <t>Teboil Sypres Extra 68</t>
  </si>
  <si>
    <t>TEBOIL COMPRESSOR OIL SHV 46</t>
  </si>
  <si>
    <t xml:space="preserve">Very good performance 75W-90 GL-5 lubricants at PV-275HP, Smartroc D65, DM45HP, DMLHP.  </t>
  </si>
  <si>
    <t>• ISO 6743-3 L-DAJ
• DIN 51506 VDL
• ISO 6521-2 L-DAJ</t>
  </si>
  <si>
    <t>TEBOIL HYPOID 75W-90</t>
  </si>
  <si>
    <t xml:space="preserve"> LEMARC HYDRARD HVLP-ZF LT 32</t>
  </si>
  <si>
    <t>LEMARC GEAPARD X5 75W140</t>
  </si>
  <si>
    <t>L-HM46 anti wear hydraulic oil, HS plus 22 ultra-low temperature hydraulic oil</t>
  </si>
  <si>
    <t>LS required</t>
  </si>
  <si>
    <t>DongFeng DF6</t>
  </si>
  <si>
    <t>FAW CA3250</t>
  </si>
  <si>
    <t>FAW CA1121</t>
  </si>
  <si>
    <t>API CF-4 5W-40</t>
  </si>
  <si>
    <t>8000 km</t>
  </si>
  <si>
    <t>50000 km</t>
  </si>
  <si>
    <t>API GL-5 80W-90, 85W-90</t>
  </si>
  <si>
    <t>24000 km</t>
  </si>
  <si>
    <t>11,5 each</t>
  </si>
  <si>
    <t>SAE J2360 required after 09.2024</t>
  </si>
  <si>
    <t>API CI-4 5W-40</t>
  </si>
  <si>
    <t>Axle</t>
  </si>
  <si>
    <t>Transfer case</t>
  </si>
  <si>
    <t>ACEA C3 5W-30</t>
  </si>
  <si>
    <t>API CF</t>
  </si>
  <si>
    <t>TEBOIL DIAMOND CARAT III 0W-30</t>
  </si>
  <si>
    <t xml:space="preserve">Winter: Teboil Hydraulic Polar 32ZF Summer: Teboil Hydraulic 32S </t>
  </si>
  <si>
    <t>Transmission manual</t>
  </si>
  <si>
    <t>ATF III</t>
  </si>
  <si>
    <t>API GL-4 75W-90</t>
  </si>
  <si>
    <t>API GL-5 85W-90</t>
  </si>
  <si>
    <t>LUKOIL SYNTHOFLEX ARCTIC 1-100 HD</t>
  </si>
  <si>
    <t>Grease open gears</t>
  </si>
  <si>
    <t>Sgrease closed units</t>
  </si>
  <si>
    <t>LUKOIL CARBOFLEX OG 000-1500 HD - winter
LUKOIL CARBOFLEX OG 0-4000 HD - summer</t>
  </si>
  <si>
    <t>LUKOIL SYNTHOFLEX EP 1,5-460</t>
  </si>
  <si>
    <t>LUKOIL SYNTHOFLEX 2-100</t>
  </si>
  <si>
    <t>TEBOIL SYPRES EXTRA 220</t>
  </si>
  <si>
    <t>TEBOIL SYPRES EXTRA 150</t>
  </si>
  <si>
    <t>TEBOIL FLUID TO-4 SYNTHETIC SAE 5W-30</t>
  </si>
  <si>
    <t>TEBOIL HYPOID M SAE 75W-140</t>
  </si>
  <si>
    <t> Allison C4
 Caterpillar TO-4М
 Komatsu KES 07.868-1
 ZF TE-ML 03C/07F</t>
  </si>
  <si>
    <t> API GL-5
 MIL-L-2105D
 SCANIA STO 1:0</t>
  </si>
  <si>
    <t>No</t>
  </si>
  <si>
    <t>Grease closed units</t>
  </si>
  <si>
    <t xml:space="preserve">changed to better all season grease </t>
  </si>
  <si>
    <t>TEBOIL SYPRES EXTRA 320</t>
  </si>
  <si>
    <t>Volume per year, ltrs (approx.) need to be verified. Based on 6000 operation hours per 1 year.</t>
  </si>
  <si>
    <t>no</t>
  </si>
  <si>
    <t>Check type of engine</t>
  </si>
  <si>
    <t>Engine M9T. Option #1</t>
  </si>
  <si>
    <t>Engine ZD25T5. Option #2</t>
  </si>
  <si>
    <t>yes</t>
  </si>
  <si>
    <t xml:space="preserve"> -</t>
  </si>
  <si>
    <t>not at the actual active product base. Need to launch.</t>
  </si>
  <si>
    <t>TEBOIL FLUID S/TEBOIL FLUID ES-MAX</t>
  </si>
  <si>
    <t>yes summer/no winter</t>
  </si>
  <si>
    <r>
      <t xml:space="preserve">summer no/winter </t>
    </r>
    <r>
      <rPr>
        <b/>
        <sz val="11"/>
        <rFont val="Calibri"/>
        <family val="2"/>
        <scheme val="minor"/>
      </rPr>
      <t>yes</t>
    </r>
  </si>
  <si>
    <t>Teboil Compressor oil SHV 46</t>
  </si>
  <si>
    <t xml:space="preserve">Summer: SAE 30, Winter: SAE 10W, Arctic: Chevron Texamatic 1888 </t>
  </si>
  <si>
    <t>Summer: Teboil Fluid TO-4 Synt 5W-30 winter -60C-18C: TEBOIL FLUID ES-MAX</t>
  </si>
  <si>
    <t>summer: TEBOIL SYPRES EXTRA 680 winter -60C-18C: TEBOIL SYPRES EXTRA 460</t>
  </si>
  <si>
    <t>Summer: SAE 30, Winter: SAE 10W, Arctic: Chevron Texamatic 1888.</t>
  </si>
  <si>
    <t>summer: Teboil Hypoid M 80W-90LS. Winter -60C-18C: Teboil Hypoid 75W-90</t>
  </si>
  <si>
    <t>API GL-5, MIL-L-2105D 80W-90LS, DELO Syn-Gear XDM 75W-90</t>
  </si>
  <si>
    <t>winter -60C-18C: TEBOIL SYPRES EXTRA 460</t>
  </si>
  <si>
    <t>volume shovel/year</t>
  </si>
  <si>
    <t>volumetruck/year</t>
  </si>
  <si>
    <t xml:space="preserve"> winter -60C-18C: TEBOIL FLUID ES-MAX</t>
  </si>
  <si>
    <t>Hydraulic system (winter)</t>
  </si>
  <si>
    <t>Suspention cylinders (winter)</t>
  </si>
  <si>
    <t>Electric wheel reductor  (winter)</t>
  </si>
  <si>
    <t>Transmission (winter)</t>
  </si>
  <si>
    <t>Differential planetary gears power takeoff (summer)</t>
  </si>
  <si>
    <t>1000 hrs 3 times per year</t>
  </si>
  <si>
    <t>3000 hrs (synt)/ 500hrs (mineral). Once a year</t>
  </si>
  <si>
    <t>5000 hrs, Once a year</t>
  </si>
  <si>
    <t>500 hrs initially , every after 4000 hours</t>
  </si>
  <si>
    <t>500 hours,Once a year</t>
  </si>
  <si>
    <t>2000 hours, 2 times per year</t>
  </si>
  <si>
    <t>API GL-5, MIL-L-2105D 80W-90LS</t>
  </si>
  <si>
    <t xml:space="preserve">summer: Teboil Hypoid M 80W-90LS. </t>
  </si>
  <si>
    <t>once a year</t>
  </si>
  <si>
    <t>Ride cylinders (winter)</t>
  </si>
  <si>
    <t>Product</t>
  </si>
  <si>
    <t>Truck</t>
  </si>
  <si>
    <t>NTS 150</t>
  </si>
  <si>
    <t>NTS 360</t>
  </si>
  <si>
    <t>TR60</t>
  </si>
  <si>
    <t xml:space="preserve">Teboil Hypoid M 80W-90LS. </t>
  </si>
  <si>
    <t>Shovel</t>
  </si>
  <si>
    <t>WK35</t>
  </si>
  <si>
    <t>WK55</t>
  </si>
  <si>
    <t>TEBOIL FLUID ES-MAX</t>
  </si>
  <si>
    <t>TEBOIL SYPRES EXTRA 460</t>
  </si>
  <si>
    <t>Volume (liters/kg)/year per machine</t>
  </si>
  <si>
    <t>shovel</t>
  </si>
  <si>
    <t>2027 machines</t>
  </si>
  <si>
    <t>2028 machines</t>
  </si>
  <si>
    <t>included in RAS2027</t>
  </si>
  <si>
    <t>Yes</t>
  </si>
  <si>
    <t>LUKOIL CARBOFLEX OG 000-1500 HD</t>
  </si>
  <si>
    <t>Grease Winter</t>
  </si>
  <si>
    <t>Grease summer</t>
  </si>
  <si>
    <t>LUKOIL CARBOFLEX OG 0-4000 HD</t>
  </si>
  <si>
    <t>Extra 20K KG</t>
  </si>
  <si>
    <t>OK</t>
  </si>
  <si>
    <t>Yes 40000KG</t>
  </si>
  <si>
    <t>total 2027</t>
  </si>
  <si>
    <t>summary</t>
  </si>
  <si>
    <t>1000 hours, 3 times per year</t>
  </si>
  <si>
    <t>Sum Vol 2027</t>
  </si>
  <si>
    <t>Sum Vol 2028</t>
  </si>
  <si>
    <t>2027 Required Vol (Liter/kg)</t>
  </si>
  <si>
    <t>2028 Required Vol  (Liter/kg)</t>
  </si>
  <si>
    <t>1000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</si>
</sst>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49" fontId="0" fillId="0" borderId="0" xfId="0" applyNumberFormat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horizontal="left" vertical="center" wrapText="1"/>
    </xf>
    <xf numFmtId="49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6" xfId="0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4" borderId="1" xfId="0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vertical="center" wrapText="1"/>
    </xf>
    <xf numFmtId="0" fontId="0" fillId="0" borderId="4" xfId="0" applyBorder="1" applyAlignment="1">
      <alignment wrapText="1"/>
    </xf>
    <xf numFmtId="0" fontId="0" fillId="4" borderId="10" xfId="0" applyFill="1" applyBorder="1" applyAlignment="1">
      <alignment horizontal="left" vertical="center" wrapText="1"/>
    </xf>
    <xf numFmtId="0" fontId="2" fillId="0" borderId="5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6" borderId="0" xfId="0" applyFill="1"/>
    <xf numFmtId="0" fontId="6" fillId="6" borderId="0" xfId="0" applyFont="1" applyFill="1"/>
    <xf numFmtId="0" fontId="0" fillId="4" borderId="0" xfId="0" applyFill="1"/>
    <xf numFmtId="0" fontId="0" fillId="4" borderId="0" xfId="0" applyFill="1" applyAlignment="1">
      <alignment horizontal="center" vertical="center" wrapText="1"/>
    </xf>
    <xf numFmtId="0" fontId="0" fillId="7" borderId="0" xfId="0" applyFill="1"/>
    <xf numFmtId="0" fontId="0" fillId="7" borderId="0" xfId="0" applyFill="1" applyAlignment="1">
      <alignment horizontal="center" vertical="center" wrapText="1"/>
    </xf>
    <xf numFmtId="0" fontId="0" fillId="0" borderId="0" xfId="0" applyFill="1"/>
    <xf numFmtId="0" fontId="0" fillId="0" borderId="13" xfId="0" applyBorder="1"/>
    <xf numFmtId="0" fontId="5" fillId="0" borderId="13" xfId="0" applyFont="1" applyBorder="1" applyAlignment="1">
      <alignment horizontal="left" vertical="center" wrapText="1"/>
    </xf>
    <xf numFmtId="0" fontId="0" fillId="0" borderId="13" xfId="0" applyFill="1" applyBorder="1"/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6779-8416-4030-B9CD-293F714E67CF}">
  <dimension ref="A1:P123"/>
  <sheetViews>
    <sheetView zoomScale="130" zoomScaleNormal="130" workbookViewId="0">
      <pane ySplit="1" topLeftCell="A91" activePane="bottomLeft" state="frozen"/>
      <selection pane="bottomLeft" activeCell="C104" sqref="A104:XFD104"/>
    </sheetView>
  </sheetViews>
  <sheetFormatPr defaultRowHeight="14.5" x14ac:dyDescent="0.35"/>
  <cols>
    <col min="1" max="1" width="12.453125" style="4" customWidth="1"/>
    <col min="2" max="2" width="21.453125" style="4" customWidth="1"/>
    <col min="3" max="3" width="42.1796875" style="4" customWidth="1"/>
    <col min="4" max="4" width="42.1796875" style="25" customWidth="1"/>
    <col min="5" max="5" width="23" style="25" customWidth="1"/>
    <col min="6" max="6" width="34.453125" style="25" customWidth="1"/>
    <col min="7" max="7" width="28.1796875" style="4" customWidth="1"/>
    <col min="8" max="8" width="26.1796875" style="5" customWidth="1"/>
    <col min="9" max="10" width="25" style="5" customWidth="1"/>
    <col min="11" max="11" width="28.81640625" style="5" customWidth="1"/>
    <col min="12" max="12" width="39.1796875" style="38" customWidth="1"/>
    <col min="13" max="13" width="37.1796875" style="1" customWidth="1"/>
    <col min="14" max="16" width="8.81640625" style="1"/>
  </cols>
  <sheetData>
    <row r="1" spans="1:16" s="3" customFormat="1" ht="58" x14ac:dyDescent="0.35">
      <c r="A1" s="4" t="s">
        <v>0</v>
      </c>
      <c r="B1" s="4" t="s">
        <v>1</v>
      </c>
      <c r="C1" s="4" t="s">
        <v>2</v>
      </c>
      <c r="D1" s="30" t="s">
        <v>3</v>
      </c>
      <c r="E1" s="25" t="s">
        <v>4</v>
      </c>
      <c r="F1" s="25" t="s">
        <v>139</v>
      </c>
      <c r="G1" s="4" t="s">
        <v>5</v>
      </c>
      <c r="H1" s="4" t="s">
        <v>25</v>
      </c>
      <c r="I1" s="4" t="s">
        <v>6</v>
      </c>
      <c r="J1" s="4" t="s">
        <v>198</v>
      </c>
      <c r="K1" s="4" t="s">
        <v>93</v>
      </c>
      <c r="L1" s="36" t="s">
        <v>109</v>
      </c>
      <c r="M1" s="2" t="s">
        <v>31</v>
      </c>
      <c r="N1" s="2"/>
      <c r="O1" s="2"/>
      <c r="P1" s="2"/>
    </row>
    <row r="2" spans="1:16" x14ac:dyDescent="0.35">
      <c r="A2" s="74" t="s">
        <v>8</v>
      </c>
      <c r="B2" s="70" t="s">
        <v>10</v>
      </c>
      <c r="C2" s="6" t="s">
        <v>7</v>
      </c>
      <c r="D2" s="31" t="s">
        <v>89</v>
      </c>
      <c r="E2" s="25" t="s">
        <v>203</v>
      </c>
      <c r="F2" s="25" t="s">
        <v>148</v>
      </c>
      <c r="G2" s="6"/>
      <c r="H2" s="7">
        <v>70</v>
      </c>
      <c r="I2" s="8"/>
      <c r="J2" s="8"/>
      <c r="K2" s="8"/>
      <c r="L2" s="37"/>
      <c r="M2" s="9"/>
    </row>
    <row r="3" spans="1:16" ht="58" x14ac:dyDescent="0.35">
      <c r="A3" s="73"/>
      <c r="B3" s="71"/>
      <c r="C3" s="4" t="s">
        <v>77</v>
      </c>
      <c r="D3" s="25" t="s">
        <v>78</v>
      </c>
      <c r="E3" s="25" t="s">
        <v>203</v>
      </c>
      <c r="F3" s="25" t="s">
        <v>147</v>
      </c>
      <c r="H3" s="10">
        <v>275</v>
      </c>
      <c r="K3" s="4" t="s">
        <v>190</v>
      </c>
      <c r="L3" s="36" t="s">
        <v>192</v>
      </c>
      <c r="M3" s="11"/>
    </row>
    <row r="4" spans="1:16" ht="58" x14ac:dyDescent="0.35">
      <c r="A4" s="73"/>
      <c r="B4" s="71"/>
      <c r="C4" s="4" t="s">
        <v>79</v>
      </c>
      <c r="D4" s="25" t="s">
        <v>90</v>
      </c>
      <c r="E4" s="25" t="s">
        <v>203</v>
      </c>
      <c r="F4" s="25" t="s">
        <v>147</v>
      </c>
      <c r="H4" s="10" t="s">
        <v>94</v>
      </c>
      <c r="K4" s="4" t="s">
        <v>190</v>
      </c>
      <c r="L4" s="36" t="s">
        <v>192</v>
      </c>
      <c r="M4" s="11"/>
    </row>
    <row r="5" spans="1:16" ht="58" x14ac:dyDescent="0.35">
      <c r="A5" s="73"/>
      <c r="B5" s="71"/>
      <c r="C5" s="4" t="s">
        <v>80</v>
      </c>
      <c r="D5" s="25" t="s">
        <v>90</v>
      </c>
      <c r="E5" s="25" t="s">
        <v>203</v>
      </c>
      <c r="F5" s="25" t="s">
        <v>147</v>
      </c>
      <c r="H5" s="10" t="s">
        <v>95</v>
      </c>
      <c r="K5" s="4" t="s">
        <v>190</v>
      </c>
      <c r="L5" s="36" t="s">
        <v>192</v>
      </c>
      <c r="M5" s="11"/>
    </row>
    <row r="6" spans="1:16" ht="58" x14ac:dyDescent="0.35">
      <c r="A6" s="73"/>
      <c r="B6" s="71"/>
      <c r="C6" s="4" t="s">
        <v>81</v>
      </c>
      <c r="D6" s="25" t="s">
        <v>90</v>
      </c>
      <c r="E6" s="25" t="s">
        <v>203</v>
      </c>
      <c r="F6" s="25" t="s">
        <v>147</v>
      </c>
      <c r="H6" s="10" t="s">
        <v>96</v>
      </c>
      <c r="K6" s="4" t="s">
        <v>190</v>
      </c>
      <c r="L6" s="36" t="s">
        <v>192</v>
      </c>
      <c r="M6" s="11"/>
    </row>
    <row r="7" spans="1:16" ht="58" x14ac:dyDescent="0.35">
      <c r="A7" s="73"/>
      <c r="B7" s="71"/>
      <c r="C7" s="4" t="s">
        <v>82</v>
      </c>
      <c r="D7" s="25" t="s">
        <v>91</v>
      </c>
      <c r="E7" s="25" t="s">
        <v>203</v>
      </c>
      <c r="F7" s="25" t="s">
        <v>147</v>
      </c>
      <c r="H7" s="10" t="s">
        <v>97</v>
      </c>
      <c r="K7" s="4" t="s">
        <v>190</v>
      </c>
      <c r="L7" s="36" t="s">
        <v>192</v>
      </c>
      <c r="M7" s="11"/>
    </row>
    <row r="8" spans="1:16" ht="43.5" x14ac:dyDescent="0.35">
      <c r="A8" s="73"/>
      <c r="B8" s="71"/>
      <c r="C8" s="4" t="s">
        <v>83</v>
      </c>
      <c r="D8" s="25" t="s">
        <v>92</v>
      </c>
      <c r="E8" s="25" t="s">
        <v>203</v>
      </c>
      <c r="F8" s="25" t="s">
        <v>158</v>
      </c>
      <c r="H8" s="10" t="s">
        <v>98</v>
      </c>
      <c r="K8" s="4" t="s">
        <v>191</v>
      </c>
      <c r="L8" s="36" t="s">
        <v>193</v>
      </c>
      <c r="M8" s="11"/>
    </row>
    <row r="9" spans="1:16" ht="43.5" x14ac:dyDescent="0.35">
      <c r="A9" s="73"/>
      <c r="B9" s="71"/>
      <c r="C9" s="4" t="s">
        <v>84</v>
      </c>
      <c r="D9" s="25" t="s">
        <v>92</v>
      </c>
      <c r="E9" s="25" t="s">
        <v>203</v>
      </c>
      <c r="F9" s="25" t="s">
        <v>158</v>
      </c>
      <c r="H9" s="10" t="s">
        <v>99</v>
      </c>
      <c r="K9" s="4" t="s">
        <v>191</v>
      </c>
      <c r="L9" s="36" t="s">
        <v>193</v>
      </c>
      <c r="M9" s="11"/>
    </row>
    <row r="10" spans="1:16" ht="43.5" x14ac:dyDescent="0.35">
      <c r="A10" s="73"/>
      <c r="B10" s="71"/>
      <c r="C10" s="4" t="s">
        <v>85</v>
      </c>
      <c r="D10" s="25" t="s">
        <v>92</v>
      </c>
      <c r="E10" s="25" t="s">
        <v>203</v>
      </c>
      <c r="F10" s="25" t="s">
        <v>158</v>
      </c>
      <c r="H10" s="10" t="s">
        <v>100</v>
      </c>
      <c r="K10" s="4" t="s">
        <v>191</v>
      </c>
      <c r="L10" s="36" t="s">
        <v>193</v>
      </c>
      <c r="M10" s="11"/>
    </row>
    <row r="11" spans="1:16" ht="43.5" x14ac:dyDescent="0.35">
      <c r="A11" s="73"/>
      <c r="B11" s="71"/>
      <c r="C11" s="4" t="s">
        <v>86</v>
      </c>
      <c r="D11" s="25" t="s">
        <v>92</v>
      </c>
      <c r="E11" s="25" t="s">
        <v>203</v>
      </c>
      <c r="F11" s="25" t="s">
        <v>158</v>
      </c>
      <c r="H11" s="10" t="s">
        <v>101</v>
      </c>
      <c r="K11" s="4" t="s">
        <v>191</v>
      </c>
      <c r="L11" s="36" t="s">
        <v>193</v>
      </c>
      <c r="M11" s="11"/>
    </row>
    <row r="12" spans="1:16" x14ac:dyDescent="0.35">
      <c r="A12" s="73"/>
      <c r="B12" s="71"/>
      <c r="C12" s="4" t="s">
        <v>87</v>
      </c>
      <c r="E12" s="25" t="s">
        <v>203</v>
      </c>
      <c r="F12" s="25" t="s">
        <v>182</v>
      </c>
      <c r="H12" s="10"/>
      <c r="M12" s="11" t="s">
        <v>196</v>
      </c>
    </row>
    <row r="13" spans="1:16" x14ac:dyDescent="0.35">
      <c r="A13" s="75"/>
      <c r="B13" s="72"/>
      <c r="C13" s="12" t="s">
        <v>88</v>
      </c>
      <c r="D13" s="32"/>
      <c r="E13" s="25" t="s">
        <v>203</v>
      </c>
      <c r="F13" s="25" t="s">
        <v>141</v>
      </c>
      <c r="G13" s="12"/>
      <c r="H13" s="13" t="s">
        <v>102</v>
      </c>
      <c r="I13" s="14"/>
      <c r="J13" s="14"/>
      <c r="K13" s="14"/>
      <c r="L13" s="39"/>
      <c r="M13" s="15"/>
    </row>
    <row r="14" spans="1:16" x14ac:dyDescent="0.35">
      <c r="E14" s="26"/>
      <c r="F14" s="26"/>
    </row>
    <row r="15" spans="1:16" ht="29" x14ac:dyDescent="0.35">
      <c r="A15" s="70" t="s">
        <v>9</v>
      </c>
      <c r="B15" s="67" t="s">
        <v>11</v>
      </c>
      <c r="C15" s="6" t="s">
        <v>7</v>
      </c>
      <c r="D15" s="31" t="s">
        <v>105</v>
      </c>
      <c r="E15" s="25" t="s">
        <v>203</v>
      </c>
      <c r="F15" s="25" t="s">
        <v>148</v>
      </c>
      <c r="G15" s="6"/>
      <c r="H15" s="8"/>
      <c r="I15" s="8"/>
      <c r="J15" s="8"/>
      <c r="K15" s="8"/>
      <c r="L15" s="37"/>
      <c r="M15" s="9"/>
    </row>
    <row r="16" spans="1:16" x14ac:dyDescent="0.35">
      <c r="A16" s="71"/>
      <c r="B16" s="68"/>
      <c r="C16" s="4" t="s">
        <v>18</v>
      </c>
      <c r="D16" s="25" t="s">
        <v>106</v>
      </c>
      <c r="E16" s="25" t="s">
        <v>203</v>
      </c>
      <c r="F16" s="25" t="s">
        <v>182</v>
      </c>
      <c r="M16" s="11"/>
    </row>
    <row r="17" spans="1:13" x14ac:dyDescent="0.35">
      <c r="A17" s="71"/>
      <c r="B17" s="68"/>
      <c r="C17" s="4" t="s">
        <v>19</v>
      </c>
      <c r="E17" s="25" t="s">
        <v>203</v>
      </c>
      <c r="F17" s="25" t="s">
        <v>141</v>
      </c>
      <c r="M17" s="11"/>
    </row>
    <row r="18" spans="1:13" x14ac:dyDescent="0.35">
      <c r="A18" s="71"/>
      <c r="B18" s="68"/>
      <c r="C18" s="4" t="s">
        <v>103</v>
      </c>
      <c r="D18" s="25" t="s">
        <v>107</v>
      </c>
      <c r="E18" s="25" t="s">
        <v>203</v>
      </c>
      <c r="F18" s="25" t="s">
        <v>156</v>
      </c>
      <c r="M18" s="11"/>
    </row>
    <row r="19" spans="1:13" x14ac:dyDescent="0.35">
      <c r="A19" s="71"/>
      <c r="B19" s="68"/>
      <c r="C19" s="4" t="s">
        <v>104</v>
      </c>
      <c r="D19" s="25" t="s">
        <v>107</v>
      </c>
      <c r="E19" s="25" t="s">
        <v>203</v>
      </c>
      <c r="F19" s="25" t="s">
        <v>156</v>
      </c>
      <c r="M19" s="11"/>
    </row>
    <row r="20" spans="1:13" ht="43.5" x14ac:dyDescent="0.35">
      <c r="A20" s="71"/>
      <c r="B20" s="69"/>
      <c r="C20" s="12" t="s">
        <v>17</v>
      </c>
      <c r="D20" s="32" t="s">
        <v>108</v>
      </c>
      <c r="E20" s="25" t="s">
        <v>203</v>
      </c>
      <c r="F20" s="25" t="s">
        <v>146</v>
      </c>
      <c r="G20" s="12"/>
      <c r="H20" s="14"/>
      <c r="I20" s="14"/>
      <c r="J20" s="14"/>
      <c r="K20" s="12" t="s">
        <v>177</v>
      </c>
      <c r="L20" s="39"/>
      <c r="M20" s="15"/>
    </row>
    <row r="21" spans="1:13" x14ac:dyDescent="0.35">
      <c r="A21" s="71"/>
      <c r="E21" s="26"/>
      <c r="F21" s="26"/>
    </row>
    <row r="22" spans="1:13" ht="29" x14ac:dyDescent="0.35">
      <c r="A22" s="71"/>
      <c r="B22" s="70" t="s">
        <v>12</v>
      </c>
      <c r="C22" s="6" t="s">
        <v>7</v>
      </c>
      <c r="D22" s="31" t="s">
        <v>105</v>
      </c>
      <c r="E22" s="25" t="s">
        <v>203</v>
      </c>
      <c r="F22" s="25" t="s">
        <v>148</v>
      </c>
      <c r="G22" s="6"/>
      <c r="H22" s="8"/>
      <c r="I22" s="8"/>
      <c r="J22" s="8"/>
      <c r="K22" s="8"/>
      <c r="L22" s="37"/>
      <c r="M22" s="9"/>
    </row>
    <row r="23" spans="1:13" x14ac:dyDescent="0.35">
      <c r="A23" s="71"/>
      <c r="B23" s="71"/>
      <c r="C23" s="4" t="s">
        <v>18</v>
      </c>
      <c r="D23" s="25" t="s">
        <v>106</v>
      </c>
      <c r="E23" s="25" t="s">
        <v>203</v>
      </c>
      <c r="F23" s="25" t="s">
        <v>182</v>
      </c>
      <c r="M23" s="11"/>
    </row>
    <row r="24" spans="1:13" x14ac:dyDescent="0.35">
      <c r="A24" s="71"/>
      <c r="B24" s="71"/>
      <c r="C24" s="4" t="s">
        <v>19</v>
      </c>
      <c r="E24" s="25" t="s">
        <v>203</v>
      </c>
      <c r="F24" s="25" t="s">
        <v>141</v>
      </c>
      <c r="M24" s="11"/>
    </row>
    <row r="25" spans="1:13" x14ac:dyDescent="0.35">
      <c r="A25" s="71"/>
      <c r="B25" s="71"/>
      <c r="C25" s="4" t="s">
        <v>103</v>
      </c>
      <c r="D25" s="25" t="s">
        <v>107</v>
      </c>
      <c r="E25" s="25" t="s">
        <v>203</v>
      </c>
      <c r="F25" s="25" t="s">
        <v>156</v>
      </c>
      <c r="M25" s="11"/>
    </row>
    <row r="26" spans="1:13" x14ac:dyDescent="0.35">
      <c r="A26" s="71"/>
      <c r="B26" s="71"/>
      <c r="C26" s="4" t="s">
        <v>104</v>
      </c>
      <c r="D26" s="25" t="s">
        <v>107</v>
      </c>
      <c r="E26" s="25" t="s">
        <v>203</v>
      </c>
      <c r="F26" s="25" t="s">
        <v>156</v>
      </c>
      <c r="M26" s="11"/>
    </row>
    <row r="27" spans="1:13" ht="43.5" x14ac:dyDescent="0.35">
      <c r="A27" s="72"/>
      <c r="B27" s="72"/>
      <c r="C27" s="12" t="s">
        <v>17</v>
      </c>
      <c r="D27" s="32" t="s">
        <v>108</v>
      </c>
      <c r="E27" s="25" t="s">
        <v>203</v>
      </c>
      <c r="F27" s="25" t="s">
        <v>146</v>
      </c>
      <c r="G27" s="12"/>
      <c r="H27" s="14"/>
      <c r="I27" s="14"/>
      <c r="J27" s="14"/>
      <c r="K27" s="12" t="s">
        <v>177</v>
      </c>
      <c r="L27" s="39"/>
      <c r="M27" s="15"/>
    </row>
    <row r="28" spans="1:13" x14ac:dyDescent="0.35">
      <c r="E28" s="26"/>
      <c r="F28" s="26"/>
    </row>
    <row r="29" spans="1:13" ht="232" x14ac:dyDescent="0.35">
      <c r="A29" s="70" t="s">
        <v>13</v>
      </c>
      <c r="B29" s="70" t="s">
        <v>14</v>
      </c>
      <c r="C29" s="6" t="s">
        <v>7</v>
      </c>
      <c r="D29" s="31" t="s">
        <v>37</v>
      </c>
      <c r="E29" s="25" t="s">
        <v>203</v>
      </c>
      <c r="F29" s="25" t="s">
        <v>148</v>
      </c>
      <c r="G29" s="6"/>
      <c r="H29" s="8">
        <v>18</v>
      </c>
      <c r="I29" s="8" t="s">
        <v>111</v>
      </c>
      <c r="J29" s="8">
        <f>12*18</f>
        <v>216</v>
      </c>
      <c r="K29" s="6" t="s">
        <v>126</v>
      </c>
      <c r="L29" s="40" t="s">
        <v>145</v>
      </c>
      <c r="M29" s="9"/>
    </row>
    <row r="30" spans="1:13" ht="43.5" x14ac:dyDescent="0.35">
      <c r="A30" s="71"/>
      <c r="B30" s="71"/>
      <c r="C30" s="4" t="s">
        <v>17</v>
      </c>
      <c r="D30" s="25" t="s">
        <v>159</v>
      </c>
      <c r="E30" s="25" t="s">
        <v>203</v>
      </c>
      <c r="F30" s="25" t="s">
        <v>146</v>
      </c>
      <c r="H30" s="5">
        <v>165</v>
      </c>
      <c r="I30" s="5" t="s">
        <v>22</v>
      </c>
      <c r="J30" s="5">
        <f>165*3</f>
        <v>495</v>
      </c>
      <c r="K30" s="4" t="s">
        <v>177</v>
      </c>
      <c r="M30" s="11"/>
    </row>
    <row r="31" spans="1:13" ht="203" x14ac:dyDescent="0.35">
      <c r="A31" s="71"/>
      <c r="B31" s="71"/>
      <c r="C31" s="4" t="s">
        <v>20</v>
      </c>
      <c r="D31" s="25" t="s">
        <v>38</v>
      </c>
      <c r="E31" s="25" t="s">
        <v>203</v>
      </c>
      <c r="F31" s="25" t="s">
        <v>147</v>
      </c>
      <c r="H31" s="5">
        <v>33</v>
      </c>
      <c r="I31" s="5" t="s">
        <v>22</v>
      </c>
      <c r="J31" s="5">
        <f>33*3</f>
        <v>99</v>
      </c>
      <c r="K31" s="4" t="s">
        <v>39</v>
      </c>
      <c r="L31" s="36" t="s">
        <v>144</v>
      </c>
      <c r="M31" s="11"/>
    </row>
    <row r="32" spans="1:13" x14ac:dyDescent="0.35">
      <c r="A32" s="71"/>
      <c r="B32" s="71"/>
      <c r="C32" s="4" t="s">
        <v>36</v>
      </c>
      <c r="F32" s="25" t="s">
        <v>204</v>
      </c>
      <c r="H32" s="5">
        <v>106</v>
      </c>
      <c r="I32" s="5" t="s">
        <v>23</v>
      </c>
      <c r="J32" s="5">
        <f>106*6</f>
        <v>636</v>
      </c>
      <c r="M32" s="11"/>
    </row>
    <row r="33" spans="1:13" x14ac:dyDescent="0.35">
      <c r="A33" s="71"/>
      <c r="B33" s="71"/>
      <c r="C33" s="4" t="s">
        <v>18</v>
      </c>
      <c r="E33" s="25" t="s">
        <v>203</v>
      </c>
      <c r="F33" s="25" t="s">
        <v>182</v>
      </c>
      <c r="M33" s="11"/>
    </row>
    <row r="34" spans="1:13" x14ac:dyDescent="0.35">
      <c r="A34" s="72"/>
      <c r="B34" s="72"/>
      <c r="C34" s="12" t="s">
        <v>19</v>
      </c>
      <c r="D34" s="32"/>
      <c r="E34" s="25" t="s">
        <v>203</v>
      </c>
      <c r="F34" s="25" t="s">
        <v>141</v>
      </c>
      <c r="G34" s="12"/>
      <c r="H34" s="14">
        <v>40</v>
      </c>
      <c r="I34" s="14" t="s">
        <v>22</v>
      </c>
      <c r="J34" s="14">
        <f>40*3</f>
        <v>120</v>
      </c>
      <c r="K34" s="14"/>
      <c r="L34" s="39"/>
      <c r="M34" s="15"/>
    </row>
    <row r="35" spans="1:13" x14ac:dyDescent="0.35">
      <c r="E35" s="26"/>
      <c r="F35" s="26"/>
    </row>
    <row r="36" spans="1:13" ht="232" x14ac:dyDescent="0.35">
      <c r="A36" s="70" t="s">
        <v>15</v>
      </c>
      <c r="B36" s="70" t="s">
        <v>16</v>
      </c>
      <c r="C36" s="6" t="s">
        <v>7</v>
      </c>
      <c r="D36" s="31" t="s">
        <v>33</v>
      </c>
      <c r="E36" s="25" t="s">
        <v>203</v>
      </c>
      <c r="F36" s="25" t="s">
        <v>148</v>
      </c>
      <c r="G36" s="6"/>
      <c r="H36" s="8">
        <v>22</v>
      </c>
      <c r="I36" s="8" t="s">
        <v>24</v>
      </c>
      <c r="J36" s="8">
        <f>22*24</f>
        <v>528</v>
      </c>
      <c r="K36" s="6" t="s">
        <v>126</v>
      </c>
      <c r="L36" s="40" t="s">
        <v>145</v>
      </c>
      <c r="M36" s="9"/>
    </row>
    <row r="37" spans="1:13" ht="43.5" x14ac:dyDescent="0.35">
      <c r="A37" s="71"/>
      <c r="B37" s="71"/>
      <c r="C37" s="4" t="s">
        <v>17</v>
      </c>
      <c r="D37" s="25" t="s">
        <v>34</v>
      </c>
      <c r="E37" s="25" t="s">
        <v>203</v>
      </c>
      <c r="F37" s="25" t="s">
        <v>157</v>
      </c>
      <c r="H37" s="5">
        <v>310</v>
      </c>
      <c r="I37" s="5" t="s">
        <v>23</v>
      </c>
      <c r="J37" s="5">
        <f>310*6</f>
        <v>1860</v>
      </c>
      <c r="K37" s="4" t="s">
        <v>177</v>
      </c>
      <c r="M37" s="11"/>
    </row>
    <row r="38" spans="1:13" ht="203" x14ac:dyDescent="0.35">
      <c r="A38" s="71"/>
      <c r="B38" s="71"/>
      <c r="C38" s="4" t="s">
        <v>20</v>
      </c>
      <c r="D38" s="25" t="s">
        <v>32</v>
      </c>
      <c r="E38" s="25" t="s">
        <v>203</v>
      </c>
      <c r="F38" s="25" t="s">
        <v>147</v>
      </c>
      <c r="H38" s="5">
        <v>45</v>
      </c>
      <c r="I38" s="5" t="s">
        <v>23</v>
      </c>
      <c r="J38" s="5">
        <f>45*6</f>
        <v>270</v>
      </c>
      <c r="K38" s="4" t="s">
        <v>39</v>
      </c>
      <c r="L38" s="36" t="s">
        <v>144</v>
      </c>
      <c r="M38" s="16"/>
    </row>
    <row r="39" spans="1:13" ht="130.5" x14ac:dyDescent="0.35">
      <c r="A39" s="71"/>
      <c r="B39" s="71"/>
      <c r="C39" s="4" t="s">
        <v>21</v>
      </c>
      <c r="D39" s="25" t="s">
        <v>27</v>
      </c>
      <c r="E39" s="25" t="s">
        <v>203</v>
      </c>
      <c r="F39" s="25" t="s">
        <v>28</v>
      </c>
      <c r="G39" s="5"/>
      <c r="H39" s="5" t="s">
        <v>26</v>
      </c>
      <c r="I39" s="5" t="s">
        <v>23</v>
      </c>
      <c r="J39" s="5">
        <f>74*6</f>
        <v>444</v>
      </c>
      <c r="L39" s="36" t="s">
        <v>35</v>
      </c>
      <c r="M39" s="11"/>
    </row>
    <row r="40" spans="1:13" x14ac:dyDescent="0.35">
      <c r="A40" s="71"/>
      <c r="B40" s="71"/>
      <c r="C40" s="4" t="s">
        <v>18</v>
      </c>
      <c r="D40" s="25" t="s">
        <v>30</v>
      </c>
      <c r="E40" s="25" t="s">
        <v>203</v>
      </c>
      <c r="F40" s="25" t="s">
        <v>182</v>
      </c>
      <c r="M40" s="11"/>
    </row>
    <row r="41" spans="1:13" x14ac:dyDescent="0.35">
      <c r="A41" s="72"/>
      <c r="B41" s="72"/>
      <c r="C41" s="12" t="s">
        <v>19</v>
      </c>
      <c r="D41" s="32" t="s">
        <v>29</v>
      </c>
      <c r="E41" s="25" t="s">
        <v>203</v>
      </c>
      <c r="F41" s="25" t="s">
        <v>141</v>
      </c>
      <c r="G41" s="12"/>
      <c r="H41" s="14">
        <v>35</v>
      </c>
      <c r="I41" s="14" t="s">
        <v>22</v>
      </c>
      <c r="J41" s="14">
        <f>35*3</f>
        <v>105</v>
      </c>
      <c r="K41" s="14"/>
      <c r="L41" s="39"/>
      <c r="M41" s="15"/>
    </row>
    <row r="42" spans="1:13" x14ac:dyDescent="0.35">
      <c r="E42" s="26"/>
      <c r="F42" s="26"/>
    </row>
    <row r="43" spans="1:13" ht="232" x14ac:dyDescent="0.35">
      <c r="A43" s="74" t="s">
        <v>40</v>
      </c>
      <c r="B43" s="70" t="s">
        <v>41</v>
      </c>
      <c r="C43" s="23" t="s">
        <v>7</v>
      </c>
      <c r="D43" s="31" t="s">
        <v>110</v>
      </c>
      <c r="E43" s="25" t="s">
        <v>203</v>
      </c>
      <c r="F43" s="25" t="s">
        <v>148</v>
      </c>
      <c r="G43" s="6"/>
      <c r="H43" s="8"/>
      <c r="I43" s="8" t="s">
        <v>111</v>
      </c>
      <c r="J43" s="8"/>
      <c r="K43" s="6" t="s">
        <v>126</v>
      </c>
      <c r="L43" s="40" t="s">
        <v>145</v>
      </c>
      <c r="M43" s="9"/>
    </row>
    <row r="44" spans="1:13" x14ac:dyDescent="0.35">
      <c r="A44" s="73"/>
      <c r="B44" s="71"/>
      <c r="C44" s="24" t="s">
        <v>117</v>
      </c>
      <c r="D44" s="25" t="s">
        <v>112</v>
      </c>
      <c r="E44" s="25" t="s">
        <v>203</v>
      </c>
      <c r="F44" s="25" t="s">
        <v>149</v>
      </c>
      <c r="I44" s="5" t="s">
        <v>22</v>
      </c>
      <c r="M44" s="11"/>
    </row>
    <row r="45" spans="1:13" x14ac:dyDescent="0.35">
      <c r="A45" s="73"/>
      <c r="B45" s="71"/>
      <c r="C45" s="24" t="s">
        <v>113</v>
      </c>
      <c r="D45" s="25" t="s">
        <v>114</v>
      </c>
      <c r="E45" s="25" t="s">
        <v>203</v>
      </c>
      <c r="F45" s="25" t="s">
        <v>152</v>
      </c>
      <c r="I45" s="5" t="s">
        <v>22</v>
      </c>
      <c r="M45" s="11"/>
    </row>
    <row r="46" spans="1:13" x14ac:dyDescent="0.35">
      <c r="A46" s="73"/>
      <c r="B46" s="71"/>
      <c r="C46" s="24" t="s">
        <v>115</v>
      </c>
      <c r="D46" s="25" t="s">
        <v>114</v>
      </c>
      <c r="E46" s="25" t="s">
        <v>203</v>
      </c>
      <c r="F46" s="25" t="s">
        <v>152</v>
      </c>
      <c r="I46" s="5" t="s">
        <v>22</v>
      </c>
      <c r="M46" s="11"/>
    </row>
    <row r="47" spans="1:13" ht="43.5" x14ac:dyDescent="0.35">
      <c r="A47" s="73"/>
      <c r="B47" s="71"/>
      <c r="C47" s="24" t="s">
        <v>134</v>
      </c>
      <c r="E47" s="25" t="s">
        <v>203</v>
      </c>
      <c r="F47" s="25" t="s">
        <v>151</v>
      </c>
      <c r="K47" s="4" t="s">
        <v>153</v>
      </c>
      <c r="L47" s="36" t="s">
        <v>155</v>
      </c>
      <c r="M47" s="11"/>
    </row>
    <row r="48" spans="1:13" x14ac:dyDescent="0.35">
      <c r="A48" s="73"/>
      <c r="B48" s="71"/>
      <c r="C48" s="24" t="s">
        <v>19</v>
      </c>
      <c r="D48" s="25" t="s">
        <v>116</v>
      </c>
      <c r="E48" s="25" t="s">
        <v>203</v>
      </c>
      <c r="F48" s="25" t="s">
        <v>141</v>
      </c>
      <c r="I48" s="5" t="s">
        <v>22</v>
      </c>
      <c r="M48" s="11"/>
    </row>
    <row r="49" spans="1:13" ht="43.5" x14ac:dyDescent="0.35">
      <c r="A49" s="73"/>
      <c r="B49" s="71"/>
      <c r="C49" s="24" t="s">
        <v>150</v>
      </c>
      <c r="E49" s="25" t="s">
        <v>203</v>
      </c>
      <c r="F49" s="25" t="s">
        <v>151</v>
      </c>
      <c r="K49" s="4" t="s">
        <v>156</v>
      </c>
      <c r="M49" s="11" t="s">
        <v>154</v>
      </c>
    </row>
    <row r="50" spans="1:13" x14ac:dyDescent="0.35">
      <c r="A50" s="73"/>
      <c r="B50" s="72"/>
      <c r="C50" s="21" t="s">
        <v>18</v>
      </c>
      <c r="D50" s="32"/>
      <c r="E50" s="25" t="s">
        <v>203</v>
      </c>
      <c r="F50" s="25" t="s">
        <v>182</v>
      </c>
      <c r="G50" s="12"/>
      <c r="H50" s="14"/>
      <c r="I50" s="14"/>
      <c r="J50" s="14"/>
      <c r="K50" s="14"/>
      <c r="L50" s="39"/>
      <c r="M50" s="15"/>
    </row>
    <row r="51" spans="1:13" x14ac:dyDescent="0.35">
      <c r="A51" s="71"/>
      <c r="E51" s="26"/>
      <c r="F51" s="26"/>
    </row>
    <row r="52" spans="1:13" ht="232" x14ac:dyDescent="0.35">
      <c r="A52" s="71"/>
      <c r="B52" s="70" t="s">
        <v>42</v>
      </c>
      <c r="C52" s="23" t="s">
        <v>7</v>
      </c>
      <c r="D52" s="33" t="s">
        <v>125</v>
      </c>
      <c r="E52" s="25" t="s">
        <v>203</v>
      </c>
      <c r="F52" s="25" t="s">
        <v>148</v>
      </c>
      <c r="G52" s="6"/>
      <c r="H52" s="8">
        <v>54</v>
      </c>
      <c r="I52" s="8" t="s">
        <v>24</v>
      </c>
      <c r="J52" s="8">
        <f>54*24</f>
        <v>1296</v>
      </c>
      <c r="K52" s="6" t="s">
        <v>126</v>
      </c>
      <c r="L52" s="40" t="s">
        <v>145</v>
      </c>
      <c r="M52" s="9"/>
    </row>
    <row r="53" spans="1:13" ht="29" x14ac:dyDescent="0.35">
      <c r="A53" s="71"/>
      <c r="B53" s="71"/>
      <c r="C53" s="24" t="s">
        <v>117</v>
      </c>
      <c r="D53" s="34" t="s">
        <v>124</v>
      </c>
      <c r="E53" s="25" t="s">
        <v>203</v>
      </c>
      <c r="F53" s="25" t="s">
        <v>149</v>
      </c>
      <c r="H53" s="5">
        <v>550</v>
      </c>
      <c r="I53" s="5" t="s">
        <v>121</v>
      </c>
      <c r="J53" s="5">
        <f>550*4</f>
        <v>2200</v>
      </c>
      <c r="L53" s="36" t="s">
        <v>177</v>
      </c>
      <c r="M53" s="11"/>
    </row>
    <row r="54" spans="1:13" x14ac:dyDescent="0.35">
      <c r="A54" s="71"/>
      <c r="B54" s="71"/>
      <c r="C54" s="24" t="s">
        <v>119</v>
      </c>
      <c r="D54" s="34" t="s">
        <v>123</v>
      </c>
      <c r="E54" s="25" t="s">
        <v>203</v>
      </c>
      <c r="F54" s="25" t="s">
        <v>156</v>
      </c>
      <c r="I54" s="5" t="s">
        <v>23</v>
      </c>
      <c r="M54" s="11"/>
    </row>
    <row r="55" spans="1:13" x14ac:dyDescent="0.35">
      <c r="A55" s="71"/>
      <c r="B55" s="71"/>
      <c r="C55" s="24" t="s">
        <v>120</v>
      </c>
      <c r="D55" s="34" t="s">
        <v>123</v>
      </c>
      <c r="E55" s="25" t="s">
        <v>203</v>
      </c>
      <c r="F55" s="25" t="s">
        <v>156</v>
      </c>
      <c r="I55" s="5" t="s">
        <v>23</v>
      </c>
      <c r="M55" s="11"/>
    </row>
    <row r="56" spans="1:13" x14ac:dyDescent="0.35">
      <c r="A56" s="71"/>
      <c r="B56" s="71"/>
      <c r="C56" s="24" t="s">
        <v>19</v>
      </c>
      <c r="D56" s="34" t="s">
        <v>122</v>
      </c>
      <c r="E56" s="25" t="s">
        <v>203</v>
      </c>
      <c r="F56" s="25" t="s">
        <v>141</v>
      </c>
      <c r="I56" s="5" t="s">
        <v>23</v>
      </c>
      <c r="M56" s="11"/>
    </row>
    <row r="57" spans="1:13" x14ac:dyDescent="0.35">
      <c r="A57" s="71"/>
      <c r="B57" s="72"/>
      <c r="C57" s="21" t="s">
        <v>18</v>
      </c>
      <c r="D57" s="32" t="s">
        <v>118</v>
      </c>
      <c r="E57" s="25" t="s">
        <v>203</v>
      </c>
      <c r="F57" s="25" t="s">
        <v>182</v>
      </c>
      <c r="G57" s="12"/>
      <c r="H57" s="14"/>
      <c r="I57" s="14"/>
      <c r="J57" s="14"/>
      <c r="K57" s="14"/>
      <c r="L57" s="39"/>
      <c r="M57" s="15"/>
    </row>
    <row r="58" spans="1:13" x14ac:dyDescent="0.35">
      <c r="A58" s="71"/>
      <c r="E58" s="26"/>
      <c r="F58" s="26"/>
    </row>
    <row r="59" spans="1:13" ht="232" x14ac:dyDescent="0.35">
      <c r="A59" s="71"/>
      <c r="B59" s="70" t="s">
        <v>43</v>
      </c>
      <c r="C59" s="23" t="s">
        <v>7</v>
      </c>
      <c r="D59" s="33" t="s">
        <v>125</v>
      </c>
      <c r="E59" s="25" t="s">
        <v>203</v>
      </c>
      <c r="F59" s="25" t="s">
        <v>148</v>
      </c>
      <c r="G59" s="6"/>
      <c r="H59" s="8">
        <v>54</v>
      </c>
      <c r="I59" s="8" t="s">
        <v>24</v>
      </c>
      <c r="J59" s="8">
        <f>54*24</f>
        <v>1296</v>
      </c>
      <c r="K59" s="6" t="s">
        <v>126</v>
      </c>
      <c r="L59" s="40" t="s">
        <v>145</v>
      </c>
      <c r="M59" s="9"/>
    </row>
    <row r="60" spans="1:13" ht="29" x14ac:dyDescent="0.35">
      <c r="A60" s="71"/>
      <c r="B60" s="71"/>
      <c r="C60" s="24" t="s">
        <v>117</v>
      </c>
      <c r="D60" s="34" t="s">
        <v>124</v>
      </c>
      <c r="E60" s="25" t="s">
        <v>203</v>
      </c>
      <c r="F60" s="25" t="s">
        <v>149</v>
      </c>
      <c r="H60" s="5">
        <v>720</v>
      </c>
      <c r="I60" s="5" t="s">
        <v>121</v>
      </c>
      <c r="J60" s="5">
        <f>720*4</f>
        <v>2880</v>
      </c>
      <c r="L60" s="36" t="s">
        <v>177</v>
      </c>
      <c r="M60" s="11"/>
    </row>
    <row r="61" spans="1:13" x14ac:dyDescent="0.35">
      <c r="A61" s="71"/>
      <c r="B61" s="71"/>
      <c r="C61" s="24" t="s">
        <v>119</v>
      </c>
      <c r="D61" s="34" t="s">
        <v>127</v>
      </c>
      <c r="E61" s="25" t="s">
        <v>203</v>
      </c>
      <c r="F61" s="25" t="s">
        <v>140</v>
      </c>
      <c r="H61" s="5">
        <v>40</v>
      </c>
      <c r="I61" s="5" t="s">
        <v>23</v>
      </c>
      <c r="J61" s="5">
        <f>40*6</f>
        <v>240</v>
      </c>
      <c r="L61" s="36" t="s">
        <v>188</v>
      </c>
      <c r="M61" s="11"/>
    </row>
    <row r="62" spans="1:13" x14ac:dyDescent="0.35">
      <c r="A62" s="71"/>
      <c r="B62" s="71"/>
      <c r="C62" s="24" t="s">
        <v>120</v>
      </c>
      <c r="D62" s="34" t="s">
        <v>127</v>
      </c>
      <c r="E62" s="25" t="s">
        <v>203</v>
      </c>
      <c r="F62" s="25" t="s">
        <v>140</v>
      </c>
      <c r="H62" s="5">
        <v>140</v>
      </c>
      <c r="I62" s="5" t="s">
        <v>23</v>
      </c>
      <c r="J62" s="5">
        <f>140*6</f>
        <v>840</v>
      </c>
      <c r="L62" s="36" t="s">
        <v>188</v>
      </c>
      <c r="M62" s="11"/>
    </row>
    <row r="63" spans="1:13" x14ac:dyDescent="0.35">
      <c r="A63" s="71"/>
      <c r="B63" s="71"/>
      <c r="C63" s="24" t="s">
        <v>19</v>
      </c>
      <c r="D63" s="34" t="s">
        <v>122</v>
      </c>
      <c r="E63" s="25" t="s">
        <v>203</v>
      </c>
      <c r="F63" s="25" t="s">
        <v>141</v>
      </c>
      <c r="H63" s="5">
        <v>60</v>
      </c>
      <c r="I63" s="5" t="s">
        <v>23</v>
      </c>
      <c r="J63" s="5">
        <f>60*6</f>
        <v>360</v>
      </c>
      <c r="M63" s="11"/>
    </row>
    <row r="64" spans="1:13" x14ac:dyDescent="0.35">
      <c r="A64" s="72"/>
      <c r="B64" s="72"/>
      <c r="C64" s="21" t="s">
        <v>18</v>
      </c>
      <c r="D64" s="32" t="s">
        <v>118</v>
      </c>
      <c r="E64" s="25" t="s">
        <v>203</v>
      </c>
      <c r="F64" s="25" t="s">
        <v>182</v>
      </c>
      <c r="G64" s="12"/>
      <c r="H64" s="14"/>
      <c r="I64" s="14"/>
      <c r="J64" s="14"/>
      <c r="K64" s="14"/>
      <c r="L64" s="39"/>
      <c r="M64" s="15"/>
    </row>
    <row r="65" spans="1:13" x14ac:dyDescent="0.35">
      <c r="E65" s="26"/>
      <c r="F65" s="26"/>
    </row>
    <row r="66" spans="1:13" ht="29" x14ac:dyDescent="0.35">
      <c r="A66" s="70" t="s">
        <v>44</v>
      </c>
      <c r="B66" s="70" t="s">
        <v>45</v>
      </c>
      <c r="C66" s="23" t="s">
        <v>128</v>
      </c>
      <c r="D66" s="35" t="s">
        <v>132</v>
      </c>
      <c r="E66" s="27" t="s">
        <v>199</v>
      </c>
      <c r="F66" s="27" t="s">
        <v>204</v>
      </c>
      <c r="G66" s="6"/>
      <c r="H66" s="8">
        <v>511</v>
      </c>
      <c r="I66" s="8" t="s">
        <v>111</v>
      </c>
      <c r="J66" s="8">
        <f>511*12</f>
        <v>6132</v>
      </c>
      <c r="K66" s="8"/>
      <c r="L66" s="41" t="s">
        <v>197</v>
      </c>
      <c r="M66" s="20" t="s">
        <v>205</v>
      </c>
    </row>
    <row r="67" spans="1:13" ht="29" x14ac:dyDescent="0.35">
      <c r="A67" s="71"/>
      <c r="B67" s="71"/>
      <c r="C67" s="24" t="s">
        <v>129</v>
      </c>
      <c r="D67" s="27" t="s">
        <v>132</v>
      </c>
      <c r="E67" s="27" t="s">
        <v>199</v>
      </c>
      <c r="F67" s="27" t="s">
        <v>204</v>
      </c>
      <c r="H67" s="5" t="s">
        <v>136</v>
      </c>
      <c r="I67" s="5" t="s">
        <v>111</v>
      </c>
      <c r="J67" s="5">
        <f>370*2*12</f>
        <v>8880</v>
      </c>
      <c r="L67" s="22" t="s">
        <v>197</v>
      </c>
      <c r="M67" s="20" t="s">
        <v>205</v>
      </c>
    </row>
    <row r="68" spans="1:13" x14ac:dyDescent="0.35">
      <c r="A68" s="71"/>
      <c r="B68" s="71"/>
      <c r="C68" s="24" t="s">
        <v>130</v>
      </c>
      <c r="D68" s="25" t="s">
        <v>133</v>
      </c>
      <c r="E68" s="25" t="s">
        <v>203</v>
      </c>
      <c r="F68" s="25" t="s">
        <v>138</v>
      </c>
      <c r="H68" s="5" t="s">
        <v>137</v>
      </c>
      <c r="I68" s="5" t="s">
        <v>111</v>
      </c>
      <c r="J68" s="5">
        <f>490*2*12</f>
        <v>11760</v>
      </c>
      <c r="L68" s="36" t="s">
        <v>189</v>
      </c>
      <c r="M68" s="11"/>
    </row>
    <row r="69" spans="1:13" ht="29" x14ac:dyDescent="0.35">
      <c r="A69" s="71"/>
      <c r="B69" s="71"/>
      <c r="C69" s="24" t="s">
        <v>131</v>
      </c>
      <c r="D69" s="27" t="s">
        <v>132</v>
      </c>
      <c r="E69" s="27" t="s">
        <v>199</v>
      </c>
      <c r="F69" s="27" t="s">
        <v>204</v>
      </c>
      <c r="H69" s="5">
        <v>757</v>
      </c>
      <c r="I69" s="5" t="s">
        <v>111</v>
      </c>
      <c r="J69" s="5">
        <f>757*12</f>
        <v>9084</v>
      </c>
      <c r="L69" s="22" t="s">
        <v>197</v>
      </c>
      <c r="M69" s="20" t="s">
        <v>205</v>
      </c>
    </row>
    <row r="70" spans="1:13" ht="58" x14ac:dyDescent="0.35">
      <c r="A70" s="71"/>
      <c r="B70" s="71"/>
      <c r="C70" s="24" t="s">
        <v>183</v>
      </c>
      <c r="E70" s="25" t="s">
        <v>203</v>
      </c>
      <c r="F70" s="25" t="s">
        <v>185</v>
      </c>
      <c r="M70" s="11"/>
    </row>
    <row r="71" spans="1:13" x14ac:dyDescent="0.35">
      <c r="A71" s="71"/>
      <c r="B71" s="71"/>
      <c r="C71" s="24" t="s">
        <v>184</v>
      </c>
      <c r="E71" s="25" t="s">
        <v>203</v>
      </c>
      <c r="F71" s="25" t="s">
        <v>182</v>
      </c>
      <c r="M71" s="11"/>
    </row>
    <row r="72" spans="1:13" x14ac:dyDescent="0.35">
      <c r="A72" s="71"/>
      <c r="B72" s="72"/>
      <c r="C72" s="21" t="s">
        <v>134</v>
      </c>
      <c r="D72" s="29"/>
      <c r="E72" s="27" t="s">
        <v>199</v>
      </c>
      <c r="F72" s="27" t="s">
        <v>209</v>
      </c>
      <c r="G72" s="12"/>
      <c r="H72" s="14"/>
      <c r="I72" s="14" t="s">
        <v>135</v>
      </c>
      <c r="J72" s="14"/>
      <c r="K72" s="14"/>
      <c r="L72" s="39"/>
      <c r="M72" s="15"/>
    </row>
    <row r="73" spans="1:13" x14ac:dyDescent="0.35">
      <c r="A73" s="71"/>
      <c r="D73" s="26"/>
      <c r="E73" s="26"/>
      <c r="F73" s="26"/>
    </row>
    <row r="74" spans="1:13" ht="29" x14ac:dyDescent="0.35">
      <c r="A74" s="71"/>
      <c r="B74" s="70" t="s">
        <v>46</v>
      </c>
      <c r="C74" s="23" t="s">
        <v>128</v>
      </c>
      <c r="D74" s="27" t="s">
        <v>132</v>
      </c>
      <c r="E74" s="27" t="s">
        <v>199</v>
      </c>
      <c r="F74" s="27" t="s">
        <v>204</v>
      </c>
      <c r="G74" s="6"/>
      <c r="H74" s="8">
        <v>1000</v>
      </c>
      <c r="I74" s="8" t="s">
        <v>111</v>
      </c>
      <c r="J74" s="8">
        <f>1000*12</f>
        <v>12000</v>
      </c>
      <c r="K74" s="8"/>
      <c r="L74" s="41" t="s">
        <v>197</v>
      </c>
      <c r="M74" s="20" t="s">
        <v>205</v>
      </c>
    </row>
    <row r="75" spans="1:13" ht="29" x14ac:dyDescent="0.35">
      <c r="A75" s="71"/>
      <c r="B75" s="71"/>
      <c r="C75" s="24" t="s">
        <v>129</v>
      </c>
      <c r="D75" s="27" t="s">
        <v>132</v>
      </c>
      <c r="E75" s="27" t="s">
        <v>199</v>
      </c>
      <c r="F75" s="27" t="s">
        <v>204</v>
      </c>
      <c r="H75" s="5" t="s">
        <v>142</v>
      </c>
      <c r="I75" s="5" t="s">
        <v>111</v>
      </c>
      <c r="J75" s="5">
        <f>370*2*12</f>
        <v>8880</v>
      </c>
      <c r="L75" s="22" t="s">
        <v>197</v>
      </c>
      <c r="M75" s="20" t="s">
        <v>205</v>
      </c>
    </row>
    <row r="76" spans="1:13" x14ac:dyDescent="0.35">
      <c r="A76" s="71"/>
      <c r="B76" s="71"/>
      <c r="C76" s="24" t="s">
        <v>130</v>
      </c>
      <c r="D76" s="25" t="s">
        <v>133</v>
      </c>
      <c r="E76" s="25" t="s">
        <v>203</v>
      </c>
      <c r="F76" s="25" t="s">
        <v>138</v>
      </c>
      <c r="H76" s="5" t="s">
        <v>143</v>
      </c>
      <c r="I76" s="5" t="s">
        <v>111</v>
      </c>
      <c r="J76" s="5">
        <f>850*2*12</f>
        <v>20400</v>
      </c>
      <c r="L76" s="36" t="s">
        <v>189</v>
      </c>
      <c r="M76" s="11"/>
    </row>
    <row r="77" spans="1:13" ht="29" x14ac:dyDescent="0.35">
      <c r="A77" s="71"/>
      <c r="B77" s="71"/>
      <c r="C77" s="24" t="s">
        <v>131</v>
      </c>
      <c r="D77" s="27" t="s">
        <v>132</v>
      </c>
      <c r="E77" s="27" t="s">
        <v>199</v>
      </c>
      <c r="F77" s="27" t="s">
        <v>204</v>
      </c>
      <c r="H77" s="5">
        <v>450</v>
      </c>
      <c r="I77" s="5" t="s">
        <v>111</v>
      </c>
      <c r="J77" s="5">
        <f>450*12</f>
        <v>5400</v>
      </c>
      <c r="L77" s="22" t="s">
        <v>197</v>
      </c>
      <c r="M77" s="20" t="s">
        <v>205</v>
      </c>
    </row>
    <row r="78" spans="1:13" ht="58" x14ac:dyDescent="0.35">
      <c r="A78" s="71"/>
      <c r="B78" s="71"/>
      <c r="C78" s="24" t="s">
        <v>183</v>
      </c>
      <c r="E78" s="25" t="s">
        <v>203</v>
      </c>
      <c r="F78" s="25" t="s">
        <v>185</v>
      </c>
      <c r="M78" s="11"/>
    </row>
    <row r="79" spans="1:13" x14ac:dyDescent="0.35">
      <c r="A79" s="71"/>
      <c r="B79" s="73"/>
      <c r="C79" s="24" t="s">
        <v>134</v>
      </c>
      <c r="D79" s="27"/>
      <c r="E79" s="27" t="s">
        <v>199</v>
      </c>
      <c r="F79" s="27" t="s">
        <v>209</v>
      </c>
      <c r="M79" s="11"/>
    </row>
    <row r="80" spans="1:13" x14ac:dyDescent="0.35">
      <c r="A80" s="72"/>
      <c r="B80" s="72"/>
      <c r="C80" s="24" t="s">
        <v>195</v>
      </c>
      <c r="E80" s="25" t="s">
        <v>203</v>
      </c>
      <c r="F80" s="25" t="s">
        <v>182</v>
      </c>
      <c r="M80" s="11"/>
    </row>
    <row r="81" spans="1:13" x14ac:dyDescent="0.35">
      <c r="C81" s="17"/>
      <c r="D81" s="26"/>
      <c r="E81" s="26"/>
      <c r="F81" s="26"/>
      <c r="G81" s="17"/>
      <c r="H81" s="18"/>
      <c r="I81" s="18"/>
      <c r="J81" s="18"/>
      <c r="K81" s="18"/>
      <c r="L81" s="42"/>
      <c r="M81" s="19"/>
    </row>
    <row r="82" spans="1:13" ht="232" x14ac:dyDescent="0.35">
      <c r="A82" s="70" t="s">
        <v>47</v>
      </c>
      <c r="B82" s="67" t="s">
        <v>48</v>
      </c>
      <c r="C82" s="4" t="s">
        <v>7</v>
      </c>
      <c r="D82" s="25" t="s">
        <v>51</v>
      </c>
      <c r="E82" s="25" t="s">
        <v>203</v>
      </c>
      <c r="F82" s="25" t="s">
        <v>148</v>
      </c>
      <c r="H82" s="5">
        <v>212</v>
      </c>
      <c r="I82" s="5" t="s">
        <v>24</v>
      </c>
      <c r="J82" s="5">
        <f>212*24</f>
        <v>5088</v>
      </c>
      <c r="K82" s="4" t="s">
        <v>126</v>
      </c>
      <c r="L82" s="36" t="s">
        <v>145</v>
      </c>
      <c r="M82" s="11"/>
    </row>
    <row r="83" spans="1:13" ht="43.5" x14ac:dyDescent="0.35">
      <c r="A83" s="71"/>
      <c r="B83" s="68"/>
      <c r="C83" s="4" t="s">
        <v>53</v>
      </c>
      <c r="D83" s="25" t="s">
        <v>52</v>
      </c>
      <c r="E83" s="27" t="s">
        <v>207</v>
      </c>
      <c r="F83" s="27" t="s">
        <v>212</v>
      </c>
      <c r="H83" s="5">
        <v>50</v>
      </c>
      <c r="I83" s="5" t="s">
        <v>65</v>
      </c>
      <c r="J83" s="5">
        <f>50*2</f>
        <v>100</v>
      </c>
      <c r="M83" s="11"/>
    </row>
    <row r="84" spans="1:13" ht="29" x14ac:dyDescent="0.35">
      <c r="A84" s="71"/>
      <c r="B84" s="68"/>
      <c r="C84" s="4" t="s">
        <v>54</v>
      </c>
      <c r="D84" s="25" t="s">
        <v>55</v>
      </c>
      <c r="E84" s="27" t="s">
        <v>194</v>
      </c>
      <c r="F84" s="27" t="s">
        <v>211</v>
      </c>
      <c r="H84" s="5">
        <v>1000</v>
      </c>
      <c r="I84" s="5" t="s">
        <v>64</v>
      </c>
      <c r="J84" s="5">
        <f>1000*6/5</f>
        <v>1200</v>
      </c>
      <c r="M84" s="11"/>
    </row>
    <row r="85" spans="1:13" ht="29" x14ac:dyDescent="0.35">
      <c r="A85" s="71"/>
      <c r="B85" s="68"/>
      <c r="C85" s="4" t="s">
        <v>56</v>
      </c>
      <c r="D85" s="25" t="s">
        <v>55</v>
      </c>
      <c r="E85" s="27" t="s">
        <v>194</v>
      </c>
      <c r="F85" s="27" t="s">
        <v>211</v>
      </c>
      <c r="H85" s="5">
        <v>170</v>
      </c>
      <c r="I85" s="5" t="s">
        <v>64</v>
      </c>
      <c r="J85" s="5">
        <f>170*6/5</f>
        <v>204</v>
      </c>
      <c r="M85" s="11"/>
    </row>
    <row r="86" spans="1:13" x14ac:dyDescent="0.35">
      <c r="A86" s="71"/>
      <c r="B86" s="68"/>
      <c r="C86" s="4" t="s">
        <v>57</v>
      </c>
      <c r="E86" s="25" t="s">
        <v>203</v>
      </c>
      <c r="F86" s="25" t="s">
        <v>182</v>
      </c>
      <c r="H86" s="5">
        <v>30</v>
      </c>
      <c r="M86" s="11"/>
    </row>
    <row r="87" spans="1:13" x14ac:dyDescent="0.35">
      <c r="A87" s="71"/>
      <c r="B87" s="68"/>
      <c r="C87" s="4" t="s">
        <v>58</v>
      </c>
      <c r="D87" s="25" t="s">
        <v>60</v>
      </c>
      <c r="E87" s="27" t="s">
        <v>194</v>
      </c>
      <c r="F87" s="27" t="s">
        <v>186</v>
      </c>
      <c r="H87" s="5">
        <v>36</v>
      </c>
      <c r="M87" s="11"/>
    </row>
    <row r="88" spans="1:13" x14ac:dyDescent="0.35">
      <c r="A88" s="71"/>
      <c r="B88" s="68"/>
      <c r="C88" s="4" t="s">
        <v>59</v>
      </c>
      <c r="D88" s="25" t="s">
        <v>61</v>
      </c>
      <c r="E88" s="27" t="s">
        <v>194</v>
      </c>
      <c r="F88" s="27" t="s">
        <v>187</v>
      </c>
      <c r="H88" s="5" t="s">
        <v>62</v>
      </c>
      <c r="M88" s="11"/>
    </row>
    <row r="89" spans="1:13" x14ac:dyDescent="0.35">
      <c r="A89" s="71"/>
      <c r="B89" s="69"/>
      <c r="C89" s="12" t="s">
        <v>19</v>
      </c>
      <c r="D89" s="32" t="s">
        <v>63</v>
      </c>
      <c r="E89" s="25" t="s">
        <v>203</v>
      </c>
      <c r="F89" s="25" t="s">
        <v>141</v>
      </c>
      <c r="G89" s="12"/>
      <c r="H89" s="14"/>
      <c r="I89" s="14"/>
      <c r="J89" s="14"/>
      <c r="K89" s="14"/>
      <c r="L89" s="39"/>
      <c r="M89" s="15"/>
    </row>
    <row r="90" spans="1:13" x14ac:dyDescent="0.35">
      <c r="A90" s="71"/>
      <c r="E90" s="26"/>
      <c r="F90" s="26"/>
    </row>
    <row r="91" spans="1:13" ht="232" x14ac:dyDescent="0.35">
      <c r="A91" s="71"/>
      <c r="B91" s="67" t="s">
        <v>49</v>
      </c>
      <c r="C91" s="6" t="s">
        <v>7</v>
      </c>
      <c r="D91" s="31" t="s">
        <v>51</v>
      </c>
      <c r="E91" s="25" t="s">
        <v>203</v>
      </c>
      <c r="F91" s="25" t="s">
        <v>148</v>
      </c>
      <c r="G91" s="6"/>
      <c r="H91" s="8">
        <v>212</v>
      </c>
      <c r="I91" s="8" t="s">
        <v>24</v>
      </c>
      <c r="J91" s="5">
        <f>212*24</f>
        <v>5088</v>
      </c>
      <c r="K91" s="6" t="s">
        <v>126</v>
      </c>
      <c r="L91" s="40" t="s">
        <v>145</v>
      </c>
      <c r="M91" s="9"/>
    </row>
    <row r="92" spans="1:13" x14ac:dyDescent="0.35">
      <c r="A92" s="71"/>
      <c r="B92" s="68"/>
      <c r="C92" s="4" t="s">
        <v>19</v>
      </c>
      <c r="D92" s="25" t="s">
        <v>63</v>
      </c>
      <c r="E92" s="25" t="s">
        <v>203</v>
      </c>
      <c r="F92" s="25" t="s">
        <v>141</v>
      </c>
      <c r="H92" s="5">
        <v>480</v>
      </c>
      <c r="J92" s="5">
        <f>50*2</f>
        <v>100</v>
      </c>
      <c r="M92" s="11"/>
    </row>
    <row r="93" spans="1:13" ht="43.5" x14ac:dyDescent="0.35">
      <c r="A93" s="71"/>
      <c r="B93" s="68"/>
      <c r="C93" s="4" t="s">
        <v>53</v>
      </c>
      <c r="D93" s="25" t="s">
        <v>52</v>
      </c>
      <c r="E93" s="27" t="s">
        <v>207</v>
      </c>
      <c r="F93" s="27" t="s">
        <v>212</v>
      </c>
      <c r="H93" s="5">
        <v>50</v>
      </c>
      <c r="I93" s="5" t="s">
        <v>65</v>
      </c>
      <c r="J93" s="5">
        <v>100</v>
      </c>
      <c r="M93" s="11"/>
    </row>
    <row r="94" spans="1:13" ht="29" x14ac:dyDescent="0.35">
      <c r="A94" s="71"/>
      <c r="B94" s="68"/>
      <c r="C94" s="4" t="s">
        <v>54</v>
      </c>
      <c r="D94" s="25" t="s">
        <v>213</v>
      </c>
      <c r="E94" s="27" t="s">
        <v>194</v>
      </c>
      <c r="F94" s="27" t="s">
        <v>211</v>
      </c>
      <c r="H94" s="5">
        <v>1000</v>
      </c>
      <c r="I94" s="5" t="s">
        <v>64</v>
      </c>
      <c r="J94" s="5">
        <v>1200</v>
      </c>
      <c r="M94" s="11"/>
    </row>
    <row r="95" spans="1:13" ht="29" x14ac:dyDescent="0.35">
      <c r="A95" s="71"/>
      <c r="B95" s="68"/>
      <c r="C95" s="4" t="s">
        <v>56</v>
      </c>
      <c r="D95" s="25" t="s">
        <v>210</v>
      </c>
      <c r="E95" s="27" t="s">
        <v>194</v>
      </c>
      <c r="F95" s="27" t="s">
        <v>211</v>
      </c>
      <c r="H95" s="5">
        <v>170</v>
      </c>
      <c r="I95" s="5" t="s">
        <v>64</v>
      </c>
      <c r="M95" s="11"/>
    </row>
    <row r="96" spans="1:13" x14ac:dyDescent="0.35">
      <c r="A96" s="71"/>
      <c r="B96" s="68"/>
      <c r="C96" s="4" t="s">
        <v>57</v>
      </c>
      <c r="E96" s="25" t="s">
        <v>203</v>
      </c>
      <c r="F96" s="25" t="s">
        <v>182</v>
      </c>
      <c r="H96" s="5">
        <v>30</v>
      </c>
      <c r="M96" s="11"/>
    </row>
    <row r="97" spans="1:13" x14ac:dyDescent="0.35">
      <c r="A97" s="71"/>
      <c r="B97" s="68"/>
      <c r="C97" s="4" t="s">
        <v>58</v>
      </c>
      <c r="D97" s="25" t="s">
        <v>60</v>
      </c>
      <c r="E97" s="27" t="s">
        <v>194</v>
      </c>
      <c r="F97" s="27" t="s">
        <v>186</v>
      </c>
      <c r="H97" s="5">
        <v>36</v>
      </c>
      <c r="M97" s="11"/>
    </row>
    <row r="98" spans="1:13" x14ac:dyDescent="0.35">
      <c r="A98" s="71"/>
      <c r="B98" s="69"/>
      <c r="C98" s="12" t="s">
        <v>59</v>
      </c>
      <c r="D98" s="32" t="s">
        <v>61</v>
      </c>
      <c r="E98" s="27" t="s">
        <v>194</v>
      </c>
      <c r="F98" s="27" t="s">
        <v>187</v>
      </c>
      <c r="G98" s="12"/>
      <c r="H98" s="14" t="s">
        <v>62</v>
      </c>
      <c r="I98" s="14"/>
      <c r="J98" s="14"/>
      <c r="K98" s="14"/>
      <c r="L98" s="39"/>
      <c r="M98" s="15"/>
    </row>
    <row r="99" spans="1:13" x14ac:dyDescent="0.35">
      <c r="A99" s="71"/>
      <c r="E99" s="26"/>
      <c r="F99" s="26"/>
    </row>
    <row r="100" spans="1:13" ht="43.5" x14ac:dyDescent="0.35">
      <c r="A100" s="71"/>
      <c r="B100" s="67" t="s">
        <v>50</v>
      </c>
      <c r="C100" s="6" t="s">
        <v>7</v>
      </c>
      <c r="D100" s="31" t="s">
        <v>70</v>
      </c>
      <c r="E100" s="25" t="s">
        <v>203</v>
      </c>
      <c r="F100" s="25" t="s">
        <v>148</v>
      </c>
      <c r="G100" s="6"/>
      <c r="H100" s="8">
        <v>70</v>
      </c>
      <c r="I100" s="8"/>
      <c r="J100" s="8"/>
      <c r="K100" s="8"/>
      <c r="L100" s="37"/>
      <c r="M100" s="9"/>
    </row>
    <row r="101" spans="1:13" ht="29" x14ac:dyDescent="0.35">
      <c r="A101" s="71"/>
      <c r="B101" s="68"/>
      <c r="C101" s="4" t="s">
        <v>66</v>
      </c>
      <c r="D101" s="25" t="s">
        <v>55</v>
      </c>
      <c r="E101" s="27" t="s">
        <v>194</v>
      </c>
      <c r="F101" s="27" t="s">
        <v>211</v>
      </c>
      <c r="H101" s="5">
        <v>130</v>
      </c>
      <c r="M101" s="11"/>
    </row>
    <row r="102" spans="1:13" ht="29" x14ac:dyDescent="0.35">
      <c r="A102" s="71"/>
      <c r="B102" s="68"/>
      <c r="C102" s="4" t="s">
        <v>54</v>
      </c>
      <c r="D102" s="25" t="s">
        <v>55</v>
      </c>
      <c r="E102" s="27" t="s">
        <v>194</v>
      </c>
      <c r="F102" s="27" t="s">
        <v>211</v>
      </c>
      <c r="H102" s="5" t="s">
        <v>76</v>
      </c>
      <c r="M102" s="11"/>
    </row>
    <row r="103" spans="1:13" x14ac:dyDescent="0.35">
      <c r="A103" s="71"/>
      <c r="B103" s="68"/>
      <c r="C103" s="4" t="s">
        <v>19</v>
      </c>
      <c r="D103" s="25" t="s">
        <v>71</v>
      </c>
      <c r="E103" s="25" t="s">
        <v>203</v>
      </c>
      <c r="F103" s="25" t="s">
        <v>141</v>
      </c>
      <c r="H103" s="5">
        <v>160</v>
      </c>
      <c r="M103" s="11"/>
    </row>
    <row r="104" spans="1:13" ht="29" x14ac:dyDescent="0.35">
      <c r="A104" s="71"/>
      <c r="B104" s="68"/>
      <c r="C104" s="4" t="s">
        <v>67</v>
      </c>
      <c r="D104" s="25" t="s">
        <v>215</v>
      </c>
      <c r="E104" s="27" t="s">
        <v>208</v>
      </c>
      <c r="F104" s="27" t="s">
        <v>214</v>
      </c>
      <c r="H104" s="5">
        <v>43</v>
      </c>
      <c r="M104" s="16" t="s">
        <v>160</v>
      </c>
    </row>
    <row r="105" spans="1:13" ht="43.5" x14ac:dyDescent="0.35">
      <c r="A105" s="71"/>
      <c r="B105" s="68"/>
      <c r="C105" s="4" t="s">
        <v>68</v>
      </c>
      <c r="D105" s="25" t="s">
        <v>72</v>
      </c>
      <c r="E105" s="25" t="s">
        <v>203</v>
      </c>
      <c r="F105" s="28" t="s">
        <v>182</v>
      </c>
      <c r="M105" s="11"/>
    </row>
    <row r="106" spans="1:13" ht="43.5" x14ac:dyDescent="0.35">
      <c r="A106" s="71"/>
      <c r="B106" s="68"/>
      <c r="C106" s="4" t="s">
        <v>73</v>
      </c>
      <c r="D106" s="25" t="s">
        <v>74</v>
      </c>
      <c r="E106" s="27" t="s">
        <v>194</v>
      </c>
      <c r="F106" s="27" t="s">
        <v>186</v>
      </c>
      <c r="M106" s="11"/>
    </row>
    <row r="107" spans="1:13" ht="29" x14ac:dyDescent="0.35">
      <c r="A107" s="71"/>
      <c r="B107" s="69"/>
      <c r="C107" s="12" t="s">
        <v>69</v>
      </c>
      <c r="D107" s="32" t="s">
        <v>55</v>
      </c>
      <c r="E107" s="27" t="s">
        <v>194</v>
      </c>
      <c r="F107" s="27" t="s">
        <v>211</v>
      </c>
      <c r="G107" s="12"/>
      <c r="H107" s="14" t="s">
        <v>75</v>
      </c>
      <c r="I107" s="14"/>
      <c r="J107" s="14"/>
      <c r="K107" s="14"/>
      <c r="L107" s="39"/>
      <c r="M107" s="15"/>
    </row>
    <row r="108" spans="1:13" x14ac:dyDescent="0.35">
      <c r="A108" s="71"/>
      <c r="E108" s="26"/>
      <c r="F108" s="26"/>
    </row>
    <row r="109" spans="1:13" x14ac:dyDescent="0.35">
      <c r="A109" s="71"/>
      <c r="B109" s="67" t="s">
        <v>162</v>
      </c>
      <c r="C109" s="6" t="s">
        <v>7</v>
      </c>
      <c r="D109" s="31" t="s">
        <v>164</v>
      </c>
      <c r="E109" s="25" t="s">
        <v>203</v>
      </c>
      <c r="F109" s="25" t="s">
        <v>148</v>
      </c>
      <c r="G109" s="6"/>
      <c r="H109" s="8">
        <v>26</v>
      </c>
      <c r="I109" s="8" t="s">
        <v>165</v>
      </c>
      <c r="J109" s="8"/>
      <c r="K109" s="8"/>
      <c r="L109" s="37"/>
      <c r="M109" s="9"/>
    </row>
    <row r="110" spans="1:13" x14ac:dyDescent="0.35">
      <c r="A110" s="71"/>
      <c r="B110" s="68"/>
      <c r="C110" s="4" t="s">
        <v>66</v>
      </c>
      <c r="D110" s="25" t="s">
        <v>167</v>
      </c>
      <c r="E110" s="25" t="s">
        <v>203</v>
      </c>
      <c r="F110" s="25" t="s">
        <v>156</v>
      </c>
      <c r="H110" s="5">
        <v>12</v>
      </c>
      <c r="I110" s="5" t="s">
        <v>166</v>
      </c>
      <c r="M110" s="11" t="s">
        <v>170</v>
      </c>
    </row>
    <row r="111" spans="1:13" x14ac:dyDescent="0.35">
      <c r="A111" s="71"/>
      <c r="B111" s="68"/>
      <c r="C111" s="4" t="s">
        <v>19</v>
      </c>
      <c r="E111" s="25" t="s">
        <v>203</v>
      </c>
      <c r="F111" s="25" t="s">
        <v>141</v>
      </c>
      <c r="M111" s="11"/>
    </row>
    <row r="112" spans="1:13" x14ac:dyDescent="0.35">
      <c r="A112" s="71"/>
      <c r="B112" s="69"/>
      <c r="C112" s="12" t="s">
        <v>21</v>
      </c>
      <c r="D112" s="32" t="s">
        <v>167</v>
      </c>
      <c r="E112" s="25" t="s">
        <v>203</v>
      </c>
      <c r="F112" s="25" t="s">
        <v>156</v>
      </c>
      <c r="G112" s="12"/>
      <c r="H112" s="14" t="s">
        <v>169</v>
      </c>
      <c r="I112" s="14" t="s">
        <v>168</v>
      </c>
      <c r="J112" s="14"/>
      <c r="K112" s="14"/>
      <c r="L112" s="39"/>
      <c r="M112" s="15" t="s">
        <v>170</v>
      </c>
    </row>
    <row r="113" spans="1:13" x14ac:dyDescent="0.35">
      <c r="A113" s="71"/>
      <c r="E113" s="26"/>
      <c r="F113" s="26"/>
    </row>
    <row r="114" spans="1:13" x14ac:dyDescent="0.35">
      <c r="A114" s="71"/>
      <c r="B114" s="67" t="s">
        <v>163</v>
      </c>
      <c r="C114" s="6" t="s">
        <v>7</v>
      </c>
      <c r="D114" s="31" t="s">
        <v>171</v>
      </c>
      <c r="E114" s="25" t="s">
        <v>203</v>
      </c>
      <c r="F114" s="25" t="s">
        <v>148</v>
      </c>
      <c r="G114" s="6"/>
      <c r="H114" s="8"/>
      <c r="I114" s="8"/>
      <c r="J114" s="8"/>
      <c r="K114" s="8"/>
      <c r="L114" s="37"/>
      <c r="M114" s="9"/>
    </row>
    <row r="115" spans="1:13" x14ac:dyDescent="0.35">
      <c r="A115" s="71"/>
      <c r="B115" s="68"/>
      <c r="C115" s="4" t="s">
        <v>66</v>
      </c>
      <c r="D115" s="25" t="s">
        <v>167</v>
      </c>
      <c r="E115" s="25" t="s">
        <v>203</v>
      </c>
      <c r="F115" s="25" t="s">
        <v>156</v>
      </c>
      <c r="M115" s="11"/>
    </row>
    <row r="116" spans="1:13" x14ac:dyDescent="0.35">
      <c r="A116" s="71"/>
      <c r="B116" s="68"/>
      <c r="C116" s="4" t="s">
        <v>19</v>
      </c>
      <c r="E116" s="25" t="s">
        <v>203</v>
      </c>
      <c r="F116" s="25" t="s">
        <v>141</v>
      </c>
      <c r="M116" s="11"/>
    </row>
    <row r="117" spans="1:13" x14ac:dyDescent="0.35">
      <c r="A117" s="71"/>
      <c r="B117" s="69"/>
      <c r="C117" s="12" t="s">
        <v>21</v>
      </c>
      <c r="D117" s="32" t="s">
        <v>167</v>
      </c>
      <c r="E117" s="25" t="s">
        <v>203</v>
      </c>
      <c r="F117" s="25" t="s">
        <v>156</v>
      </c>
      <c r="G117" s="12"/>
      <c r="H117" s="14"/>
      <c r="I117" s="14"/>
      <c r="J117" s="14"/>
      <c r="K117" s="14"/>
      <c r="L117" s="39"/>
      <c r="M117" s="15"/>
    </row>
    <row r="118" spans="1:13" x14ac:dyDescent="0.35">
      <c r="A118" s="71"/>
      <c r="E118" s="26"/>
      <c r="F118" s="26"/>
    </row>
    <row r="119" spans="1:13" x14ac:dyDescent="0.35">
      <c r="A119" s="71"/>
      <c r="B119" s="67" t="s">
        <v>161</v>
      </c>
      <c r="C119" s="23" t="s">
        <v>201</v>
      </c>
      <c r="D119" s="31" t="s">
        <v>174</v>
      </c>
      <c r="E119" s="27" t="s">
        <v>199</v>
      </c>
      <c r="F119" s="27" t="s">
        <v>176</v>
      </c>
      <c r="G119" s="6"/>
      <c r="H119" s="8">
        <v>6.4</v>
      </c>
      <c r="I119" s="8"/>
      <c r="J119" s="8"/>
      <c r="K119" s="8"/>
      <c r="L119" s="37"/>
      <c r="M119" s="9" t="s">
        <v>200</v>
      </c>
    </row>
    <row r="120" spans="1:13" x14ac:dyDescent="0.35">
      <c r="A120" s="71"/>
      <c r="B120" s="68"/>
      <c r="C120" s="24" t="s">
        <v>202</v>
      </c>
      <c r="D120" s="25" t="s">
        <v>175</v>
      </c>
      <c r="E120" s="25" t="s">
        <v>203</v>
      </c>
      <c r="F120" s="25" t="s">
        <v>148</v>
      </c>
      <c r="H120" s="5">
        <v>6</v>
      </c>
      <c r="M120" s="9" t="s">
        <v>200</v>
      </c>
    </row>
    <row r="121" spans="1:13" x14ac:dyDescent="0.35">
      <c r="A121" s="71"/>
      <c r="B121" s="68"/>
      <c r="C121" s="24" t="s">
        <v>178</v>
      </c>
      <c r="D121" s="25" t="s">
        <v>180</v>
      </c>
      <c r="E121" s="25" t="s">
        <v>203</v>
      </c>
      <c r="F121" s="25" t="s">
        <v>156</v>
      </c>
      <c r="H121" s="5">
        <v>3.2</v>
      </c>
      <c r="M121" s="11"/>
    </row>
    <row r="122" spans="1:13" x14ac:dyDescent="0.35">
      <c r="A122" s="71"/>
      <c r="B122" s="68"/>
      <c r="C122" s="24" t="s">
        <v>172</v>
      </c>
      <c r="D122" s="25" t="s">
        <v>181</v>
      </c>
      <c r="E122" s="25" t="s">
        <v>203</v>
      </c>
      <c r="F122" s="25" t="s">
        <v>156</v>
      </c>
      <c r="M122" s="11"/>
    </row>
    <row r="123" spans="1:13" x14ac:dyDescent="0.35">
      <c r="A123" s="72"/>
      <c r="B123" s="69"/>
      <c r="C123" s="21" t="s">
        <v>173</v>
      </c>
      <c r="D123" s="32" t="s">
        <v>179</v>
      </c>
      <c r="E123" s="29" t="s">
        <v>199</v>
      </c>
      <c r="F123" s="29" t="s">
        <v>206</v>
      </c>
      <c r="G123" s="12"/>
      <c r="H123" s="14"/>
      <c r="I123" s="14"/>
      <c r="J123" s="14"/>
      <c r="K123" s="14"/>
      <c r="L123" s="39"/>
      <c r="M123" s="15"/>
    </row>
  </sheetData>
  <mergeCells count="23">
    <mergeCell ref="B2:B13"/>
    <mergeCell ref="A2:A13"/>
    <mergeCell ref="B15:B20"/>
    <mergeCell ref="B22:B27"/>
    <mergeCell ref="A15:A27"/>
    <mergeCell ref="B29:B34"/>
    <mergeCell ref="A29:A34"/>
    <mergeCell ref="A43:A64"/>
    <mergeCell ref="B43:B50"/>
    <mergeCell ref="B52:B57"/>
    <mergeCell ref="B59:B64"/>
    <mergeCell ref="B109:B112"/>
    <mergeCell ref="B114:B117"/>
    <mergeCell ref="B119:B123"/>
    <mergeCell ref="A82:A123"/>
    <mergeCell ref="B36:B41"/>
    <mergeCell ref="A36:A41"/>
    <mergeCell ref="A66:A80"/>
    <mergeCell ref="B91:B98"/>
    <mergeCell ref="B82:B89"/>
    <mergeCell ref="B100:B107"/>
    <mergeCell ref="B66:B72"/>
    <mergeCell ref="B74:B80"/>
  </mergeCells>
  <phoneticPr fontId="1" type="noConversion"/>
  <pageMargins left="0.7" right="0.7" top="0.75" bottom="0.75" header="0.3" footer="0.3"/>
  <pageSetup orientation="portrait" r:id="rId1"/>
  <ignoredErrors>
    <ignoredError sqref="H5:H8 H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2181-B976-485B-9EB5-ADA07B830C8B}">
  <dimension ref="A1:O44"/>
  <sheetViews>
    <sheetView tabSelected="1" topLeftCell="C1" zoomScale="130" zoomScaleNormal="130" workbookViewId="0">
      <pane ySplit="1" topLeftCell="A2" activePane="bottomLeft" state="frozen"/>
      <selection pane="bottomLeft" activeCell="I13" sqref="I13"/>
    </sheetView>
  </sheetViews>
  <sheetFormatPr defaultRowHeight="14.5" x14ac:dyDescent="0.35"/>
  <cols>
    <col min="1" max="1" width="21.453125" style="4" customWidth="1"/>
    <col min="2" max="2" width="42.1796875" style="4" customWidth="1"/>
    <col min="3" max="3" width="45.1796875" style="25" customWidth="1"/>
    <col min="4" max="4" width="23" style="25" customWidth="1"/>
    <col min="5" max="5" width="34.453125" style="25" customWidth="1"/>
    <col min="6" max="6" width="28.1796875" style="4" customWidth="1"/>
    <col min="7" max="7" width="26.1796875" style="5" customWidth="1"/>
    <col min="8" max="9" width="25" style="5" customWidth="1"/>
    <col min="10" max="10" width="28.81640625" style="5" customWidth="1"/>
    <col min="11" max="11" width="39.1796875" style="38" customWidth="1"/>
    <col min="12" max="12" width="37.1796875" style="1" customWidth="1"/>
    <col min="13" max="15" width="8.7265625" style="1"/>
  </cols>
  <sheetData>
    <row r="1" spans="1:15" s="3" customFormat="1" ht="39" customHeight="1" x14ac:dyDescent="0.35">
      <c r="A1" s="61" t="s">
        <v>1</v>
      </c>
      <c r="B1" s="61" t="s">
        <v>2</v>
      </c>
      <c r="C1" s="62" t="s">
        <v>3</v>
      </c>
      <c r="D1" s="61" t="s">
        <v>4</v>
      </c>
      <c r="E1" s="61" t="s">
        <v>139</v>
      </c>
      <c r="F1" s="61" t="s">
        <v>5</v>
      </c>
      <c r="G1" s="61" t="s">
        <v>25</v>
      </c>
      <c r="H1" s="61" t="s">
        <v>6</v>
      </c>
      <c r="I1" s="61" t="s">
        <v>198</v>
      </c>
      <c r="J1" s="61" t="s">
        <v>93</v>
      </c>
      <c r="K1" s="61" t="s">
        <v>109</v>
      </c>
      <c r="L1" s="62" t="s">
        <v>31</v>
      </c>
      <c r="M1" s="2"/>
      <c r="N1" s="2"/>
      <c r="O1" s="2"/>
    </row>
    <row r="2" spans="1:15" s="1" customFormat="1" ht="29" x14ac:dyDescent="0.35">
      <c r="A2" s="76" t="s">
        <v>45</v>
      </c>
      <c r="B2" s="54" t="s">
        <v>128</v>
      </c>
      <c r="C2" s="55" t="s">
        <v>132</v>
      </c>
      <c r="D2" s="56" t="s">
        <v>199</v>
      </c>
      <c r="E2" s="56" t="s">
        <v>204</v>
      </c>
      <c r="F2" s="6"/>
      <c r="G2" s="8">
        <v>511</v>
      </c>
      <c r="H2" s="8" t="s">
        <v>228</v>
      </c>
      <c r="I2" s="8">
        <f>G2+G2*6000/4000</f>
        <v>1277.5</v>
      </c>
      <c r="J2" s="8"/>
      <c r="K2" s="41" t="s">
        <v>197</v>
      </c>
      <c r="L2" s="20" t="s">
        <v>205</v>
      </c>
    </row>
    <row r="3" spans="1:15" s="1" customFormat="1" ht="29" x14ac:dyDescent="0.35">
      <c r="A3" s="77"/>
      <c r="B3" s="57" t="s">
        <v>129</v>
      </c>
      <c r="C3" s="56" t="s">
        <v>132</v>
      </c>
      <c r="D3" s="56" t="s">
        <v>199</v>
      </c>
      <c r="E3" s="56" t="s">
        <v>204</v>
      </c>
      <c r="F3" s="4"/>
      <c r="G3" s="5">
        <f>2*370</f>
        <v>740</v>
      </c>
      <c r="H3" s="8" t="s">
        <v>228</v>
      </c>
      <c r="I3" s="5">
        <f>370*2*2+370*2</f>
        <v>2220</v>
      </c>
      <c r="J3" s="5"/>
      <c r="K3" s="22" t="s">
        <v>197</v>
      </c>
      <c r="L3" s="20" t="s">
        <v>205</v>
      </c>
    </row>
    <row r="4" spans="1:15" s="1" customFormat="1" ht="29" x14ac:dyDescent="0.35">
      <c r="A4" s="77"/>
      <c r="B4" s="57" t="s">
        <v>131</v>
      </c>
      <c r="C4" s="56" t="s">
        <v>132</v>
      </c>
      <c r="D4" s="56" t="s">
        <v>199</v>
      </c>
      <c r="E4" s="56" t="s">
        <v>204</v>
      </c>
      <c r="F4" s="4"/>
      <c r="G4" s="5">
        <v>757</v>
      </c>
      <c r="H4" s="8" t="s">
        <v>228</v>
      </c>
      <c r="I4" s="8">
        <f>G4+G4*6000/4000</f>
        <v>1892.5</v>
      </c>
      <c r="J4" s="5"/>
      <c r="K4" s="22" t="s">
        <v>197</v>
      </c>
      <c r="L4" s="20" t="s">
        <v>205</v>
      </c>
    </row>
    <row r="5" spans="1:15" s="1" customFormat="1" x14ac:dyDescent="0.35">
      <c r="A5" s="77"/>
      <c r="B5" s="57"/>
      <c r="C5" s="56"/>
      <c r="D5" s="56"/>
      <c r="E5" s="56"/>
      <c r="F5" s="4"/>
      <c r="G5" s="5"/>
      <c r="H5" s="5"/>
      <c r="I5" s="5">
        <f>+SUM(I2:I4)</f>
        <v>5390</v>
      </c>
      <c r="J5" s="44" t="s">
        <v>217</v>
      </c>
      <c r="K5" s="22"/>
      <c r="L5" s="65"/>
    </row>
    <row r="6" spans="1:15" s="1" customFormat="1" x14ac:dyDescent="0.35">
      <c r="A6" s="78"/>
      <c r="B6" s="57"/>
      <c r="C6" s="56"/>
      <c r="D6" s="56"/>
      <c r="E6" s="56"/>
      <c r="F6" s="4"/>
      <c r="G6" s="5"/>
      <c r="H6" s="5"/>
      <c r="K6" s="38"/>
      <c r="L6" s="15"/>
    </row>
    <row r="7" spans="1:15" s="1" customFormat="1" ht="29" x14ac:dyDescent="0.35">
      <c r="A7" s="64"/>
      <c r="B7" s="57" t="s">
        <v>134</v>
      </c>
      <c r="C7" s="56"/>
      <c r="D7" s="56" t="s">
        <v>199</v>
      </c>
      <c r="E7" s="56" t="s">
        <v>209</v>
      </c>
      <c r="F7" s="4"/>
      <c r="G7" s="14">
        <v>14</v>
      </c>
      <c r="H7" s="8" t="s">
        <v>228</v>
      </c>
      <c r="I7" s="14">
        <f>14+14*2 +240</f>
        <v>282</v>
      </c>
      <c r="J7" s="44" t="s">
        <v>217</v>
      </c>
      <c r="K7" s="38"/>
      <c r="L7" s="11"/>
    </row>
    <row r="8" spans="1:15" s="1" customFormat="1" ht="29" x14ac:dyDescent="0.35">
      <c r="A8" s="70" t="s">
        <v>46</v>
      </c>
      <c r="B8" s="23" t="s">
        <v>128</v>
      </c>
      <c r="C8" s="31" t="s">
        <v>132</v>
      </c>
      <c r="D8" s="31" t="s">
        <v>199</v>
      </c>
      <c r="E8" s="31" t="s">
        <v>204</v>
      </c>
      <c r="F8" s="6"/>
      <c r="G8" s="8">
        <v>1000</v>
      </c>
      <c r="H8" s="8" t="s">
        <v>228</v>
      </c>
      <c r="I8" s="8">
        <f>G8+G8*6000/4000</f>
        <v>2500</v>
      </c>
      <c r="J8" s="8"/>
      <c r="K8" s="46" t="s">
        <v>197</v>
      </c>
      <c r="L8" s="50" t="s">
        <v>205</v>
      </c>
    </row>
    <row r="9" spans="1:15" s="1" customFormat="1" ht="29" x14ac:dyDescent="0.35">
      <c r="A9" s="71"/>
      <c r="B9" s="24" t="s">
        <v>129</v>
      </c>
      <c r="C9" s="25" t="s">
        <v>132</v>
      </c>
      <c r="D9" s="25" t="s">
        <v>199</v>
      </c>
      <c r="E9" s="25" t="s">
        <v>204</v>
      </c>
      <c r="F9" s="4"/>
      <c r="G9" s="5">
        <f>3*370</f>
        <v>1110</v>
      </c>
      <c r="H9" s="8" t="s">
        <v>228</v>
      </c>
      <c r="I9" s="8">
        <f>G9+G9*6000/4000</f>
        <v>2775</v>
      </c>
      <c r="J9" s="5"/>
      <c r="K9" s="47" t="s">
        <v>197</v>
      </c>
      <c r="L9" s="50" t="s">
        <v>205</v>
      </c>
    </row>
    <row r="10" spans="1:15" s="1" customFormat="1" ht="29" x14ac:dyDescent="0.35">
      <c r="A10" s="71"/>
      <c r="B10" s="24" t="s">
        <v>131</v>
      </c>
      <c r="C10" s="25" t="s">
        <v>132</v>
      </c>
      <c r="D10" s="25" t="s">
        <v>199</v>
      </c>
      <c r="E10" s="25" t="s">
        <v>204</v>
      </c>
      <c r="F10" s="4"/>
      <c r="G10" s="5">
        <v>450</v>
      </c>
      <c r="H10" s="8" t="s">
        <v>228</v>
      </c>
      <c r="I10" s="8">
        <f>G10+G10*6000/4000</f>
        <v>1125</v>
      </c>
      <c r="J10" s="5"/>
      <c r="K10" s="47" t="s">
        <v>197</v>
      </c>
      <c r="L10" s="51" t="s">
        <v>205</v>
      </c>
    </row>
    <row r="11" spans="1:15" s="1" customFormat="1" x14ac:dyDescent="0.35">
      <c r="A11" s="71"/>
      <c r="B11" s="63"/>
      <c r="F11" s="4"/>
      <c r="G11" s="5"/>
      <c r="H11" s="5"/>
      <c r="I11" s="5">
        <f>+SUM(I8:I10)</f>
        <v>6400</v>
      </c>
      <c r="J11" s="43" t="s">
        <v>217</v>
      </c>
      <c r="K11" s="48"/>
      <c r="L11" s="52"/>
    </row>
    <row r="12" spans="1:15" s="1" customFormat="1" x14ac:dyDescent="0.35">
      <c r="A12" s="71"/>
      <c r="B12" s="24"/>
      <c r="C12" s="25"/>
      <c r="D12" s="25"/>
      <c r="E12" s="25"/>
      <c r="F12" s="4"/>
      <c r="G12" s="5"/>
      <c r="H12" s="5"/>
      <c r="I12" s="5"/>
      <c r="J12" s="45"/>
      <c r="K12" s="48"/>
      <c r="L12" s="52"/>
    </row>
    <row r="13" spans="1:15" s="1" customFormat="1" ht="29" x14ac:dyDescent="0.35">
      <c r="A13" s="72"/>
      <c r="B13" s="21" t="s">
        <v>134</v>
      </c>
      <c r="C13" s="32"/>
      <c r="D13" s="32" t="s">
        <v>199</v>
      </c>
      <c r="E13" s="32" t="s">
        <v>209</v>
      </c>
      <c r="F13" s="12"/>
      <c r="G13" s="14">
        <v>14</v>
      </c>
      <c r="H13" s="8" t="s">
        <v>228</v>
      </c>
      <c r="I13" s="14">
        <f>14+14*2 +240</f>
        <v>282</v>
      </c>
      <c r="J13" s="43" t="s">
        <v>217</v>
      </c>
      <c r="K13" s="49"/>
      <c r="L13" s="53"/>
    </row>
    <row r="14" spans="1:15" s="1" customFormat="1" ht="29" x14ac:dyDescent="0.35">
      <c r="A14" s="79" t="s">
        <v>48</v>
      </c>
      <c r="B14" s="58" t="s">
        <v>222</v>
      </c>
      <c r="C14" s="56" t="s">
        <v>52</v>
      </c>
      <c r="D14" s="56" t="s">
        <v>199</v>
      </c>
      <c r="E14" s="56" t="s">
        <v>216</v>
      </c>
      <c r="F14" s="4"/>
      <c r="G14" s="5">
        <v>50</v>
      </c>
      <c r="H14" s="5" t="s">
        <v>226</v>
      </c>
      <c r="I14" s="5">
        <f>50*2</f>
        <v>100</v>
      </c>
      <c r="J14" s="43" t="s">
        <v>218</v>
      </c>
      <c r="K14" s="38"/>
      <c r="L14" s="11"/>
    </row>
    <row r="15" spans="1:15" s="1" customFormat="1" ht="40.5" customHeight="1" x14ac:dyDescent="0.35">
      <c r="A15" s="79"/>
      <c r="B15" s="58" t="s">
        <v>220</v>
      </c>
      <c r="C15" s="56" t="s">
        <v>55</v>
      </c>
      <c r="D15" s="56" t="s">
        <v>194</v>
      </c>
      <c r="E15" s="56" t="s">
        <v>219</v>
      </c>
      <c r="F15" s="4"/>
      <c r="G15" s="5">
        <v>1000</v>
      </c>
      <c r="H15" s="5" t="s">
        <v>227</v>
      </c>
      <c r="I15" s="5">
        <v>1000</v>
      </c>
      <c r="J15" s="43" t="s">
        <v>218</v>
      </c>
      <c r="K15" s="38"/>
      <c r="L15" s="11"/>
    </row>
    <row r="16" spans="1:15" s="1" customFormat="1" ht="29" x14ac:dyDescent="0.35">
      <c r="A16" s="79"/>
      <c r="B16" s="58" t="s">
        <v>221</v>
      </c>
      <c r="C16" s="56" t="s">
        <v>55</v>
      </c>
      <c r="D16" s="56" t="s">
        <v>194</v>
      </c>
      <c r="E16" s="56" t="s">
        <v>219</v>
      </c>
      <c r="F16" s="4"/>
      <c r="G16" s="5">
        <v>170</v>
      </c>
      <c r="H16" s="5" t="s">
        <v>227</v>
      </c>
      <c r="I16" s="5">
        <f>170*6/5</f>
        <v>204</v>
      </c>
      <c r="J16" s="43" t="s">
        <v>218</v>
      </c>
      <c r="K16" s="38"/>
      <c r="L16" s="11"/>
    </row>
    <row r="17" spans="1:12" s="1" customFormat="1" x14ac:dyDescent="0.35">
      <c r="A17" s="79"/>
      <c r="B17" s="58" t="s">
        <v>58</v>
      </c>
      <c r="C17" s="56" t="s">
        <v>60</v>
      </c>
      <c r="D17" s="56" t="s">
        <v>194</v>
      </c>
      <c r="E17" s="56" t="s">
        <v>186</v>
      </c>
      <c r="F17" s="4"/>
      <c r="G17" s="5">
        <v>36</v>
      </c>
      <c r="H17" s="5" t="s">
        <v>266</v>
      </c>
      <c r="I17" s="5">
        <f>+G17*6</f>
        <v>216</v>
      </c>
      <c r="J17" s="43" t="s">
        <v>218</v>
      </c>
      <c r="K17" s="38"/>
      <c r="L17" s="11"/>
    </row>
    <row r="18" spans="1:12" s="1" customFormat="1" x14ac:dyDescent="0.35">
      <c r="A18" s="79"/>
      <c r="B18" s="58" t="s">
        <v>59</v>
      </c>
      <c r="C18" s="56" t="s">
        <v>61</v>
      </c>
      <c r="D18" s="56" t="s">
        <v>194</v>
      </c>
      <c r="E18" s="56" t="s">
        <v>187</v>
      </c>
      <c r="F18" s="4"/>
      <c r="G18" s="5">
        <v>0.12</v>
      </c>
      <c r="H18" s="5" t="s">
        <v>229</v>
      </c>
      <c r="I18" s="5">
        <f>+G18*12</f>
        <v>1.44</v>
      </c>
      <c r="J18" s="43" t="s">
        <v>218</v>
      </c>
      <c r="K18" s="38"/>
      <c r="L18" s="11"/>
    </row>
    <row r="19" spans="1:12" s="1" customFormat="1" ht="29" x14ac:dyDescent="0.35">
      <c r="A19" s="71" t="s">
        <v>49</v>
      </c>
      <c r="B19" s="4" t="s">
        <v>222</v>
      </c>
      <c r="C19" s="25" t="s">
        <v>52</v>
      </c>
      <c r="D19" s="25" t="s">
        <v>199</v>
      </c>
      <c r="E19" s="25" t="s">
        <v>216</v>
      </c>
      <c r="F19" s="4"/>
      <c r="G19" s="5">
        <v>50</v>
      </c>
      <c r="H19" s="5" t="s">
        <v>65</v>
      </c>
      <c r="I19" s="5">
        <f>50*2</f>
        <v>100</v>
      </c>
      <c r="J19" s="43" t="s">
        <v>218</v>
      </c>
      <c r="K19" s="38"/>
      <c r="L19" s="11"/>
    </row>
    <row r="20" spans="1:12" s="1" customFormat="1" ht="29" x14ac:dyDescent="0.35">
      <c r="A20" s="71"/>
      <c r="B20" s="4" t="s">
        <v>220</v>
      </c>
      <c r="C20" s="25" t="s">
        <v>55</v>
      </c>
      <c r="D20" s="25" t="s">
        <v>194</v>
      </c>
      <c r="E20" s="25" t="s">
        <v>219</v>
      </c>
      <c r="F20" s="4"/>
      <c r="G20" s="5">
        <v>1000</v>
      </c>
      <c r="H20" s="5" t="s">
        <v>227</v>
      </c>
      <c r="I20" s="5">
        <v>1000</v>
      </c>
      <c r="J20" s="43" t="s">
        <v>218</v>
      </c>
      <c r="K20" s="38"/>
      <c r="L20" s="11"/>
    </row>
    <row r="21" spans="1:12" s="1" customFormat="1" ht="29" x14ac:dyDescent="0.35">
      <c r="A21" s="71"/>
      <c r="B21" s="4" t="s">
        <v>221</v>
      </c>
      <c r="C21" s="25" t="s">
        <v>55</v>
      </c>
      <c r="D21" s="25" t="s">
        <v>194</v>
      </c>
      <c r="E21" s="25" t="s">
        <v>219</v>
      </c>
      <c r="F21" s="4"/>
      <c r="G21" s="5">
        <v>170</v>
      </c>
      <c r="H21" s="5" t="s">
        <v>227</v>
      </c>
      <c r="I21" s="5">
        <f>170*6/5</f>
        <v>204</v>
      </c>
      <c r="J21" s="43" t="s">
        <v>218</v>
      </c>
      <c r="K21" s="38"/>
      <c r="L21" s="11"/>
    </row>
    <row r="22" spans="1:12" s="1" customFormat="1" x14ac:dyDescent="0.35">
      <c r="A22" s="71"/>
      <c r="B22" s="4" t="s">
        <v>58</v>
      </c>
      <c r="C22" s="25" t="s">
        <v>60</v>
      </c>
      <c r="D22" s="25" t="s">
        <v>194</v>
      </c>
      <c r="E22" s="25" t="s">
        <v>186</v>
      </c>
      <c r="F22" s="4"/>
      <c r="G22" s="5">
        <v>36</v>
      </c>
      <c r="H22" s="5" t="s">
        <v>266</v>
      </c>
      <c r="I22" s="5">
        <f>+G22*6</f>
        <v>216</v>
      </c>
      <c r="J22" s="43" t="s">
        <v>218</v>
      </c>
      <c r="K22" s="38"/>
      <c r="L22" s="11"/>
    </row>
    <row r="23" spans="1:12" s="1" customFormat="1" x14ac:dyDescent="0.35">
      <c r="A23" s="72"/>
      <c r="B23" s="4" t="s">
        <v>59</v>
      </c>
      <c r="C23" s="25" t="s">
        <v>61</v>
      </c>
      <c r="D23" s="25" t="s">
        <v>194</v>
      </c>
      <c r="E23" s="25" t="s">
        <v>187</v>
      </c>
      <c r="F23" s="12"/>
      <c r="G23" s="5">
        <v>0.12</v>
      </c>
      <c r="H23" s="5" t="s">
        <v>229</v>
      </c>
      <c r="I23" s="5">
        <f>+G23*12</f>
        <v>1.44</v>
      </c>
      <c r="J23" s="43" t="s">
        <v>218</v>
      </c>
      <c r="K23" s="39"/>
      <c r="L23" s="15"/>
    </row>
    <row r="24" spans="1:12" s="1" customFormat="1" ht="29" x14ac:dyDescent="0.35">
      <c r="A24" s="76" t="s">
        <v>50</v>
      </c>
      <c r="B24" s="58" t="s">
        <v>223</v>
      </c>
      <c r="C24" s="56" t="s">
        <v>55</v>
      </c>
      <c r="D24" s="56" t="s">
        <v>194</v>
      </c>
      <c r="E24" s="56" t="s">
        <v>219</v>
      </c>
      <c r="F24" s="4"/>
      <c r="G24" s="5">
        <v>130</v>
      </c>
      <c r="H24" s="5" t="s">
        <v>225</v>
      </c>
      <c r="I24" s="5">
        <f>+G24*3</f>
        <v>390</v>
      </c>
      <c r="J24" s="43" t="s">
        <v>218</v>
      </c>
      <c r="K24" s="38"/>
      <c r="L24" s="11"/>
    </row>
    <row r="25" spans="1:12" s="1" customFormat="1" ht="29" x14ac:dyDescent="0.35">
      <c r="A25" s="77"/>
      <c r="B25" s="58" t="s">
        <v>220</v>
      </c>
      <c r="C25" s="56" t="s">
        <v>55</v>
      </c>
      <c r="D25" s="56" t="s">
        <v>194</v>
      </c>
      <c r="E25" s="56" t="s">
        <v>219</v>
      </c>
      <c r="F25" s="4"/>
      <c r="G25" s="5">
        <v>607</v>
      </c>
      <c r="H25" s="5" t="s">
        <v>230</v>
      </c>
      <c r="I25" s="5">
        <f>607*2</f>
        <v>1214</v>
      </c>
      <c r="J25" s="43" t="s">
        <v>218</v>
      </c>
      <c r="K25" s="38"/>
      <c r="L25" s="11"/>
    </row>
    <row r="26" spans="1:12" s="1" customFormat="1" ht="29" x14ac:dyDescent="0.35">
      <c r="A26" s="77"/>
      <c r="B26" s="58" t="s">
        <v>224</v>
      </c>
      <c r="C26" s="56" t="s">
        <v>231</v>
      </c>
      <c r="D26" s="56" t="s">
        <v>199</v>
      </c>
      <c r="E26" s="56" t="s">
        <v>232</v>
      </c>
      <c r="F26" s="4"/>
      <c r="G26" s="5">
        <v>138</v>
      </c>
      <c r="H26" s="5" t="s">
        <v>261</v>
      </c>
      <c r="I26" s="5">
        <f>+G26*3</f>
        <v>414</v>
      </c>
      <c r="J26" s="43" t="s">
        <v>218</v>
      </c>
      <c r="K26" s="38"/>
      <c r="L26" s="16" t="s">
        <v>160</v>
      </c>
    </row>
    <row r="27" spans="1:12" s="1" customFormat="1" ht="43.5" x14ac:dyDescent="0.35">
      <c r="A27" s="77"/>
      <c r="B27" s="58" t="s">
        <v>73</v>
      </c>
      <c r="C27" s="56" t="s">
        <v>74</v>
      </c>
      <c r="D27" s="56" t="s">
        <v>194</v>
      </c>
      <c r="E27" s="56" t="s">
        <v>186</v>
      </c>
      <c r="F27" s="4"/>
      <c r="G27" s="5">
        <v>43</v>
      </c>
      <c r="H27" s="5" t="s">
        <v>261</v>
      </c>
      <c r="I27" s="5">
        <f>+G27*3</f>
        <v>129</v>
      </c>
      <c r="J27" s="43" t="s">
        <v>218</v>
      </c>
      <c r="K27" s="38"/>
      <c r="L27" s="11"/>
    </row>
    <row r="28" spans="1:12" s="1" customFormat="1" ht="29" x14ac:dyDescent="0.35">
      <c r="A28" s="78"/>
      <c r="B28" s="59" t="s">
        <v>234</v>
      </c>
      <c r="C28" s="60" t="s">
        <v>55</v>
      </c>
      <c r="D28" s="56" t="s">
        <v>194</v>
      </c>
      <c r="E28" s="56" t="s">
        <v>219</v>
      </c>
      <c r="F28" s="12"/>
      <c r="G28" s="14" t="s">
        <v>75</v>
      </c>
      <c r="H28" s="14" t="s">
        <v>233</v>
      </c>
      <c r="I28" s="14">
        <v>62</v>
      </c>
      <c r="J28" s="43" t="s">
        <v>218</v>
      </c>
      <c r="K28" s="39"/>
      <c r="L28" s="15"/>
    </row>
    <row r="29" spans="1:12" s="1" customFormat="1" hidden="1" x14ac:dyDescent="0.35">
      <c r="A29" s="4"/>
      <c r="B29" s="4"/>
      <c r="C29" s="25"/>
      <c r="D29" s="26"/>
      <c r="E29" s="26"/>
      <c r="F29" s="4"/>
      <c r="G29" s="5"/>
      <c r="H29" s="5"/>
      <c r="I29" s="5"/>
      <c r="J29" s="5"/>
      <c r="K29" s="38"/>
    </row>
    <row r="30" spans="1:12" s="1" customFormat="1" hidden="1" x14ac:dyDescent="0.35">
      <c r="A30" s="67" t="s">
        <v>162</v>
      </c>
      <c r="B30" s="6" t="s">
        <v>7</v>
      </c>
      <c r="C30" s="31" t="s">
        <v>164</v>
      </c>
      <c r="D30" s="25" t="s">
        <v>203</v>
      </c>
      <c r="E30" s="25" t="s">
        <v>148</v>
      </c>
      <c r="F30" s="6"/>
      <c r="G30" s="8">
        <v>26</v>
      </c>
      <c r="H30" s="8" t="s">
        <v>165</v>
      </c>
      <c r="I30" s="8"/>
      <c r="J30" s="8"/>
      <c r="K30" s="37"/>
      <c r="L30" s="9"/>
    </row>
    <row r="31" spans="1:12" s="1" customFormat="1" hidden="1" x14ac:dyDescent="0.35">
      <c r="A31" s="68"/>
      <c r="B31" s="4" t="s">
        <v>66</v>
      </c>
      <c r="C31" s="25" t="s">
        <v>167</v>
      </c>
      <c r="D31" s="25" t="s">
        <v>203</v>
      </c>
      <c r="E31" s="25" t="s">
        <v>156</v>
      </c>
      <c r="F31" s="4"/>
      <c r="G31" s="5">
        <v>12</v>
      </c>
      <c r="H31" s="5" t="s">
        <v>166</v>
      </c>
      <c r="I31" s="5"/>
      <c r="J31" s="5"/>
      <c r="K31" s="38"/>
      <c r="L31" s="11" t="s">
        <v>170</v>
      </c>
    </row>
    <row r="32" spans="1:12" s="1" customFormat="1" hidden="1" x14ac:dyDescent="0.35">
      <c r="A32" s="68"/>
      <c r="B32" s="4" t="s">
        <v>19</v>
      </c>
      <c r="C32" s="25"/>
      <c r="D32" s="25" t="s">
        <v>203</v>
      </c>
      <c r="E32" s="25" t="s">
        <v>141</v>
      </c>
      <c r="F32" s="4"/>
      <c r="G32" s="5"/>
      <c r="H32" s="5"/>
      <c r="I32" s="5"/>
      <c r="J32" s="5"/>
      <c r="K32" s="38"/>
      <c r="L32" s="11"/>
    </row>
    <row r="33" spans="1:12" s="1" customFormat="1" hidden="1" x14ac:dyDescent="0.35">
      <c r="A33" s="69"/>
      <c r="B33" s="12" t="s">
        <v>21</v>
      </c>
      <c r="C33" s="32" t="s">
        <v>167</v>
      </c>
      <c r="D33" s="25" t="s">
        <v>203</v>
      </c>
      <c r="E33" s="25" t="s">
        <v>156</v>
      </c>
      <c r="F33" s="12"/>
      <c r="G33" s="14" t="s">
        <v>169</v>
      </c>
      <c r="H33" s="14" t="s">
        <v>168</v>
      </c>
      <c r="I33" s="14"/>
      <c r="J33" s="14"/>
      <c r="K33" s="39"/>
      <c r="L33" s="15" t="s">
        <v>170</v>
      </c>
    </row>
    <row r="34" spans="1:12" s="1" customFormat="1" hidden="1" x14ac:dyDescent="0.35">
      <c r="A34" s="4"/>
      <c r="B34" s="4"/>
      <c r="C34" s="25"/>
      <c r="D34" s="26"/>
      <c r="E34" s="26"/>
      <c r="F34" s="4"/>
      <c r="G34" s="5"/>
      <c r="H34" s="5"/>
      <c r="I34" s="5"/>
      <c r="J34" s="5"/>
      <c r="K34" s="38"/>
    </row>
    <row r="35" spans="1:12" s="1" customFormat="1" hidden="1" x14ac:dyDescent="0.35">
      <c r="A35" s="67" t="s">
        <v>163</v>
      </c>
      <c r="B35" s="6" t="s">
        <v>7</v>
      </c>
      <c r="C35" s="31" t="s">
        <v>171</v>
      </c>
      <c r="D35" s="25" t="s">
        <v>203</v>
      </c>
      <c r="E35" s="25" t="s">
        <v>148</v>
      </c>
      <c r="F35" s="6"/>
      <c r="G35" s="8"/>
      <c r="H35" s="8"/>
      <c r="I35" s="8"/>
      <c r="J35" s="8"/>
      <c r="K35" s="37"/>
      <c r="L35" s="9"/>
    </row>
    <row r="36" spans="1:12" s="1" customFormat="1" hidden="1" x14ac:dyDescent="0.35">
      <c r="A36" s="68"/>
      <c r="B36" s="4" t="s">
        <v>66</v>
      </c>
      <c r="C36" s="25" t="s">
        <v>167</v>
      </c>
      <c r="D36" s="25" t="s">
        <v>203</v>
      </c>
      <c r="E36" s="25" t="s">
        <v>156</v>
      </c>
      <c r="F36" s="4"/>
      <c r="G36" s="5"/>
      <c r="H36" s="5"/>
      <c r="I36" s="5"/>
      <c r="J36" s="5"/>
      <c r="K36" s="38"/>
      <c r="L36" s="11"/>
    </row>
    <row r="37" spans="1:12" s="1" customFormat="1" hidden="1" x14ac:dyDescent="0.35">
      <c r="A37" s="68"/>
      <c r="B37" s="4" t="s">
        <v>19</v>
      </c>
      <c r="C37" s="25"/>
      <c r="D37" s="25" t="s">
        <v>203</v>
      </c>
      <c r="E37" s="25" t="s">
        <v>141</v>
      </c>
      <c r="F37" s="4"/>
      <c r="G37" s="5"/>
      <c r="H37" s="5"/>
      <c r="I37" s="5"/>
      <c r="J37" s="5"/>
      <c r="K37" s="38"/>
      <c r="L37" s="11"/>
    </row>
    <row r="38" spans="1:12" s="1" customFormat="1" hidden="1" x14ac:dyDescent="0.35">
      <c r="A38" s="69"/>
      <c r="B38" s="12" t="s">
        <v>21</v>
      </c>
      <c r="C38" s="32" t="s">
        <v>167</v>
      </c>
      <c r="D38" s="25" t="s">
        <v>203</v>
      </c>
      <c r="E38" s="25" t="s">
        <v>156</v>
      </c>
      <c r="F38" s="12"/>
      <c r="G38" s="14"/>
      <c r="H38" s="14"/>
      <c r="I38" s="14"/>
      <c r="J38" s="14"/>
      <c r="K38" s="39"/>
      <c r="L38" s="15"/>
    </row>
    <row r="39" spans="1:12" s="1" customFormat="1" hidden="1" x14ac:dyDescent="0.35">
      <c r="A39" s="4"/>
      <c r="B39" s="4"/>
      <c r="C39" s="25"/>
      <c r="D39" s="26"/>
      <c r="E39" s="26"/>
      <c r="F39" s="4"/>
      <c r="G39" s="5"/>
      <c r="H39" s="5"/>
      <c r="I39" s="5"/>
      <c r="J39" s="5"/>
      <c r="K39" s="38"/>
    </row>
    <row r="40" spans="1:12" s="1" customFormat="1" hidden="1" x14ac:dyDescent="0.35">
      <c r="A40" s="67" t="s">
        <v>161</v>
      </c>
      <c r="B40" s="23" t="s">
        <v>201</v>
      </c>
      <c r="C40" s="31" t="s">
        <v>174</v>
      </c>
      <c r="D40" s="27" t="s">
        <v>199</v>
      </c>
      <c r="E40" s="27" t="s">
        <v>176</v>
      </c>
      <c r="F40" s="6"/>
      <c r="G40" s="8">
        <v>6.4</v>
      </c>
      <c r="H40" s="8"/>
      <c r="I40" s="8"/>
      <c r="J40" s="8"/>
      <c r="K40" s="37"/>
      <c r="L40" s="9" t="s">
        <v>200</v>
      </c>
    </row>
    <row r="41" spans="1:12" s="1" customFormat="1" hidden="1" x14ac:dyDescent="0.35">
      <c r="A41" s="68"/>
      <c r="B41" s="24" t="s">
        <v>202</v>
      </c>
      <c r="C41" s="25" t="s">
        <v>175</v>
      </c>
      <c r="D41" s="25" t="s">
        <v>203</v>
      </c>
      <c r="E41" s="25" t="s">
        <v>148</v>
      </c>
      <c r="F41" s="4"/>
      <c r="G41" s="5">
        <v>6</v>
      </c>
      <c r="H41" s="5"/>
      <c r="I41" s="5"/>
      <c r="J41" s="5"/>
      <c r="K41" s="38"/>
      <c r="L41" s="9" t="s">
        <v>200</v>
      </c>
    </row>
    <row r="42" spans="1:12" s="1" customFormat="1" hidden="1" x14ac:dyDescent="0.35">
      <c r="A42" s="68"/>
      <c r="B42" s="24" t="s">
        <v>178</v>
      </c>
      <c r="C42" s="25" t="s">
        <v>180</v>
      </c>
      <c r="D42" s="25" t="s">
        <v>203</v>
      </c>
      <c r="E42" s="25" t="s">
        <v>156</v>
      </c>
      <c r="F42" s="4"/>
      <c r="G42" s="5">
        <v>3.2</v>
      </c>
      <c r="H42" s="5"/>
      <c r="I42" s="5"/>
      <c r="J42" s="5"/>
      <c r="K42" s="38"/>
      <c r="L42" s="11"/>
    </row>
    <row r="43" spans="1:12" s="1" customFormat="1" hidden="1" x14ac:dyDescent="0.35">
      <c r="A43" s="68"/>
      <c r="B43" s="24" t="s">
        <v>172</v>
      </c>
      <c r="C43" s="25" t="s">
        <v>181</v>
      </c>
      <c r="D43" s="25" t="s">
        <v>203</v>
      </c>
      <c r="E43" s="25" t="s">
        <v>156</v>
      </c>
      <c r="F43" s="4"/>
      <c r="G43" s="5"/>
      <c r="H43" s="5"/>
      <c r="I43" s="5"/>
      <c r="J43" s="5"/>
      <c r="K43" s="38"/>
      <c r="L43" s="11"/>
    </row>
    <row r="44" spans="1:12" s="1" customFormat="1" hidden="1" x14ac:dyDescent="0.35">
      <c r="A44" s="69"/>
      <c r="B44" s="21" t="s">
        <v>173</v>
      </c>
      <c r="C44" s="32" t="s">
        <v>179</v>
      </c>
      <c r="D44" s="29" t="s">
        <v>199</v>
      </c>
      <c r="E44" s="29" t="s">
        <v>206</v>
      </c>
      <c r="F44" s="12"/>
      <c r="G44" s="14"/>
      <c r="H44" s="14"/>
      <c r="I44" s="14"/>
      <c r="J44" s="14"/>
      <c r="K44" s="39"/>
      <c r="L44" s="15"/>
    </row>
  </sheetData>
  <autoFilter ref="B1:L28" xr:uid="{21BA2181-B976-485B-9EB5-ADA07B830C8B}"/>
  <mergeCells count="8">
    <mergeCell ref="A40:A44"/>
    <mergeCell ref="A24:A28"/>
    <mergeCell ref="A8:A13"/>
    <mergeCell ref="A2:A6"/>
    <mergeCell ref="A14:A18"/>
    <mergeCell ref="A19:A23"/>
    <mergeCell ref="A30:A33"/>
    <mergeCell ref="A35:A38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448E-EFDC-498C-A2F9-2115333222BA}">
  <dimension ref="A1:K43"/>
  <sheetViews>
    <sheetView topLeftCell="A16" zoomScale="190" zoomScaleNormal="190" workbookViewId="0">
      <selection activeCell="D36" sqref="D36:F43"/>
    </sheetView>
  </sheetViews>
  <sheetFormatPr defaultRowHeight="14.5" x14ac:dyDescent="0.35"/>
  <cols>
    <col min="1" max="1" width="14.453125" customWidth="1"/>
    <col min="3" max="3" width="17.1796875" customWidth="1"/>
    <col min="4" max="4" width="32.6328125" bestFit="1" customWidth="1"/>
    <col min="5" max="5" width="31.36328125" bestFit="1" customWidth="1"/>
    <col min="6" max="8" width="24.6328125" bestFit="1" customWidth="1"/>
    <col min="9" max="9" width="13.36328125" customWidth="1"/>
  </cols>
  <sheetData>
    <row r="1" spans="1:10" x14ac:dyDescent="0.35">
      <c r="A1" t="s">
        <v>0</v>
      </c>
      <c r="B1" t="s">
        <v>1</v>
      </c>
      <c r="C1" t="s">
        <v>250</v>
      </c>
      <c r="D1" t="s">
        <v>235</v>
      </c>
      <c r="E1" t="s">
        <v>246</v>
      </c>
      <c r="G1" t="s">
        <v>248</v>
      </c>
      <c r="H1" t="s">
        <v>259</v>
      </c>
      <c r="I1" t="s">
        <v>249</v>
      </c>
    </row>
    <row r="2" spans="1:10" x14ac:dyDescent="0.35">
      <c r="A2" t="s">
        <v>236</v>
      </c>
      <c r="B2" t="s">
        <v>237</v>
      </c>
      <c r="C2" t="s">
        <v>199</v>
      </c>
      <c r="D2" s="25" t="s">
        <v>187</v>
      </c>
      <c r="E2" s="66">
        <v>1.44</v>
      </c>
      <c r="F2" s="66"/>
      <c r="G2">
        <v>9</v>
      </c>
      <c r="H2">
        <f>+E2*G2</f>
        <v>12.959999999999999</v>
      </c>
      <c r="I2">
        <v>9</v>
      </c>
      <c r="J2">
        <f>+I2*E2</f>
        <v>12.959999999999999</v>
      </c>
    </row>
    <row r="3" spans="1:10" x14ac:dyDescent="0.35">
      <c r="A3" t="s">
        <v>236</v>
      </c>
      <c r="B3" t="s">
        <v>238</v>
      </c>
      <c r="C3" t="s">
        <v>199</v>
      </c>
      <c r="D3" s="25" t="s">
        <v>187</v>
      </c>
      <c r="E3" s="66">
        <v>1.44</v>
      </c>
      <c r="F3" s="66"/>
      <c r="G3">
        <v>10</v>
      </c>
      <c r="H3">
        <f t="shared" ref="H3:H16" si="0">+E3*G3</f>
        <v>14.399999999999999</v>
      </c>
      <c r="I3">
        <v>23</v>
      </c>
      <c r="J3">
        <f t="shared" ref="J3:J16" si="1">+I3*E3</f>
        <v>33.119999999999997</v>
      </c>
    </row>
    <row r="4" spans="1:10" x14ac:dyDescent="0.35">
      <c r="A4" t="s">
        <v>236</v>
      </c>
      <c r="B4" t="s">
        <v>237</v>
      </c>
      <c r="C4" t="s">
        <v>199</v>
      </c>
      <c r="D4" s="82" t="s">
        <v>186</v>
      </c>
      <c r="E4" s="83">
        <v>216</v>
      </c>
      <c r="F4" s="83"/>
      <c r="G4" s="82">
        <v>9</v>
      </c>
      <c r="H4" s="82">
        <f t="shared" si="0"/>
        <v>1944</v>
      </c>
      <c r="I4">
        <v>9</v>
      </c>
      <c r="J4">
        <f t="shared" si="1"/>
        <v>1944</v>
      </c>
    </row>
    <row r="5" spans="1:10" x14ac:dyDescent="0.35">
      <c r="A5" t="s">
        <v>236</v>
      </c>
      <c r="B5" t="s">
        <v>238</v>
      </c>
      <c r="C5" t="s">
        <v>199</v>
      </c>
      <c r="D5" s="82" t="s">
        <v>186</v>
      </c>
      <c r="E5" s="83">
        <v>216</v>
      </c>
      <c r="F5" s="83"/>
      <c r="G5" s="82">
        <v>10</v>
      </c>
      <c r="H5" s="82">
        <f t="shared" si="0"/>
        <v>2160</v>
      </c>
      <c r="I5">
        <v>23</v>
      </c>
      <c r="J5">
        <f t="shared" si="1"/>
        <v>4968</v>
      </c>
    </row>
    <row r="6" spans="1:10" x14ac:dyDescent="0.35">
      <c r="A6" t="s">
        <v>236</v>
      </c>
      <c r="B6" t="s">
        <v>239</v>
      </c>
      <c r="C6" t="s">
        <v>199</v>
      </c>
      <c r="D6" s="82" t="s">
        <v>186</v>
      </c>
      <c r="E6" s="83">
        <v>129</v>
      </c>
      <c r="F6" s="83"/>
      <c r="G6" s="82">
        <v>17</v>
      </c>
      <c r="H6" s="82">
        <f t="shared" si="0"/>
        <v>2193</v>
      </c>
      <c r="I6">
        <v>17</v>
      </c>
      <c r="J6">
        <f t="shared" si="1"/>
        <v>2193</v>
      </c>
    </row>
    <row r="7" spans="1:10" x14ac:dyDescent="0.35">
      <c r="A7" t="s">
        <v>236</v>
      </c>
      <c r="B7" t="s">
        <v>239</v>
      </c>
      <c r="C7" t="s">
        <v>199</v>
      </c>
      <c r="D7" t="s">
        <v>240</v>
      </c>
      <c r="E7" s="5">
        <v>414</v>
      </c>
      <c r="F7" s="5"/>
      <c r="G7">
        <v>17</v>
      </c>
      <c r="H7">
        <f t="shared" si="0"/>
        <v>7038</v>
      </c>
      <c r="I7">
        <v>17</v>
      </c>
      <c r="J7">
        <f t="shared" si="1"/>
        <v>7038</v>
      </c>
    </row>
    <row r="8" spans="1:10" x14ac:dyDescent="0.35">
      <c r="A8" t="s">
        <v>236</v>
      </c>
      <c r="B8" t="s">
        <v>237</v>
      </c>
      <c r="C8" t="s">
        <v>199</v>
      </c>
      <c r="D8" s="84" t="s">
        <v>244</v>
      </c>
      <c r="E8" s="85">
        <v>1000</v>
      </c>
      <c r="F8" s="85"/>
      <c r="G8" s="84">
        <v>9</v>
      </c>
      <c r="H8" s="84">
        <f t="shared" si="0"/>
        <v>9000</v>
      </c>
      <c r="I8" s="84">
        <v>9</v>
      </c>
      <c r="J8" s="84">
        <f t="shared" si="1"/>
        <v>9000</v>
      </c>
    </row>
    <row r="9" spans="1:10" x14ac:dyDescent="0.35">
      <c r="A9" t="s">
        <v>236</v>
      </c>
      <c r="B9" t="s">
        <v>238</v>
      </c>
      <c r="C9" t="s">
        <v>199</v>
      </c>
      <c r="D9" s="84" t="s">
        <v>244</v>
      </c>
      <c r="E9" s="85">
        <v>1000</v>
      </c>
      <c r="F9" s="85"/>
      <c r="G9" s="84">
        <v>10</v>
      </c>
      <c r="H9" s="84">
        <f t="shared" si="0"/>
        <v>10000</v>
      </c>
      <c r="I9" s="84">
        <v>23</v>
      </c>
      <c r="J9" s="84">
        <f t="shared" si="1"/>
        <v>23000</v>
      </c>
    </row>
    <row r="10" spans="1:10" x14ac:dyDescent="0.35">
      <c r="A10" t="s">
        <v>236</v>
      </c>
      <c r="B10" t="s">
        <v>239</v>
      </c>
      <c r="C10" t="s">
        <v>199</v>
      </c>
      <c r="D10" s="84" t="s">
        <v>244</v>
      </c>
      <c r="E10" s="85">
        <v>1214</v>
      </c>
      <c r="F10" s="85"/>
      <c r="G10" s="84">
        <v>17</v>
      </c>
      <c r="H10" s="84">
        <f t="shared" si="0"/>
        <v>20638</v>
      </c>
      <c r="I10" s="84">
        <v>17</v>
      </c>
      <c r="J10" s="84">
        <f t="shared" si="1"/>
        <v>20638</v>
      </c>
    </row>
    <row r="11" spans="1:10" x14ac:dyDescent="0.35">
      <c r="A11" t="s">
        <v>236</v>
      </c>
      <c r="B11" t="s">
        <v>237</v>
      </c>
      <c r="C11" t="s">
        <v>199</v>
      </c>
      <c r="D11" t="s">
        <v>245</v>
      </c>
      <c r="E11" s="5">
        <v>100</v>
      </c>
      <c r="F11" s="5"/>
      <c r="G11">
        <v>9</v>
      </c>
      <c r="H11">
        <f t="shared" si="0"/>
        <v>900</v>
      </c>
      <c r="I11">
        <v>9</v>
      </c>
      <c r="J11">
        <f t="shared" si="1"/>
        <v>900</v>
      </c>
    </row>
    <row r="12" spans="1:10" x14ac:dyDescent="0.35">
      <c r="A12" t="s">
        <v>236</v>
      </c>
      <c r="B12" t="s">
        <v>238</v>
      </c>
      <c r="C12" t="s">
        <v>199</v>
      </c>
      <c r="D12" t="s">
        <v>245</v>
      </c>
      <c r="E12" s="5">
        <v>100</v>
      </c>
      <c r="F12" s="5"/>
      <c r="G12">
        <v>10</v>
      </c>
      <c r="H12">
        <f t="shared" si="0"/>
        <v>1000</v>
      </c>
      <c r="I12">
        <v>23</v>
      </c>
      <c r="J12">
        <f t="shared" si="1"/>
        <v>2300</v>
      </c>
    </row>
    <row r="13" spans="1:10" x14ac:dyDescent="0.35">
      <c r="A13" t="s">
        <v>247</v>
      </c>
      <c r="B13" t="s">
        <v>242</v>
      </c>
      <c r="C13" t="s">
        <v>199</v>
      </c>
      <c r="D13" t="s">
        <v>197</v>
      </c>
      <c r="E13" s="5">
        <f>+'Extra lubes required'!I5</f>
        <v>5390</v>
      </c>
      <c r="F13" s="5"/>
      <c r="G13">
        <v>1</v>
      </c>
      <c r="H13">
        <f t="shared" si="0"/>
        <v>5390</v>
      </c>
      <c r="I13">
        <v>1</v>
      </c>
      <c r="J13">
        <f t="shared" si="1"/>
        <v>5390</v>
      </c>
    </row>
    <row r="14" spans="1:10" x14ac:dyDescent="0.35">
      <c r="A14" t="s">
        <v>247</v>
      </c>
      <c r="B14" t="s">
        <v>243</v>
      </c>
      <c r="C14" t="s">
        <v>199</v>
      </c>
      <c r="D14" t="s">
        <v>197</v>
      </c>
      <c r="E14" s="5">
        <f>+'Extra lubes required'!I11</f>
        <v>6400</v>
      </c>
      <c r="F14" s="5"/>
      <c r="G14">
        <v>2</v>
      </c>
      <c r="H14">
        <f t="shared" si="0"/>
        <v>12800</v>
      </c>
      <c r="I14">
        <v>2</v>
      </c>
      <c r="J14">
        <f t="shared" si="1"/>
        <v>12800</v>
      </c>
    </row>
    <row r="15" spans="1:10" x14ac:dyDescent="0.35">
      <c r="A15" t="s">
        <v>241</v>
      </c>
      <c r="B15" t="s">
        <v>242</v>
      </c>
      <c r="C15" t="s">
        <v>199</v>
      </c>
      <c r="D15" t="s">
        <v>209</v>
      </c>
      <c r="E15" s="5">
        <v>282</v>
      </c>
      <c r="F15" s="5"/>
      <c r="G15">
        <v>1</v>
      </c>
      <c r="H15">
        <f t="shared" si="0"/>
        <v>282</v>
      </c>
      <c r="I15">
        <v>1</v>
      </c>
      <c r="J15">
        <f t="shared" si="1"/>
        <v>282</v>
      </c>
    </row>
    <row r="16" spans="1:10" x14ac:dyDescent="0.35">
      <c r="A16" t="s">
        <v>241</v>
      </c>
      <c r="B16" t="s">
        <v>243</v>
      </c>
      <c r="C16" t="s">
        <v>199</v>
      </c>
      <c r="D16" t="s">
        <v>209</v>
      </c>
      <c r="E16" s="5">
        <v>282</v>
      </c>
      <c r="F16" s="5"/>
      <c r="G16">
        <v>2</v>
      </c>
      <c r="H16">
        <f t="shared" si="0"/>
        <v>564</v>
      </c>
      <c r="I16">
        <v>2</v>
      </c>
      <c r="J16">
        <f t="shared" si="1"/>
        <v>564</v>
      </c>
    </row>
    <row r="17" spans="1:11" x14ac:dyDescent="0.35">
      <c r="A17" t="s">
        <v>18</v>
      </c>
      <c r="B17" t="s">
        <v>241</v>
      </c>
      <c r="C17" t="s">
        <v>258</v>
      </c>
      <c r="D17" t="s">
        <v>182</v>
      </c>
      <c r="J17">
        <v>31000</v>
      </c>
      <c r="K17" t="s">
        <v>256</v>
      </c>
    </row>
    <row r="18" spans="1:11" hidden="1" x14ac:dyDescent="0.35">
      <c r="A18" t="s">
        <v>253</v>
      </c>
      <c r="B18" t="s">
        <v>241</v>
      </c>
      <c r="C18" t="s">
        <v>251</v>
      </c>
      <c r="D18" t="s">
        <v>252</v>
      </c>
      <c r="J18">
        <v>16000</v>
      </c>
      <c r="K18" t="s">
        <v>257</v>
      </c>
    </row>
    <row r="19" spans="1:11" hidden="1" x14ac:dyDescent="0.35">
      <c r="A19" t="s">
        <v>254</v>
      </c>
      <c r="B19" t="s">
        <v>241</v>
      </c>
      <c r="C19" t="s">
        <v>251</v>
      </c>
      <c r="D19" t="s">
        <v>255</v>
      </c>
      <c r="J19">
        <v>11400</v>
      </c>
      <c r="K19" t="s">
        <v>257</v>
      </c>
    </row>
    <row r="21" spans="1:11" x14ac:dyDescent="0.35">
      <c r="A21" s="81" t="s">
        <v>260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</row>
    <row r="23" spans="1:11" x14ac:dyDescent="0.35">
      <c r="D23" t="s">
        <v>235</v>
      </c>
      <c r="E23" s="66" t="s">
        <v>262</v>
      </c>
      <c r="F23" s="66" t="s">
        <v>264</v>
      </c>
      <c r="G23" s="66" t="s">
        <v>263</v>
      </c>
      <c r="H23" s="66" t="s">
        <v>265</v>
      </c>
    </row>
    <row r="24" spans="1:11" x14ac:dyDescent="0.35">
      <c r="D24" s="25" t="s">
        <v>187</v>
      </c>
      <c r="E24" s="66">
        <v>28</v>
      </c>
      <c r="F24" s="66">
        <f>+E24+E24*0.4</f>
        <v>39.200000000000003</v>
      </c>
      <c r="G24">
        <v>32</v>
      </c>
      <c r="H24" s="66">
        <f>+G24+G24*0.4</f>
        <v>44.8</v>
      </c>
    </row>
    <row r="25" spans="1:11" x14ac:dyDescent="0.35">
      <c r="D25" s="86" t="s">
        <v>186</v>
      </c>
      <c r="E25" s="66">
        <f>+H4+H5+H6</f>
        <v>6297</v>
      </c>
      <c r="F25" s="66">
        <f t="shared" ref="F25:H30" si="2">+E25+E25*0.4</f>
        <v>8815.7999999999993</v>
      </c>
      <c r="G25">
        <f>+J4+J5+J6</f>
        <v>9105</v>
      </c>
      <c r="H25" s="66">
        <f t="shared" si="2"/>
        <v>12747</v>
      </c>
    </row>
    <row r="26" spans="1:11" x14ac:dyDescent="0.35">
      <c r="D26" t="s">
        <v>240</v>
      </c>
      <c r="E26" s="66">
        <f>+H7</f>
        <v>7038</v>
      </c>
      <c r="F26" s="66">
        <f t="shared" si="2"/>
        <v>9853.2000000000007</v>
      </c>
      <c r="G26">
        <f>+J7</f>
        <v>7038</v>
      </c>
      <c r="H26" s="66">
        <f t="shared" si="2"/>
        <v>9853.2000000000007</v>
      </c>
    </row>
    <row r="27" spans="1:11" x14ac:dyDescent="0.35">
      <c r="D27" t="s">
        <v>244</v>
      </c>
      <c r="E27" s="66">
        <f>+H8+H9+H10</f>
        <v>39638</v>
      </c>
      <c r="F27" s="66">
        <f t="shared" si="2"/>
        <v>55493.2</v>
      </c>
      <c r="G27">
        <f>+J8+J9+J10</f>
        <v>52638</v>
      </c>
      <c r="H27" s="66">
        <f t="shared" si="2"/>
        <v>73693.2</v>
      </c>
    </row>
    <row r="28" spans="1:11" x14ac:dyDescent="0.35">
      <c r="D28" t="s">
        <v>245</v>
      </c>
      <c r="E28" s="66">
        <f>+H11+H12</f>
        <v>1900</v>
      </c>
      <c r="F28" s="66">
        <f t="shared" si="2"/>
        <v>2660</v>
      </c>
      <c r="G28">
        <f>+J11+J12</f>
        <v>3200</v>
      </c>
      <c r="H28" s="66">
        <f t="shared" si="2"/>
        <v>4480</v>
      </c>
    </row>
    <row r="29" spans="1:11" x14ac:dyDescent="0.35">
      <c r="D29" t="s">
        <v>197</v>
      </c>
      <c r="E29" s="66">
        <f>+H13+H14</f>
        <v>18190</v>
      </c>
      <c r="F29" s="66">
        <f t="shared" si="2"/>
        <v>25466</v>
      </c>
      <c r="G29">
        <f>+J13+J14</f>
        <v>18190</v>
      </c>
      <c r="H29" s="66">
        <f t="shared" si="2"/>
        <v>25466</v>
      </c>
    </row>
    <row r="30" spans="1:11" x14ac:dyDescent="0.35">
      <c r="D30" t="s">
        <v>209</v>
      </c>
      <c r="E30" s="66">
        <f>+H15+H16</f>
        <v>846</v>
      </c>
      <c r="F30" s="66">
        <f t="shared" si="2"/>
        <v>1184.4000000000001</v>
      </c>
      <c r="G30">
        <f>+J15+J16</f>
        <v>846</v>
      </c>
      <c r="H30" s="66">
        <f t="shared" si="2"/>
        <v>1184.4000000000001</v>
      </c>
    </row>
    <row r="36" spans="4:6" x14ac:dyDescent="0.35">
      <c r="D36" s="87" t="s">
        <v>235</v>
      </c>
      <c r="E36" s="90" t="s">
        <v>264</v>
      </c>
      <c r="F36" s="87" t="s">
        <v>265</v>
      </c>
    </row>
    <row r="37" spans="4:6" x14ac:dyDescent="0.35">
      <c r="D37" s="88" t="s">
        <v>187</v>
      </c>
      <c r="E37" s="90">
        <v>39.200000000000003</v>
      </c>
      <c r="F37" s="87">
        <v>44.8</v>
      </c>
    </row>
    <row r="38" spans="4:6" x14ac:dyDescent="0.35">
      <c r="D38" s="89" t="s">
        <v>186</v>
      </c>
      <c r="E38" s="90">
        <v>8815.7999999999993</v>
      </c>
      <c r="F38" s="87">
        <v>12747</v>
      </c>
    </row>
    <row r="39" spans="4:6" x14ac:dyDescent="0.35">
      <c r="D39" s="87" t="s">
        <v>240</v>
      </c>
      <c r="E39" s="90">
        <v>9853.2000000000007</v>
      </c>
      <c r="F39" s="87">
        <v>9853.2000000000007</v>
      </c>
    </row>
    <row r="40" spans="4:6" x14ac:dyDescent="0.35">
      <c r="D40" s="87" t="s">
        <v>244</v>
      </c>
      <c r="E40" s="90">
        <v>55493.2</v>
      </c>
      <c r="F40" s="87">
        <v>73693.2</v>
      </c>
    </row>
    <row r="41" spans="4:6" x14ac:dyDescent="0.35">
      <c r="D41" s="87" t="s">
        <v>245</v>
      </c>
      <c r="E41" s="90">
        <v>2660</v>
      </c>
      <c r="F41" s="87">
        <v>4480</v>
      </c>
    </row>
    <row r="42" spans="4:6" x14ac:dyDescent="0.35">
      <c r="D42" s="87" t="s">
        <v>197</v>
      </c>
      <c r="E42" s="90">
        <v>25466</v>
      </c>
      <c r="F42" s="87">
        <v>25466</v>
      </c>
    </row>
    <row r="43" spans="4:6" x14ac:dyDescent="0.35">
      <c r="D43" s="87" t="s">
        <v>209</v>
      </c>
      <c r="E43" s="90">
        <v>1184.4000000000001</v>
      </c>
      <c r="F43" s="87">
        <v>1184.4000000000001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Lube Audit</vt:lpstr>
      <vt:lpstr>Extra lubes required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Мошкин Сергей Николаевич</dc:creator>
  <cp:lastModifiedBy>Jorge Gomez</cp:lastModifiedBy>
  <dcterms:created xsi:type="dcterms:W3CDTF">2026-07-22T12:31:08Z</dcterms:created>
  <dcterms:modified xsi:type="dcterms:W3CDTF">2026-08-20T14:41:42Z</dcterms:modified>
</cp:coreProperties>
</file>