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.Ellarian\AppData\Local\Microsoft\Windows\INetCache\Content.Outlook\PGHJRL6O\"/>
    </mc:Choice>
  </mc:AlternateContent>
  <xr:revisionPtr revIDLastSave="0" documentId="13_ncr:1_{42383590-3607-4F86-8503-4797BD31E3E1}" xr6:coauthVersionLast="47" xr6:coauthVersionMax="47" xr10:uidLastSave="{00000000-0000-0000-0000-000000000000}"/>
  <bookViews>
    <workbookView xWindow="7200" yWindow="2850" windowWidth="21600" windowHeight="11385" activeTab="1" xr2:uid="{00000000-000D-0000-FFFF-FFFF00000000}"/>
  </bookViews>
  <sheets>
    <sheet name="Products for specification 2" sheetId="2" r:id="rId1"/>
    <sheet name="Specification 02 rev CO-05" sheetId="3" r:id="rId2"/>
    <sheet name="График" sheetId="4" r:id="rId3"/>
  </sheets>
  <externalReferences>
    <externalReference r:id="rId4"/>
  </externalReferences>
  <definedNames>
    <definedName name="_xlnm._FilterDatabase" localSheetId="0" hidden="1">'Products for specification 2'!$A$3:$T$32</definedName>
    <definedName name="_xlnm._FilterDatabase" localSheetId="2" hidden="1">График!$A$3:$C$32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" i="3" l="1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10" i="3"/>
  <c r="P34" i="4"/>
  <c r="I34" i="4"/>
  <c r="E34" i="4"/>
  <c r="Q33" i="4"/>
  <c r="O32" i="4"/>
  <c r="Q32" i="4" s="1"/>
  <c r="O31" i="4"/>
  <c r="Q31" i="4" s="1"/>
  <c r="O30" i="4"/>
  <c r="Q30" i="4" s="1"/>
  <c r="L29" i="4"/>
  <c r="Q29" i="4" s="1"/>
  <c r="L28" i="4"/>
  <c r="L27" i="4"/>
  <c r="Q27" i="4" s="1"/>
  <c r="L26" i="4"/>
  <c r="L25" i="4"/>
  <c r="L24" i="4"/>
  <c r="L23" i="4"/>
  <c r="L22" i="4"/>
  <c r="L21" i="4"/>
  <c r="L20" i="4"/>
  <c r="L19" i="4"/>
  <c r="M19" i="4" s="1"/>
  <c r="K18" i="4"/>
  <c r="L18" i="4" s="1"/>
  <c r="Q17" i="4"/>
  <c r="J17" i="4"/>
  <c r="L16" i="4"/>
  <c r="Q16" i="4" s="1"/>
  <c r="J15" i="4"/>
  <c r="Q15" i="4" s="1"/>
  <c r="K14" i="4"/>
  <c r="Q14" i="4" s="1"/>
  <c r="L13" i="4"/>
  <c r="L12" i="4"/>
  <c r="Q11" i="4"/>
  <c r="J10" i="4"/>
  <c r="N9" i="4"/>
  <c r="J8" i="4"/>
  <c r="Q8" i="4" s="1"/>
  <c r="Q7" i="4"/>
  <c r="J6" i="4"/>
  <c r="Q6" i="4" s="1"/>
  <c r="J5" i="4"/>
  <c r="Q4" i="4"/>
  <c r="U30" i="3"/>
  <c r="U31" i="3"/>
  <c r="U32" i="3"/>
  <c r="U33" i="3"/>
  <c r="U34" i="3"/>
  <c r="U35" i="3"/>
  <c r="U36" i="3"/>
  <c r="U37" i="3"/>
  <c r="U38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Q45" i="3"/>
  <c r="N26" i="3"/>
  <c r="N27" i="3"/>
  <c r="N28" i="3"/>
  <c r="N29" i="3"/>
  <c r="N30" i="3"/>
  <c r="N31" i="3"/>
  <c r="N32" i="3"/>
  <c r="N33" i="3"/>
  <c r="N34" i="3"/>
  <c r="N35" i="3"/>
  <c r="N25" i="3"/>
  <c r="N22" i="3"/>
  <c r="N15" i="3"/>
  <c r="M35" i="3"/>
  <c r="M34" i="3"/>
  <c r="M33" i="3"/>
  <c r="M32" i="3"/>
  <c r="M31" i="3"/>
  <c r="M30" i="3"/>
  <c r="M29" i="3"/>
  <c r="M28" i="3"/>
  <c r="M27" i="3"/>
  <c r="M26" i="3"/>
  <c r="M25" i="3"/>
  <c r="M22" i="3"/>
  <c r="M15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10" i="3"/>
  <c r="O44" i="3"/>
  <c r="O48" i="3" s="1"/>
  <c r="D44" i="3"/>
  <c r="R38" i="3"/>
  <c r="R37" i="3"/>
  <c r="R36" i="3"/>
  <c r="Q35" i="3"/>
  <c r="O35" i="3"/>
  <c r="R35" i="3" s="1"/>
  <c r="Q34" i="3"/>
  <c r="O34" i="3"/>
  <c r="R34" i="3" s="1"/>
  <c r="R33" i="3"/>
  <c r="Q33" i="3"/>
  <c r="O33" i="3"/>
  <c r="Q32" i="3"/>
  <c r="O32" i="3"/>
  <c r="R32" i="3" s="1"/>
  <c r="Q31" i="3"/>
  <c r="O31" i="3"/>
  <c r="R31" i="3" s="1"/>
  <c r="Q30" i="3"/>
  <c r="O30" i="3"/>
  <c r="R30" i="3" s="1"/>
  <c r="Q29" i="3"/>
  <c r="O29" i="3"/>
  <c r="R29" i="3" s="1"/>
  <c r="Q28" i="3"/>
  <c r="O28" i="3"/>
  <c r="R28" i="3" s="1"/>
  <c r="Q27" i="3"/>
  <c r="O27" i="3"/>
  <c r="R27" i="3" s="1"/>
  <c r="Q26" i="3"/>
  <c r="O26" i="3"/>
  <c r="R26" i="3" s="1"/>
  <c r="Q25" i="3"/>
  <c r="O25" i="3"/>
  <c r="R25" i="3" s="1"/>
  <c r="R24" i="3"/>
  <c r="R23" i="3"/>
  <c r="Q22" i="3"/>
  <c r="O22" i="3"/>
  <c r="R22" i="3" s="1"/>
  <c r="R21" i="3"/>
  <c r="R20" i="3"/>
  <c r="R19" i="3"/>
  <c r="R18" i="3"/>
  <c r="R17" i="3"/>
  <c r="R16" i="3"/>
  <c r="Q15" i="3"/>
  <c r="O15" i="3"/>
  <c r="R15" i="3" s="1"/>
  <c r="Q39" i="3" s="1"/>
  <c r="R14" i="3"/>
  <c r="R13" i="3"/>
  <c r="R12" i="3"/>
  <c r="R11" i="3"/>
  <c r="R10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4" i="2"/>
  <c r="M28" i="4" l="1"/>
  <c r="M26" i="4"/>
  <c r="N26" i="4" s="1"/>
  <c r="M25" i="4"/>
  <c r="N25" i="4" s="1"/>
  <c r="O25" i="4" s="1"/>
  <c r="Q25" i="4"/>
  <c r="M24" i="4"/>
  <c r="M23" i="4"/>
  <c r="M22" i="4"/>
  <c r="N22" i="4" s="1"/>
  <c r="M21" i="4"/>
  <c r="N21" i="4" s="1"/>
  <c r="O21" i="4" s="1"/>
  <c r="Q21" i="4"/>
  <c r="M20" i="4"/>
  <c r="N20" i="4" s="1"/>
  <c r="O20" i="4" s="1"/>
  <c r="Q20" i="4"/>
  <c r="N19" i="4"/>
  <c r="O19" i="4" s="1"/>
  <c r="Q19" i="4"/>
  <c r="M18" i="4"/>
  <c r="M13" i="4"/>
  <c r="L34" i="4"/>
  <c r="M12" i="4"/>
  <c r="M34" i="4" s="1"/>
  <c r="K12" i="4"/>
  <c r="Q12" i="4" s="1"/>
  <c r="K10" i="4"/>
  <c r="Q10" i="4"/>
  <c r="O9" i="4"/>
  <c r="Q9" i="4"/>
  <c r="J34" i="4"/>
  <c r="Q5" i="4"/>
  <c r="Q40" i="3"/>
  <c r="Q44" i="3"/>
  <c r="Q41" i="3"/>
  <c r="I33" i="2"/>
  <c r="P5" i="2"/>
  <c r="O5" i="2" s="1"/>
  <c r="P6" i="2"/>
  <c r="O6" i="2" s="1"/>
  <c r="P7" i="2"/>
  <c r="P8" i="2"/>
  <c r="P9" i="2"/>
  <c r="P10" i="2"/>
  <c r="P11" i="2"/>
  <c r="O11" i="2" s="1"/>
  <c r="P12" i="2"/>
  <c r="O12" i="2" s="1"/>
  <c r="P13" i="2"/>
  <c r="O13" i="2" s="1"/>
  <c r="P14" i="2"/>
  <c r="O14" i="2" s="1"/>
  <c r="P15" i="2"/>
  <c r="O15" i="2" s="1"/>
  <c r="P16" i="2"/>
  <c r="P17" i="2"/>
  <c r="P18" i="2"/>
  <c r="P19" i="2"/>
  <c r="O19" i="2" s="1"/>
  <c r="P20" i="2"/>
  <c r="O20" i="2" s="1"/>
  <c r="P21" i="2"/>
  <c r="O21" i="2" s="1"/>
  <c r="P22" i="2"/>
  <c r="O22" i="2" s="1"/>
  <c r="P23" i="2"/>
  <c r="O23" i="2" s="1"/>
  <c r="P24" i="2"/>
  <c r="P25" i="2"/>
  <c r="P26" i="2"/>
  <c r="P27" i="2"/>
  <c r="P28" i="2"/>
  <c r="O28" i="2" s="1"/>
  <c r="P29" i="2"/>
  <c r="O29" i="2" s="1"/>
  <c r="P30" i="2"/>
  <c r="O30" i="2" s="1"/>
  <c r="P31" i="2"/>
  <c r="O31" i="2" s="1"/>
  <c r="P32" i="2"/>
  <c r="O32" i="2" s="1"/>
  <c r="P4" i="2"/>
  <c r="K34" i="4" l="1"/>
  <c r="N28" i="4"/>
  <c r="O28" i="4" s="1"/>
  <c r="Q28" i="4"/>
  <c r="O26" i="4"/>
  <c r="Q26" i="4"/>
  <c r="N24" i="4"/>
  <c r="O24" i="4" s="1"/>
  <c r="Q24" i="4"/>
  <c r="N23" i="4"/>
  <c r="O23" i="4" s="1"/>
  <c r="Q23" i="4"/>
  <c r="O22" i="4"/>
  <c r="Q22" i="4"/>
  <c r="N18" i="4"/>
  <c r="Q18" i="4"/>
  <c r="N13" i="4"/>
  <c r="Q13" i="4"/>
  <c r="Q34" i="4" s="1"/>
  <c r="M20" i="2"/>
  <c r="M6" i="2"/>
  <c r="M13" i="2"/>
  <c r="M11" i="2"/>
  <c r="M21" i="2"/>
  <c r="M29" i="2"/>
  <c r="M23" i="2"/>
  <c r="M31" i="2"/>
  <c r="M28" i="2"/>
  <c r="O18" i="2"/>
  <c r="M18" i="2"/>
  <c r="O17" i="2"/>
  <c r="M17" i="2"/>
  <c r="O24" i="2"/>
  <c r="M24" i="2"/>
  <c r="O8" i="2"/>
  <c r="M8" i="2"/>
  <c r="M14" i="2"/>
  <c r="M22" i="2"/>
  <c r="M12" i="2"/>
  <c r="O10" i="2"/>
  <c r="M10" i="2"/>
  <c r="O4" i="2"/>
  <c r="M4" i="2"/>
  <c r="O26" i="2"/>
  <c r="M26" i="2"/>
  <c r="O16" i="2"/>
  <c r="M16" i="2"/>
  <c r="M32" i="2"/>
  <c r="O7" i="2"/>
  <c r="M7" i="2"/>
  <c r="M30" i="2"/>
  <c r="O27" i="2"/>
  <c r="M27" i="2"/>
  <c r="M5" i="2"/>
  <c r="M15" i="2"/>
  <c r="M19" i="2"/>
  <c r="O9" i="2"/>
  <c r="M9" i="2"/>
  <c r="O25" i="2"/>
  <c r="M25" i="2"/>
  <c r="N34" i="4" l="1"/>
  <c r="O13" i="4"/>
  <c r="O34" i="4" s="1"/>
  <c r="N4" i="2"/>
  <c r="K4" i="2"/>
  <c r="L4" i="2" s="1"/>
  <c r="N9" i="2"/>
  <c r="K9" i="2"/>
  <c r="L9" i="2" s="1"/>
  <c r="N7" i="2"/>
  <c r="K7" i="2"/>
  <c r="L7" i="2" s="1"/>
  <c r="N10" i="2"/>
  <c r="K10" i="2"/>
  <c r="L10" i="2" s="1"/>
  <c r="N29" i="2"/>
  <c r="K29" i="2"/>
  <c r="L29" i="2" s="1"/>
  <c r="N19" i="2"/>
  <c r="K19" i="2"/>
  <c r="L19" i="2" s="1"/>
  <c r="N32" i="2"/>
  <c r="K32" i="2"/>
  <c r="L32" i="2" s="1"/>
  <c r="N17" i="2"/>
  <c r="K17" i="2"/>
  <c r="L17" i="2" s="1"/>
  <c r="N21" i="2"/>
  <c r="K21" i="2"/>
  <c r="N30" i="2"/>
  <c r="K30" i="2"/>
  <c r="L30" i="2" s="1"/>
  <c r="N23" i="2"/>
  <c r="N16" i="2"/>
  <c r="K16" i="2"/>
  <c r="L16" i="2" s="1"/>
  <c r="N12" i="2"/>
  <c r="K12" i="2"/>
  <c r="L12" i="2" s="1"/>
  <c r="N5" i="2"/>
  <c r="K5" i="2"/>
  <c r="L5" i="2" s="1"/>
  <c r="N22" i="2"/>
  <c r="K22" i="2"/>
  <c r="L22" i="2" s="1"/>
  <c r="N18" i="2"/>
  <c r="K18" i="2"/>
  <c r="L18" i="2" s="1"/>
  <c r="N13" i="2"/>
  <c r="K13" i="2"/>
  <c r="L13" i="2" s="1"/>
  <c r="N24" i="2"/>
  <c r="K24" i="2"/>
  <c r="N15" i="2"/>
  <c r="K15" i="2"/>
  <c r="L15" i="2" s="1"/>
  <c r="N11" i="2"/>
  <c r="K11" i="2"/>
  <c r="L11" i="2" s="1"/>
  <c r="N27" i="2"/>
  <c r="K27" i="2"/>
  <c r="L27" i="2" s="1"/>
  <c r="N26" i="2"/>
  <c r="K26" i="2"/>
  <c r="L26" i="2" s="1"/>
  <c r="N14" i="2"/>
  <c r="K14" i="2"/>
  <c r="L14" i="2" s="1"/>
  <c r="N6" i="2"/>
  <c r="K6" i="2"/>
  <c r="L6" i="2" s="1"/>
  <c r="N31" i="2"/>
  <c r="K31" i="2"/>
  <c r="L31" i="2" s="1"/>
  <c r="N25" i="2"/>
  <c r="N8" i="2"/>
  <c r="K8" i="2"/>
  <c r="L8" i="2" s="1"/>
  <c r="N28" i="2"/>
  <c r="K28" i="2"/>
  <c r="L28" i="2" s="1"/>
  <c r="N20" i="2"/>
  <c r="K20" i="2"/>
  <c r="L20" i="2" s="1"/>
  <c r="K25" i="2" l="1"/>
  <c r="L25" i="2" s="1"/>
  <c r="L24" i="2"/>
  <c r="K23" i="2"/>
  <c r="L23" i="2" s="1"/>
  <c r="L21" i="2"/>
  <c r="L33" i="2" s="1"/>
  <c r="K35" i="2" s="1"/>
  <c r="N33" i="2"/>
</calcChain>
</file>

<file path=xl/sharedStrings.xml><?xml version="1.0" encoding="utf-8"?>
<sst xmlns="http://schemas.openxmlformats.org/spreadsheetml/2006/main" count="520" uniqueCount="166">
  <si>
    <t>СПЕЦИФИКАЦИЯ №02</t>
  </si>
  <si>
    <t>TEBOIL HYPOID 75W90</t>
  </si>
  <si>
    <t>TEBOIL SYPRES EXTRA 680</t>
  </si>
  <si>
    <t>ЛУКОЙЛ ПОЛИФЛЕКС ЕР 0-160</t>
  </si>
  <si>
    <t>ЛУКОЙЛ ПОЛИФЛЕКС ЕР 1-160</t>
  </si>
  <si>
    <t>ЛУКОЙЛ КАРБОФЛЕКС OG 0-4000 HD</t>
  </si>
  <si>
    <t>ЛУКОЙЛ ПОЛИФЛЕКС ЕР 2-160 HD</t>
  </si>
  <si>
    <t>ЛУКОЙЛ КАРБОФЛЕКС OG 000-1500 HD</t>
  </si>
  <si>
    <t>ЛУКОЙЛ ПОЛИФЛЕКС ЕР 1-160 HD</t>
  </si>
  <si>
    <t>Предлагаемый к поставке в 2026 году продукт</t>
  </si>
  <si>
    <t xml:space="preserve">ЛУКОЙЛ СИНТОФЛЕКС АРКТИК 1-100 HD - всесезонно/all season </t>
  </si>
  <si>
    <t>ЛУКОЙЛ СИНТОФЛЕКС АРКТИК 1-100 HD - всесезонно/all season</t>
  </si>
  <si>
    <t>LEMARC COOLGUARD G12+ Extra / LEMARC COOLGUARD G12+ Extra</t>
  </si>
  <si>
    <t>LEMARC AEROGUARD SH 46 / LEMARC AEROGUARD SH 46</t>
  </si>
  <si>
    <t>LEMARC LEGUARD MPV LT / LEMARC LEGUARD MPV LT</t>
  </si>
  <si>
    <t>LEMARC LEGUARD AC 5W30 / LEMARC LEGUARD AC 5W30</t>
  </si>
  <si>
    <t>LEMARC LEGUARD 40 0W40 / LEMARC LEGUARD 40 0W40</t>
  </si>
  <si>
    <t>LEMARC CARTERRA SH 150/ LEMARC CARTERRA SH 150</t>
  </si>
  <si>
    <t>LEMARC CARTERRA SH 220 / LEMARC CARTERRA SH 220</t>
  </si>
  <si>
    <t>LEMARC HYDRARD HVLP-ZF LT 32 / LEMARC HYDRARD HVLP-ZF LT 32</t>
  </si>
  <si>
    <t>LEMARC HYDRARD XV 32 / LEMARC HYDRARD XV 32</t>
  </si>
  <si>
    <t>LEMARC FFD / LEMARC FFD</t>
  </si>
  <si>
    <t>LEMARC WINDGUARD 50 / LEMARC WINDGUARD 50</t>
  </si>
  <si>
    <t>LEMARC DOT4 Low Temp / LEMARC DOT4 Low Temp</t>
  </si>
  <si>
    <t>LEMARC GREASEGUARD MS EP 0/00 / LEMARC GREASEGUARD MS EP 0/00</t>
  </si>
  <si>
    <t>LEMARC FROSTGUARD G12+ Extra / LEMARC FROSTGUARD G12+ Extra</t>
  </si>
  <si>
    <t>LEMARC GREASEGUARD MS EP1 / LEMARC GREASEGUARD MS EP1</t>
  </si>
  <si>
    <t>LEMARC GREASEGUARD MS EP 1 / LEMARC GREASEGUARD MS EP 1</t>
  </si>
  <si>
    <t>LEMARC GREASEGUARD OG EP 000 / LEMARC GREASEGUARD OG EP 000</t>
  </si>
  <si>
    <t>LEMARC GREASEGUARD OG EP 0 / LEMARC GREASEGUARD OG EP 0</t>
  </si>
  <si>
    <t>LEMARC GREASEGUARD MS EP 2 / LEMARC GREASEGUARD MS EP 2</t>
  </si>
  <si>
    <t>LEMARC GREASEGUARD EP 1 / LEMARC GREASEGUARD EP 1</t>
  </si>
  <si>
    <t>LEMARC GREASEGUARD EP 0 / LEMARC GREASEGUARD EP 0</t>
  </si>
  <si>
    <t>LEMARC CARTERRA SH 680 / LEMARC CARTERRA SH 680</t>
  </si>
  <si>
    <t>LEMARC GEAPARD X4/X5 75W90 / LEMARC GEAPARD X4/X5 75W90</t>
  </si>
  <si>
    <t>LEMARC GEAPARD DVI LV / LEMARC GEAPARD DVI LV</t>
  </si>
  <si>
    <t>LEMARC PNEUMOGUARD 32 / LEMARC PNEUMOGUARD 32</t>
  </si>
  <si>
    <t>LEMARC GEAPARD X5 75W140 / LEMARC GEAPARD X5 75W140</t>
  </si>
  <si>
    <t>LEMARC PNEUMOGUARD 100 / LEMARC PNEUMOGUARD 100</t>
  </si>
  <si>
    <t>LEMARC PNEUMOGUARD 32 / LEMARC PNEUMOGUARD 32 OIL</t>
  </si>
  <si>
    <t>0.26</t>
  </si>
  <si>
    <t>0.27</t>
  </si>
  <si>
    <t>0.28</t>
  </si>
  <si>
    <t>0.29</t>
  </si>
  <si>
    <t>0.30</t>
  </si>
  <si>
    <t>0.31</t>
  </si>
  <si>
    <t>0.32</t>
  </si>
  <si>
    <t>0.34</t>
  </si>
  <si>
    <t>0.35</t>
  </si>
  <si>
    <t>0.36</t>
  </si>
  <si>
    <t>0.37</t>
  </si>
  <si>
    <t>0.38</t>
  </si>
  <si>
    <t>0.39</t>
  </si>
  <si>
    <t>0.40</t>
  </si>
  <si>
    <t>0.41</t>
  </si>
  <si>
    <t>0.42</t>
  </si>
  <si>
    <t>0.43</t>
  </si>
  <si>
    <t>0.44</t>
  </si>
  <si>
    <t>0.46</t>
  </si>
  <si>
    <t>0.48</t>
  </si>
  <si>
    <t>0.49</t>
  </si>
  <si>
    <t>0.50</t>
  </si>
  <si>
    <t>0.51</t>
  </si>
  <si>
    <t>0.52</t>
  </si>
  <si>
    <t>0.53</t>
  </si>
  <si>
    <t>0.54</t>
  </si>
  <si>
    <t>0.55</t>
  </si>
  <si>
    <t>0.56</t>
  </si>
  <si>
    <t>0.57</t>
  </si>
  <si>
    <t>TAG #</t>
  </si>
  <si>
    <t>SKU / Артикул</t>
  </si>
  <si>
    <t>Line Item Description / Наименование позиции</t>
  </si>
  <si>
    <t>л</t>
  </si>
  <si>
    <t>кг</t>
  </si>
  <si>
    <t>кол-во продукта в единице</t>
  </si>
  <si>
    <t>Кол-во тары</t>
  </si>
  <si>
    <t>Общее кол-во продукта</t>
  </si>
  <si>
    <t>ед. изм</t>
  </si>
  <si>
    <t>Л/КГ В БОЧКЕ</t>
  </si>
  <si>
    <t>170 кг</t>
  </si>
  <si>
    <t>175 кг</t>
  </si>
  <si>
    <t>Кол-во тары, NEW</t>
  </si>
  <si>
    <t>Общее кол-во продукта, NEW</t>
  </si>
  <si>
    <t>дельта</t>
  </si>
  <si>
    <t>переименование продукта</t>
  </si>
  <si>
    <t xml:space="preserve">Стоимость, руб без НДС </t>
  </si>
  <si>
    <t xml:space="preserve">Стоимость, руб без НДС, 
NEW </t>
  </si>
  <si>
    <t>цена за единицу, руб без НДС</t>
  </si>
  <si>
    <t>цена за единицу, руб без НДС,
NEW</t>
  </si>
  <si>
    <t>замена фасовки 18 кг на 180 кг</t>
  </si>
  <si>
    <t>цена за единицу, руб без НДС,
NEW, с дисконтом!!!!</t>
  </si>
  <si>
    <t xml:space="preserve">Стоимость, руб без НДС, с дисконтом!!!
NEW </t>
  </si>
  <si>
    <t>!!!</t>
  </si>
  <si>
    <t>Дельта</t>
  </si>
  <si>
    <t>REV CO-04</t>
  </si>
  <si>
    <t>REV CO-05</t>
  </si>
  <si>
    <t>Oils and Technical Fluids for 2027 season</t>
  </si>
  <si>
    <t xml:space="preserve">Site use </t>
  </si>
  <si>
    <t>Self-performed Maintenance</t>
  </si>
  <si>
    <t xml:space="preserve">Масла и технические жидкости на 2027 г. </t>
  </si>
  <si>
    <t>area:</t>
  </si>
  <si>
    <t xml:space="preserve">PR No.: </t>
  </si>
  <si>
    <t xml:space="preserve">WBS </t>
  </si>
  <si>
    <t>Contractor ID:</t>
  </si>
  <si>
    <t>CC-419</t>
  </si>
  <si>
    <t>Code(s):</t>
  </si>
  <si>
    <t>№</t>
  </si>
  <si>
    <t>Equipment /</t>
  </si>
  <si>
    <t>Line Item Description /</t>
  </si>
  <si>
    <t>Q-ty /</t>
  </si>
  <si>
    <t>UOM /</t>
  </si>
  <si>
    <t>Unit price w/o VAT / Цена за ед. не вкл. НДС</t>
  </si>
  <si>
    <t>Total price /</t>
  </si>
  <si>
    <t>Date for Delivery / Дата Поставки</t>
  </si>
  <si>
    <t xml:space="preserve">Material ID </t>
  </si>
  <si>
    <t>Наименование позиции</t>
  </si>
  <si>
    <t>Кол-во.</t>
  </si>
  <si>
    <t>Ед. изм</t>
  </si>
  <si>
    <t xml:space="preserve">Сумма </t>
  </si>
  <si>
    <t>Rub./Руб</t>
  </si>
  <si>
    <t>CHANGE?
ADDED TO CORF?</t>
  </si>
  <si>
    <t>АНТИФРИЗ LEMARC FROSTGUARD G12+ Extra / ANTIFREEZE LEMARC FROSTGUARD G12+ Extra</t>
  </si>
  <si>
    <t>liter / литры</t>
  </si>
  <si>
    <t>YES</t>
  </si>
  <si>
    <t>МАСЛО LEMARC AEROGUARD SH 46 / LEMARC AEROGUARD SH 46 OIL</t>
  </si>
  <si>
    <t>МАСЛО LEMARC PNEUMOGUARD 100 / LEMARC PNEUMOGUARD 100 OIL</t>
  </si>
  <si>
    <t>МАСЛО LEMARC PNEUMOGUARD 32 / LEMARC PNEUMOGUARD 32 OIL</t>
  </si>
  <si>
    <t>Трансмиссионная жидкость LEMARC GEAPARD DVI LV / LEMARC GEAPARD DVI LV Transmission Fluid</t>
  </si>
  <si>
    <t>МАСЛО LEMARC GEAPARD X4/X5 75W90 / LEMARC GEAPARD X4/X5 75W90 OIL</t>
  </si>
  <si>
    <t>МАСЛО LEMARC GEAPARD X5 75W140 / LEMARC GEAPARD X5 75W140 OIL</t>
  </si>
  <si>
    <t>МАСЛО LEMARC LEGUARD MPV LT / LEMARC LEGUARD MPV LT OIL</t>
  </si>
  <si>
    <t>МАСЛО  LEMARC LEGUARD AC 5W30 / LEMARC LEGUARD AC 5W30 OIL</t>
  </si>
  <si>
    <t>МАСЛО LEMARC LEGUARD 40 0W40 / LEMARC LEGUARD 40 0W40 OIL</t>
  </si>
  <si>
    <t>МАСЛО LEMARC CARTERRA SH 150 / LEMARC CARTERRA SH 150 OIL</t>
  </si>
  <si>
    <t>МАСЛО LEMARC CARTERRA SH 220 / LEMARC CARTERRA SH 220 OIL</t>
  </si>
  <si>
    <t>МАСЛО LEMARC CARTERRA SH 680 / LEMARC CARTERRA SH 680 OIL</t>
  </si>
  <si>
    <t>МАСЛО LEMARC HYDRARD XV32 / LEMARC HYDRARD XV32 OIL</t>
  </si>
  <si>
    <t>МАСЛО LEMARC HYDRARD HVLP-ZF LT 32 / LEMARC HYDRARD HVLP-ZF LT 32 OIL</t>
  </si>
  <si>
    <t>СМАЗКА LEMARC GREGUARD EP 0 / LEMARC GREGUARD EP 0 GREASE</t>
  </si>
  <si>
    <t>kg /кг</t>
  </si>
  <si>
    <t>СМАЗКА LEMARC GREGUARD EP 1 / LEMARC GREGUARD EP 1 GREASE</t>
  </si>
  <si>
    <t>СМАЗКА LEMARC GREGUARD OG EP 0 / LEMARC GREGUARD OG EP 0 GREASE</t>
  </si>
  <si>
    <t>СМАЗКА LEMARC GREGUARD MS EP 2 / LEMARC GREGUARD MS EP 2 GREASE</t>
  </si>
  <si>
    <t>СМАЗКА LEMARC GREGUARD OG EP 000 / LEMARC GREGUARD OG EP 000 GREASE</t>
  </si>
  <si>
    <t>СМАЗКА LEMARC GREGUARD MS EP 1 / LEMARC GREGUARD MS EP 1 GREASE</t>
  </si>
  <si>
    <t>СМАЗКА LEMARC GREGUARD MS EP 1 / LEMARC GREGUARD MS EP 1</t>
  </si>
  <si>
    <t>СМАЗКА LEMARC GREGUARD MS EP 0/00 / LEMARC GREGUARD MS EP 0/00 LUBRICANT</t>
  </si>
  <si>
    <t>АНТИФРИЗ LEMARC FFD / LEMARC FFD ANTIFREEZE</t>
  </si>
  <si>
    <t>ЖИДКОСТЬ СТЕКЛООМЫВАТЕЛЯ LEMARC WINDGUARD 50 / LEMARC WINDGUARD 50 WINDSHIELD WASHER FLUID</t>
  </si>
  <si>
    <t>Тормозная жидкость LEMARC DOT4 Low Temp / LEMARC DOT4 Low Temp Brake Fluid</t>
  </si>
  <si>
    <t>Total amount w/o VAT / Итого, не вкл. НДС:</t>
  </si>
  <si>
    <t>In addition, VAT 22% / Кроме того НДС 22%:</t>
  </si>
  <si>
    <t>Total Amount in inclusive of VAT / Итого, c учетом НДС:</t>
  </si>
  <si>
    <t>недели</t>
  </si>
  <si>
    <t>июль</t>
  </si>
  <si>
    <t>август</t>
  </si>
  <si>
    <t>сентябрь</t>
  </si>
  <si>
    <t>36 
(резерв)</t>
  </si>
  <si>
    <t>Итого</t>
  </si>
  <si>
    <t>контейнер 20ф</t>
  </si>
  <si>
    <t>шт</t>
  </si>
  <si>
    <t>5.01</t>
  </si>
  <si>
    <t>5.02</t>
  </si>
  <si>
    <t>Container 20 ft / Контейнер 20 фт</t>
  </si>
  <si>
    <t>pce / шт</t>
  </si>
  <si>
    <t>Reefer container / Рефрижераторный контейнер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</si>
</sst>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.0_-;\-* #,##0.0_-;_-* &quot;-&quot;??_-;_-@_-"/>
  </numFmts>
  <fonts count="24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charset val="204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8"/>
      <color rgb="FFFF0000"/>
      <name val="Arial"/>
      <family val="2"/>
      <charset val="204"/>
    </font>
    <font>
      <b/>
      <sz val="10"/>
      <color rgb="FF002060"/>
      <name val="Arial"/>
      <family val="2"/>
    </font>
    <font>
      <b/>
      <sz val="8"/>
      <color theme="0" tint="-0.499984740745262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sz val="8"/>
      <color theme="0" tint="-0.499984740745262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7"/>
      <color theme="0" tint="-0.499984740745262"/>
      <name val="Arial"/>
      <family val="2"/>
      <charset val="204"/>
    </font>
    <font>
      <b/>
      <sz val="7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10"/>
      <color rgb="FF00206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5">
    <xf numFmtId="0" fontId="0" fillId="0" borderId="0" xfId="0"/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164" fontId="3" fillId="0" borderId="4" xfId="6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7" fillId="0" borderId="0" xfId="0" applyFont="1"/>
    <xf numFmtId="164" fontId="4" fillId="0" borderId="4" xfId="6" applyNumberFormat="1" applyFont="1" applyFill="1" applyBorder="1" applyAlignment="1">
      <alignment horizontal="center" vertical="center" wrapText="1"/>
    </xf>
    <xf numFmtId="164" fontId="3" fillId="3" borderId="4" xfId="6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43" fontId="0" fillId="0" borderId="0" xfId="0" applyNumberFormat="1"/>
    <xf numFmtId="43" fontId="3" fillId="0" borderId="4" xfId="7" applyFont="1" applyFill="1" applyBorder="1" applyAlignment="1">
      <alignment horizontal="center" vertical="center" wrapText="1"/>
    </xf>
    <xf numFmtId="43" fontId="3" fillId="0" borderId="4" xfId="7" applyFont="1" applyFill="1" applyBorder="1"/>
    <xf numFmtId="0" fontId="4" fillId="0" borderId="4" xfId="1" applyFont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43" fontId="3" fillId="3" borderId="4" xfId="7" applyFont="1" applyFill="1" applyBorder="1" applyAlignment="1">
      <alignment horizontal="center" vertical="center" wrapText="1"/>
    </xf>
    <xf numFmtId="164" fontId="8" fillId="2" borderId="4" xfId="6" applyNumberFormat="1" applyFont="1" applyFill="1" applyBorder="1" applyAlignment="1">
      <alignment horizontal="center" vertical="center" wrapText="1"/>
    </xf>
    <xf numFmtId="164" fontId="3" fillId="2" borderId="4" xfId="6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43" fontId="8" fillId="2" borderId="4" xfId="10" applyFont="1" applyFill="1" applyBorder="1" applyAlignment="1">
      <alignment horizontal="center" vertical="center" wrapText="1"/>
    </xf>
    <xf numFmtId="43" fontId="8" fillId="2" borderId="4" xfId="7" applyFont="1" applyFill="1" applyBorder="1" applyAlignment="1">
      <alignment horizontal="center" vertical="center" wrapText="1"/>
    </xf>
    <xf numFmtId="164" fontId="7" fillId="2" borderId="4" xfId="6" applyNumberFormat="1" applyFont="1" applyFill="1" applyBorder="1" applyAlignment="1">
      <alignment horizontal="center" vertical="center" wrapText="1"/>
    </xf>
    <xf numFmtId="0" fontId="0" fillId="0" borderId="1" xfId="0" quotePrefix="1" applyBorder="1"/>
    <xf numFmtId="0" fontId="0" fillId="0" borderId="6" xfId="0" quotePrefix="1" applyBorder="1"/>
    <xf numFmtId="0" fontId="1" fillId="0" borderId="7" xfId="0" applyFont="1" applyBorder="1" applyAlignment="1">
      <alignment horizontal="left" vertical="center" wrapText="1"/>
    </xf>
    <xf numFmtId="0" fontId="3" fillId="0" borderId="7" xfId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164" fontId="3" fillId="0" borderId="7" xfId="6" applyNumberFormat="1" applyFont="1" applyFill="1" applyBorder="1" applyAlignment="1">
      <alignment horizontal="center" vertical="center" wrapText="1"/>
    </xf>
    <xf numFmtId="164" fontId="4" fillId="0" borderId="7" xfId="6" applyNumberFormat="1" applyFont="1" applyFill="1" applyBorder="1" applyAlignment="1">
      <alignment horizontal="center" vertical="center" wrapText="1"/>
    </xf>
    <xf numFmtId="43" fontId="3" fillId="0" borderId="7" xfId="7" applyFont="1" applyFill="1" applyBorder="1" applyAlignment="1">
      <alignment horizontal="center" vertical="center" wrapText="1"/>
    </xf>
    <xf numFmtId="43" fontId="3" fillId="0" borderId="9" xfId="7" applyFont="1" applyFill="1" applyBorder="1" applyAlignment="1">
      <alignment horizontal="center" vertical="center" wrapText="1"/>
    </xf>
    <xf numFmtId="43" fontId="3" fillId="0" borderId="10" xfId="7" applyFont="1" applyFill="1" applyBorder="1" applyAlignment="1">
      <alignment horizontal="center" vertical="center" wrapText="1"/>
    </xf>
    <xf numFmtId="43" fontId="4" fillId="0" borderId="1" xfId="7" applyFont="1" applyFill="1" applyBorder="1" applyAlignment="1">
      <alignment horizontal="center" vertical="center" wrapText="1"/>
    </xf>
    <xf numFmtId="43" fontId="4" fillId="0" borderId="6" xfId="7" applyFont="1" applyFill="1" applyBorder="1" applyAlignment="1">
      <alignment horizontal="center" vertical="center" wrapText="1"/>
    </xf>
    <xf numFmtId="0" fontId="0" fillId="0" borderId="2" xfId="0" quotePrefix="1" applyBorder="1"/>
    <xf numFmtId="0" fontId="1" fillId="0" borderId="11" xfId="0" applyFont="1" applyBorder="1" applyAlignment="1">
      <alignment horizontal="left" vertical="center" wrapText="1"/>
    </xf>
    <xf numFmtId="0" fontId="3" fillId="0" borderId="11" xfId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164" fontId="3" fillId="0" borderId="11" xfId="6" applyNumberFormat="1" applyFont="1" applyFill="1" applyBorder="1" applyAlignment="1">
      <alignment horizontal="center" vertical="center" wrapText="1"/>
    </xf>
    <xf numFmtId="164" fontId="4" fillId="0" borderId="11" xfId="6" applyNumberFormat="1" applyFont="1" applyFill="1" applyBorder="1" applyAlignment="1">
      <alignment horizontal="center" vertical="center" wrapText="1"/>
    </xf>
    <xf numFmtId="43" fontId="3" fillId="0" borderId="11" xfId="7" applyFont="1" applyFill="1" applyBorder="1" applyAlignment="1">
      <alignment horizontal="center" vertical="center" wrapText="1"/>
    </xf>
    <xf numFmtId="43" fontId="3" fillId="0" borderId="12" xfId="7" applyFont="1" applyFill="1" applyBorder="1" applyAlignment="1">
      <alignment horizontal="center" vertical="center" wrapText="1"/>
    </xf>
    <xf numFmtId="43" fontId="4" fillId="0" borderId="2" xfId="7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43" fontId="8" fillId="2" borderId="1" xfId="7" applyFont="1" applyFill="1" applyBorder="1" applyAlignment="1">
      <alignment horizontal="center" vertical="center" wrapText="1"/>
    </xf>
    <xf numFmtId="164" fontId="4" fillId="2" borderId="4" xfId="6" applyNumberFormat="1" applyFont="1" applyFill="1" applyBorder="1" applyAlignment="1">
      <alignment horizontal="center" vertical="center" wrapText="1"/>
    </xf>
    <xf numFmtId="43" fontId="4" fillId="0" borderId="11" xfId="7" applyFont="1" applyFill="1" applyBorder="1" applyAlignment="1">
      <alignment horizontal="center" vertical="center" wrapText="1"/>
    </xf>
    <xf numFmtId="43" fontId="4" fillId="0" borderId="4" xfId="7" applyFont="1" applyFill="1" applyBorder="1" applyAlignment="1">
      <alignment horizontal="center" vertical="center" wrapText="1"/>
    </xf>
    <xf numFmtId="43" fontId="4" fillId="0" borderId="7" xfId="7" applyFont="1" applyFill="1" applyBorder="1" applyAlignment="1">
      <alignment horizontal="center" vertical="center" wrapText="1"/>
    </xf>
    <xf numFmtId="43" fontId="4" fillId="0" borderId="18" xfId="7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43" fontId="4" fillId="0" borderId="0" xfId="0" applyNumberFormat="1" applyFont="1"/>
    <xf numFmtId="0" fontId="3" fillId="0" borderId="0" xfId="0" applyFont="1" applyAlignment="1">
      <alignment horizontal="right"/>
    </xf>
    <xf numFmtId="165" fontId="8" fillId="0" borderId="19" xfId="0" applyNumberFormat="1" applyFont="1" applyBorder="1"/>
    <xf numFmtId="43" fontId="4" fillId="2" borderId="4" xfId="7" applyFont="1" applyFill="1" applyBorder="1" applyAlignment="1">
      <alignment horizontal="center" vertical="center" wrapText="1"/>
    </xf>
    <xf numFmtId="43" fontId="3" fillId="5" borderId="18" xfId="7" applyFont="1" applyFill="1" applyBorder="1" applyAlignment="1">
      <alignment horizontal="center" vertical="center" wrapText="1"/>
    </xf>
    <xf numFmtId="43" fontId="3" fillId="5" borderId="22" xfId="7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43" fontId="4" fillId="0" borderId="20" xfId="7" applyFont="1" applyFill="1" applyBorder="1" applyAlignment="1">
      <alignment horizontal="center" vertical="center" wrapText="1"/>
    </xf>
    <xf numFmtId="43" fontId="4" fillId="0" borderId="21" xfId="7" applyFont="1" applyFill="1" applyBorder="1" applyAlignment="1">
      <alignment horizontal="center" vertical="center" wrapText="1"/>
    </xf>
    <xf numFmtId="43" fontId="4" fillId="0" borderId="22" xfId="7" applyFont="1" applyFill="1" applyBorder="1" applyAlignment="1">
      <alignment horizontal="center" vertical="center" wrapText="1"/>
    </xf>
    <xf numFmtId="43" fontId="4" fillId="4" borderId="19" xfId="0" applyNumberFormat="1" applyFont="1" applyFill="1" applyBorder="1"/>
    <xf numFmtId="10" fontId="4" fillId="0" borderId="0" xfId="11" applyNumberFormat="1" applyFont="1"/>
    <xf numFmtId="0" fontId="13" fillId="0" borderId="1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3" fontId="11" fillId="2" borderId="20" xfId="7" applyFont="1" applyFill="1" applyBorder="1" applyAlignment="1">
      <alignment horizontal="center" vertical="center" wrapText="1"/>
    </xf>
    <xf numFmtId="43" fontId="4" fillId="0" borderId="19" xfId="0" applyNumberFormat="1" applyFont="1" applyBorder="1"/>
    <xf numFmtId="0" fontId="14" fillId="8" borderId="25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vertical="center"/>
    </xf>
    <xf numFmtId="0" fontId="14" fillId="8" borderId="26" xfId="0" applyFont="1" applyFill="1" applyBorder="1" applyAlignment="1">
      <alignment horizontal="center" vertical="center" wrapText="1"/>
    </xf>
    <xf numFmtId="0" fontId="15" fillId="8" borderId="26" xfId="0" applyFont="1" applyFill="1" applyBorder="1" applyAlignment="1">
      <alignment horizontal="center" vertical="center"/>
    </xf>
    <xf numFmtId="0" fontId="15" fillId="8" borderId="26" xfId="0" applyFont="1" applyFill="1" applyBorder="1" applyAlignment="1">
      <alignment horizontal="center" vertical="center" wrapText="1"/>
    </xf>
    <xf numFmtId="0" fontId="14" fillId="8" borderId="27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1" fillId="0" borderId="0" xfId="0" applyFont="1"/>
    <xf numFmtId="0" fontId="16" fillId="8" borderId="32" xfId="0" applyFont="1" applyFill="1" applyBorder="1" applyAlignment="1">
      <alignment vertical="center" wrapText="1"/>
    </xf>
    <xf numFmtId="0" fontId="0" fillId="8" borderId="32" xfId="0" applyFill="1" applyBorder="1" applyAlignment="1">
      <alignment vertical="center" wrapText="1"/>
    </xf>
    <xf numFmtId="0" fontId="2" fillId="9" borderId="0" xfId="0" applyFont="1" applyFill="1" applyAlignment="1">
      <alignment horizontal="center" wrapText="1"/>
    </xf>
    <xf numFmtId="0" fontId="17" fillId="10" borderId="29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4" fontId="17" fillId="10" borderId="26" xfId="0" applyNumberFormat="1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4" fontId="17" fillId="0" borderId="26" xfId="0" applyNumberFormat="1" applyFont="1" applyBorder="1" applyAlignment="1">
      <alignment horizontal="center" vertical="center" wrapText="1"/>
    </xf>
    <xf numFmtId="14" fontId="17" fillId="0" borderId="2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10" borderId="29" xfId="0" applyFont="1" applyFill="1" applyBorder="1" applyAlignment="1">
      <alignment horizontal="center" vertical="center" wrapText="1"/>
    </xf>
    <xf numFmtId="0" fontId="18" fillId="9" borderId="26" xfId="0" applyFont="1" applyFill="1" applyBorder="1" applyAlignment="1">
      <alignment horizontal="center" vertical="center" wrapText="1"/>
    </xf>
    <xf numFmtId="4" fontId="18" fillId="10" borderId="26" xfId="0" applyNumberFormat="1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4" fontId="19" fillId="0" borderId="26" xfId="0" applyNumberFormat="1" applyFont="1" applyBorder="1" applyAlignment="1">
      <alignment horizontal="center" vertical="center" wrapText="1"/>
    </xf>
    <xf numFmtId="14" fontId="19" fillId="0" borderId="26" xfId="0" applyNumberFormat="1" applyFont="1" applyBorder="1" applyAlignment="1">
      <alignment horizontal="center" vertical="center"/>
    </xf>
    <xf numFmtId="0" fontId="15" fillId="9" borderId="0" xfId="0" applyFont="1" applyFill="1" applyAlignment="1">
      <alignment horizontal="center" vertical="center" wrapText="1"/>
    </xf>
    <xf numFmtId="4" fontId="18" fillId="9" borderId="26" xfId="0" applyNumberFormat="1" applyFont="1" applyFill="1" applyBorder="1" applyAlignment="1">
      <alignment horizontal="center" vertical="center" wrapText="1"/>
    </xf>
    <xf numFmtId="43" fontId="19" fillId="9" borderId="26" xfId="0" applyNumberFormat="1" applyFont="1" applyFill="1" applyBorder="1" applyAlignment="1">
      <alignment horizontal="center" vertical="center" wrapText="1"/>
    </xf>
    <xf numFmtId="4" fontId="19" fillId="9" borderId="26" xfId="0" applyNumberFormat="1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4" fontId="19" fillId="0" borderId="0" xfId="0" applyNumberFormat="1" applyFont="1"/>
    <xf numFmtId="0" fontId="0" fillId="0" borderId="39" xfId="0" applyBorder="1"/>
    <xf numFmtId="0" fontId="4" fillId="0" borderId="41" xfId="0" applyFont="1" applyBorder="1" applyAlignment="1">
      <alignment vertical="center"/>
    </xf>
    <xf numFmtId="0" fontId="0" fillId="0" borderId="42" xfId="0" applyBorder="1"/>
    <xf numFmtId="0" fontId="2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0" fillId="0" borderId="37" xfId="0" quotePrefix="1" applyBorder="1"/>
    <xf numFmtId="0" fontId="23" fillId="0" borderId="38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left" vertical="center" wrapText="1"/>
    </xf>
    <xf numFmtId="0" fontId="3" fillId="0" borderId="38" xfId="1" applyBorder="1" applyAlignment="1">
      <alignment horizontal="center" vertical="center" wrapText="1"/>
    </xf>
    <xf numFmtId="164" fontId="3" fillId="0" borderId="38" xfId="6" applyNumberFormat="1" applyFont="1" applyFill="1" applyBorder="1" applyAlignment="1">
      <alignment horizontal="center" vertical="center" wrapText="1"/>
    </xf>
    <xf numFmtId="164" fontId="3" fillId="0" borderId="39" xfId="6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1" xfId="0" applyBorder="1"/>
    <xf numFmtId="0" fontId="0" fillId="0" borderId="13" xfId="0" applyBorder="1"/>
    <xf numFmtId="0" fontId="3" fillId="0" borderId="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164" fontId="3" fillId="0" borderId="5" xfId="6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4" xfId="0" applyNumberFormat="1" applyBorder="1"/>
    <xf numFmtId="0" fontId="0" fillId="0" borderId="4" xfId="0" applyBorder="1"/>
    <xf numFmtId="0" fontId="0" fillId="0" borderId="5" xfId="0" applyBorder="1"/>
    <xf numFmtId="43" fontId="3" fillId="0" borderId="5" xfId="10" applyFont="1" applyFill="1" applyBorder="1" applyAlignment="1">
      <alignment horizontal="center" vertical="center" wrapText="1"/>
    </xf>
    <xf numFmtId="43" fontId="3" fillId="0" borderId="5" xfId="12" applyFont="1" applyFill="1" applyBorder="1" applyAlignment="1">
      <alignment horizontal="center" vertical="center" wrapText="1"/>
    </xf>
    <xf numFmtId="0" fontId="0" fillId="0" borderId="40" xfId="0" quotePrefix="1" applyBorder="1"/>
    <xf numFmtId="0" fontId="3" fillId="0" borderId="41" xfId="0" applyFont="1" applyBorder="1" applyAlignment="1">
      <alignment horizontal="left" vertical="center" wrapText="1"/>
    </xf>
    <xf numFmtId="0" fontId="23" fillId="0" borderId="43" xfId="0" applyFont="1" applyBorder="1" applyAlignment="1">
      <alignment horizontal="left" vertical="center" wrapText="1"/>
    </xf>
    <xf numFmtId="0" fontId="3" fillId="0" borderId="41" xfId="1" applyBorder="1" applyAlignment="1">
      <alignment horizontal="center" vertical="center" wrapText="1"/>
    </xf>
    <xf numFmtId="164" fontId="3" fillId="0" borderId="41" xfId="6" applyNumberFormat="1" applyFont="1" applyFill="1" applyBorder="1" applyAlignment="1">
      <alignment horizontal="center" vertical="center" wrapText="1"/>
    </xf>
    <xf numFmtId="164" fontId="3" fillId="0" borderId="42" xfId="6" applyNumberFormat="1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164" fontId="0" fillId="0" borderId="41" xfId="0" applyNumberFormat="1" applyBorder="1"/>
    <xf numFmtId="0" fontId="7" fillId="0" borderId="6" xfId="0" quotePrefix="1" applyFont="1" applyBorder="1"/>
    <xf numFmtId="0" fontId="3" fillId="0" borderId="7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164" fontId="3" fillId="0" borderId="8" xfId="6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4" fillId="0" borderId="29" xfId="0" applyNumberFormat="1" applyFont="1" applyBorder="1"/>
    <xf numFmtId="164" fontId="4" fillId="0" borderId="33" xfId="0" applyNumberFormat="1" applyFont="1" applyBorder="1"/>
    <xf numFmtId="164" fontId="4" fillId="0" borderId="17" xfId="0" applyNumberFormat="1" applyFont="1" applyBorder="1"/>
    <xf numFmtId="164" fontId="4" fillId="0" borderId="36" xfId="0" applyNumberFormat="1" applyFont="1" applyBorder="1"/>
    <xf numFmtId="166" fontId="0" fillId="0" borderId="0" xfId="0" applyNumberFormat="1"/>
    <xf numFmtId="0" fontId="0" fillId="8" borderId="27" xfId="0" applyFill="1" applyBorder="1" applyAlignment="1">
      <alignment vertical="center" wrapText="1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15" fillId="8" borderId="23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0" fontId="15" fillId="8" borderId="26" xfId="0" applyFont="1" applyFill="1" applyBorder="1" applyAlignment="1">
      <alignment horizontal="center" vertical="center"/>
    </xf>
    <xf numFmtId="0" fontId="15" fillId="8" borderId="23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15" fillId="8" borderId="26" xfId="0" applyFont="1" applyFill="1" applyBorder="1" applyAlignment="1">
      <alignment horizontal="center" vertical="center" wrapText="1"/>
    </xf>
    <xf numFmtId="0" fontId="15" fillId="8" borderId="28" xfId="0" applyFont="1" applyFill="1" applyBorder="1" applyAlignment="1">
      <alignment horizontal="center" vertical="center" wrapText="1"/>
    </xf>
    <xf numFmtId="0" fontId="15" fillId="8" borderId="29" xfId="0" applyFont="1" applyFill="1" applyBorder="1" applyAlignment="1">
      <alignment horizontal="center" vertical="center" wrapText="1"/>
    </xf>
    <xf numFmtId="0" fontId="15" fillId="8" borderId="30" xfId="0" applyFont="1" applyFill="1" applyBorder="1" applyAlignment="1">
      <alignment horizontal="center" vertical="center" wrapText="1"/>
    </xf>
    <xf numFmtId="0" fontId="20" fillId="8" borderId="33" xfId="0" applyFont="1" applyFill="1" applyBorder="1" applyAlignment="1">
      <alignment horizontal="right" vertical="center"/>
    </xf>
    <xf numFmtId="0" fontId="20" fillId="8" borderId="17" xfId="0" applyFont="1" applyFill="1" applyBorder="1" applyAlignment="1">
      <alignment horizontal="right" vertical="center"/>
    </xf>
    <xf numFmtId="0" fontId="20" fillId="8" borderId="34" xfId="0" applyFont="1" applyFill="1" applyBorder="1" applyAlignment="1">
      <alignment horizontal="right" vertical="center"/>
    </xf>
    <xf numFmtId="4" fontId="14" fillId="0" borderId="35" xfId="0" applyNumberFormat="1" applyFont="1" applyBorder="1" applyAlignment="1">
      <alignment horizontal="center" vertical="center"/>
    </xf>
    <xf numFmtId="4" fontId="14" fillId="0" borderId="36" xfId="0" applyNumberFormat="1" applyFont="1" applyBorder="1" applyAlignment="1">
      <alignment horizontal="center" vertical="center"/>
    </xf>
    <xf numFmtId="0" fontId="21" fillId="8" borderId="33" xfId="0" applyFont="1" applyFill="1" applyBorder="1" applyAlignment="1">
      <alignment horizontal="right" vertical="center"/>
    </xf>
    <xf numFmtId="0" fontId="21" fillId="8" borderId="17" xfId="0" applyFont="1" applyFill="1" applyBorder="1" applyAlignment="1">
      <alignment horizontal="right" vertical="center"/>
    </xf>
    <xf numFmtId="0" fontId="21" fillId="8" borderId="34" xfId="0" applyFont="1" applyFill="1" applyBorder="1" applyAlignment="1">
      <alignment horizontal="right" vertical="center"/>
    </xf>
    <xf numFmtId="4" fontId="15" fillId="0" borderId="35" xfId="0" applyNumberFormat="1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/>
    </xf>
    <xf numFmtId="0" fontId="15" fillId="8" borderId="24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 wrapText="1"/>
    </xf>
    <xf numFmtId="0" fontId="15" fillId="8" borderId="22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4" fillId="8" borderId="28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8" borderId="31" xfId="0" applyFont="1" applyFill="1" applyBorder="1" applyAlignment="1">
      <alignment horizontal="center" vertical="center" wrapText="1"/>
    </xf>
    <xf numFmtId="0" fontId="15" fillId="8" borderId="31" xfId="0" applyFont="1" applyFill="1" applyBorder="1" applyAlignment="1">
      <alignment horizontal="center" vertical="center" wrapText="1"/>
    </xf>
    <xf numFmtId="0" fontId="14" fillId="8" borderId="23" xfId="0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26" xfId="0" applyFont="1" applyFill="1" applyBorder="1" applyAlignment="1">
      <alignment horizontal="center" vertical="center"/>
    </xf>
    <xf numFmtId="0" fontId="14" fillId="8" borderId="23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/>
    </xf>
    <xf numFmtId="0" fontId="14" fillId="8" borderId="24" xfId="0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</cellXfs>
  <cellStyles count="13">
    <cellStyle name="Comma" xfId="7" builtinId="3"/>
    <cellStyle name="Comma 2" xfId="4" xr:uid="{700B138E-AE22-4D45-8E44-5DD1CB6EF072}"/>
    <cellStyle name="Comma 2 2" xfId="8" xr:uid="{7BD77B03-03CA-4762-88AE-104ACEB6C84F}"/>
    <cellStyle name="Comma 3" xfId="12" xr:uid="{42AB883A-1A58-4FE3-B0EC-18BC554CF3CF}"/>
    <cellStyle name="Normal" xfId="0" builtinId="0"/>
    <cellStyle name="Normal 2" xfId="5" xr:uid="{19619184-D79E-4B47-B339-06B3569788F9}"/>
    <cellStyle name="Normal 3" xfId="3" xr:uid="{502731CB-97DB-49D4-8D2D-5B0BC00A874A}"/>
    <cellStyle name="Percent" xfId="11" builtinId="5"/>
    <cellStyle name="Обычный 2" xfId="1" xr:uid="{A7C5C48B-20FC-4FD2-8948-D03064848AEF}"/>
    <cellStyle name="Обычный 2 2 2" xfId="2" xr:uid="{5811AB33-471D-4365-A51A-ACF4632385E6}"/>
    <cellStyle name="Финансовый 2" xfId="6" xr:uid="{4FC473BE-3F4A-4CEB-98F5-175DFE687832}"/>
    <cellStyle name="Финансовый 2 2" xfId="9" xr:uid="{6C32BACA-02ED-4B3F-9BAE-4B52A70877B2}"/>
    <cellStyle name="Финансовый 3" xfId="10" xr:uid="{00E14E8E-7566-4949-AD6D-8E215E3B38A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L:\Supply%20Chain%20Department%20-%20Operations\Operations%20Procurement\1800-8260-405-POR-077%20-%20Lubes%20RAS%202026-2028\02%20CO-05%20-%20Revision%20of%20Specification%2002%20(RAS%202027)\01%20PR%20(CORF)\&#1055;&#1088;&#1080;&#1083;&#1086;&#1078;&#1077;&#1085;&#1080;&#1077;%20&#1082;%20&#1076;&#1086;&#1087;%20&#1089;&#1086;&#1075;&#1083;&#1072;&#1096;&#1077;&#1085;&#1080;&#1102;%20&#1079;&#1072;&#1084;&#1077;&#1085;&#1072;%20&#1087;&#1088;&#1086;&#1076;&#1091;&#1082;&#1090;&#1086;&#1074;_EE.xlsx" TargetMode="External"/><Relationship Id="rId2" Type="http://schemas.microsoft.com/office/2019/04/relationships/externalLinkLongPath" Target="file:///L:\Supply%20Chain%20Department%20-%20Operations\Operations%20Procurement\1800-8260-405-POR-077%20-%20Lubes%20RAS%202026-2028\02%20CO-05%20-%20Revision%20of%20Specification%2002%20(RAS%202027)\01%20PR%20(CORF)\&#1055;&#1088;&#1080;&#1083;&#1086;&#1078;&#1077;&#1085;&#1080;&#1077;%20&#1082;%20&#1076;&#1086;&#1087;%20&#1089;&#1086;&#1075;&#1083;&#1072;&#1096;&#1077;&#1085;&#1080;&#1102;%20&#1079;&#1072;&#1084;&#1077;&#1085;&#1072;%20&#1087;&#1088;&#1086;&#1076;&#1091;&#1082;&#1090;&#1086;&#1074;_EE.xlsx?18841D28" TargetMode="External"/><Relationship Id="rId1" Type="http://schemas.openxmlformats.org/officeDocument/2006/relationships/externalLinkPath" Target="file:///\\18841D28\&#1055;&#1088;&#1080;&#1083;&#1086;&#1078;&#1077;&#1085;&#1080;&#1077;%20&#1082;%20&#1076;&#1086;&#1087;%20&#1089;&#1086;&#1075;&#1083;&#1072;&#1096;&#1077;&#1085;&#1080;&#1102;%20&#1079;&#1072;&#1084;&#1077;&#1085;&#1072;%20&#1087;&#1088;&#1086;&#1076;&#1091;&#1082;&#1090;&#1086;&#1074;_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roducts for specification 2"/>
      <sheetName val="Specification 02 rev CO-05"/>
    </sheetNames>
    <sheetDataSet>
      <sheetData sheetId="0">
        <row r="9">
          <cell r="M9">
            <v>599.99975210486616</v>
          </cell>
          <cell r="P9">
            <v>147159</v>
          </cell>
        </row>
        <row r="16">
          <cell r="M16">
            <v>683.069298845817</v>
          </cell>
          <cell r="P16">
            <v>14205.72</v>
          </cell>
        </row>
        <row r="19">
          <cell r="M19">
            <v>467.09000000000003</v>
          </cell>
          <cell r="P19">
            <v>19260</v>
          </cell>
        </row>
        <row r="20">
          <cell r="M20">
            <v>450.6</v>
          </cell>
          <cell r="P20">
            <v>44820</v>
          </cell>
        </row>
        <row r="21">
          <cell r="M21">
            <v>1539</v>
          </cell>
          <cell r="P21">
            <v>10620</v>
          </cell>
        </row>
        <row r="22">
          <cell r="M22">
            <v>1160.27</v>
          </cell>
          <cell r="P22">
            <v>900</v>
          </cell>
        </row>
        <row r="23">
          <cell r="M23">
            <v>1729.8</v>
          </cell>
          <cell r="P23">
            <v>2160</v>
          </cell>
        </row>
        <row r="24">
          <cell r="M24">
            <v>1482</v>
          </cell>
          <cell r="P24">
            <v>10080</v>
          </cell>
        </row>
        <row r="25">
          <cell r="M25">
            <v>1643.46</v>
          </cell>
          <cell r="P25">
            <v>10080</v>
          </cell>
        </row>
        <row r="26">
          <cell r="M26">
            <v>1222.2</v>
          </cell>
          <cell r="P26">
            <v>12780</v>
          </cell>
        </row>
        <row r="27">
          <cell r="M27">
            <v>1601.34</v>
          </cell>
          <cell r="P27">
            <v>4224</v>
          </cell>
        </row>
        <row r="28">
          <cell r="M28">
            <v>1507.44</v>
          </cell>
          <cell r="P28">
            <v>29520</v>
          </cell>
        </row>
        <row r="29">
          <cell r="M29">
            <v>1595.5</v>
          </cell>
          <cell r="P29">
            <v>10062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CF94-083D-4687-974F-49BC7B1306AE}">
  <sheetPr>
    <pageSetUpPr fitToPage="1"/>
  </sheetPr>
  <dimension ref="A2:W37"/>
  <sheetViews>
    <sheetView topLeftCell="C1" zoomScale="85" zoomScaleNormal="85" workbookViewId="0">
      <selection activeCell="P32" sqref="P4:P32"/>
    </sheetView>
  </sheetViews>
  <sheetFormatPr defaultRowHeight="12.75" x14ac:dyDescent="0.2"/>
  <cols>
    <col min="1" max="1" width="4.85546875" bestFit="1" customWidth="1"/>
    <col min="2" max="2" width="9.5703125" customWidth="1"/>
    <col min="3" max="3" width="70.85546875" customWidth="1"/>
    <col min="4" max="4" width="5.42578125" customWidth="1"/>
    <col min="5" max="5" width="12.42578125" customWidth="1"/>
    <col min="6" max="6" width="8.85546875" customWidth="1"/>
    <col min="7" max="7" width="14.42578125" bestFit="1" customWidth="1"/>
    <col min="8" max="8" width="10.7109375" customWidth="1"/>
    <col min="9" max="9" width="15" bestFit="1" customWidth="1"/>
    <col min="10" max="10" width="2" customWidth="1"/>
    <col min="11" max="14" width="15" customWidth="1"/>
    <col min="15" max="15" width="7.5703125" customWidth="1"/>
    <col min="16" max="16" width="13.5703125" customWidth="1"/>
    <col min="17" max="18" width="8.5703125" customWidth="1"/>
    <col min="19" max="19" width="9.85546875" customWidth="1"/>
    <col min="20" max="20" width="69" customWidth="1"/>
    <col min="23" max="23" width="12.85546875" customWidth="1"/>
  </cols>
  <sheetData>
    <row r="2" spans="1:23" ht="30.75" customHeight="1" thickBot="1" x14ac:dyDescent="0.25">
      <c r="C2" s="1" t="s">
        <v>0</v>
      </c>
      <c r="D2" s="1"/>
      <c r="E2" s="1"/>
      <c r="F2" s="1"/>
      <c r="G2" s="1"/>
      <c r="H2" s="1"/>
      <c r="I2" s="1"/>
      <c r="J2" s="1"/>
      <c r="K2" s="55" t="s">
        <v>92</v>
      </c>
      <c r="L2" s="55" t="s">
        <v>92</v>
      </c>
      <c r="M2" s="1"/>
      <c r="N2" s="1"/>
      <c r="O2" s="1"/>
      <c r="P2" s="1"/>
      <c r="Q2" s="1"/>
      <c r="R2" s="9"/>
      <c r="S2" s="1"/>
    </row>
    <row r="3" spans="1:23" ht="72.75" customHeight="1" thickBot="1" x14ac:dyDescent="0.25">
      <c r="A3" s="2" t="s">
        <v>69</v>
      </c>
      <c r="B3" s="43" t="s">
        <v>70</v>
      </c>
      <c r="C3" s="43" t="s">
        <v>71</v>
      </c>
      <c r="D3" s="43" t="s">
        <v>77</v>
      </c>
      <c r="E3" s="43" t="s">
        <v>74</v>
      </c>
      <c r="F3" s="43" t="s">
        <v>75</v>
      </c>
      <c r="G3" s="43" t="s">
        <v>76</v>
      </c>
      <c r="H3" s="43" t="s">
        <v>87</v>
      </c>
      <c r="I3" s="44" t="s">
        <v>85</v>
      </c>
      <c r="J3" s="62"/>
      <c r="K3" s="46" t="s">
        <v>90</v>
      </c>
      <c r="L3" s="47" t="s">
        <v>91</v>
      </c>
      <c r="M3" s="46" t="s">
        <v>88</v>
      </c>
      <c r="N3" s="47" t="s">
        <v>86</v>
      </c>
      <c r="O3" s="45" t="s">
        <v>83</v>
      </c>
      <c r="P3" s="47" t="s">
        <v>82</v>
      </c>
      <c r="Q3" s="47" t="s">
        <v>81</v>
      </c>
      <c r="R3" s="45" t="s">
        <v>78</v>
      </c>
      <c r="S3" s="45" t="s">
        <v>70</v>
      </c>
      <c r="T3" s="48" t="s">
        <v>9</v>
      </c>
    </row>
    <row r="4" spans="1:23" ht="14.25" customHeight="1" x14ac:dyDescent="0.2">
      <c r="A4" s="34" t="s">
        <v>40</v>
      </c>
      <c r="B4" s="35">
        <v>10011103</v>
      </c>
      <c r="C4" s="35" t="s">
        <v>12</v>
      </c>
      <c r="D4" s="36" t="s">
        <v>72</v>
      </c>
      <c r="E4" s="37">
        <v>208</v>
      </c>
      <c r="F4" s="38">
        <v>483</v>
      </c>
      <c r="G4" s="39">
        <v>100464</v>
      </c>
      <c r="H4" s="40">
        <v>176.75</v>
      </c>
      <c r="I4" s="41">
        <f t="shared" ref="I4:I32" si="0">G4*H4</f>
        <v>17757012</v>
      </c>
      <c r="J4" s="60"/>
      <c r="K4" s="63">
        <f t="shared" ref="K4:K18" si="1">M4</f>
        <v>176.75</v>
      </c>
      <c r="L4" s="54">
        <f>K4*P4</f>
        <v>17757012</v>
      </c>
      <c r="M4" s="42">
        <f>I4/P4</f>
        <v>176.75</v>
      </c>
      <c r="N4" s="51">
        <f>M4*P4</f>
        <v>17757012</v>
      </c>
      <c r="O4" s="38">
        <f t="shared" ref="O4:O32" si="2">P4-G4</f>
        <v>0</v>
      </c>
      <c r="P4" s="39">
        <f>Q4*R4</f>
        <v>100464</v>
      </c>
      <c r="Q4" s="39">
        <v>483</v>
      </c>
      <c r="R4" s="39">
        <v>208</v>
      </c>
      <c r="S4" s="68">
        <v>10081103</v>
      </c>
      <c r="T4" s="69" t="s">
        <v>25</v>
      </c>
      <c r="U4" s="6" t="s">
        <v>84</v>
      </c>
    </row>
    <row r="5" spans="1:23" ht="14.25" customHeight="1" x14ac:dyDescent="0.2">
      <c r="A5" s="22" t="s">
        <v>41</v>
      </c>
      <c r="B5" s="18">
        <v>13621101</v>
      </c>
      <c r="C5" s="18" t="s">
        <v>13</v>
      </c>
      <c r="D5" s="3" t="s">
        <v>72</v>
      </c>
      <c r="E5" s="13">
        <v>208</v>
      </c>
      <c r="F5" s="4">
        <v>97</v>
      </c>
      <c r="G5" s="7">
        <v>20176</v>
      </c>
      <c r="H5" s="11">
        <v>200.36</v>
      </c>
      <c r="I5" s="30">
        <f t="shared" si="0"/>
        <v>4042463.3600000003</v>
      </c>
      <c r="J5" s="60"/>
      <c r="K5" s="63">
        <f t="shared" si="1"/>
        <v>200.36</v>
      </c>
      <c r="L5" s="54">
        <f t="shared" ref="L5:L32" si="3">K5*P5</f>
        <v>4042463.3600000003</v>
      </c>
      <c r="M5" s="32">
        <f t="shared" ref="M5:M32" si="4">I5/P5</f>
        <v>200.36</v>
      </c>
      <c r="N5" s="52">
        <f t="shared" ref="N5:N32" si="5">M5*P5</f>
        <v>4042463.3600000003</v>
      </c>
      <c r="O5" s="4">
        <f t="shared" si="2"/>
        <v>0</v>
      </c>
      <c r="P5" s="7">
        <f t="shared" ref="P5:P32" si="6">Q5*R5</f>
        <v>20176</v>
      </c>
      <c r="Q5" s="7">
        <v>97</v>
      </c>
      <c r="R5" s="7">
        <v>208</v>
      </c>
      <c r="S5" s="70">
        <v>13621101</v>
      </c>
      <c r="T5" s="71" t="s">
        <v>13</v>
      </c>
    </row>
    <row r="6" spans="1:23" ht="14.25" customHeight="1" x14ac:dyDescent="0.2">
      <c r="A6" s="22" t="s">
        <v>42</v>
      </c>
      <c r="B6" s="18">
        <v>14021101</v>
      </c>
      <c r="C6" s="18" t="s">
        <v>38</v>
      </c>
      <c r="D6" s="3" t="s">
        <v>72</v>
      </c>
      <c r="E6" s="13">
        <v>208</v>
      </c>
      <c r="F6" s="4">
        <v>8</v>
      </c>
      <c r="G6" s="7">
        <v>1664</v>
      </c>
      <c r="H6" s="11">
        <v>176.75</v>
      </c>
      <c r="I6" s="30">
        <f t="shared" si="0"/>
        <v>294112</v>
      </c>
      <c r="J6" s="60"/>
      <c r="K6" s="63">
        <f t="shared" si="1"/>
        <v>176.75</v>
      </c>
      <c r="L6" s="54">
        <f t="shared" si="3"/>
        <v>294112</v>
      </c>
      <c r="M6" s="32">
        <f t="shared" si="4"/>
        <v>176.75</v>
      </c>
      <c r="N6" s="52">
        <f t="shared" si="5"/>
        <v>294112</v>
      </c>
      <c r="O6" s="4">
        <f t="shared" si="2"/>
        <v>0</v>
      </c>
      <c r="P6" s="7">
        <f t="shared" si="6"/>
        <v>1664</v>
      </c>
      <c r="Q6" s="7">
        <v>8</v>
      </c>
      <c r="R6" s="7">
        <v>208</v>
      </c>
      <c r="S6" s="70">
        <v>14021101</v>
      </c>
      <c r="T6" s="71" t="s">
        <v>38</v>
      </c>
    </row>
    <row r="7" spans="1:23" ht="14.25" customHeight="1" x14ac:dyDescent="0.2">
      <c r="A7" s="22" t="s">
        <v>43</v>
      </c>
      <c r="B7" s="18">
        <v>14111101</v>
      </c>
      <c r="C7" s="18" t="s">
        <v>36</v>
      </c>
      <c r="D7" s="3" t="s">
        <v>72</v>
      </c>
      <c r="E7" s="13">
        <v>208</v>
      </c>
      <c r="F7" s="4">
        <v>20</v>
      </c>
      <c r="G7" s="7">
        <v>4160</v>
      </c>
      <c r="H7" s="11">
        <v>159.22999999999999</v>
      </c>
      <c r="I7" s="30">
        <f t="shared" si="0"/>
        <v>662396.79999999993</v>
      </c>
      <c r="J7" s="60"/>
      <c r="K7" s="63">
        <f t="shared" si="1"/>
        <v>159.22999999999999</v>
      </c>
      <c r="L7" s="54">
        <f t="shared" si="3"/>
        <v>662396.79999999993</v>
      </c>
      <c r="M7" s="32">
        <f t="shared" si="4"/>
        <v>159.22999999999999</v>
      </c>
      <c r="N7" s="52">
        <f t="shared" si="5"/>
        <v>662396.79999999993</v>
      </c>
      <c r="O7" s="4">
        <f t="shared" si="2"/>
        <v>0</v>
      </c>
      <c r="P7" s="7">
        <f t="shared" si="6"/>
        <v>4160</v>
      </c>
      <c r="Q7" s="7">
        <v>20</v>
      </c>
      <c r="R7" s="7">
        <v>208</v>
      </c>
      <c r="S7" s="70">
        <v>14111101</v>
      </c>
      <c r="T7" s="71" t="s">
        <v>39</v>
      </c>
    </row>
    <row r="8" spans="1:23" ht="14.25" customHeight="1" x14ac:dyDescent="0.2">
      <c r="A8" s="22" t="s">
        <v>44</v>
      </c>
      <c r="B8" s="18">
        <v>12001101</v>
      </c>
      <c r="C8" s="18" t="s">
        <v>35</v>
      </c>
      <c r="D8" s="3" t="s">
        <v>72</v>
      </c>
      <c r="E8" s="13">
        <v>208</v>
      </c>
      <c r="F8" s="4">
        <v>31</v>
      </c>
      <c r="G8" s="7">
        <v>6448</v>
      </c>
      <c r="H8" s="11">
        <v>328.85</v>
      </c>
      <c r="I8" s="30">
        <f t="shared" si="0"/>
        <v>2120424.8000000003</v>
      </c>
      <c r="J8" s="60"/>
      <c r="K8" s="63">
        <f t="shared" si="1"/>
        <v>328.85</v>
      </c>
      <c r="L8" s="54">
        <f t="shared" si="3"/>
        <v>2120424.8000000003</v>
      </c>
      <c r="M8" s="32">
        <f t="shared" si="4"/>
        <v>328.85</v>
      </c>
      <c r="N8" s="52">
        <f t="shared" si="5"/>
        <v>2120424.8000000003</v>
      </c>
      <c r="O8" s="4">
        <f t="shared" si="2"/>
        <v>0</v>
      </c>
      <c r="P8" s="7">
        <f t="shared" si="6"/>
        <v>6448</v>
      </c>
      <c r="Q8" s="7">
        <v>31</v>
      </c>
      <c r="R8" s="7">
        <v>208</v>
      </c>
      <c r="S8" s="70">
        <v>12001101</v>
      </c>
      <c r="T8" s="71" t="s">
        <v>35</v>
      </c>
    </row>
    <row r="9" spans="1:23" ht="14.25" customHeight="1" x14ac:dyDescent="0.2">
      <c r="A9" s="22" t="s">
        <v>45</v>
      </c>
      <c r="B9" s="18">
        <v>11951101</v>
      </c>
      <c r="C9" s="18" t="s">
        <v>34</v>
      </c>
      <c r="D9" s="3" t="s">
        <v>72</v>
      </c>
      <c r="E9" s="14">
        <v>208</v>
      </c>
      <c r="F9" s="8">
        <v>707</v>
      </c>
      <c r="G9" s="7">
        <v>147056</v>
      </c>
      <c r="H9" s="15">
        <v>600.41999999999996</v>
      </c>
      <c r="I9" s="30">
        <f t="shared" si="0"/>
        <v>88295363.519999996</v>
      </c>
      <c r="J9" s="60"/>
      <c r="K9" s="63">
        <f t="shared" si="1"/>
        <v>599.99975210486616</v>
      </c>
      <c r="L9" s="54">
        <f t="shared" si="3"/>
        <v>88295363.519999996</v>
      </c>
      <c r="M9" s="49">
        <f t="shared" si="4"/>
        <v>599.99975210486616</v>
      </c>
      <c r="N9" s="52">
        <f t="shared" si="5"/>
        <v>88295363.519999996</v>
      </c>
      <c r="O9" s="16">
        <f t="shared" si="2"/>
        <v>103</v>
      </c>
      <c r="P9" s="16">
        <f t="shared" si="6"/>
        <v>147159</v>
      </c>
      <c r="Q9" s="16">
        <v>747</v>
      </c>
      <c r="R9" s="19">
        <v>197</v>
      </c>
      <c r="S9" s="72">
        <v>1495990</v>
      </c>
      <c r="T9" s="73" t="s">
        <v>1</v>
      </c>
      <c r="U9" s="6" t="s">
        <v>79</v>
      </c>
    </row>
    <row r="10" spans="1:23" ht="14.25" customHeight="1" x14ac:dyDescent="0.2">
      <c r="A10" s="22" t="s">
        <v>46</v>
      </c>
      <c r="B10" s="18">
        <v>14121101</v>
      </c>
      <c r="C10" s="18" t="s">
        <v>37</v>
      </c>
      <c r="D10" s="3" t="s">
        <v>72</v>
      </c>
      <c r="E10" s="13">
        <v>208</v>
      </c>
      <c r="F10" s="4">
        <v>213</v>
      </c>
      <c r="G10" s="7">
        <v>44304</v>
      </c>
      <c r="H10" s="11">
        <v>501.38</v>
      </c>
      <c r="I10" s="30">
        <f t="shared" si="0"/>
        <v>22213139.52</v>
      </c>
      <c r="J10" s="60"/>
      <c r="K10" s="63">
        <f t="shared" si="1"/>
        <v>501.38</v>
      </c>
      <c r="L10" s="54">
        <f t="shared" si="3"/>
        <v>22213139.52</v>
      </c>
      <c r="M10" s="32">
        <f t="shared" si="4"/>
        <v>501.38</v>
      </c>
      <c r="N10" s="52">
        <f t="shared" si="5"/>
        <v>22213139.52</v>
      </c>
      <c r="O10" s="4">
        <f t="shared" si="2"/>
        <v>0</v>
      </c>
      <c r="P10" s="7">
        <f t="shared" si="6"/>
        <v>44304</v>
      </c>
      <c r="Q10" s="7">
        <v>213</v>
      </c>
      <c r="R10" s="7">
        <v>208</v>
      </c>
      <c r="S10" s="70">
        <v>14121101</v>
      </c>
      <c r="T10" s="71" t="s">
        <v>37</v>
      </c>
    </row>
    <row r="11" spans="1:23" ht="14.25" customHeight="1" x14ac:dyDescent="0.2">
      <c r="A11" s="22" t="s">
        <v>47</v>
      </c>
      <c r="B11" s="18">
        <v>14131101</v>
      </c>
      <c r="C11" s="18" t="s">
        <v>14</v>
      </c>
      <c r="D11" s="3" t="s">
        <v>72</v>
      </c>
      <c r="E11" s="13">
        <v>208</v>
      </c>
      <c r="F11" s="4">
        <v>235</v>
      </c>
      <c r="G11" s="7">
        <v>48880</v>
      </c>
      <c r="H11" s="11">
        <v>187.83</v>
      </c>
      <c r="I11" s="30">
        <f t="shared" si="0"/>
        <v>9181130.4000000004</v>
      </c>
      <c r="J11" s="60"/>
      <c r="K11" s="63">
        <f t="shared" si="1"/>
        <v>187.83</v>
      </c>
      <c r="L11" s="54">
        <f t="shared" si="3"/>
        <v>9181130.4000000004</v>
      </c>
      <c r="M11" s="32">
        <f t="shared" si="4"/>
        <v>187.83</v>
      </c>
      <c r="N11" s="52">
        <f t="shared" si="5"/>
        <v>9181130.4000000004</v>
      </c>
      <c r="O11" s="4">
        <f t="shared" si="2"/>
        <v>0</v>
      </c>
      <c r="P11" s="7">
        <f t="shared" si="6"/>
        <v>48880</v>
      </c>
      <c r="Q11" s="7">
        <v>235</v>
      </c>
      <c r="R11" s="7">
        <v>208</v>
      </c>
      <c r="S11" s="70">
        <v>14131101</v>
      </c>
      <c r="T11" s="71" t="s">
        <v>14</v>
      </c>
    </row>
    <row r="12" spans="1:23" ht="14.25" customHeight="1" x14ac:dyDescent="0.2">
      <c r="A12" s="22" t="s">
        <v>48</v>
      </c>
      <c r="B12" s="18">
        <v>14141101</v>
      </c>
      <c r="C12" s="18" t="s">
        <v>15</v>
      </c>
      <c r="D12" s="3" t="s">
        <v>72</v>
      </c>
      <c r="E12" s="13">
        <v>208</v>
      </c>
      <c r="F12" s="4">
        <v>508</v>
      </c>
      <c r="G12" s="7">
        <v>105664</v>
      </c>
      <c r="H12" s="11">
        <v>292.07</v>
      </c>
      <c r="I12" s="30">
        <f t="shared" si="0"/>
        <v>30861284.48</v>
      </c>
      <c r="J12" s="60"/>
      <c r="K12" s="63">
        <f t="shared" si="1"/>
        <v>292.07</v>
      </c>
      <c r="L12" s="54">
        <f t="shared" si="3"/>
        <v>30861284.48</v>
      </c>
      <c r="M12" s="32">
        <f t="shared" si="4"/>
        <v>292.07</v>
      </c>
      <c r="N12" s="52">
        <f t="shared" si="5"/>
        <v>30861284.48</v>
      </c>
      <c r="O12" s="4">
        <f t="shared" si="2"/>
        <v>0</v>
      </c>
      <c r="P12" s="7">
        <f t="shared" si="6"/>
        <v>105664</v>
      </c>
      <c r="Q12" s="7">
        <v>508</v>
      </c>
      <c r="R12" s="7">
        <v>208</v>
      </c>
      <c r="S12" s="70">
        <v>14141101</v>
      </c>
      <c r="T12" s="71" t="s">
        <v>15</v>
      </c>
    </row>
    <row r="13" spans="1:23" ht="14.25" customHeight="1" x14ac:dyDescent="0.2">
      <c r="A13" s="22" t="s">
        <v>49</v>
      </c>
      <c r="B13" s="18">
        <v>14151101</v>
      </c>
      <c r="C13" s="18" t="s">
        <v>16</v>
      </c>
      <c r="D13" s="3" t="s">
        <v>72</v>
      </c>
      <c r="E13" s="13">
        <v>208</v>
      </c>
      <c r="F13" s="4">
        <v>3061</v>
      </c>
      <c r="G13" s="7">
        <v>636688</v>
      </c>
      <c r="H13" s="11">
        <v>545.19000000000005</v>
      </c>
      <c r="I13" s="30">
        <f t="shared" si="0"/>
        <v>347115930.72000003</v>
      </c>
      <c r="J13" s="60"/>
      <c r="K13" s="63">
        <f t="shared" si="1"/>
        <v>545.19000000000005</v>
      </c>
      <c r="L13" s="54">
        <f t="shared" si="3"/>
        <v>347115930.72000003</v>
      </c>
      <c r="M13" s="32">
        <f t="shared" si="4"/>
        <v>545.19000000000005</v>
      </c>
      <c r="N13" s="52">
        <f t="shared" si="5"/>
        <v>347115930.72000003</v>
      </c>
      <c r="O13" s="4">
        <f t="shared" si="2"/>
        <v>0</v>
      </c>
      <c r="P13" s="7">
        <f t="shared" si="6"/>
        <v>636688</v>
      </c>
      <c r="Q13" s="7">
        <v>3061</v>
      </c>
      <c r="R13" s="7">
        <v>208</v>
      </c>
      <c r="S13" s="70">
        <v>14151101</v>
      </c>
      <c r="T13" s="71" t="s">
        <v>16</v>
      </c>
    </row>
    <row r="14" spans="1:23" ht="14.25" customHeight="1" x14ac:dyDescent="0.2">
      <c r="A14" s="22" t="s">
        <v>50</v>
      </c>
      <c r="B14" s="18">
        <v>14161101</v>
      </c>
      <c r="C14" s="18" t="s">
        <v>17</v>
      </c>
      <c r="D14" s="3" t="s">
        <v>72</v>
      </c>
      <c r="E14" s="13">
        <v>208</v>
      </c>
      <c r="F14" s="4">
        <v>129</v>
      </c>
      <c r="G14" s="7">
        <v>26832</v>
      </c>
      <c r="H14" s="11">
        <v>530.04999999999995</v>
      </c>
      <c r="I14" s="30">
        <f t="shared" si="0"/>
        <v>14222301.6</v>
      </c>
      <c r="J14" s="60"/>
      <c r="K14" s="63">
        <f t="shared" si="1"/>
        <v>530.04999999999995</v>
      </c>
      <c r="L14" s="54">
        <f t="shared" si="3"/>
        <v>14222301.6</v>
      </c>
      <c r="M14" s="32">
        <f t="shared" si="4"/>
        <v>530.04999999999995</v>
      </c>
      <c r="N14" s="52">
        <f t="shared" si="5"/>
        <v>14222301.6</v>
      </c>
      <c r="O14" s="4">
        <f t="shared" si="2"/>
        <v>0</v>
      </c>
      <c r="P14" s="7">
        <f t="shared" si="6"/>
        <v>26832</v>
      </c>
      <c r="Q14" s="7">
        <v>129</v>
      </c>
      <c r="R14" s="7">
        <v>208</v>
      </c>
      <c r="S14" s="70">
        <v>14161101</v>
      </c>
      <c r="T14" s="71" t="s">
        <v>17</v>
      </c>
    </row>
    <row r="15" spans="1:23" ht="14.25" customHeight="1" x14ac:dyDescent="0.2">
      <c r="A15" s="22" t="s">
        <v>51</v>
      </c>
      <c r="B15" s="18">
        <v>14171101</v>
      </c>
      <c r="C15" s="18" t="s">
        <v>18</v>
      </c>
      <c r="D15" s="3" t="s">
        <v>72</v>
      </c>
      <c r="E15" s="13">
        <v>208</v>
      </c>
      <c r="F15" s="4">
        <v>34</v>
      </c>
      <c r="G15" s="7">
        <v>7072</v>
      </c>
      <c r="H15" s="11">
        <v>551.25</v>
      </c>
      <c r="I15" s="30">
        <f t="shared" si="0"/>
        <v>3898440</v>
      </c>
      <c r="J15" s="60"/>
      <c r="K15" s="63">
        <f t="shared" si="1"/>
        <v>551.25</v>
      </c>
      <c r="L15" s="54">
        <f t="shared" si="3"/>
        <v>3898440</v>
      </c>
      <c r="M15" s="32">
        <f t="shared" si="4"/>
        <v>551.25</v>
      </c>
      <c r="N15" s="52">
        <f t="shared" si="5"/>
        <v>3898440</v>
      </c>
      <c r="O15" s="4">
        <f t="shared" si="2"/>
        <v>0</v>
      </c>
      <c r="P15" s="7">
        <f t="shared" si="6"/>
        <v>7072</v>
      </c>
      <c r="Q15" s="7">
        <v>34</v>
      </c>
      <c r="R15" s="7">
        <v>208</v>
      </c>
      <c r="S15" s="70">
        <v>14171101</v>
      </c>
      <c r="T15" s="71" t="s">
        <v>18</v>
      </c>
    </row>
    <row r="16" spans="1:23" ht="14.25" customHeight="1" x14ac:dyDescent="0.2">
      <c r="A16" s="22" t="s">
        <v>52</v>
      </c>
      <c r="B16" s="18">
        <v>14181101</v>
      </c>
      <c r="C16" s="18" t="s">
        <v>33</v>
      </c>
      <c r="D16" s="3" t="s">
        <v>72</v>
      </c>
      <c r="E16" s="14">
        <v>208</v>
      </c>
      <c r="F16" s="8">
        <v>68</v>
      </c>
      <c r="G16" s="7">
        <v>14144</v>
      </c>
      <c r="H16" s="15">
        <v>686.05</v>
      </c>
      <c r="I16" s="30">
        <f t="shared" si="0"/>
        <v>9703491.1999999993</v>
      </c>
      <c r="J16" s="60"/>
      <c r="K16" s="63">
        <f t="shared" si="1"/>
        <v>683.069298845817</v>
      </c>
      <c r="L16" s="54">
        <f t="shared" si="3"/>
        <v>9703491.1999999993</v>
      </c>
      <c r="M16" s="49">
        <f t="shared" si="4"/>
        <v>683.069298845817</v>
      </c>
      <c r="N16" s="52">
        <f t="shared" si="5"/>
        <v>9703491.1999999993</v>
      </c>
      <c r="O16" s="16">
        <f t="shared" si="2"/>
        <v>61.719999999999345</v>
      </c>
      <c r="P16" s="16">
        <f t="shared" si="6"/>
        <v>14205.72</v>
      </c>
      <c r="Q16" s="16">
        <v>69</v>
      </c>
      <c r="R16" s="20">
        <v>205.88</v>
      </c>
      <c r="S16" s="72">
        <v>3475721</v>
      </c>
      <c r="T16" s="73" t="s">
        <v>2</v>
      </c>
      <c r="U16" s="6" t="s">
        <v>80</v>
      </c>
      <c r="V16" s="5"/>
      <c r="W16" s="5"/>
    </row>
    <row r="17" spans="1:21" ht="14.25" customHeight="1" x14ac:dyDescent="0.2">
      <c r="A17" s="22" t="s">
        <v>53</v>
      </c>
      <c r="B17" s="18">
        <v>12311101</v>
      </c>
      <c r="C17" s="18" t="s">
        <v>20</v>
      </c>
      <c r="D17" s="3" t="s">
        <v>72</v>
      </c>
      <c r="E17" s="13">
        <v>208</v>
      </c>
      <c r="F17" s="4">
        <v>9</v>
      </c>
      <c r="G17" s="7">
        <v>1872</v>
      </c>
      <c r="H17" s="11">
        <v>267.19</v>
      </c>
      <c r="I17" s="30">
        <f t="shared" si="0"/>
        <v>500179.68</v>
      </c>
      <c r="J17" s="60"/>
      <c r="K17" s="63">
        <f t="shared" si="1"/>
        <v>267.19</v>
      </c>
      <c r="L17" s="54">
        <f t="shared" si="3"/>
        <v>500179.68</v>
      </c>
      <c r="M17" s="32">
        <f t="shared" si="4"/>
        <v>267.19</v>
      </c>
      <c r="N17" s="52">
        <f t="shared" si="5"/>
        <v>500179.68</v>
      </c>
      <c r="O17" s="4">
        <f t="shared" si="2"/>
        <v>0</v>
      </c>
      <c r="P17" s="7">
        <f t="shared" si="6"/>
        <v>1872</v>
      </c>
      <c r="Q17" s="7">
        <v>9</v>
      </c>
      <c r="R17" s="7">
        <v>208</v>
      </c>
      <c r="S17" s="70">
        <v>12311101</v>
      </c>
      <c r="T17" s="71" t="s">
        <v>20</v>
      </c>
    </row>
    <row r="18" spans="1:21" ht="14.25" customHeight="1" x14ac:dyDescent="0.2">
      <c r="A18" s="22" t="s">
        <v>54</v>
      </c>
      <c r="B18" s="18">
        <v>14191101</v>
      </c>
      <c r="C18" s="18" t="s">
        <v>19</v>
      </c>
      <c r="D18" s="3" t="s">
        <v>72</v>
      </c>
      <c r="E18" s="13">
        <v>208</v>
      </c>
      <c r="F18" s="4">
        <v>1373</v>
      </c>
      <c r="G18" s="7">
        <v>285584</v>
      </c>
      <c r="H18" s="11">
        <v>174.7</v>
      </c>
      <c r="I18" s="30">
        <f t="shared" si="0"/>
        <v>49891524.799999997</v>
      </c>
      <c r="J18" s="60"/>
      <c r="K18" s="63">
        <f t="shared" si="1"/>
        <v>174.7</v>
      </c>
      <c r="L18" s="54">
        <f t="shared" si="3"/>
        <v>49891524.799999997</v>
      </c>
      <c r="M18" s="32">
        <f t="shared" si="4"/>
        <v>174.7</v>
      </c>
      <c r="N18" s="52">
        <f t="shared" si="5"/>
        <v>49891524.799999997</v>
      </c>
      <c r="O18" s="4">
        <f t="shared" si="2"/>
        <v>0</v>
      </c>
      <c r="P18" s="7">
        <f t="shared" si="6"/>
        <v>285584</v>
      </c>
      <c r="Q18" s="7">
        <v>1373</v>
      </c>
      <c r="R18" s="7">
        <v>208</v>
      </c>
      <c r="S18" s="70">
        <v>14191101</v>
      </c>
      <c r="T18" s="71" t="s">
        <v>19</v>
      </c>
    </row>
    <row r="19" spans="1:21" ht="14.25" customHeight="1" x14ac:dyDescent="0.2">
      <c r="A19" s="22" t="s">
        <v>55</v>
      </c>
      <c r="B19" s="18">
        <v>15000018</v>
      </c>
      <c r="C19" s="18" t="s">
        <v>32</v>
      </c>
      <c r="D19" s="3" t="s">
        <v>73</v>
      </c>
      <c r="E19" s="13">
        <v>180</v>
      </c>
      <c r="F19" s="4">
        <v>107</v>
      </c>
      <c r="G19" s="7">
        <v>19260</v>
      </c>
      <c r="H19" s="11">
        <v>467.09</v>
      </c>
      <c r="I19" s="30">
        <f t="shared" si="0"/>
        <v>8996153.4000000004</v>
      </c>
      <c r="J19" s="60"/>
      <c r="K19" s="76">
        <f>M19*0.98</f>
        <v>457.7482</v>
      </c>
      <c r="L19" s="54">
        <f t="shared" si="3"/>
        <v>8816230.3320000004</v>
      </c>
      <c r="M19" s="32">
        <f t="shared" si="4"/>
        <v>467.09000000000003</v>
      </c>
      <c r="N19" s="52">
        <f t="shared" si="5"/>
        <v>8996153.4000000004</v>
      </c>
      <c r="O19" s="17">
        <f t="shared" si="2"/>
        <v>0</v>
      </c>
      <c r="P19" s="50">
        <f t="shared" si="6"/>
        <v>19260</v>
      </c>
      <c r="Q19" s="50">
        <v>107</v>
      </c>
      <c r="R19" s="59">
        <v>180</v>
      </c>
      <c r="S19" s="72">
        <v>1558960</v>
      </c>
      <c r="T19" s="73" t="s">
        <v>3</v>
      </c>
    </row>
    <row r="20" spans="1:21" ht="14.25" customHeight="1" x14ac:dyDescent="0.2">
      <c r="A20" s="22" t="s">
        <v>56</v>
      </c>
      <c r="B20" s="18">
        <v>15000019</v>
      </c>
      <c r="C20" s="18" t="s">
        <v>31</v>
      </c>
      <c r="D20" s="3" t="s">
        <v>73</v>
      </c>
      <c r="E20" s="13">
        <v>180</v>
      </c>
      <c r="F20" s="4">
        <v>249</v>
      </c>
      <c r="G20" s="7">
        <v>44820</v>
      </c>
      <c r="H20" s="11">
        <v>450.6</v>
      </c>
      <c r="I20" s="30">
        <f t="shared" si="0"/>
        <v>20195892</v>
      </c>
      <c r="J20" s="60"/>
      <c r="K20" s="76">
        <f t="shared" ref="K20:K29" si="7">M20*0.98</f>
        <v>441.58800000000002</v>
      </c>
      <c r="L20" s="54">
        <f t="shared" si="3"/>
        <v>19791974.16</v>
      </c>
      <c r="M20" s="32">
        <f t="shared" si="4"/>
        <v>450.6</v>
      </c>
      <c r="N20" s="52">
        <f t="shared" si="5"/>
        <v>20195892</v>
      </c>
      <c r="O20" s="17">
        <f t="shared" si="2"/>
        <v>0</v>
      </c>
      <c r="P20" s="50">
        <f t="shared" si="6"/>
        <v>44820</v>
      </c>
      <c r="Q20" s="50">
        <v>249</v>
      </c>
      <c r="R20" s="59">
        <v>180</v>
      </c>
      <c r="S20" s="72">
        <v>1558966</v>
      </c>
      <c r="T20" s="73" t="s">
        <v>4</v>
      </c>
    </row>
    <row r="21" spans="1:21" ht="14.25" customHeight="1" x14ac:dyDescent="0.2">
      <c r="A21" s="22" t="s">
        <v>57</v>
      </c>
      <c r="B21" s="18">
        <v>10021102</v>
      </c>
      <c r="C21" s="18" t="s">
        <v>29</v>
      </c>
      <c r="D21" s="3" t="s">
        <v>73</v>
      </c>
      <c r="E21" s="13">
        <v>180</v>
      </c>
      <c r="F21" s="4">
        <v>59</v>
      </c>
      <c r="G21" s="7">
        <v>10620</v>
      </c>
      <c r="H21" s="11">
        <v>1539</v>
      </c>
      <c r="I21" s="30">
        <f t="shared" si="0"/>
        <v>16344180</v>
      </c>
      <c r="J21" s="60"/>
      <c r="K21" s="76">
        <f t="shared" si="7"/>
        <v>1508.22</v>
      </c>
      <c r="L21" s="54">
        <f t="shared" si="3"/>
        <v>16017296.4</v>
      </c>
      <c r="M21" s="32">
        <f t="shared" si="4"/>
        <v>1539</v>
      </c>
      <c r="N21" s="52">
        <f t="shared" si="5"/>
        <v>16344180</v>
      </c>
      <c r="O21" s="17">
        <f t="shared" si="2"/>
        <v>0</v>
      </c>
      <c r="P21" s="50">
        <f t="shared" si="6"/>
        <v>10620</v>
      </c>
      <c r="Q21" s="50">
        <v>59</v>
      </c>
      <c r="R21" s="59">
        <v>180</v>
      </c>
      <c r="S21" s="72">
        <v>1682082</v>
      </c>
      <c r="T21" s="73" t="s">
        <v>5</v>
      </c>
    </row>
    <row r="22" spans="1:21" ht="14.25" customHeight="1" x14ac:dyDescent="0.2">
      <c r="A22" s="22" t="s">
        <v>58</v>
      </c>
      <c r="B22" s="18">
        <v>15000020</v>
      </c>
      <c r="C22" s="18" t="s">
        <v>30</v>
      </c>
      <c r="D22" s="3" t="s">
        <v>73</v>
      </c>
      <c r="E22" s="13">
        <v>180</v>
      </c>
      <c r="F22" s="4">
        <v>5</v>
      </c>
      <c r="G22" s="7">
        <v>900</v>
      </c>
      <c r="H22" s="11">
        <v>1160.27</v>
      </c>
      <c r="I22" s="30">
        <f t="shared" si="0"/>
        <v>1044243</v>
      </c>
      <c r="J22" s="60"/>
      <c r="K22" s="76">
        <f t="shared" si="7"/>
        <v>1137.0645999999999</v>
      </c>
      <c r="L22" s="54">
        <f t="shared" si="3"/>
        <v>1023358.1399999999</v>
      </c>
      <c r="M22" s="32">
        <f t="shared" si="4"/>
        <v>1160.27</v>
      </c>
      <c r="N22" s="52">
        <f t="shared" si="5"/>
        <v>1044243</v>
      </c>
      <c r="O22" s="17">
        <f t="shared" si="2"/>
        <v>0</v>
      </c>
      <c r="P22" s="50">
        <f t="shared" si="6"/>
        <v>900</v>
      </c>
      <c r="Q22" s="50">
        <v>5</v>
      </c>
      <c r="R22" s="59">
        <v>180</v>
      </c>
      <c r="S22" s="72">
        <v>1559874</v>
      </c>
      <c r="T22" s="73" t="s">
        <v>6</v>
      </c>
    </row>
    <row r="23" spans="1:21" ht="14.25" customHeight="1" x14ac:dyDescent="0.2">
      <c r="A23" s="22" t="s">
        <v>59</v>
      </c>
      <c r="B23" s="18">
        <v>10020902</v>
      </c>
      <c r="C23" s="18" t="s">
        <v>29</v>
      </c>
      <c r="D23" s="3" t="s">
        <v>73</v>
      </c>
      <c r="E23" s="14">
        <v>18</v>
      </c>
      <c r="F23" s="8">
        <v>120</v>
      </c>
      <c r="G23" s="7">
        <v>2160</v>
      </c>
      <c r="H23" s="11">
        <v>1729.8</v>
      </c>
      <c r="I23" s="30">
        <f t="shared" si="0"/>
        <v>3736368</v>
      </c>
      <c r="J23" s="60"/>
      <c r="K23" s="76">
        <f>K21</f>
        <v>1508.22</v>
      </c>
      <c r="L23" s="54">
        <f t="shared" si="3"/>
        <v>3257755.2</v>
      </c>
      <c r="M23" s="32">
        <f t="shared" si="4"/>
        <v>1729.8</v>
      </c>
      <c r="N23" s="52">
        <f t="shared" si="5"/>
        <v>3736368</v>
      </c>
      <c r="O23" s="16">
        <f t="shared" si="2"/>
        <v>0</v>
      </c>
      <c r="P23" s="50">
        <f t="shared" si="6"/>
        <v>2160</v>
      </c>
      <c r="Q23" s="16">
        <v>12</v>
      </c>
      <c r="R23" s="20">
        <v>180</v>
      </c>
      <c r="S23" s="72">
        <v>1682082</v>
      </c>
      <c r="T23" s="73" t="s">
        <v>5</v>
      </c>
      <c r="U23" s="6" t="s">
        <v>89</v>
      </c>
    </row>
    <row r="24" spans="1:21" ht="14.25" customHeight="1" x14ac:dyDescent="0.2">
      <c r="A24" s="22" t="s">
        <v>60</v>
      </c>
      <c r="B24" s="18">
        <v>10031102</v>
      </c>
      <c r="C24" s="18" t="s">
        <v>28</v>
      </c>
      <c r="D24" s="3" t="s">
        <v>73</v>
      </c>
      <c r="E24" s="13">
        <v>180</v>
      </c>
      <c r="F24" s="4">
        <v>56</v>
      </c>
      <c r="G24" s="7">
        <v>10080</v>
      </c>
      <c r="H24" s="11">
        <v>1482</v>
      </c>
      <c r="I24" s="30">
        <f t="shared" si="0"/>
        <v>14938560</v>
      </c>
      <c r="J24" s="60"/>
      <c r="K24" s="76">
        <f t="shared" si="7"/>
        <v>1452.36</v>
      </c>
      <c r="L24" s="54">
        <f t="shared" si="3"/>
        <v>14639788.799999999</v>
      </c>
      <c r="M24" s="32">
        <f t="shared" si="4"/>
        <v>1482</v>
      </c>
      <c r="N24" s="52">
        <f t="shared" si="5"/>
        <v>14938560</v>
      </c>
      <c r="O24" s="21">
        <f t="shared" si="2"/>
        <v>0</v>
      </c>
      <c r="P24" s="50">
        <f t="shared" si="6"/>
        <v>10080</v>
      </c>
      <c r="Q24" s="50">
        <v>56</v>
      </c>
      <c r="R24" s="59">
        <v>180</v>
      </c>
      <c r="S24" s="72">
        <v>1683355</v>
      </c>
      <c r="T24" s="73" t="s">
        <v>7</v>
      </c>
    </row>
    <row r="25" spans="1:21" ht="14.25" customHeight="1" x14ac:dyDescent="0.2">
      <c r="A25" s="22" t="s">
        <v>61</v>
      </c>
      <c r="B25" s="18">
        <v>15000021</v>
      </c>
      <c r="C25" s="18" t="s">
        <v>28</v>
      </c>
      <c r="D25" s="3" t="s">
        <v>73</v>
      </c>
      <c r="E25" s="14">
        <v>18</v>
      </c>
      <c r="F25" s="8">
        <v>559</v>
      </c>
      <c r="G25" s="7">
        <v>10062</v>
      </c>
      <c r="H25" s="15">
        <v>1646.4</v>
      </c>
      <c r="I25" s="30">
        <f t="shared" si="0"/>
        <v>16566076.800000001</v>
      </c>
      <c r="J25" s="60"/>
      <c r="K25" s="76">
        <f>K24</f>
        <v>1452.36</v>
      </c>
      <c r="L25" s="54">
        <f t="shared" si="3"/>
        <v>14639788.799999999</v>
      </c>
      <c r="M25" s="49">
        <f t="shared" si="4"/>
        <v>1643.46</v>
      </c>
      <c r="N25" s="52">
        <f t="shared" si="5"/>
        <v>16566076.800000001</v>
      </c>
      <c r="O25" s="16">
        <f t="shared" si="2"/>
        <v>18</v>
      </c>
      <c r="P25" s="16">
        <f t="shared" si="6"/>
        <v>10080</v>
      </c>
      <c r="Q25" s="16">
        <v>56</v>
      </c>
      <c r="R25" s="20">
        <v>180</v>
      </c>
      <c r="S25" s="72">
        <v>1683355</v>
      </c>
      <c r="T25" s="73" t="s">
        <v>7</v>
      </c>
      <c r="U25" s="6" t="s">
        <v>89</v>
      </c>
    </row>
    <row r="26" spans="1:21" ht="14.25" customHeight="1" x14ac:dyDescent="0.2">
      <c r="A26" s="22" t="s">
        <v>62</v>
      </c>
      <c r="B26" s="18">
        <v>10041102</v>
      </c>
      <c r="C26" s="18" t="s">
        <v>27</v>
      </c>
      <c r="D26" s="3" t="s">
        <v>73</v>
      </c>
      <c r="E26" s="13">
        <v>180</v>
      </c>
      <c r="F26" s="4">
        <v>71</v>
      </c>
      <c r="G26" s="7">
        <v>12780</v>
      </c>
      <c r="H26" s="11">
        <v>1222.2</v>
      </c>
      <c r="I26" s="30">
        <f t="shared" si="0"/>
        <v>15619716</v>
      </c>
      <c r="J26" s="60"/>
      <c r="K26" s="76">
        <f t="shared" si="7"/>
        <v>1197.7560000000001</v>
      </c>
      <c r="L26" s="54">
        <f t="shared" si="3"/>
        <v>15307321.680000002</v>
      </c>
      <c r="M26" s="32">
        <f t="shared" si="4"/>
        <v>1222.2</v>
      </c>
      <c r="N26" s="52">
        <f t="shared" si="5"/>
        <v>15619716</v>
      </c>
      <c r="O26" s="17">
        <f t="shared" si="2"/>
        <v>0</v>
      </c>
      <c r="P26" s="50">
        <f t="shared" si="6"/>
        <v>12780</v>
      </c>
      <c r="Q26" s="50">
        <v>71</v>
      </c>
      <c r="R26" s="59">
        <v>180</v>
      </c>
      <c r="S26" s="72">
        <v>1615722</v>
      </c>
      <c r="T26" s="73" t="s">
        <v>8</v>
      </c>
    </row>
    <row r="27" spans="1:21" ht="14.25" customHeight="1" x14ac:dyDescent="0.2">
      <c r="A27" s="22" t="s">
        <v>63</v>
      </c>
      <c r="B27" s="18">
        <v>15000022</v>
      </c>
      <c r="C27" s="18" t="s">
        <v>26</v>
      </c>
      <c r="D27" s="3" t="s">
        <v>73</v>
      </c>
      <c r="E27" s="14">
        <v>0.375</v>
      </c>
      <c r="F27" s="8">
        <v>11264</v>
      </c>
      <c r="G27" s="7">
        <v>4224</v>
      </c>
      <c r="H27" s="11">
        <v>1601.34</v>
      </c>
      <c r="I27" s="30">
        <f t="shared" si="0"/>
        <v>6764060.1599999992</v>
      </c>
      <c r="J27" s="60"/>
      <c r="K27" s="76">
        <f t="shared" si="7"/>
        <v>1569.3131999999998</v>
      </c>
      <c r="L27" s="54">
        <f t="shared" si="3"/>
        <v>6628778.9567999989</v>
      </c>
      <c r="M27" s="32">
        <f t="shared" si="4"/>
        <v>1601.34</v>
      </c>
      <c r="N27" s="52">
        <f t="shared" si="5"/>
        <v>6764060.1599999992</v>
      </c>
      <c r="O27" s="16">
        <f t="shared" si="2"/>
        <v>0</v>
      </c>
      <c r="P27" s="50">
        <f t="shared" si="6"/>
        <v>4224</v>
      </c>
      <c r="Q27" s="16">
        <v>10560</v>
      </c>
      <c r="R27" s="59">
        <v>0.4</v>
      </c>
      <c r="S27" s="72">
        <v>1615401</v>
      </c>
      <c r="T27" s="73" t="s">
        <v>8</v>
      </c>
      <c r="U27" s="6"/>
    </row>
    <row r="28" spans="1:21" ht="14.25" customHeight="1" x14ac:dyDescent="0.2">
      <c r="A28" s="22" t="s">
        <v>64</v>
      </c>
      <c r="B28" s="18">
        <v>15000024</v>
      </c>
      <c r="C28" s="18" t="s">
        <v>24</v>
      </c>
      <c r="D28" s="3" t="s">
        <v>73</v>
      </c>
      <c r="E28" s="13">
        <v>180</v>
      </c>
      <c r="F28" s="4">
        <v>164</v>
      </c>
      <c r="G28" s="7">
        <v>29520</v>
      </c>
      <c r="H28" s="11">
        <v>1507.44</v>
      </c>
      <c r="I28" s="30">
        <f t="shared" si="0"/>
        <v>44499628.800000004</v>
      </c>
      <c r="J28" s="60"/>
      <c r="K28" s="76">
        <f t="shared" si="7"/>
        <v>1477.2912000000001</v>
      </c>
      <c r="L28" s="54">
        <f t="shared" si="3"/>
        <v>43609636.224000007</v>
      </c>
      <c r="M28" s="32">
        <f t="shared" si="4"/>
        <v>1507.44</v>
      </c>
      <c r="N28" s="52">
        <f t="shared" si="5"/>
        <v>44499628.800000004</v>
      </c>
      <c r="O28" s="17">
        <f t="shared" si="2"/>
        <v>0</v>
      </c>
      <c r="P28" s="50">
        <f t="shared" si="6"/>
        <v>29520</v>
      </c>
      <c r="Q28" s="50">
        <v>164</v>
      </c>
      <c r="R28" s="59">
        <v>180</v>
      </c>
      <c r="S28" s="72">
        <v>1755295</v>
      </c>
      <c r="T28" s="73" t="s">
        <v>10</v>
      </c>
    </row>
    <row r="29" spans="1:21" ht="14.25" customHeight="1" x14ac:dyDescent="0.2">
      <c r="A29" s="22" t="s">
        <v>65</v>
      </c>
      <c r="B29" s="18">
        <v>15000023</v>
      </c>
      <c r="C29" s="18" t="s">
        <v>24</v>
      </c>
      <c r="D29" s="3" t="s">
        <v>73</v>
      </c>
      <c r="E29" s="13">
        <v>18</v>
      </c>
      <c r="F29" s="4">
        <v>559</v>
      </c>
      <c r="G29" s="7">
        <v>10062</v>
      </c>
      <c r="H29" s="12">
        <v>1595.5</v>
      </c>
      <c r="I29" s="30">
        <f t="shared" si="0"/>
        <v>16053921</v>
      </c>
      <c r="J29" s="60"/>
      <c r="K29" s="76">
        <f t="shared" si="7"/>
        <v>1563.59</v>
      </c>
      <c r="L29" s="54">
        <f t="shared" si="3"/>
        <v>15732842.58</v>
      </c>
      <c r="M29" s="32">
        <f t="shared" si="4"/>
        <v>1595.5</v>
      </c>
      <c r="N29" s="52">
        <f t="shared" si="5"/>
        <v>16053921</v>
      </c>
      <c r="O29" s="17">
        <f t="shared" si="2"/>
        <v>0</v>
      </c>
      <c r="P29" s="50">
        <f t="shared" si="6"/>
        <v>10062</v>
      </c>
      <c r="Q29" s="50">
        <v>559</v>
      </c>
      <c r="R29" s="59">
        <v>18</v>
      </c>
      <c r="S29" s="72">
        <v>1748233</v>
      </c>
      <c r="T29" s="73" t="s">
        <v>11</v>
      </c>
    </row>
    <row r="30" spans="1:21" ht="14.25" customHeight="1" x14ac:dyDescent="0.2">
      <c r="A30" s="22" t="s">
        <v>66</v>
      </c>
      <c r="B30" s="18">
        <v>14220301</v>
      </c>
      <c r="C30" s="18" t="s">
        <v>21</v>
      </c>
      <c r="D30" s="3" t="s">
        <v>72</v>
      </c>
      <c r="E30" s="13">
        <v>1</v>
      </c>
      <c r="F30" s="4">
        <v>100</v>
      </c>
      <c r="G30" s="7">
        <v>100</v>
      </c>
      <c r="H30" s="11">
        <v>3207.6</v>
      </c>
      <c r="I30" s="30">
        <f t="shared" si="0"/>
        <v>320760</v>
      </c>
      <c r="J30" s="60"/>
      <c r="K30" s="63">
        <f>M30</f>
        <v>3207.6</v>
      </c>
      <c r="L30" s="54">
        <f t="shared" si="3"/>
        <v>320760</v>
      </c>
      <c r="M30" s="32">
        <f t="shared" si="4"/>
        <v>3207.6</v>
      </c>
      <c r="N30" s="52">
        <f t="shared" si="5"/>
        <v>320760</v>
      </c>
      <c r="O30" s="4">
        <f t="shared" si="2"/>
        <v>0</v>
      </c>
      <c r="P30" s="7">
        <f t="shared" si="6"/>
        <v>100</v>
      </c>
      <c r="Q30" s="7">
        <v>100</v>
      </c>
      <c r="R30" s="7">
        <v>1</v>
      </c>
      <c r="S30" s="70">
        <v>14220301</v>
      </c>
      <c r="T30" s="71" t="s">
        <v>21</v>
      </c>
    </row>
    <row r="31" spans="1:21" ht="14.25" customHeight="1" x14ac:dyDescent="0.2">
      <c r="A31" s="22" t="s">
        <v>67</v>
      </c>
      <c r="B31" s="18">
        <v>14240401</v>
      </c>
      <c r="C31" s="18" t="s">
        <v>22</v>
      </c>
      <c r="D31" s="3" t="s">
        <v>72</v>
      </c>
      <c r="E31" s="13">
        <v>2</v>
      </c>
      <c r="F31" s="4">
        <v>500</v>
      </c>
      <c r="G31" s="7">
        <v>1000</v>
      </c>
      <c r="H31" s="11">
        <v>297</v>
      </c>
      <c r="I31" s="30">
        <f t="shared" si="0"/>
        <v>297000</v>
      </c>
      <c r="J31" s="60"/>
      <c r="K31" s="63">
        <f>M31</f>
        <v>297</v>
      </c>
      <c r="L31" s="54">
        <f t="shared" si="3"/>
        <v>297000</v>
      </c>
      <c r="M31" s="32">
        <f t="shared" si="4"/>
        <v>297</v>
      </c>
      <c r="N31" s="52">
        <f t="shared" si="5"/>
        <v>297000</v>
      </c>
      <c r="O31" s="4">
        <f t="shared" si="2"/>
        <v>0</v>
      </c>
      <c r="P31" s="7">
        <f t="shared" si="6"/>
        <v>1000</v>
      </c>
      <c r="Q31" s="7">
        <v>500</v>
      </c>
      <c r="R31" s="7">
        <v>2</v>
      </c>
      <c r="S31" s="70">
        <v>14240401</v>
      </c>
      <c r="T31" s="71" t="s">
        <v>22</v>
      </c>
    </row>
    <row r="32" spans="1:21" ht="14.25" customHeight="1" thickBot="1" x14ac:dyDescent="0.25">
      <c r="A32" s="23" t="s">
        <v>68</v>
      </c>
      <c r="B32" s="24">
        <v>10050303</v>
      </c>
      <c r="C32" s="24" t="s">
        <v>23</v>
      </c>
      <c r="D32" s="25" t="s">
        <v>72</v>
      </c>
      <c r="E32" s="26">
        <v>1</v>
      </c>
      <c r="F32" s="27">
        <v>1489</v>
      </c>
      <c r="G32" s="28">
        <v>1489</v>
      </c>
      <c r="H32" s="29">
        <v>481.14</v>
      </c>
      <c r="I32" s="31">
        <f t="shared" si="0"/>
        <v>716417.46</v>
      </c>
      <c r="J32" s="61"/>
      <c r="K32" s="64">
        <f>M32</f>
        <v>481.14</v>
      </c>
      <c r="L32" s="65">
        <f t="shared" si="3"/>
        <v>716417.46</v>
      </c>
      <c r="M32" s="33">
        <f t="shared" si="4"/>
        <v>481.14</v>
      </c>
      <c r="N32" s="53">
        <f t="shared" si="5"/>
        <v>716417.46</v>
      </c>
      <c r="O32" s="27">
        <f t="shared" si="2"/>
        <v>0</v>
      </c>
      <c r="P32" s="28">
        <f t="shared" si="6"/>
        <v>1489</v>
      </c>
      <c r="Q32" s="28">
        <v>1489</v>
      </c>
      <c r="R32" s="28">
        <v>1</v>
      </c>
      <c r="S32" s="74">
        <v>10050303</v>
      </c>
      <c r="T32" s="75" t="s">
        <v>23</v>
      </c>
    </row>
    <row r="33" spans="9:17" ht="13.5" thickBot="1" x14ac:dyDescent="0.25">
      <c r="I33" s="66">
        <f>SUM(I4:I32)</f>
        <v>766852171.49999988</v>
      </c>
      <c r="J33" s="56"/>
      <c r="K33" s="56"/>
      <c r="L33" s="66">
        <f>SUM(L4:L32)</f>
        <v>761558143.61279988</v>
      </c>
      <c r="M33" s="10"/>
      <c r="N33" s="77">
        <f>SUM(N4:N32)</f>
        <v>766852171.49999988</v>
      </c>
    </row>
    <row r="34" spans="9:17" ht="13.5" thickBot="1" x14ac:dyDescent="0.25"/>
    <row r="35" spans="9:17" ht="13.5" thickBot="1" x14ac:dyDescent="0.25">
      <c r="J35" s="57" t="s">
        <v>93</v>
      </c>
      <c r="K35" s="58">
        <f>I33-L33</f>
        <v>5294027.8871999979</v>
      </c>
    </row>
    <row r="36" spans="9:17" x14ac:dyDescent="0.2">
      <c r="J36" s="57"/>
      <c r="K36" s="67"/>
    </row>
    <row r="37" spans="9:17" x14ac:dyDescent="0.2">
      <c r="Q37" s="5"/>
    </row>
  </sheetData>
  <autoFilter ref="A3:T32" xr:uid="{2751CF94-083D-4687-974F-49BC7B1306AE}"/>
  <pageMargins left="0.25" right="0.25" top="0.75" bottom="0.75" header="0.3" footer="0.3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1D4F-16EB-466B-8D67-2D86A2A0247F}">
  <dimension ref="A2:W60"/>
  <sheetViews>
    <sheetView tabSelected="1" topLeftCell="E1" zoomScaleNormal="100" workbookViewId="0">
      <selection activeCell="L2" sqref="L2:S2"/>
    </sheetView>
  </sheetViews>
  <sheetFormatPr defaultRowHeight="12.75" x14ac:dyDescent="0.2"/>
  <cols>
    <col min="1" max="1" width="6.7109375" customWidth="1"/>
    <col min="2" max="2" width="13.5703125" customWidth="1"/>
    <col min="3" max="3" width="24.5703125" customWidth="1"/>
    <col min="4" max="4" width="10.5703125" customWidth="1"/>
    <col min="5" max="5" width="10.140625" customWidth="1"/>
    <col min="6" max="7" width="16.28515625" customWidth="1"/>
    <col min="8" max="8" width="10.85546875" customWidth="1"/>
    <col min="9" max="9" width="3.85546875" customWidth="1"/>
    <col min="11" max="11" width="3.85546875" customWidth="1"/>
    <col min="12" max="12" width="6.7109375" customWidth="1"/>
    <col min="13" max="13" width="13.5703125" customWidth="1"/>
    <col min="14" max="14" width="24.5703125" customWidth="1"/>
    <col min="15" max="15" width="10.5703125" customWidth="1"/>
    <col min="16" max="16" width="10.140625" customWidth="1"/>
    <col min="17" max="18" width="16.28515625" customWidth="1"/>
    <col min="19" max="19" width="10.85546875" customWidth="1"/>
    <col min="21" max="22" width="0" hidden="1" customWidth="1"/>
    <col min="23" max="23" width="18.42578125" customWidth="1"/>
  </cols>
  <sheetData>
    <row r="2" spans="1:23" ht="13.5" thickBot="1" x14ac:dyDescent="0.25">
      <c r="A2" s="205" t="s">
        <v>94</v>
      </c>
      <c r="B2" s="205"/>
      <c r="C2" s="205"/>
      <c r="D2" s="205"/>
      <c r="E2" s="205"/>
      <c r="F2" s="205"/>
      <c r="G2" s="205"/>
      <c r="H2" s="205"/>
      <c r="L2" s="185" t="s">
        <v>95</v>
      </c>
      <c r="M2" s="185"/>
      <c r="N2" s="185"/>
      <c r="O2" s="185"/>
      <c r="P2" s="185"/>
      <c r="Q2" s="185"/>
      <c r="R2" s="185"/>
      <c r="S2" s="185"/>
    </row>
    <row r="3" spans="1:23" x14ac:dyDescent="0.2">
      <c r="A3" s="196" t="s">
        <v>96</v>
      </c>
      <c r="B3" s="206"/>
      <c r="C3" s="206"/>
      <c r="D3" s="197"/>
      <c r="E3" s="78" t="s">
        <v>97</v>
      </c>
      <c r="F3" s="200" t="s">
        <v>98</v>
      </c>
      <c r="G3" s="207"/>
      <c r="H3" s="201"/>
      <c r="L3" s="164" t="s">
        <v>96</v>
      </c>
      <c r="M3" s="186"/>
      <c r="N3" s="186"/>
      <c r="O3" s="165"/>
      <c r="P3" s="79" t="s">
        <v>97</v>
      </c>
      <c r="Q3" s="168" t="s">
        <v>98</v>
      </c>
      <c r="R3" s="187"/>
      <c r="S3" s="169"/>
    </row>
    <row r="4" spans="1:23" ht="13.5" thickBot="1" x14ac:dyDescent="0.25">
      <c r="A4" s="198" t="s">
        <v>99</v>
      </c>
      <c r="B4" s="209"/>
      <c r="C4" s="209"/>
      <c r="D4" s="199"/>
      <c r="E4" s="81" t="s">
        <v>100</v>
      </c>
      <c r="F4" s="202"/>
      <c r="G4" s="208"/>
      <c r="H4" s="203"/>
      <c r="L4" s="166" t="s">
        <v>99</v>
      </c>
      <c r="M4" s="210"/>
      <c r="N4" s="210"/>
      <c r="O4" s="167"/>
      <c r="P4" s="83" t="s">
        <v>100</v>
      </c>
      <c r="Q4" s="170"/>
      <c r="R4" s="188"/>
      <c r="S4" s="171"/>
    </row>
    <row r="5" spans="1:23" x14ac:dyDescent="0.2">
      <c r="A5" s="196" t="s">
        <v>101</v>
      </c>
      <c r="B5" s="197"/>
      <c r="C5" s="200"/>
      <c r="D5" s="201"/>
      <c r="E5" s="84" t="s">
        <v>102</v>
      </c>
      <c r="F5" s="192">
        <v>8260</v>
      </c>
      <c r="G5" s="192" t="s">
        <v>103</v>
      </c>
      <c r="H5" s="192" t="s">
        <v>104</v>
      </c>
      <c r="L5" s="164" t="s">
        <v>101</v>
      </c>
      <c r="M5" s="165"/>
      <c r="N5" s="168"/>
      <c r="O5" s="169"/>
      <c r="P5" s="85" t="s">
        <v>102</v>
      </c>
      <c r="Q5" s="172">
        <v>8260</v>
      </c>
      <c r="R5" s="172" t="s">
        <v>103</v>
      </c>
      <c r="S5" s="172" t="s">
        <v>104</v>
      </c>
    </row>
    <row r="6" spans="1:23" ht="13.5" thickBot="1" x14ac:dyDescent="0.25">
      <c r="A6" s="198"/>
      <c r="B6" s="199"/>
      <c r="C6" s="202"/>
      <c r="D6" s="203"/>
      <c r="E6" s="80" t="s">
        <v>105</v>
      </c>
      <c r="F6" s="204"/>
      <c r="G6" s="204"/>
      <c r="H6" s="204"/>
      <c r="L6" s="166"/>
      <c r="M6" s="167"/>
      <c r="N6" s="170"/>
      <c r="O6" s="171"/>
      <c r="P6" s="82" t="s">
        <v>105</v>
      </c>
      <c r="Q6" s="173"/>
      <c r="R6" s="173"/>
      <c r="S6" s="173"/>
    </row>
    <row r="7" spans="1:23" x14ac:dyDescent="0.2">
      <c r="A7" s="192" t="s">
        <v>106</v>
      </c>
      <c r="B7" s="86" t="s">
        <v>107</v>
      </c>
      <c r="C7" s="86" t="s">
        <v>108</v>
      </c>
      <c r="D7" s="86" t="s">
        <v>109</v>
      </c>
      <c r="E7" s="86" t="s">
        <v>110</v>
      </c>
      <c r="F7" s="192" t="s">
        <v>111</v>
      </c>
      <c r="G7" s="86" t="s">
        <v>112</v>
      </c>
      <c r="H7" s="192" t="s">
        <v>113</v>
      </c>
      <c r="L7" s="172" t="s">
        <v>106</v>
      </c>
      <c r="M7" s="87" t="s">
        <v>107</v>
      </c>
      <c r="N7" s="87" t="s">
        <v>108</v>
      </c>
      <c r="O7" s="87" t="s">
        <v>109</v>
      </c>
      <c r="P7" s="87" t="s">
        <v>110</v>
      </c>
      <c r="Q7" s="172" t="s">
        <v>111</v>
      </c>
      <c r="R7" s="87" t="s">
        <v>112</v>
      </c>
      <c r="S7" s="172" t="s">
        <v>113</v>
      </c>
    </row>
    <row r="8" spans="1:23" x14ac:dyDescent="0.2">
      <c r="A8" s="193"/>
      <c r="B8" s="86" t="s">
        <v>114</v>
      </c>
      <c r="C8" s="86" t="s">
        <v>115</v>
      </c>
      <c r="D8" s="86" t="s">
        <v>116</v>
      </c>
      <c r="E8" s="86" t="s">
        <v>117</v>
      </c>
      <c r="F8" s="193"/>
      <c r="G8" s="86" t="s">
        <v>118</v>
      </c>
      <c r="H8" s="193"/>
      <c r="J8" s="88"/>
      <c r="L8" s="174"/>
      <c r="M8" s="87" t="s">
        <v>114</v>
      </c>
      <c r="N8" s="87" t="s">
        <v>115</v>
      </c>
      <c r="O8" s="87" t="s">
        <v>116</v>
      </c>
      <c r="P8" s="87" t="s">
        <v>117</v>
      </c>
      <c r="Q8" s="174"/>
      <c r="R8" s="87" t="s">
        <v>118</v>
      </c>
      <c r="S8" s="174"/>
      <c r="U8" s="88"/>
      <c r="V8" s="88"/>
    </row>
    <row r="9" spans="1:23" ht="26.25" thickBot="1" x14ac:dyDescent="0.25">
      <c r="A9" s="194"/>
      <c r="B9" s="89"/>
      <c r="C9" s="89"/>
      <c r="D9" s="89"/>
      <c r="E9" s="89"/>
      <c r="F9" s="81" t="s">
        <v>119</v>
      </c>
      <c r="G9" s="81" t="s">
        <v>119</v>
      </c>
      <c r="H9" s="194"/>
      <c r="L9" s="195"/>
      <c r="M9" s="90"/>
      <c r="N9" s="90"/>
      <c r="O9" s="90"/>
      <c r="P9" s="90"/>
      <c r="Q9" s="83" t="s">
        <v>119</v>
      </c>
      <c r="R9" s="83" t="s">
        <v>119</v>
      </c>
      <c r="S9" s="195"/>
      <c r="W9" s="91" t="s">
        <v>120</v>
      </c>
    </row>
    <row r="10" spans="1:23" ht="69" customHeight="1" thickBot="1" x14ac:dyDescent="0.25">
      <c r="A10" s="92" t="s">
        <v>40</v>
      </c>
      <c r="B10" s="93">
        <v>10081103</v>
      </c>
      <c r="C10" s="93" t="s">
        <v>121</v>
      </c>
      <c r="D10" s="94">
        <v>100464</v>
      </c>
      <c r="E10" s="93" t="s">
        <v>122</v>
      </c>
      <c r="F10" s="95">
        <v>176.75</v>
      </c>
      <c r="G10" s="96">
        <v>17757012</v>
      </c>
      <c r="H10" s="97">
        <v>46174</v>
      </c>
      <c r="J10" s="98" t="b">
        <f>B10='Products for specification 2'!S4</f>
        <v>1</v>
      </c>
      <c r="L10" s="99" t="s">
        <v>40</v>
      </c>
      <c r="M10" s="100">
        <v>10081103</v>
      </c>
      <c r="N10" s="100" t="s">
        <v>121</v>
      </c>
      <c r="O10" s="101">
        <v>100464</v>
      </c>
      <c r="P10" s="102" t="s">
        <v>122</v>
      </c>
      <c r="Q10" s="103">
        <v>176.75</v>
      </c>
      <c r="R10" s="104">
        <f t="shared" ref="R10:R24" si="0">ROUND(O10*Q10,2)</f>
        <v>17757012</v>
      </c>
      <c r="S10" s="105">
        <v>46174</v>
      </c>
      <c r="U10" s="98" t="b">
        <f>M10='Products for specification 2'!S4</f>
        <v>1</v>
      </c>
      <c r="V10" s="98" t="b">
        <f>O10='Products for specification 2'!P4</f>
        <v>1</v>
      </c>
      <c r="W10" s="106" t="s">
        <v>123</v>
      </c>
    </row>
    <row r="11" spans="1:23" ht="69" customHeight="1" thickBot="1" x14ac:dyDescent="0.25">
      <c r="A11" s="92" t="s">
        <v>41</v>
      </c>
      <c r="B11" s="93">
        <v>13621101</v>
      </c>
      <c r="C11" s="93" t="s">
        <v>124</v>
      </c>
      <c r="D11" s="94">
        <v>20176</v>
      </c>
      <c r="E11" s="93" t="s">
        <v>122</v>
      </c>
      <c r="F11" s="95">
        <v>200.36</v>
      </c>
      <c r="G11" s="96">
        <v>4042463.36</v>
      </c>
      <c r="H11" s="97">
        <v>46174</v>
      </c>
      <c r="J11" s="98" t="b">
        <f>B11='Products for specification 2'!S5</f>
        <v>1</v>
      </c>
      <c r="L11" s="99" t="s">
        <v>41</v>
      </c>
      <c r="M11" s="102">
        <v>13621101</v>
      </c>
      <c r="N11" s="102" t="s">
        <v>124</v>
      </c>
      <c r="O11" s="101">
        <v>20176</v>
      </c>
      <c r="P11" s="102" t="s">
        <v>122</v>
      </c>
      <c r="Q11" s="103">
        <v>200.36</v>
      </c>
      <c r="R11" s="104">
        <f t="shared" si="0"/>
        <v>4042463.36</v>
      </c>
      <c r="S11" s="105">
        <v>46174</v>
      </c>
      <c r="U11" s="98" t="b">
        <f>M11='Products for specification 2'!S5</f>
        <v>1</v>
      </c>
      <c r="V11" s="98" t="b">
        <f>O11='Products for specification 2'!P5</f>
        <v>1</v>
      </c>
    </row>
    <row r="12" spans="1:23" ht="69" customHeight="1" thickBot="1" x14ac:dyDescent="0.25">
      <c r="A12" s="92" t="s">
        <v>42</v>
      </c>
      <c r="B12" s="93">
        <v>14021101</v>
      </c>
      <c r="C12" s="93" t="s">
        <v>125</v>
      </c>
      <c r="D12" s="94">
        <v>1664</v>
      </c>
      <c r="E12" s="93" t="s">
        <v>122</v>
      </c>
      <c r="F12" s="95">
        <v>176.75</v>
      </c>
      <c r="G12" s="96">
        <v>294112</v>
      </c>
      <c r="H12" s="97">
        <v>46174</v>
      </c>
      <c r="J12" s="98" t="b">
        <f>B12='Products for specification 2'!S6</f>
        <v>1</v>
      </c>
      <c r="L12" s="99" t="s">
        <v>42</v>
      </c>
      <c r="M12" s="102">
        <v>14021101</v>
      </c>
      <c r="N12" s="102" t="s">
        <v>125</v>
      </c>
      <c r="O12" s="101">
        <v>1664</v>
      </c>
      <c r="P12" s="102" t="s">
        <v>122</v>
      </c>
      <c r="Q12" s="103">
        <v>176.75</v>
      </c>
      <c r="R12" s="104">
        <f t="shared" si="0"/>
        <v>294112</v>
      </c>
      <c r="S12" s="105">
        <v>46174</v>
      </c>
      <c r="U12" s="98" t="b">
        <f>M12='Products for specification 2'!S6</f>
        <v>1</v>
      </c>
      <c r="V12" s="98" t="b">
        <f>O12='Products for specification 2'!P6</f>
        <v>1</v>
      </c>
    </row>
    <row r="13" spans="1:23" ht="69" customHeight="1" thickBot="1" x14ac:dyDescent="0.25">
      <c r="A13" s="92" t="s">
        <v>43</v>
      </c>
      <c r="B13" s="93">
        <v>14111101</v>
      </c>
      <c r="C13" s="93" t="s">
        <v>126</v>
      </c>
      <c r="D13" s="94">
        <v>4160</v>
      </c>
      <c r="E13" s="93" t="s">
        <v>122</v>
      </c>
      <c r="F13" s="95">
        <v>159.22999999999999</v>
      </c>
      <c r="G13" s="96">
        <v>662396.80000000005</v>
      </c>
      <c r="H13" s="97">
        <v>46174</v>
      </c>
      <c r="J13" s="98" t="b">
        <f>B13='Products for specification 2'!S7</f>
        <v>1</v>
      </c>
      <c r="L13" s="99" t="s">
        <v>43</v>
      </c>
      <c r="M13" s="102">
        <v>14111101</v>
      </c>
      <c r="N13" s="102" t="s">
        <v>126</v>
      </c>
      <c r="O13" s="101">
        <v>4160</v>
      </c>
      <c r="P13" s="102" t="s">
        <v>122</v>
      </c>
      <c r="Q13" s="103">
        <v>159.22999999999999</v>
      </c>
      <c r="R13" s="104">
        <f t="shared" si="0"/>
        <v>662396.80000000005</v>
      </c>
      <c r="S13" s="105">
        <v>46174</v>
      </c>
      <c r="U13" s="98" t="b">
        <f>M13='Products for specification 2'!S7</f>
        <v>1</v>
      </c>
      <c r="V13" s="98" t="b">
        <f>O13='Products for specification 2'!P7</f>
        <v>1</v>
      </c>
    </row>
    <row r="14" spans="1:23" ht="69" customHeight="1" thickBot="1" x14ac:dyDescent="0.25">
      <c r="A14" s="92" t="s">
        <v>44</v>
      </c>
      <c r="B14" s="93">
        <v>12001101</v>
      </c>
      <c r="C14" s="93" t="s">
        <v>127</v>
      </c>
      <c r="D14" s="94">
        <v>6448</v>
      </c>
      <c r="E14" s="93" t="s">
        <v>122</v>
      </c>
      <c r="F14" s="95">
        <v>328.85</v>
      </c>
      <c r="G14" s="96">
        <v>2120424.7999999998</v>
      </c>
      <c r="H14" s="97">
        <v>46174</v>
      </c>
      <c r="J14" s="98" t="b">
        <f>B14='Products for specification 2'!S8</f>
        <v>1</v>
      </c>
      <c r="L14" s="99" t="s">
        <v>44</v>
      </c>
      <c r="M14" s="102">
        <v>12001101</v>
      </c>
      <c r="N14" s="102" t="s">
        <v>127</v>
      </c>
      <c r="O14" s="101">
        <v>6448</v>
      </c>
      <c r="P14" s="102" t="s">
        <v>122</v>
      </c>
      <c r="Q14" s="103">
        <v>328.85</v>
      </c>
      <c r="R14" s="104">
        <f t="shared" si="0"/>
        <v>2120424.7999999998</v>
      </c>
      <c r="S14" s="105">
        <v>46174</v>
      </c>
      <c r="U14" s="98" t="b">
        <f>M14='Products for specification 2'!S8</f>
        <v>1</v>
      </c>
      <c r="V14" s="98" t="b">
        <f>O14='Products for specification 2'!P8</f>
        <v>1</v>
      </c>
    </row>
    <row r="15" spans="1:23" ht="69" customHeight="1" thickBot="1" x14ac:dyDescent="0.25">
      <c r="A15" s="92" t="s">
        <v>45</v>
      </c>
      <c r="B15" s="93">
        <v>11951101</v>
      </c>
      <c r="C15" s="93" t="s">
        <v>128</v>
      </c>
      <c r="D15" s="94">
        <v>147056</v>
      </c>
      <c r="E15" s="93" t="s">
        <v>122</v>
      </c>
      <c r="F15" s="95">
        <v>600.41999999999996</v>
      </c>
      <c r="G15" s="96">
        <v>88295363.519999996</v>
      </c>
      <c r="H15" s="97">
        <v>46174</v>
      </c>
      <c r="J15" s="98" t="b">
        <f>B15='Products for specification 2'!S9</f>
        <v>0</v>
      </c>
      <c r="L15" s="99" t="s">
        <v>45</v>
      </c>
      <c r="M15" s="100">
        <f>'Products for specification 2'!S9</f>
        <v>1495990</v>
      </c>
      <c r="N15" s="100" t="str">
        <f>"Масло"&amp;" "&amp;'Products for specification 2'!T9&amp;" / "&amp;'Products for specification 2'!T9</f>
        <v>Масло TEBOIL HYPOID 75W90 / TEBOIL HYPOID 75W90</v>
      </c>
      <c r="O15" s="107">
        <f>'[1]Products for specification 2'!P9</f>
        <v>147159</v>
      </c>
      <c r="P15" s="102" t="s">
        <v>122</v>
      </c>
      <c r="Q15" s="108">
        <f>'[1]Products for specification 2'!M9</f>
        <v>599.99975210486616</v>
      </c>
      <c r="R15" s="109">
        <f t="shared" si="0"/>
        <v>88295363.519999996</v>
      </c>
      <c r="S15" s="105">
        <v>46174</v>
      </c>
      <c r="U15" s="98" t="b">
        <f>M15='Products for specification 2'!S9</f>
        <v>1</v>
      </c>
      <c r="V15" s="98" t="b">
        <f>O15='Products for specification 2'!P9</f>
        <v>1</v>
      </c>
      <c r="W15" s="106" t="s">
        <v>123</v>
      </c>
    </row>
    <row r="16" spans="1:23" ht="69" customHeight="1" thickBot="1" x14ac:dyDescent="0.25">
      <c r="A16" s="92" t="s">
        <v>46</v>
      </c>
      <c r="B16" s="93">
        <v>14121101</v>
      </c>
      <c r="C16" s="93" t="s">
        <v>129</v>
      </c>
      <c r="D16" s="94">
        <v>44304</v>
      </c>
      <c r="E16" s="93" t="s">
        <v>122</v>
      </c>
      <c r="F16" s="95">
        <v>501.38</v>
      </c>
      <c r="G16" s="96">
        <v>22213139.52</v>
      </c>
      <c r="H16" s="97">
        <v>46174</v>
      </c>
      <c r="J16" s="98" t="b">
        <f>B16='Products for specification 2'!S10</f>
        <v>1</v>
      </c>
      <c r="L16" s="99" t="s">
        <v>46</v>
      </c>
      <c r="M16" s="102">
        <v>14121101</v>
      </c>
      <c r="N16" s="102" t="s">
        <v>129</v>
      </c>
      <c r="O16" s="101">
        <v>44304</v>
      </c>
      <c r="P16" s="102" t="s">
        <v>122</v>
      </c>
      <c r="Q16" s="103">
        <v>501.38</v>
      </c>
      <c r="R16" s="104">
        <f t="shared" si="0"/>
        <v>22213139.52</v>
      </c>
      <c r="S16" s="105">
        <v>46174</v>
      </c>
      <c r="U16" s="98" t="b">
        <f>M16='Products for specification 2'!S10</f>
        <v>1</v>
      </c>
      <c r="V16" s="98" t="b">
        <f>O16='Products for specification 2'!P10</f>
        <v>1</v>
      </c>
    </row>
    <row r="17" spans="1:23" ht="69" customHeight="1" thickBot="1" x14ac:dyDescent="0.25">
      <c r="A17" s="92" t="s">
        <v>47</v>
      </c>
      <c r="B17" s="93">
        <v>14131101</v>
      </c>
      <c r="C17" s="93" t="s">
        <v>130</v>
      </c>
      <c r="D17" s="94">
        <v>48880</v>
      </c>
      <c r="E17" s="93" t="s">
        <v>122</v>
      </c>
      <c r="F17" s="95">
        <v>187.83</v>
      </c>
      <c r="G17" s="96">
        <v>9181130.4000000004</v>
      </c>
      <c r="H17" s="97">
        <v>46174</v>
      </c>
      <c r="J17" s="98" t="b">
        <f>B17='Products for specification 2'!S11</f>
        <v>1</v>
      </c>
      <c r="L17" s="99" t="s">
        <v>47</v>
      </c>
      <c r="M17" s="102">
        <v>14131101</v>
      </c>
      <c r="N17" s="102" t="s">
        <v>130</v>
      </c>
      <c r="O17" s="101">
        <v>48880</v>
      </c>
      <c r="P17" s="102" t="s">
        <v>122</v>
      </c>
      <c r="Q17" s="103">
        <v>187.83</v>
      </c>
      <c r="R17" s="104">
        <f t="shared" si="0"/>
        <v>9181130.4000000004</v>
      </c>
      <c r="S17" s="105">
        <v>46174</v>
      </c>
      <c r="U17" s="98" t="b">
        <f>M17='Products for specification 2'!S11</f>
        <v>1</v>
      </c>
      <c r="V17" s="98" t="b">
        <f>O17='Products for specification 2'!P11</f>
        <v>1</v>
      </c>
    </row>
    <row r="18" spans="1:23" ht="69" customHeight="1" thickBot="1" x14ac:dyDescent="0.25">
      <c r="A18" s="92" t="s">
        <v>48</v>
      </c>
      <c r="B18" s="93">
        <v>14141101</v>
      </c>
      <c r="C18" s="93" t="s">
        <v>131</v>
      </c>
      <c r="D18" s="94">
        <v>105664</v>
      </c>
      <c r="E18" s="93" t="s">
        <v>122</v>
      </c>
      <c r="F18" s="95">
        <v>292.07</v>
      </c>
      <c r="G18" s="96">
        <v>30861284.48</v>
      </c>
      <c r="H18" s="97">
        <v>46174</v>
      </c>
      <c r="J18" s="98" t="b">
        <f>B18='Products for specification 2'!S12</f>
        <v>1</v>
      </c>
      <c r="L18" s="99" t="s">
        <v>48</v>
      </c>
      <c r="M18" s="102">
        <v>14141101</v>
      </c>
      <c r="N18" s="102" t="s">
        <v>131</v>
      </c>
      <c r="O18" s="101">
        <v>105664</v>
      </c>
      <c r="P18" s="102" t="s">
        <v>122</v>
      </c>
      <c r="Q18" s="103">
        <v>292.07</v>
      </c>
      <c r="R18" s="104">
        <f t="shared" si="0"/>
        <v>30861284.48</v>
      </c>
      <c r="S18" s="105">
        <v>46174</v>
      </c>
      <c r="U18" s="98" t="b">
        <f>M18='Products for specification 2'!S12</f>
        <v>1</v>
      </c>
      <c r="V18" s="98" t="b">
        <f>O18='Products for specification 2'!P12</f>
        <v>1</v>
      </c>
    </row>
    <row r="19" spans="1:23" ht="69" customHeight="1" thickBot="1" x14ac:dyDescent="0.25">
      <c r="A19" s="92" t="s">
        <v>49</v>
      </c>
      <c r="B19" s="93">
        <v>14151101</v>
      </c>
      <c r="C19" s="93" t="s">
        <v>132</v>
      </c>
      <c r="D19" s="94">
        <v>636688</v>
      </c>
      <c r="E19" s="93" t="s">
        <v>122</v>
      </c>
      <c r="F19" s="95">
        <v>545.19000000000005</v>
      </c>
      <c r="G19" s="96">
        <v>347115930.72000003</v>
      </c>
      <c r="H19" s="97">
        <v>46174</v>
      </c>
      <c r="J19" s="98" t="b">
        <f>B19='Products for specification 2'!S13</f>
        <v>1</v>
      </c>
      <c r="L19" s="99" t="s">
        <v>49</v>
      </c>
      <c r="M19" s="102">
        <v>14151101</v>
      </c>
      <c r="N19" s="102" t="s">
        <v>132</v>
      </c>
      <c r="O19" s="101">
        <v>636688</v>
      </c>
      <c r="P19" s="102" t="s">
        <v>122</v>
      </c>
      <c r="Q19" s="103">
        <v>545.19000000000005</v>
      </c>
      <c r="R19" s="104">
        <f t="shared" si="0"/>
        <v>347115930.72000003</v>
      </c>
      <c r="S19" s="105">
        <v>46174</v>
      </c>
      <c r="U19" s="98" t="b">
        <f>M19='Products for specification 2'!S13</f>
        <v>1</v>
      </c>
      <c r="V19" s="98" t="b">
        <f>O19='Products for specification 2'!P13</f>
        <v>1</v>
      </c>
    </row>
    <row r="20" spans="1:23" ht="69" customHeight="1" thickBot="1" x14ac:dyDescent="0.25">
      <c r="A20" s="92" t="s">
        <v>50</v>
      </c>
      <c r="B20" s="93">
        <v>14161101</v>
      </c>
      <c r="C20" s="93" t="s">
        <v>133</v>
      </c>
      <c r="D20" s="94">
        <v>26832</v>
      </c>
      <c r="E20" s="93" t="s">
        <v>122</v>
      </c>
      <c r="F20" s="95">
        <v>530.04999999999995</v>
      </c>
      <c r="G20" s="96">
        <v>14222301.6</v>
      </c>
      <c r="H20" s="97">
        <v>46174</v>
      </c>
      <c r="J20" s="98" t="b">
        <f>B20='Products for specification 2'!S14</f>
        <v>1</v>
      </c>
      <c r="L20" s="99" t="s">
        <v>50</v>
      </c>
      <c r="M20" s="102">
        <v>14161101</v>
      </c>
      <c r="N20" s="102" t="s">
        <v>133</v>
      </c>
      <c r="O20" s="101">
        <v>26832</v>
      </c>
      <c r="P20" s="102" t="s">
        <v>122</v>
      </c>
      <c r="Q20" s="103">
        <v>530.04999999999995</v>
      </c>
      <c r="R20" s="104">
        <f t="shared" si="0"/>
        <v>14222301.6</v>
      </c>
      <c r="S20" s="105">
        <v>46174</v>
      </c>
      <c r="U20" s="98" t="b">
        <f>M20='Products for specification 2'!S14</f>
        <v>1</v>
      </c>
      <c r="V20" s="98" t="b">
        <f>O20='Products for specification 2'!P14</f>
        <v>1</v>
      </c>
    </row>
    <row r="21" spans="1:23" ht="69" customHeight="1" thickBot="1" x14ac:dyDescent="0.25">
      <c r="A21" s="92" t="s">
        <v>51</v>
      </c>
      <c r="B21" s="93">
        <v>14171101</v>
      </c>
      <c r="C21" s="93" t="s">
        <v>134</v>
      </c>
      <c r="D21" s="94">
        <v>7072</v>
      </c>
      <c r="E21" s="93" t="s">
        <v>122</v>
      </c>
      <c r="F21" s="95">
        <v>551.25</v>
      </c>
      <c r="G21" s="96">
        <v>3898440</v>
      </c>
      <c r="H21" s="97">
        <v>46174</v>
      </c>
      <c r="J21" s="98" t="b">
        <f>B21='Products for specification 2'!S15</f>
        <v>1</v>
      </c>
      <c r="L21" s="99" t="s">
        <v>51</v>
      </c>
      <c r="M21" s="102">
        <v>14171101</v>
      </c>
      <c r="N21" s="102" t="s">
        <v>134</v>
      </c>
      <c r="O21" s="101">
        <v>7072</v>
      </c>
      <c r="P21" s="102" t="s">
        <v>122</v>
      </c>
      <c r="Q21" s="103">
        <v>551.25</v>
      </c>
      <c r="R21" s="104">
        <f t="shared" si="0"/>
        <v>3898440</v>
      </c>
      <c r="S21" s="105">
        <v>46174</v>
      </c>
      <c r="U21" s="98" t="b">
        <f>M21='Products for specification 2'!S15</f>
        <v>1</v>
      </c>
      <c r="V21" s="98" t="b">
        <f>O21='Products for specification 2'!P15</f>
        <v>1</v>
      </c>
    </row>
    <row r="22" spans="1:23" ht="69" customHeight="1" thickBot="1" x14ac:dyDescent="0.25">
      <c r="A22" s="92" t="s">
        <v>52</v>
      </c>
      <c r="B22" s="93">
        <v>14181101</v>
      </c>
      <c r="C22" s="93" t="s">
        <v>135</v>
      </c>
      <c r="D22" s="94">
        <v>14144</v>
      </c>
      <c r="E22" s="93" t="s">
        <v>122</v>
      </c>
      <c r="F22" s="95">
        <v>686.05</v>
      </c>
      <c r="G22" s="96">
        <v>9703491.1999999993</v>
      </c>
      <c r="H22" s="97">
        <v>46174</v>
      </c>
      <c r="J22" s="98" t="b">
        <f>B22='Products for specification 2'!S16</f>
        <v>0</v>
      </c>
      <c r="L22" s="99" t="s">
        <v>52</v>
      </c>
      <c r="M22" s="100">
        <f>'Products for specification 2'!S16</f>
        <v>3475721</v>
      </c>
      <c r="N22" s="100" t="str">
        <f>"Масло"&amp;" "&amp;'Products for specification 2'!T16&amp;" / "&amp;'Products for specification 2'!T16</f>
        <v>Масло TEBOIL SYPRES EXTRA 680 / TEBOIL SYPRES EXTRA 680</v>
      </c>
      <c r="O22" s="107">
        <f>'[1]Products for specification 2'!P16</f>
        <v>14205.72</v>
      </c>
      <c r="P22" s="102" t="s">
        <v>122</v>
      </c>
      <c r="Q22" s="108">
        <f>'[1]Products for specification 2'!M16</f>
        <v>683.069298845817</v>
      </c>
      <c r="R22" s="109">
        <f>ROUND(O22*Q22,2)</f>
        <v>9703491.1999999993</v>
      </c>
      <c r="S22" s="105">
        <v>46174</v>
      </c>
      <c r="U22" s="98" t="b">
        <f>M22='Products for specification 2'!S16</f>
        <v>1</v>
      </c>
      <c r="V22" s="98" t="b">
        <f>O22='Products for specification 2'!P16</f>
        <v>1</v>
      </c>
      <c r="W22" s="106" t="s">
        <v>123</v>
      </c>
    </row>
    <row r="23" spans="1:23" ht="69" customHeight="1" thickBot="1" x14ac:dyDescent="0.25">
      <c r="A23" s="92" t="s">
        <v>53</v>
      </c>
      <c r="B23" s="93">
        <v>12311101</v>
      </c>
      <c r="C23" s="93" t="s">
        <v>136</v>
      </c>
      <c r="D23" s="94">
        <v>1872</v>
      </c>
      <c r="E23" s="93" t="s">
        <v>122</v>
      </c>
      <c r="F23" s="95">
        <v>267.19</v>
      </c>
      <c r="G23" s="96">
        <v>500179.68</v>
      </c>
      <c r="H23" s="97">
        <v>46174</v>
      </c>
      <c r="J23" s="98" t="b">
        <f>B23='Products for specification 2'!S17</f>
        <v>1</v>
      </c>
      <c r="L23" s="99" t="s">
        <v>53</v>
      </c>
      <c r="M23" s="102">
        <v>12311101</v>
      </c>
      <c r="N23" s="102" t="s">
        <v>136</v>
      </c>
      <c r="O23" s="101">
        <v>1872</v>
      </c>
      <c r="P23" s="102" t="s">
        <v>122</v>
      </c>
      <c r="Q23" s="103">
        <v>267.19</v>
      </c>
      <c r="R23" s="104">
        <f t="shared" si="0"/>
        <v>500179.68</v>
      </c>
      <c r="S23" s="105">
        <v>46174</v>
      </c>
      <c r="U23" s="98" t="b">
        <f>M23='Products for specification 2'!S17</f>
        <v>1</v>
      </c>
      <c r="V23" s="98" t="b">
        <f>O23='Products for specification 2'!P17</f>
        <v>1</v>
      </c>
    </row>
    <row r="24" spans="1:23" ht="69" customHeight="1" thickBot="1" x14ac:dyDescent="0.25">
      <c r="A24" s="92" t="s">
        <v>54</v>
      </c>
      <c r="B24" s="93">
        <v>14191101</v>
      </c>
      <c r="C24" s="93" t="s">
        <v>137</v>
      </c>
      <c r="D24" s="94">
        <v>285584</v>
      </c>
      <c r="E24" s="93" t="s">
        <v>122</v>
      </c>
      <c r="F24" s="95">
        <v>174.7</v>
      </c>
      <c r="G24" s="96">
        <v>49891524.799999997</v>
      </c>
      <c r="H24" s="97">
        <v>46174</v>
      </c>
      <c r="J24" s="98" t="b">
        <f>B24='Products for specification 2'!S18</f>
        <v>1</v>
      </c>
      <c r="L24" s="99" t="s">
        <v>54</v>
      </c>
      <c r="M24" s="102">
        <v>14191101</v>
      </c>
      <c r="N24" s="102" t="s">
        <v>137</v>
      </c>
      <c r="O24" s="101">
        <v>285584</v>
      </c>
      <c r="P24" s="102" t="s">
        <v>122</v>
      </c>
      <c r="Q24" s="103">
        <v>174.7</v>
      </c>
      <c r="R24" s="104">
        <f t="shared" si="0"/>
        <v>49891524.799999997</v>
      </c>
      <c r="S24" s="105">
        <v>46174</v>
      </c>
      <c r="U24" s="98" t="b">
        <f>M24='Products for specification 2'!S18</f>
        <v>1</v>
      </c>
      <c r="V24" s="98" t="b">
        <f>O24='Products for specification 2'!P18</f>
        <v>1</v>
      </c>
    </row>
    <row r="25" spans="1:23" ht="69" customHeight="1" thickBot="1" x14ac:dyDescent="0.25">
      <c r="A25" s="92" t="s">
        <v>55</v>
      </c>
      <c r="B25" s="93">
        <v>10161102</v>
      </c>
      <c r="C25" s="93" t="s">
        <v>138</v>
      </c>
      <c r="D25" s="94">
        <v>19260</v>
      </c>
      <c r="E25" s="93" t="s">
        <v>139</v>
      </c>
      <c r="F25" s="95">
        <v>467.09</v>
      </c>
      <c r="G25" s="96">
        <v>8996153.4000000004</v>
      </c>
      <c r="H25" s="97">
        <v>46174</v>
      </c>
      <c r="J25" s="98" t="b">
        <f>B25='Products for specification 2'!S19</f>
        <v>0</v>
      </c>
      <c r="L25" s="99" t="s">
        <v>55</v>
      </c>
      <c r="M25" s="100">
        <f>'Products for specification 2'!S19</f>
        <v>1558960</v>
      </c>
      <c r="N25" s="100" t="str">
        <f>"Смазка"&amp;" "&amp;'Products for specification 2'!T19&amp;" / "&amp;'Products for specification 2'!T19</f>
        <v>Смазка ЛУКОЙЛ ПОЛИФЛЕКС ЕР 0-160 / ЛУКОЙЛ ПОЛИФЛЕКС ЕР 0-160</v>
      </c>
      <c r="O25" s="107">
        <f>'[1]Products for specification 2'!P19</f>
        <v>19260</v>
      </c>
      <c r="P25" s="102" t="s">
        <v>139</v>
      </c>
      <c r="Q25" s="108">
        <f>'[1]Products for specification 2'!M19</f>
        <v>467.09000000000003</v>
      </c>
      <c r="R25" s="109">
        <f>ROUND(O25*Q25,2)</f>
        <v>8996153.4000000004</v>
      </c>
      <c r="S25" s="105">
        <v>46174</v>
      </c>
      <c r="U25" s="98" t="b">
        <f>M25='Products for specification 2'!S19</f>
        <v>1</v>
      </c>
      <c r="V25" s="98" t="b">
        <f>O25='Products for specification 2'!P19</f>
        <v>1</v>
      </c>
      <c r="W25" s="106" t="s">
        <v>123</v>
      </c>
    </row>
    <row r="26" spans="1:23" ht="69" customHeight="1" thickBot="1" x14ac:dyDescent="0.25">
      <c r="A26" s="92" t="s">
        <v>56</v>
      </c>
      <c r="B26" s="93">
        <v>10171102</v>
      </c>
      <c r="C26" s="93" t="s">
        <v>140</v>
      </c>
      <c r="D26" s="94">
        <v>44820</v>
      </c>
      <c r="E26" s="93" t="s">
        <v>139</v>
      </c>
      <c r="F26" s="95">
        <v>450.6</v>
      </c>
      <c r="G26" s="96">
        <v>20195892</v>
      </c>
      <c r="H26" s="97">
        <v>46174</v>
      </c>
      <c r="J26" s="98" t="b">
        <f>B26='Products for specification 2'!S20</f>
        <v>0</v>
      </c>
      <c r="L26" s="99" t="s">
        <v>56</v>
      </c>
      <c r="M26" s="100">
        <f>'Products for specification 2'!S20</f>
        <v>1558966</v>
      </c>
      <c r="N26" s="100" t="str">
        <f>"Смазка"&amp;" "&amp;'Products for specification 2'!T20&amp;" / "&amp;'Products for specification 2'!T20</f>
        <v>Смазка ЛУКОЙЛ ПОЛИФЛЕКС ЕР 1-160 / ЛУКОЙЛ ПОЛИФЛЕКС ЕР 1-160</v>
      </c>
      <c r="O26" s="107">
        <f>'[1]Products for specification 2'!P20</f>
        <v>44820</v>
      </c>
      <c r="P26" s="102" t="s">
        <v>139</v>
      </c>
      <c r="Q26" s="108">
        <f>'[1]Products for specification 2'!M20</f>
        <v>450.6</v>
      </c>
      <c r="R26" s="109">
        <f t="shared" ref="R26:R38" si="1">ROUND(O26*Q26,2)</f>
        <v>20195892</v>
      </c>
      <c r="S26" s="105">
        <v>46174</v>
      </c>
      <c r="U26" s="98" t="b">
        <f>M26='Products for specification 2'!S20</f>
        <v>1</v>
      </c>
      <c r="V26" s="98" t="b">
        <f>O26='Products for specification 2'!P20</f>
        <v>1</v>
      </c>
      <c r="W26" s="106" t="s">
        <v>123</v>
      </c>
    </row>
    <row r="27" spans="1:23" ht="69" customHeight="1" thickBot="1" x14ac:dyDescent="0.25">
      <c r="A27" s="92" t="s">
        <v>57</v>
      </c>
      <c r="B27" s="93">
        <v>10131102</v>
      </c>
      <c r="C27" s="93" t="s">
        <v>141</v>
      </c>
      <c r="D27" s="94">
        <v>10620</v>
      </c>
      <c r="E27" s="93" t="s">
        <v>139</v>
      </c>
      <c r="F27" s="96">
        <v>1539</v>
      </c>
      <c r="G27" s="96">
        <v>16344180</v>
      </c>
      <c r="H27" s="97">
        <v>46174</v>
      </c>
      <c r="J27" s="98" t="b">
        <f>B27='Products for specification 2'!S21</f>
        <v>0</v>
      </c>
      <c r="L27" s="99" t="s">
        <v>57</v>
      </c>
      <c r="M27" s="100">
        <f>'Products for specification 2'!S21</f>
        <v>1682082</v>
      </c>
      <c r="N27" s="100" t="str">
        <f>"Смазка"&amp;" "&amp;'Products for specification 2'!T21&amp;" / "&amp;'Products for specification 2'!T21</f>
        <v>Смазка ЛУКОЙЛ КАРБОФЛЕКС OG 0-4000 HD / ЛУКОЙЛ КАРБОФЛЕКС OG 0-4000 HD</v>
      </c>
      <c r="O27" s="107">
        <f>'[1]Products for specification 2'!P21</f>
        <v>10620</v>
      </c>
      <c r="P27" s="102" t="s">
        <v>139</v>
      </c>
      <c r="Q27" s="108">
        <f>'[1]Products for specification 2'!M21</f>
        <v>1539</v>
      </c>
      <c r="R27" s="109">
        <f t="shared" si="1"/>
        <v>16344180</v>
      </c>
      <c r="S27" s="105">
        <v>46174</v>
      </c>
      <c r="U27" s="98" t="b">
        <f>M27='Products for specification 2'!S21</f>
        <v>1</v>
      </c>
      <c r="V27" s="98" t="b">
        <f>O27='Products for specification 2'!P21</f>
        <v>1</v>
      </c>
      <c r="W27" s="106" t="s">
        <v>123</v>
      </c>
    </row>
    <row r="28" spans="1:23" ht="69" customHeight="1" thickBot="1" x14ac:dyDescent="0.25">
      <c r="A28" s="92" t="s">
        <v>58</v>
      </c>
      <c r="B28" s="93">
        <v>10181102</v>
      </c>
      <c r="C28" s="93" t="s">
        <v>142</v>
      </c>
      <c r="D28" s="93">
        <v>900</v>
      </c>
      <c r="E28" s="93" t="s">
        <v>139</v>
      </c>
      <c r="F28" s="96">
        <v>1160.27</v>
      </c>
      <c r="G28" s="96">
        <v>1044243</v>
      </c>
      <c r="H28" s="97">
        <v>46174</v>
      </c>
      <c r="J28" s="98" t="b">
        <f>B28='Products for specification 2'!S22</f>
        <v>0</v>
      </c>
      <c r="L28" s="99" t="s">
        <v>58</v>
      </c>
      <c r="M28" s="100">
        <f>'Products for specification 2'!S22</f>
        <v>1559874</v>
      </c>
      <c r="N28" s="100" t="str">
        <f>"Смазка"&amp;" "&amp;'Products for specification 2'!T22&amp;" / "&amp;'Products for specification 2'!T22</f>
        <v>Смазка ЛУКОЙЛ ПОЛИФЛЕКС ЕР 2-160 HD / ЛУКОЙЛ ПОЛИФЛЕКС ЕР 2-160 HD</v>
      </c>
      <c r="O28" s="107">
        <f>'[1]Products for specification 2'!P22</f>
        <v>900</v>
      </c>
      <c r="P28" s="102" t="s">
        <v>139</v>
      </c>
      <c r="Q28" s="108">
        <f>'[1]Products for specification 2'!M22</f>
        <v>1160.27</v>
      </c>
      <c r="R28" s="109">
        <f t="shared" si="1"/>
        <v>1044243</v>
      </c>
      <c r="S28" s="105">
        <v>46174</v>
      </c>
      <c r="U28" s="98" t="b">
        <f>M28='Products for specification 2'!S22</f>
        <v>1</v>
      </c>
      <c r="V28" s="98" t="b">
        <f>O28='Products for specification 2'!P22</f>
        <v>1</v>
      </c>
      <c r="W28" s="106" t="s">
        <v>123</v>
      </c>
    </row>
    <row r="29" spans="1:23" ht="69" customHeight="1" thickBot="1" x14ac:dyDescent="0.25">
      <c r="A29" s="92" t="s">
        <v>59</v>
      </c>
      <c r="B29" s="93">
        <v>10130902</v>
      </c>
      <c r="C29" s="93" t="s">
        <v>141</v>
      </c>
      <c r="D29" s="94">
        <v>2160</v>
      </c>
      <c r="E29" s="93" t="s">
        <v>139</v>
      </c>
      <c r="F29" s="96">
        <v>1729.8</v>
      </c>
      <c r="G29" s="96">
        <v>3736368</v>
      </c>
      <c r="H29" s="97">
        <v>46174</v>
      </c>
      <c r="J29" s="98" t="b">
        <f>B29='Products for specification 2'!S23</f>
        <v>0</v>
      </c>
      <c r="L29" s="99" t="s">
        <v>59</v>
      </c>
      <c r="M29" s="100">
        <f>'Products for specification 2'!S23</f>
        <v>1682082</v>
      </c>
      <c r="N29" s="100" t="str">
        <f>"Смазка"&amp;" "&amp;'Products for specification 2'!T23&amp;" / "&amp;'Products for specification 2'!T23</f>
        <v>Смазка ЛУКОЙЛ КАРБОФЛЕКС OG 0-4000 HD / ЛУКОЙЛ КАРБОФЛЕКС OG 0-4000 HD</v>
      </c>
      <c r="O29" s="107">
        <f>'[1]Products for specification 2'!P23</f>
        <v>2160</v>
      </c>
      <c r="P29" s="102" t="s">
        <v>139</v>
      </c>
      <c r="Q29" s="108">
        <f>'[1]Products for specification 2'!M23</f>
        <v>1729.8</v>
      </c>
      <c r="R29" s="109">
        <f t="shared" si="1"/>
        <v>3736368</v>
      </c>
      <c r="S29" s="105">
        <v>46174</v>
      </c>
      <c r="U29" s="98" t="b">
        <f>M29='Products for specification 2'!S23</f>
        <v>1</v>
      </c>
      <c r="V29" s="98" t="b">
        <f>O29='Products for specification 2'!P23</f>
        <v>1</v>
      </c>
      <c r="W29" s="106" t="s">
        <v>123</v>
      </c>
    </row>
    <row r="30" spans="1:23" ht="69" customHeight="1" thickBot="1" x14ac:dyDescent="0.25">
      <c r="A30" s="92" t="s">
        <v>60</v>
      </c>
      <c r="B30" s="93">
        <v>10141102</v>
      </c>
      <c r="C30" s="93" t="s">
        <v>143</v>
      </c>
      <c r="D30" s="94">
        <v>10080</v>
      </c>
      <c r="E30" s="93" t="s">
        <v>139</v>
      </c>
      <c r="F30" s="96">
        <v>1482</v>
      </c>
      <c r="G30" s="96">
        <v>14938560</v>
      </c>
      <c r="H30" s="97">
        <v>46174</v>
      </c>
      <c r="J30" s="98" t="b">
        <f>B30='Products for specification 2'!S24</f>
        <v>0</v>
      </c>
      <c r="L30" s="99" t="s">
        <v>60</v>
      </c>
      <c r="M30" s="100">
        <f>'Products for specification 2'!S24</f>
        <v>1683355</v>
      </c>
      <c r="N30" s="100" t="str">
        <f>"Смазка"&amp;" "&amp;'Products for specification 2'!T24&amp;" / "&amp;'Products for specification 2'!T24</f>
        <v>Смазка ЛУКОЙЛ КАРБОФЛЕКС OG 000-1500 HD / ЛУКОЙЛ КАРБОФЛЕКС OG 000-1500 HD</v>
      </c>
      <c r="O30" s="107">
        <f>'[1]Products for specification 2'!P24</f>
        <v>10080</v>
      </c>
      <c r="P30" s="102" t="s">
        <v>139</v>
      </c>
      <c r="Q30" s="108">
        <f>'[1]Products for specification 2'!M24</f>
        <v>1482</v>
      </c>
      <c r="R30" s="109">
        <f t="shared" si="1"/>
        <v>14938560</v>
      </c>
      <c r="S30" s="105">
        <v>46174</v>
      </c>
      <c r="U30" s="98" t="b">
        <f>M30='Products for specification 2'!S24</f>
        <v>1</v>
      </c>
      <c r="V30" s="98" t="b">
        <f>O30='Products for specification 2'!P24</f>
        <v>1</v>
      </c>
      <c r="W30" s="106" t="s">
        <v>123</v>
      </c>
    </row>
    <row r="31" spans="1:23" ht="69" customHeight="1" thickBot="1" x14ac:dyDescent="0.25">
      <c r="A31" s="92" t="s">
        <v>61</v>
      </c>
      <c r="B31" s="93">
        <v>10140902</v>
      </c>
      <c r="C31" s="93" t="s">
        <v>143</v>
      </c>
      <c r="D31" s="94">
        <v>10062</v>
      </c>
      <c r="E31" s="93" t="s">
        <v>139</v>
      </c>
      <c r="F31" s="96">
        <v>1646.4</v>
      </c>
      <c r="G31" s="96">
        <v>16566076.800000001</v>
      </c>
      <c r="H31" s="97">
        <v>46174</v>
      </c>
      <c r="J31" s="98" t="b">
        <f>B31='Products for specification 2'!S25</f>
        <v>0</v>
      </c>
      <c r="L31" s="99" t="s">
        <v>61</v>
      </c>
      <c r="M31" s="100">
        <f>'Products for specification 2'!S25</f>
        <v>1683355</v>
      </c>
      <c r="N31" s="100" t="str">
        <f>"Смазка"&amp;" "&amp;'Products for specification 2'!T25&amp;" / "&amp;'Products for specification 2'!T25</f>
        <v>Смазка ЛУКОЙЛ КАРБОФЛЕКС OG 000-1500 HD / ЛУКОЙЛ КАРБОФЛЕКС OG 000-1500 HD</v>
      </c>
      <c r="O31" s="107">
        <f>'[1]Products for specification 2'!P25</f>
        <v>10080</v>
      </c>
      <c r="P31" s="102" t="s">
        <v>139</v>
      </c>
      <c r="Q31" s="108">
        <f>'[1]Products for specification 2'!M25</f>
        <v>1643.46</v>
      </c>
      <c r="R31" s="109">
        <f t="shared" si="1"/>
        <v>16566076.800000001</v>
      </c>
      <c r="S31" s="105">
        <v>46174</v>
      </c>
      <c r="U31" s="98" t="b">
        <f>M31='Products for specification 2'!S25</f>
        <v>1</v>
      </c>
      <c r="V31" s="98" t="b">
        <f>O31='Products for specification 2'!P25</f>
        <v>1</v>
      </c>
      <c r="W31" s="106" t="s">
        <v>123</v>
      </c>
    </row>
    <row r="32" spans="1:23" ht="69" customHeight="1" thickBot="1" x14ac:dyDescent="0.25">
      <c r="A32" s="92" t="s">
        <v>62</v>
      </c>
      <c r="B32" s="93">
        <v>10151102</v>
      </c>
      <c r="C32" s="93" t="s">
        <v>144</v>
      </c>
      <c r="D32" s="94">
        <v>12780</v>
      </c>
      <c r="E32" s="93" t="s">
        <v>139</v>
      </c>
      <c r="F32" s="96">
        <v>1222.2</v>
      </c>
      <c r="G32" s="96">
        <v>15619716</v>
      </c>
      <c r="H32" s="97">
        <v>46174</v>
      </c>
      <c r="J32" s="98" t="b">
        <f>B32='Products for specification 2'!S26</f>
        <v>0</v>
      </c>
      <c r="L32" s="99" t="s">
        <v>62</v>
      </c>
      <c r="M32" s="100">
        <f>'Products for specification 2'!S26</f>
        <v>1615722</v>
      </c>
      <c r="N32" s="100" t="str">
        <f>"Смазка"&amp;" "&amp;'Products for specification 2'!T26&amp;" / "&amp;'Products for specification 2'!T26</f>
        <v>Смазка ЛУКОЙЛ ПОЛИФЛЕКС ЕР 1-160 HD / ЛУКОЙЛ ПОЛИФЛЕКС ЕР 1-160 HD</v>
      </c>
      <c r="O32" s="107">
        <f>'[1]Products for specification 2'!P26</f>
        <v>12780</v>
      </c>
      <c r="P32" s="102" t="s">
        <v>139</v>
      </c>
      <c r="Q32" s="108">
        <f>'[1]Products for specification 2'!M26</f>
        <v>1222.2</v>
      </c>
      <c r="R32" s="109">
        <f t="shared" si="1"/>
        <v>15619716</v>
      </c>
      <c r="S32" s="105">
        <v>46174</v>
      </c>
      <c r="U32" s="98" t="b">
        <f>M32='Products for specification 2'!S26</f>
        <v>1</v>
      </c>
      <c r="V32" s="98" t="b">
        <f>O32='Products for specification 2'!P26</f>
        <v>1</v>
      </c>
      <c r="W32" s="106" t="s">
        <v>123</v>
      </c>
    </row>
    <row r="33" spans="1:23" ht="69" customHeight="1" thickBot="1" x14ac:dyDescent="0.25">
      <c r="A33" s="92" t="s">
        <v>63</v>
      </c>
      <c r="B33" s="93">
        <v>10150202</v>
      </c>
      <c r="C33" s="93" t="s">
        <v>145</v>
      </c>
      <c r="D33" s="94">
        <v>4224</v>
      </c>
      <c r="E33" s="93" t="s">
        <v>139</v>
      </c>
      <c r="F33" s="96">
        <v>1601.34</v>
      </c>
      <c r="G33" s="96">
        <v>6764060.1600000001</v>
      </c>
      <c r="H33" s="97">
        <v>46174</v>
      </c>
      <c r="J33" s="98" t="b">
        <f>B33='Products for specification 2'!S27</f>
        <v>0</v>
      </c>
      <c r="L33" s="99" t="s">
        <v>63</v>
      </c>
      <c r="M33" s="100">
        <f>'Products for specification 2'!S27</f>
        <v>1615401</v>
      </c>
      <c r="N33" s="100" t="str">
        <f>"Смазка"&amp;" "&amp;'Products for specification 2'!T27&amp;" / "&amp;'Products for specification 2'!T27</f>
        <v>Смазка ЛУКОЙЛ ПОЛИФЛЕКС ЕР 1-160 HD / ЛУКОЙЛ ПОЛИФЛЕКС ЕР 1-160 HD</v>
      </c>
      <c r="O33" s="107">
        <f>'[1]Products for specification 2'!P27</f>
        <v>4224</v>
      </c>
      <c r="P33" s="102" t="s">
        <v>139</v>
      </c>
      <c r="Q33" s="108">
        <f>'[1]Products for specification 2'!M27</f>
        <v>1601.34</v>
      </c>
      <c r="R33" s="109">
        <f t="shared" si="1"/>
        <v>6764060.1600000001</v>
      </c>
      <c r="S33" s="105">
        <v>46174</v>
      </c>
      <c r="U33" s="98" t="b">
        <f>M33='Products for specification 2'!S27</f>
        <v>1</v>
      </c>
      <c r="V33" s="98" t="b">
        <f>O33='Products for specification 2'!P27</f>
        <v>1</v>
      </c>
      <c r="W33" s="106" t="s">
        <v>123</v>
      </c>
    </row>
    <row r="34" spans="1:23" ht="69" customHeight="1" thickBot="1" x14ac:dyDescent="0.25">
      <c r="A34" s="92" t="s">
        <v>64</v>
      </c>
      <c r="B34" s="93">
        <v>10191102</v>
      </c>
      <c r="C34" s="93" t="s">
        <v>146</v>
      </c>
      <c r="D34" s="94">
        <v>29520</v>
      </c>
      <c r="E34" s="93" t="s">
        <v>139</v>
      </c>
      <c r="F34" s="96">
        <v>1507.44</v>
      </c>
      <c r="G34" s="96">
        <v>44499628.799999997</v>
      </c>
      <c r="H34" s="97">
        <v>46174</v>
      </c>
      <c r="J34" s="98" t="b">
        <f>B34='Products for specification 2'!S28</f>
        <v>0</v>
      </c>
      <c r="L34" s="99" t="s">
        <v>64</v>
      </c>
      <c r="M34" s="100">
        <f>'Products for specification 2'!S28</f>
        <v>1755295</v>
      </c>
      <c r="N34" s="100" t="str">
        <f>"Смазка"&amp;" "&amp;'Products for specification 2'!T28&amp;" / "&amp;'Products for specification 2'!T28</f>
        <v xml:space="preserve">Смазка ЛУКОЙЛ СИНТОФЛЕКС АРКТИК 1-100 HD - всесезонно/all season  / ЛУКОЙЛ СИНТОФЛЕКС АРКТИК 1-100 HD - всесезонно/all season </v>
      </c>
      <c r="O34" s="107">
        <f>'[1]Products for specification 2'!P28</f>
        <v>29520</v>
      </c>
      <c r="P34" s="102" t="s">
        <v>139</v>
      </c>
      <c r="Q34" s="108">
        <f>'[1]Products for specification 2'!M28</f>
        <v>1507.44</v>
      </c>
      <c r="R34" s="109">
        <f t="shared" si="1"/>
        <v>44499628.799999997</v>
      </c>
      <c r="S34" s="105">
        <v>46174</v>
      </c>
      <c r="U34" s="98" t="b">
        <f>M34='Products for specification 2'!S28</f>
        <v>1</v>
      </c>
      <c r="V34" s="98" t="b">
        <f>O34='Products for specification 2'!P28</f>
        <v>1</v>
      </c>
      <c r="W34" s="106" t="s">
        <v>123</v>
      </c>
    </row>
    <row r="35" spans="1:23" ht="69" customHeight="1" thickBot="1" x14ac:dyDescent="0.25">
      <c r="A35" s="92" t="s">
        <v>65</v>
      </c>
      <c r="B35" s="93">
        <v>10190902</v>
      </c>
      <c r="C35" s="93" t="s">
        <v>146</v>
      </c>
      <c r="D35" s="94">
        <v>10062</v>
      </c>
      <c r="E35" s="93" t="s">
        <v>139</v>
      </c>
      <c r="F35" s="96">
        <v>1595.5</v>
      </c>
      <c r="G35" s="96">
        <v>16053921</v>
      </c>
      <c r="H35" s="97">
        <v>46174</v>
      </c>
      <c r="J35" s="98" t="b">
        <f>B35='Products for specification 2'!S29</f>
        <v>0</v>
      </c>
      <c r="L35" s="99" t="s">
        <v>65</v>
      </c>
      <c r="M35" s="100">
        <f>'Products for specification 2'!S29</f>
        <v>1748233</v>
      </c>
      <c r="N35" s="100" t="str">
        <f>"Смазка"&amp;" "&amp;'Products for specification 2'!T29&amp;" / "&amp;'Products for specification 2'!T29</f>
        <v>Смазка ЛУКОЙЛ СИНТОФЛЕКС АРКТИК 1-100 HD - всесезонно/all season / ЛУКОЙЛ СИНТОФЛЕКС АРКТИК 1-100 HD - всесезонно/all season</v>
      </c>
      <c r="O35" s="107">
        <f>'[1]Products for specification 2'!P29</f>
        <v>10062</v>
      </c>
      <c r="P35" s="102" t="s">
        <v>139</v>
      </c>
      <c r="Q35" s="108">
        <f>'[1]Products for specification 2'!M29</f>
        <v>1595.5</v>
      </c>
      <c r="R35" s="109">
        <f t="shared" si="1"/>
        <v>16053921</v>
      </c>
      <c r="S35" s="105">
        <v>46174</v>
      </c>
      <c r="U35" s="98" t="b">
        <f>M35='Products for specification 2'!S29</f>
        <v>1</v>
      </c>
      <c r="V35" s="98" t="b">
        <f>O35='Products for specification 2'!P29</f>
        <v>1</v>
      </c>
      <c r="W35" s="106" t="s">
        <v>123</v>
      </c>
    </row>
    <row r="36" spans="1:23" ht="69" customHeight="1" thickBot="1" x14ac:dyDescent="0.25">
      <c r="A36" s="92" t="s">
        <v>66</v>
      </c>
      <c r="B36" s="93">
        <v>14220301</v>
      </c>
      <c r="C36" s="93" t="s">
        <v>147</v>
      </c>
      <c r="D36" s="93">
        <v>100</v>
      </c>
      <c r="E36" s="93" t="s">
        <v>122</v>
      </c>
      <c r="F36" s="96">
        <v>3207.6</v>
      </c>
      <c r="G36" s="96">
        <v>320760</v>
      </c>
      <c r="H36" s="97">
        <v>46174</v>
      </c>
      <c r="J36" s="98" t="b">
        <f>B36='Products for specification 2'!S30</f>
        <v>1</v>
      </c>
      <c r="L36" s="99" t="s">
        <v>66</v>
      </c>
      <c r="M36" s="102">
        <v>14220301</v>
      </c>
      <c r="N36" s="102" t="s">
        <v>147</v>
      </c>
      <c r="O36" s="102">
        <v>100</v>
      </c>
      <c r="P36" s="102" t="s">
        <v>122</v>
      </c>
      <c r="Q36" s="104">
        <v>3207.6</v>
      </c>
      <c r="R36" s="104">
        <f t="shared" si="1"/>
        <v>320760</v>
      </c>
      <c r="S36" s="105">
        <v>46174</v>
      </c>
      <c r="U36" s="98" t="b">
        <f>M36='Products for specification 2'!S30</f>
        <v>1</v>
      </c>
      <c r="V36" s="98" t="b">
        <f>O36='Products for specification 2'!P30</f>
        <v>1</v>
      </c>
    </row>
    <row r="37" spans="1:23" ht="69" customHeight="1" thickBot="1" x14ac:dyDescent="0.25">
      <c r="A37" s="92" t="s">
        <v>67</v>
      </c>
      <c r="B37" s="93">
        <v>14240401</v>
      </c>
      <c r="C37" s="93" t="s">
        <v>148</v>
      </c>
      <c r="D37" s="94">
        <v>1000</v>
      </c>
      <c r="E37" s="93" t="s">
        <v>122</v>
      </c>
      <c r="F37" s="95">
        <v>297</v>
      </c>
      <c r="G37" s="96">
        <v>297000</v>
      </c>
      <c r="H37" s="97">
        <v>46174</v>
      </c>
      <c r="J37" s="98" t="b">
        <f>B37='Products for specification 2'!S31</f>
        <v>1</v>
      </c>
      <c r="L37" s="99" t="s">
        <v>67</v>
      </c>
      <c r="M37" s="102">
        <v>14240401</v>
      </c>
      <c r="N37" s="102" t="s">
        <v>148</v>
      </c>
      <c r="O37" s="101">
        <v>1000</v>
      </c>
      <c r="P37" s="102" t="s">
        <v>122</v>
      </c>
      <c r="Q37" s="103">
        <v>297</v>
      </c>
      <c r="R37" s="104">
        <f t="shared" si="1"/>
        <v>297000</v>
      </c>
      <c r="S37" s="105">
        <v>46174</v>
      </c>
      <c r="U37" s="98" t="b">
        <f>M37='Products for specification 2'!S31</f>
        <v>1</v>
      </c>
      <c r="V37" s="98" t="b">
        <f>O37='Products for specification 2'!P31</f>
        <v>1</v>
      </c>
    </row>
    <row r="38" spans="1:23" ht="69" customHeight="1" thickBot="1" x14ac:dyDescent="0.25">
      <c r="A38" s="92" t="s">
        <v>68</v>
      </c>
      <c r="B38" s="93">
        <v>10050303</v>
      </c>
      <c r="C38" s="93" t="s">
        <v>149</v>
      </c>
      <c r="D38" s="94">
        <v>1489</v>
      </c>
      <c r="E38" s="93" t="s">
        <v>122</v>
      </c>
      <c r="F38" s="95">
        <v>481.14</v>
      </c>
      <c r="G38" s="96">
        <v>716417.46</v>
      </c>
      <c r="H38" s="97">
        <v>46174</v>
      </c>
      <c r="J38" s="98" t="b">
        <f>B38='Products for specification 2'!S32</f>
        <v>1</v>
      </c>
      <c r="L38" s="99" t="s">
        <v>68</v>
      </c>
      <c r="M38" s="102">
        <v>10050303</v>
      </c>
      <c r="N38" s="102" t="s">
        <v>149</v>
      </c>
      <c r="O38" s="101">
        <v>1489</v>
      </c>
      <c r="P38" s="102" t="s">
        <v>122</v>
      </c>
      <c r="Q38" s="103">
        <v>481.14</v>
      </c>
      <c r="R38" s="104">
        <f t="shared" si="1"/>
        <v>716417.46</v>
      </c>
      <c r="S38" s="105">
        <v>46174</v>
      </c>
      <c r="U38" s="98" t="b">
        <f>M38='Products for specification 2'!S32</f>
        <v>1</v>
      </c>
      <c r="V38" s="98" t="b">
        <f>O38='Products for specification 2'!P32</f>
        <v>1</v>
      </c>
    </row>
    <row r="39" spans="1:23" ht="13.5" thickBot="1" x14ac:dyDescent="0.25">
      <c r="A39" s="175" t="s">
        <v>150</v>
      </c>
      <c r="B39" s="176"/>
      <c r="C39" s="176"/>
      <c r="D39" s="176"/>
      <c r="E39" s="177"/>
      <c r="F39" s="178">
        <v>766852171.5</v>
      </c>
      <c r="G39" s="179"/>
      <c r="H39" s="110" t="s">
        <v>119</v>
      </c>
      <c r="L39" s="180" t="s">
        <v>150</v>
      </c>
      <c r="M39" s="181"/>
      <c r="N39" s="181"/>
      <c r="O39" s="181"/>
      <c r="P39" s="182"/>
      <c r="Q39" s="183">
        <f>SUM(R10:R38)</f>
        <v>766852171.49999988</v>
      </c>
      <c r="R39" s="184"/>
      <c r="S39" s="111" t="s">
        <v>119</v>
      </c>
    </row>
    <row r="40" spans="1:23" ht="13.5" thickBot="1" x14ac:dyDescent="0.25">
      <c r="A40" s="175" t="s">
        <v>151</v>
      </c>
      <c r="B40" s="176"/>
      <c r="C40" s="176"/>
      <c r="D40" s="176"/>
      <c r="E40" s="177"/>
      <c r="F40" s="178">
        <v>168707477.72999999</v>
      </c>
      <c r="G40" s="179"/>
      <c r="H40" s="110" t="s">
        <v>119</v>
      </c>
      <c r="L40" s="180" t="s">
        <v>151</v>
      </c>
      <c r="M40" s="181"/>
      <c r="N40" s="181"/>
      <c r="O40" s="181"/>
      <c r="P40" s="182"/>
      <c r="Q40" s="183">
        <f>Q39*0.22</f>
        <v>168707477.72999999</v>
      </c>
      <c r="R40" s="184"/>
      <c r="S40" s="111" t="s">
        <v>119</v>
      </c>
    </row>
    <row r="41" spans="1:23" ht="13.5" thickBot="1" x14ac:dyDescent="0.25">
      <c r="A41" s="175" t="s">
        <v>152</v>
      </c>
      <c r="B41" s="176"/>
      <c r="C41" s="176"/>
      <c r="D41" s="176"/>
      <c r="E41" s="177"/>
      <c r="F41" s="178">
        <v>920222605.79999995</v>
      </c>
      <c r="G41" s="179"/>
      <c r="H41" s="110" t="s">
        <v>119</v>
      </c>
      <c r="L41" s="180" t="s">
        <v>152</v>
      </c>
      <c r="M41" s="181"/>
      <c r="N41" s="181"/>
      <c r="O41" s="181"/>
      <c r="P41" s="182"/>
      <c r="Q41" s="183">
        <f>Q39+Q40</f>
        <v>935559649.2299999</v>
      </c>
      <c r="R41" s="184"/>
      <c r="S41" s="111" t="s">
        <v>119</v>
      </c>
    </row>
    <row r="44" spans="1:23" x14ac:dyDescent="0.2">
      <c r="D44" s="112">
        <f>SUM(D10:D38)</f>
        <v>1608085</v>
      </c>
      <c r="O44" s="112">
        <f>SUM(O10:O38)</f>
        <v>1608267.72</v>
      </c>
      <c r="Q44" t="b">
        <f>F39=Q39</f>
        <v>1</v>
      </c>
    </row>
    <row r="45" spans="1:23" x14ac:dyDescent="0.2">
      <c r="Q45" t="b">
        <f>Q39='Products for specification 2'!N33</f>
        <v>1</v>
      </c>
    </row>
    <row r="48" spans="1:23" x14ac:dyDescent="0.2">
      <c r="O48" s="112">
        <f>O44-D44</f>
        <v>182.71999999997206</v>
      </c>
    </row>
    <row r="51" spans="12:23" ht="13.5" thickBot="1" x14ac:dyDescent="0.25">
      <c r="L51" s="185" t="s">
        <v>95</v>
      </c>
      <c r="M51" s="185"/>
      <c r="N51" s="185"/>
      <c r="O51" s="185"/>
      <c r="P51" s="185"/>
      <c r="Q51" s="185"/>
      <c r="R51" s="185"/>
      <c r="S51" s="185"/>
    </row>
    <row r="52" spans="12:23" x14ac:dyDescent="0.2">
      <c r="L52" s="164" t="s">
        <v>96</v>
      </c>
      <c r="M52" s="186"/>
      <c r="N52" s="186"/>
      <c r="O52" s="165"/>
      <c r="P52" s="79" t="s">
        <v>97</v>
      </c>
      <c r="Q52" s="168" t="s">
        <v>98</v>
      </c>
      <c r="R52" s="187"/>
      <c r="S52" s="169"/>
    </row>
    <row r="53" spans="12:23" ht="13.5" thickBot="1" x14ac:dyDescent="0.25">
      <c r="L53" s="189" t="s">
        <v>99</v>
      </c>
      <c r="M53" s="190"/>
      <c r="N53" s="190"/>
      <c r="O53" s="191"/>
      <c r="P53" s="83" t="s">
        <v>100</v>
      </c>
      <c r="Q53" s="170"/>
      <c r="R53" s="188"/>
      <c r="S53" s="171"/>
    </row>
    <row r="54" spans="12:23" x14ac:dyDescent="0.2">
      <c r="L54" s="164" t="s">
        <v>101</v>
      </c>
      <c r="M54" s="165"/>
      <c r="N54" s="168"/>
      <c r="O54" s="169"/>
      <c r="P54" s="85" t="s">
        <v>102</v>
      </c>
      <c r="Q54" s="172">
        <v>8260</v>
      </c>
      <c r="R54" s="172" t="s">
        <v>103</v>
      </c>
      <c r="S54" s="172" t="s">
        <v>104</v>
      </c>
    </row>
    <row r="55" spans="12:23" ht="13.5" thickBot="1" x14ac:dyDescent="0.25">
      <c r="L55" s="166"/>
      <c r="M55" s="167"/>
      <c r="N55" s="170"/>
      <c r="O55" s="171"/>
      <c r="P55" s="82" t="s">
        <v>105</v>
      </c>
      <c r="Q55" s="173"/>
      <c r="R55" s="173"/>
      <c r="S55" s="173"/>
    </row>
    <row r="56" spans="12:23" x14ac:dyDescent="0.2">
      <c r="L56" s="172" t="s">
        <v>106</v>
      </c>
      <c r="M56" s="87" t="s">
        <v>107</v>
      </c>
      <c r="N56" s="87" t="s">
        <v>108</v>
      </c>
      <c r="O56" s="87" t="s">
        <v>109</v>
      </c>
      <c r="P56" s="87" t="s">
        <v>110</v>
      </c>
      <c r="Q56" s="172" t="s">
        <v>111</v>
      </c>
      <c r="R56" s="87" t="s">
        <v>112</v>
      </c>
      <c r="S56" s="172" t="s">
        <v>113</v>
      </c>
    </row>
    <row r="57" spans="12:23" x14ac:dyDescent="0.2">
      <c r="L57" s="174"/>
      <c r="M57" s="87" t="s">
        <v>114</v>
      </c>
      <c r="N57" s="87" t="s">
        <v>115</v>
      </c>
      <c r="O57" s="87" t="s">
        <v>116</v>
      </c>
      <c r="P57" s="87" t="s">
        <v>117</v>
      </c>
      <c r="Q57" s="174"/>
      <c r="R57" s="87" t="s">
        <v>118</v>
      </c>
      <c r="S57" s="174"/>
    </row>
    <row r="58" spans="12:23" x14ac:dyDescent="0.2">
      <c r="L58" s="174"/>
      <c r="M58" s="160"/>
      <c r="N58" s="160"/>
      <c r="O58" s="160"/>
      <c r="P58" s="160"/>
      <c r="Q58" s="87" t="s">
        <v>119</v>
      </c>
      <c r="R58" s="87" t="s">
        <v>119</v>
      </c>
      <c r="S58" s="174"/>
    </row>
    <row r="59" spans="12:23" ht="44.25" customHeight="1" x14ac:dyDescent="0.2">
      <c r="L59" s="161" t="s">
        <v>161</v>
      </c>
      <c r="M59" s="134"/>
      <c r="N59" s="162" t="s">
        <v>163</v>
      </c>
      <c r="O59" s="163">
        <v>106</v>
      </c>
      <c r="P59" s="163" t="s">
        <v>164</v>
      </c>
      <c r="Q59" s="134"/>
      <c r="R59" s="134"/>
      <c r="S59" s="134"/>
      <c r="W59" s="106" t="s">
        <v>123</v>
      </c>
    </row>
    <row r="60" spans="12:23" ht="43.5" customHeight="1" x14ac:dyDescent="0.2">
      <c r="L60" s="161" t="s">
        <v>162</v>
      </c>
      <c r="M60" s="134"/>
      <c r="N60" s="162" t="s">
        <v>165</v>
      </c>
      <c r="O60" s="163">
        <v>16</v>
      </c>
      <c r="P60" s="163" t="s">
        <v>164</v>
      </c>
      <c r="Q60" s="134"/>
      <c r="R60" s="134"/>
      <c r="S60" s="134"/>
      <c r="W60" s="106" t="s">
        <v>123</v>
      </c>
    </row>
  </sheetData>
  <mergeCells count="48">
    <mergeCell ref="A2:H2"/>
    <mergeCell ref="L2:S2"/>
    <mergeCell ref="A3:D3"/>
    <mergeCell ref="F3:H4"/>
    <mergeCell ref="L3:O3"/>
    <mergeCell ref="Q3:S4"/>
    <mergeCell ref="A4:D4"/>
    <mergeCell ref="L4:O4"/>
    <mergeCell ref="N5:O6"/>
    <mergeCell ref="Q5:Q6"/>
    <mergeCell ref="R5:R6"/>
    <mergeCell ref="S5:S6"/>
    <mergeCell ref="A7:A9"/>
    <mergeCell ref="F7:F8"/>
    <mergeCell ref="H7:H9"/>
    <mergeCell ref="L7:L9"/>
    <mergeCell ref="Q7:Q8"/>
    <mergeCell ref="S7:S9"/>
    <mergeCell ref="A5:B6"/>
    <mergeCell ref="C5:D6"/>
    <mergeCell ref="F5:F6"/>
    <mergeCell ref="G5:G6"/>
    <mergeCell ref="H5:H6"/>
    <mergeCell ref="L5:M6"/>
    <mergeCell ref="A39:E39"/>
    <mergeCell ref="F39:G39"/>
    <mergeCell ref="L39:P39"/>
    <mergeCell ref="Q39:R39"/>
    <mergeCell ref="A40:E40"/>
    <mergeCell ref="F40:G40"/>
    <mergeCell ref="L40:P40"/>
    <mergeCell ref="Q40:R40"/>
    <mergeCell ref="L56:L58"/>
    <mergeCell ref="Q56:Q57"/>
    <mergeCell ref="S56:S58"/>
    <mergeCell ref="A41:E41"/>
    <mergeCell ref="F41:G41"/>
    <mergeCell ref="L41:P41"/>
    <mergeCell ref="Q41:R41"/>
    <mergeCell ref="L51:S51"/>
    <mergeCell ref="L52:O52"/>
    <mergeCell ref="Q52:S53"/>
    <mergeCell ref="L53:O53"/>
    <mergeCell ref="L54:M55"/>
    <mergeCell ref="N54:O55"/>
    <mergeCell ref="Q54:Q55"/>
    <mergeCell ref="R54:R55"/>
    <mergeCell ref="S54:S55"/>
  </mergeCells>
  <conditionalFormatting sqref="J10:J38">
    <cfRule type="cellIs" dxfId="1" priority="3" operator="equal">
      <formula>FALSE</formula>
    </cfRule>
  </conditionalFormatting>
  <conditionalFormatting sqref="U10:V38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D654-08B5-4DD7-B5CE-5827599F7114}">
  <sheetPr>
    <pageSetUpPr fitToPage="1"/>
  </sheetPr>
  <dimension ref="A1:Q38"/>
  <sheetViews>
    <sheetView topLeftCell="A9" zoomScaleNormal="100" workbookViewId="0">
      <selection activeCell="E32" activeCellId="1" sqref="E19:E29 E32"/>
    </sheetView>
  </sheetViews>
  <sheetFormatPr defaultRowHeight="12.75" outlineLevelCol="1" x14ac:dyDescent="0.2"/>
  <cols>
    <col min="1" max="1" width="4.85546875" bestFit="1" customWidth="1"/>
    <col min="2" max="2" width="9.85546875" customWidth="1"/>
    <col min="3" max="3" width="71.28515625" customWidth="1"/>
    <col min="4" max="4" width="4.85546875" customWidth="1"/>
    <col min="5" max="5" width="10.42578125" customWidth="1"/>
    <col min="8" max="8" width="3.140625" customWidth="1"/>
    <col min="9" max="9" width="9.140625" customWidth="1" outlineLevel="1"/>
    <col min="10" max="12" width="10.28515625" customWidth="1" outlineLevel="1"/>
    <col min="13" max="15" width="9.140625" customWidth="1" outlineLevel="1"/>
    <col min="16" max="16" width="9.5703125" customWidth="1" outlineLevel="1"/>
    <col min="17" max="17" width="10.28515625" bestFit="1" customWidth="1"/>
    <col min="18" max="18" width="3" customWidth="1"/>
    <col min="19" max="19" width="16.42578125" customWidth="1"/>
  </cols>
  <sheetData>
    <row r="1" spans="1:17" x14ac:dyDescent="0.2">
      <c r="I1" s="211" t="s">
        <v>153</v>
      </c>
      <c r="J1" s="212"/>
      <c r="K1" s="212"/>
      <c r="L1" s="212"/>
      <c r="M1" s="212"/>
      <c r="N1" s="212"/>
      <c r="O1" s="212"/>
      <c r="P1" s="212"/>
      <c r="Q1" s="113"/>
    </row>
    <row r="2" spans="1:17" ht="13.5" thickBot="1" x14ac:dyDescent="0.25">
      <c r="B2" s="1"/>
      <c r="I2" s="213" t="s">
        <v>154</v>
      </c>
      <c r="J2" s="214"/>
      <c r="K2" s="214"/>
      <c r="L2" s="214" t="s">
        <v>155</v>
      </c>
      <c r="M2" s="214"/>
      <c r="N2" s="214"/>
      <c r="O2" s="214"/>
      <c r="P2" s="114" t="s">
        <v>156</v>
      </c>
      <c r="Q2" s="115"/>
    </row>
    <row r="3" spans="1:17" ht="48" customHeight="1" thickBot="1" x14ac:dyDescent="0.25">
      <c r="A3" s="2" t="s">
        <v>69</v>
      </c>
      <c r="B3" s="43" t="s">
        <v>70</v>
      </c>
      <c r="C3" s="116" t="s">
        <v>9</v>
      </c>
      <c r="D3" s="43" t="s">
        <v>77</v>
      </c>
      <c r="E3" s="43" t="s">
        <v>76</v>
      </c>
      <c r="F3" s="43" t="s">
        <v>75</v>
      </c>
      <c r="G3" s="43" t="s">
        <v>78</v>
      </c>
      <c r="I3" s="117">
        <v>29</v>
      </c>
      <c r="J3" s="118">
        <v>30</v>
      </c>
      <c r="K3" s="118">
        <v>31</v>
      </c>
      <c r="L3" s="118">
        <v>32</v>
      </c>
      <c r="M3" s="118">
        <v>33</v>
      </c>
      <c r="N3" s="118">
        <v>34</v>
      </c>
      <c r="O3" s="118">
        <v>35</v>
      </c>
      <c r="P3" s="43" t="s">
        <v>157</v>
      </c>
      <c r="Q3" s="119" t="s">
        <v>158</v>
      </c>
    </row>
    <row r="4" spans="1:17" ht="14.25" customHeight="1" x14ac:dyDescent="0.2">
      <c r="A4" s="120" t="s">
        <v>40</v>
      </c>
      <c r="B4" s="121">
        <v>10081103</v>
      </c>
      <c r="C4" s="122" t="s">
        <v>25</v>
      </c>
      <c r="D4" s="123" t="s">
        <v>72</v>
      </c>
      <c r="E4" s="124">
        <v>100464</v>
      </c>
      <c r="F4" s="124">
        <v>483</v>
      </c>
      <c r="G4" s="125">
        <v>208</v>
      </c>
      <c r="I4" s="126"/>
      <c r="J4" s="38">
        <v>40000</v>
      </c>
      <c r="K4" s="38">
        <v>40000</v>
      </c>
      <c r="L4" s="38">
        <v>20464</v>
      </c>
      <c r="M4" s="127"/>
      <c r="N4" s="127"/>
      <c r="O4" s="127"/>
      <c r="P4" s="127"/>
      <c r="Q4" s="128">
        <f>SUM(I4:P4)</f>
        <v>100464</v>
      </c>
    </row>
    <row r="5" spans="1:17" ht="14.25" customHeight="1" x14ac:dyDescent="0.2">
      <c r="A5" s="22" t="s">
        <v>41</v>
      </c>
      <c r="B5" s="129">
        <v>13621101</v>
      </c>
      <c r="C5" s="130" t="s">
        <v>13</v>
      </c>
      <c r="D5" s="3" t="s">
        <v>72</v>
      </c>
      <c r="E5" s="4">
        <v>20176</v>
      </c>
      <c r="F5" s="4">
        <v>97</v>
      </c>
      <c r="G5" s="131">
        <v>208</v>
      </c>
      <c r="I5" s="132"/>
      <c r="J5" s="133">
        <f>E5</f>
        <v>20176</v>
      </c>
      <c r="K5" s="134"/>
      <c r="L5" s="134"/>
      <c r="M5" s="134"/>
      <c r="N5" s="134"/>
      <c r="O5" s="134"/>
      <c r="P5" s="134"/>
      <c r="Q5" s="135">
        <f t="shared" ref="Q5:Q32" si="0">SUM(I5:P5)</f>
        <v>20176</v>
      </c>
    </row>
    <row r="6" spans="1:17" ht="14.25" customHeight="1" x14ac:dyDescent="0.2">
      <c r="A6" s="22" t="s">
        <v>42</v>
      </c>
      <c r="B6" s="129">
        <v>14021101</v>
      </c>
      <c r="C6" s="130" t="s">
        <v>38</v>
      </c>
      <c r="D6" s="3" t="s">
        <v>72</v>
      </c>
      <c r="E6" s="4">
        <v>1664</v>
      </c>
      <c r="F6" s="4">
        <v>8</v>
      </c>
      <c r="G6" s="131">
        <v>208</v>
      </c>
      <c r="I6" s="132"/>
      <c r="J6" s="133">
        <f>E6</f>
        <v>1664</v>
      </c>
      <c r="K6" s="134"/>
      <c r="L6" s="134"/>
      <c r="M6" s="134"/>
      <c r="N6" s="134"/>
      <c r="O6" s="134"/>
      <c r="P6" s="134"/>
      <c r="Q6" s="135">
        <f t="shared" si="0"/>
        <v>1664</v>
      </c>
    </row>
    <row r="7" spans="1:17" ht="14.25" customHeight="1" x14ac:dyDescent="0.2">
      <c r="A7" s="22" t="s">
        <v>43</v>
      </c>
      <c r="B7" s="129">
        <v>14111101</v>
      </c>
      <c r="C7" s="130" t="s">
        <v>39</v>
      </c>
      <c r="D7" s="3" t="s">
        <v>72</v>
      </c>
      <c r="E7" s="4">
        <v>4160</v>
      </c>
      <c r="F7" s="4">
        <v>20</v>
      </c>
      <c r="G7" s="131">
        <v>208</v>
      </c>
      <c r="I7" s="132"/>
      <c r="J7" s="134"/>
      <c r="K7" s="134">
        <v>4160</v>
      </c>
      <c r="L7" s="134"/>
      <c r="M7" s="134"/>
      <c r="N7" s="134"/>
      <c r="O7" s="134"/>
      <c r="P7" s="134"/>
      <c r="Q7" s="135">
        <f t="shared" si="0"/>
        <v>4160</v>
      </c>
    </row>
    <row r="8" spans="1:17" ht="14.25" customHeight="1" x14ac:dyDescent="0.2">
      <c r="A8" s="22" t="s">
        <v>44</v>
      </c>
      <c r="B8" s="129">
        <v>12001101</v>
      </c>
      <c r="C8" s="130" t="s">
        <v>35</v>
      </c>
      <c r="D8" s="3" t="s">
        <v>72</v>
      </c>
      <c r="E8" s="4">
        <v>6448</v>
      </c>
      <c r="F8" s="4">
        <v>31</v>
      </c>
      <c r="G8" s="131">
        <v>208</v>
      </c>
      <c r="I8" s="132"/>
      <c r="J8" s="133">
        <f>E8</f>
        <v>6448</v>
      </c>
      <c r="K8" s="134"/>
      <c r="L8" s="134"/>
      <c r="M8" s="134"/>
      <c r="N8" s="134"/>
      <c r="O8" s="134"/>
      <c r="P8" s="134"/>
      <c r="Q8" s="135">
        <f t="shared" si="0"/>
        <v>6448</v>
      </c>
    </row>
    <row r="9" spans="1:17" ht="14.25" customHeight="1" x14ac:dyDescent="0.2">
      <c r="A9" s="22" t="s">
        <v>45</v>
      </c>
      <c r="B9" s="129">
        <v>1495990</v>
      </c>
      <c r="C9" s="130" t="s">
        <v>1</v>
      </c>
      <c r="D9" s="3" t="s">
        <v>72</v>
      </c>
      <c r="E9" s="4">
        <v>147159</v>
      </c>
      <c r="F9" s="4">
        <v>747</v>
      </c>
      <c r="G9" s="136">
        <v>197</v>
      </c>
      <c r="I9" s="132"/>
      <c r="J9" s="134"/>
      <c r="K9" s="134"/>
      <c r="L9" s="134"/>
      <c r="M9" s="134"/>
      <c r="N9" s="133">
        <f>E9/2</f>
        <v>73579.5</v>
      </c>
      <c r="O9" s="133">
        <f>N9</f>
        <v>73579.5</v>
      </c>
      <c r="P9" s="134"/>
      <c r="Q9" s="135">
        <f t="shared" si="0"/>
        <v>147159</v>
      </c>
    </row>
    <row r="10" spans="1:17" ht="14.25" customHeight="1" x14ac:dyDescent="0.2">
      <c r="A10" s="22" t="s">
        <v>46</v>
      </c>
      <c r="B10" s="129">
        <v>14121101</v>
      </c>
      <c r="C10" s="130" t="s">
        <v>37</v>
      </c>
      <c r="D10" s="3" t="s">
        <v>72</v>
      </c>
      <c r="E10" s="4">
        <v>44304</v>
      </c>
      <c r="F10" s="4">
        <v>213</v>
      </c>
      <c r="G10" s="131">
        <v>208</v>
      </c>
      <c r="I10" s="132"/>
      <c r="J10" s="133">
        <f>E10/2</f>
        <v>22152</v>
      </c>
      <c r="K10" s="133">
        <f>J10</f>
        <v>22152</v>
      </c>
      <c r="L10" s="134"/>
      <c r="M10" s="134"/>
      <c r="N10" s="134"/>
      <c r="O10" s="134"/>
      <c r="P10" s="134"/>
      <c r="Q10" s="135">
        <f t="shared" si="0"/>
        <v>44304</v>
      </c>
    </row>
    <row r="11" spans="1:17" ht="14.25" customHeight="1" x14ac:dyDescent="0.2">
      <c r="A11" s="22" t="s">
        <v>47</v>
      </c>
      <c r="B11" s="129">
        <v>14131101</v>
      </c>
      <c r="C11" s="130" t="s">
        <v>14</v>
      </c>
      <c r="D11" s="3" t="s">
        <v>72</v>
      </c>
      <c r="E11" s="4">
        <v>48880</v>
      </c>
      <c r="F11" s="4">
        <v>235</v>
      </c>
      <c r="G11" s="131">
        <v>208</v>
      </c>
      <c r="I11" s="132"/>
      <c r="J11" s="4">
        <v>24440</v>
      </c>
      <c r="K11" s="4">
        <v>24440</v>
      </c>
      <c r="L11" s="134"/>
      <c r="M11" s="134"/>
      <c r="N11" s="134"/>
      <c r="O11" s="134"/>
      <c r="P11" s="134"/>
      <c r="Q11" s="135">
        <f t="shared" si="0"/>
        <v>48880</v>
      </c>
    </row>
    <row r="12" spans="1:17" ht="14.25" customHeight="1" x14ac:dyDescent="0.2">
      <c r="A12" s="22" t="s">
        <v>48</v>
      </c>
      <c r="B12" s="129">
        <v>14141101</v>
      </c>
      <c r="C12" s="130" t="s">
        <v>15</v>
      </c>
      <c r="D12" s="3" t="s">
        <v>72</v>
      </c>
      <c r="E12" s="4">
        <v>105664</v>
      </c>
      <c r="F12" s="4">
        <v>508</v>
      </c>
      <c r="G12" s="131">
        <v>208</v>
      </c>
      <c r="I12" s="132"/>
      <c r="J12" s="134"/>
      <c r="K12" s="133">
        <f>L12</f>
        <v>35221.333333333336</v>
      </c>
      <c r="L12" s="133">
        <f>E12/3</f>
        <v>35221.333333333336</v>
      </c>
      <c r="M12" s="133">
        <f>L12</f>
        <v>35221.333333333336</v>
      </c>
      <c r="N12" s="134"/>
      <c r="O12" s="134"/>
      <c r="P12" s="134"/>
      <c r="Q12" s="135">
        <f t="shared" si="0"/>
        <v>105664</v>
      </c>
    </row>
    <row r="13" spans="1:17" ht="14.25" customHeight="1" x14ac:dyDescent="0.2">
      <c r="A13" s="22" t="s">
        <v>49</v>
      </c>
      <c r="B13" s="129">
        <v>14151101</v>
      </c>
      <c r="C13" s="130" t="s">
        <v>16</v>
      </c>
      <c r="D13" s="3" t="s">
        <v>72</v>
      </c>
      <c r="E13" s="4">
        <v>636688</v>
      </c>
      <c r="F13" s="4">
        <v>3061</v>
      </c>
      <c r="G13" s="131">
        <v>208</v>
      </c>
      <c r="I13" s="132"/>
      <c r="J13" s="134"/>
      <c r="K13" s="134"/>
      <c r="L13" s="133">
        <f>E13/4</f>
        <v>159172</v>
      </c>
      <c r="M13" s="133">
        <f>L13</f>
        <v>159172</v>
      </c>
      <c r="N13" s="133">
        <f>M13</f>
        <v>159172</v>
      </c>
      <c r="O13" s="133">
        <f>N13</f>
        <v>159172</v>
      </c>
      <c r="P13" s="134"/>
      <c r="Q13" s="135">
        <f t="shared" si="0"/>
        <v>636688</v>
      </c>
    </row>
    <row r="14" spans="1:17" ht="14.25" customHeight="1" x14ac:dyDescent="0.2">
      <c r="A14" s="22" t="s">
        <v>50</v>
      </c>
      <c r="B14" s="129">
        <v>14161101</v>
      </c>
      <c r="C14" s="130" t="s">
        <v>17</v>
      </c>
      <c r="D14" s="3" t="s">
        <v>72</v>
      </c>
      <c r="E14" s="4">
        <v>26832</v>
      </c>
      <c r="F14" s="4">
        <v>129</v>
      </c>
      <c r="G14" s="131">
        <v>208</v>
      </c>
      <c r="I14" s="132"/>
      <c r="J14" s="134"/>
      <c r="K14" s="133">
        <f>E14</f>
        <v>26832</v>
      </c>
      <c r="L14" s="134"/>
      <c r="M14" s="134"/>
      <c r="N14" s="134"/>
      <c r="O14" s="134"/>
      <c r="P14" s="134"/>
      <c r="Q14" s="135">
        <f t="shared" si="0"/>
        <v>26832</v>
      </c>
    </row>
    <row r="15" spans="1:17" ht="14.25" customHeight="1" x14ac:dyDescent="0.2">
      <c r="A15" s="22" t="s">
        <v>51</v>
      </c>
      <c r="B15" s="129">
        <v>14171101</v>
      </c>
      <c r="C15" s="130" t="s">
        <v>18</v>
      </c>
      <c r="D15" s="3" t="s">
        <v>72</v>
      </c>
      <c r="E15" s="4">
        <v>7072</v>
      </c>
      <c r="F15" s="4">
        <v>34</v>
      </c>
      <c r="G15" s="131">
        <v>208</v>
      </c>
      <c r="I15" s="132"/>
      <c r="J15" s="133">
        <f>E15</f>
        <v>7072</v>
      </c>
      <c r="K15" s="134"/>
      <c r="L15" s="134"/>
      <c r="M15" s="134"/>
      <c r="N15" s="134"/>
      <c r="O15" s="134"/>
      <c r="P15" s="134"/>
      <c r="Q15" s="135">
        <f t="shared" si="0"/>
        <v>7072</v>
      </c>
    </row>
    <row r="16" spans="1:17" ht="14.25" customHeight="1" x14ac:dyDescent="0.2">
      <c r="A16" s="22" t="s">
        <v>52</v>
      </c>
      <c r="B16" s="129">
        <v>3475721</v>
      </c>
      <c r="C16" s="130" t="s">
        <v>2</v>
      </c>
      <c r="D16" s="3" t="s">
        <v>72</v>
      </c>
      <c r="E16" s="4">
        <v>14205.72</v>
      </c>
      <c r="F16" s="4">
        <v>69</v>
      </c>
      <c r="G16" s="137">
        <v>205.88</v>
      </c>
      <c r="I16" s="132"/>
      <c r="J16" s="134"/>
      <c r="K16" s="134"/>
      <c r="L16" s="133">
        <f>E16</f>
        <v>14205.72</v>
      </c>
      <c r="M16" s="134"/>
      <c r="N16" s="134"/>
      <c r="O16" s="134"/>
      <c r="P16" s="134"/>
      <c r="Q16" s="135">
        <f t="shared" si="0"/>
        <v>14205.72</v>
      </c>
    </row>
    <row r="17" spans="1:17" ht="14.25" customHeight="1" x14ac:dyDescent="0.2">
      <c r="A17" s="22" t="s">
        <v>53</v>
      </c>
      <c r="B17" s="129">
        <v>12311101</v>
      </c>
      <c r="C17" s="130" t="s">
        <v>20</v>
      </c>
      <c r="D17" s="3" t="s">
        <v>72</v>
      </c>
      <c r="E17" s="4">
        <v>1872</v>
      </c>
      <c r="F17" s="4">
        <v>9</v>
      </c>
      <c r="G17" s="131">
        <v>208</v>
      </c>
      <c r="I17" s="132"/>
      <c r="J17" s="133">
        <f>E17</f>
        <v>1872</v>
      </c>
      <c r="K17" s="134"/>
      <c r="L17" s="134"/>
      <c r="M17" s="134"/>
      <c r="N17" s="134"/>
      <c r="O17" s="134"/>
      <c r="P17" s="134"/>
      <c r="Q17" s="135">
        <f t="shared" si="0"/>
        <v>1872</v>
      </c>
    </row>
    <row r="18" spans="1:17" ht="14.25" customHeight="1" x14ac:dyDescent="0.2">
      <c r="A18" s="22" t="s">
        <v>54</v>
      </c>
      <c r="B18" s="129">
        <v>14191101</v>
      </c>
      <c r="C18" s="130" t="s">
        <v>19</v>
      </c>
      <c r="D18" s="3" t="s">
        <v>72</v>
      </c>
      <c r="E18" s="4">
        <v>285584</v>
      </c>
      <c r="F18" s="4">
        <v>1373</v>
      </c>
      <c r="G18" s="131">
        <v>208</v>
      </c>
      <c r="I18" s="132"/>
      <c r="K18" s="133">
        <f>E18/4</f>
        <v>71396</v>
      </c>
      <c r="L18" s="133">
        <f>K18</f>
        <v>71396</v>
      </c>
      <c r="M18" s="133">
        <f>L18</f>
        <v>71396</v>
      </c>
      <c r="N18" s="133">
        <f>M18</f>
        <v>71396</v>
      </c>
      <c r="O18" s="134"/>
      <c r="P18" s="134"/>
      <c r="Q18" s="135">
        <f t="shared" si="0"/>
        <v>285584</v>
      </c>
    </row>
    <row r="19" spans="1:17" ht="14.25" customHeight="1" x14ac:dyDescent="0.2">
      <c r="A19" s="22" t="s">
        <v>55</v>
      </c>
      <c r="B19" s="129">
        <v>1558960</v>
      </c>
      <c r="C19" s="130" t="s">
        <v>3</v>
      </c>
      <c r="D19" s="3" t="s">
        <v>73</v>
      </c>
      <c r="E19" s="4">
        <v>19260</v>
      </c>
      <c r="F19" s="4">
        <v>107</v>
      </c>
      <c r="G19" s="137">
        <v>180</v>
      </c>
      <c r="I19" s="132"/>
      <c r="J19" s="134"/>
      <c r="K19" s="134"/>
      <c r="L19" s="133">
        <f>E19/4</f>
        <v>4815</v>
      </c>
      <c r="M19" s="133">
        <f>L19</f>
        <v>4815</v>
      </c>
      <c r="N19" s="133">
        <f>M19</f>
        <v>4815</v>
      </c>
      <c r="O19" s="133">
        <f>N19</f>
        <v>4815</v>
      </c>
      <c r="P19" s="134"/>
      <c r="Q19" s="135">
        <f t="shared" si="0"/>
        <v>19260</v>
      </c>
    </row>
    <row r="20" spans="1:17" ht="14.25" customHeight="1" x14ac:dyDescent="0.2">
      <c r="A20" s="22" t="s">
        <v>56</v>
      </c>
      <c r="B20" s="129">
        <v>1558966</v>
      </c>
      <c r="C20" s="130" t="s">
        <v>4</v>
      </c>
      <c r="D20" s="3" t="s">
        <v>73</v>
      </c>
      <c r="E20" s="4">
        <v>44820</v>
      </c>
      <c r="F20" s="4">
        <v>249</v>
      </c>
      <c r="G20" s="137">
        <v>180</v>
      </c>
      <c r="I20" s="132"/>
      <c r="J20" s="134"/>
      <c r="K20" s="134"/>
      <c r="L20" s="133">
        <f t="shared" ref="L20:L28" si="1">E20/4</f>
        <v>11205</v>
      </c>
      <c r="M20" s="133">
        <f t="shared" ref="M20:O28" si="2">L20</f>
        <v>11205</v>
      </c>
      <c r="N20" s="133">
        <f t="shared" si="2"/>
        <v>11205</v>
      </c>
      <c r="O20" s="133">
        <f t="shared" si="2"/>
        <v>11205</v>
      </c>
      <c r="P20" s="134"/>
      <c r="Q20" s="135">
        <f t="shared" si="0"/>
        <v>44820</v>
      </c>
    </row>
    <row r="21" spans="1:17" ht="14.25" customHeight="1" x14ac:dyDescent="0.2">
      <c r="A21" s="22" t="s">
        <v>57</v>
      </c>
      <c r="B21" s="129">
        <v>1682082</v>
      </c>
      <c r="C21" s="130" t="s">
        <v>5</v>
      </c>
      <c r="D21" s="3" t="s">
        <v>73</v>
      </c>
      <c r="E21" s="4">
        <v>10620</v>
      </c>
      <c r="F21" s="4">
        <v>59</v>
      </c>
      <c r="G21" s="137">
        <v>180</v>
      </c>
      <c r="I21" s="132"/>
      <c r="J21" s="134"/>
      <c r="K21" s="134"/>
      <c r="L21" s="133">
        <f t="shared" si="1"/>
        <v>2655</v>
      </c>
      <c r="M21" s="133">
        <f t="shared" si="2"/>
        <v>2655</v>
      </c>
      <c r="N21" s="133">
        <f t="shared" si="2"/>
        <v>2655</v>
      </c>
      <c r="O21" s="133">
        <f t="shared" si="2"/>
        <v>2655</v>
      </c>
      <c r="P21" s="134"/>
      <c r="Q21" s="135">
        <f t="shared" si="0"/>
        <v>10620</v>
      </c>
    </row>
    <row r="22" spans="1:17" ht="14.25" customHeight="1" x14ac:dyDescent="0.2">
      <c r="A22" s="22" t="s">
        <v>58</v>
      </c>
      <c r="B22" s="129">
        <v>1559874</v>
      </c>
      <c r="C22" s="130" t="s">
        <v>6</v>
      </c>
      <c r="D22" s="3" t="s">
        <v>73</v>
      </c>
      <c r="E22" s="4">
        <v>900</v>
      </c>
      <c r="F22" s="4">
        <v>5</v>
      </c>
      <c r="G22" s="137">
        <v>180</v>
      </c>
      <c r="I22" s="132"/>
      <c r="J22" s="134"/>
      <c r="K22" s="134"/>
      <c r="L22" s="133">
        <f t="shared" si="1"/>
        <v>225</v>
      </c>
      <c r="M22" s="133">
        <f t="shared" si="2"/>
        <v>225</v>
      </c>
      <c r="N22" s="133">
        <f t="shared" si="2"/>
        <v>225</v>
      </c>
      <c r="O22" s="133">
        <f t="shared" si="2"/>
        <v>225</v>
      </c>
      <c r="P22" s="134"/>
      <c r="Q22" s="135">
        <f t="shared" si="0"/>
        <v>900</v>
      </c>
    </row>
    <row r="23" spans="1:17" ht="14.25" customHeight="1" x14ac:dyDescent="0.2">
      <c r="A23" s="22" t="s">
        <v>59</v>
      </c>
      <c r="B23" s="129">
        <v>1682082</v>
      </c>
      <c r="C23" s="130" t="s">
        <v>5</v>
      </c>
      <c r="D23" s="3" t="s">
        <v>73</v>
      </c>
      <c r="E23" s="4">
        <v>2160</v>
      </c>
      <c r="F23" s="4">
        <v>12</v>
      </c>
      <c r="G23" s="137">
        <v>180</v>
      </c>
      <c r="I23" s="132"/>
      <c r="J23" s="134"/>
      <c r="K23" s="134"/>
      <c r="L23" s="133">
        <f t="shared" si="1"/>
        <v>540</v>
      </c>
      <c r="M23" s="133">
        <f t="shared" si="2"/>
        <v>540</v>
      </c>
      <c r="N23" s="133">
        <f t="shared" si="2"/>
        <v>540</v>
      </c>
      <c r="O23" s="133">
        <f t="shared" si="2"/>
        <v>540</v>
      </c>
      <c r="P23" s="134"/>
      <c r="Q23" s="135">
        <f t="shared" si="0"/>
        <v>2160</v>
      </c>
    </row>
    <row r="24" spans="1:17" ht="14.25" customHeight="1" x14ac:dyDescent="0.2">
      <c r="A24" s="22" t="s">
        <v>60</v>
      </c>
      <c r="B24" s="129">
        <v>1683355</v>
      </c>
      <c r="C24" s="130" t="s">
        <v>7</v>
      </c>
      <c r="D24" s="3" t="s">
        <v>73</v>
      </c>
      <c r="E24" s="4">
        <v>10080</v>
      </c>
      <c r="F24" s="4">
        <v>56</v>
      </c>
      <c r="G24" s="137">
        <v>180</v>
      </c>
      <c r="I24" s="132"/>
      <c r="J24" s="134"/>
      <c r="K24" s="134"/>
      <c r="L24" s="133">
        <f t="shared" si="1"/>
        <v>2520</v>
      </c>
      <c r="M24" s="133">
        <f t="shared" si="2"/>
        <v>2520</v>
      </c>
      <c r="N24" s="133">
        <f t="shared" si="2"/>
        <v>2520</v>
      </c>
      <c r="O24" s="133">
        <f t="shared" si="2"/>
        <v>2520</v>
      </c>
      <c r="P24" s="134"/>
      <c r="Q24" s="135">
        <f t="shared" si="0"/>
        <v>10080</v>
      </c>
    </row>
    <row r="25" spans="1:17" ht="14.25" customHeight="1" x14ac:dyDescent="0.2">
      <c r="A25" s="22" t="s">
        <v>61</v>
      </c>
      <c r="B25" s="129">
        <v>1683355</v>
      </c>
      <c r="C25" s="130" t="s">
        <v>7</v>
      </c>
      <c r="D25" s="3" t="s">
        <v>73</v>
      </c>
      <c r="E25" s="4">
        <v>10080</v>
      </c>
      <c r="F25" s="4">
        <v>56</v>
      </c>
      <c r="G25" s="137">
        <v>180</v>
      </c>
      <c r="I25" s="132"/>
      <c r="J25" s="134"/>
      <c r="K25" s="134"/>
      <c r="L25" s="133">
        <f t="shared" si="1"/>
        <v>2520</v>
      </c>
      <c r="M25" s="133">
        <f t="shared" si="2"/>
        <v>2520</v>
      </c>
      <c r="N25" s="133">
        <f t="shared" si="2"/>
        <v>2520</v>
      </c>
      <c r="O25" s="133">
        <f t="shared" si="2"/>
        <v>2520</v>
      </c>
      <c r="P25" s="134"/>
      <c r="Q25" s="135">
        <f t="shared" si="0"/>
        <v>10080</v>
      </c>
    </row>
    <row r="26" spans="1:17" ht="14.25" customHeight="1" x14ac:dyDescent="0.2">
      <c r="A26" s="22" t="s">
        <v>62</v>
      </c>
      <c r="B26" s="129">
        <v>1615722</v>
      </c>
      <c r="C26" s="130" t="s">
        <v>8</v>
      </c>
      <c r="D26" s="3" t="s">
        <v>73</v>
      </c>
      <c r="E26" s="4">
        <v>12780</v>
      </c>
      <c r="F26" s="4">
        <v>71</v>
      </c>
      <c r="G26" s="137">
        <v>180</v>
      </c>
      <c r="I26" s="132"/>
      <c r="J26" s="134"/>
      <c r="K26" s="134"/>
      <c r="L26" s="133">
        <f t="shared" si="1"/>
        <v>3195</v>
      </c>
      <c r="M26" s="133">
        <f t="shared" si="2"/>
        <v>3195</v>
      </c>
      <c r="N26" s="133">
        <f t="shared" si="2"/>
        <v>3195</v>
      </c>
      <c r="O26" s="133">
        <f t="shared" si="2"/>
        <v>3195</v>
      </c>
      <c r="P26" s="134"/>
      <c r="Q26" s="135">
        <f t="shared" si="0"/>
        <v>12780</v>
      </c>
    </row>
    <row r="27" spans="1:17" ht="14.25" customHeight="1" x14ac:dyDescent="0.2">
      <c r="A27" s="22" t="s">
        <v>63</v>
      </c>
      <c r="B27" s="129">
        <v>1615401</v>
      </c>
      <c r="C27" s="130" t="s">
        <v>8</v>
      </c>
      <c r="D27" s="3" t="s">
        <v>73</v>
      </c>
      <c r="E27" s="4">
        <v>4224</v>
      </c>
      <c r="F27" s="4">
        <v>10560</v>
      </c>
      <c r="G27" s="137">
        <v>0.4</v>
      </c>
      <c r="I27" s="132"/>
      <c r="J27" s="134"/>
      <c r="K27" s="134"/>
      <c r="L27" s="133">
        <f>E27</f>
        <v>4224</v>
      </c>
      <c r="M27" s="133"/>
      <c r="N27" s="134"/>
      <c r="O27" s="133"/>
      <c r="P27" s="134"/>
      <c r="Q27" s="135">
        <f t="shared" si="0"/>
        <v>4224</v>
      </c>
    </row>
    <row r="28" spans="1:17" ht="14.25" customHeight="1" x14ac:dyDescent="0.2">
      <c r="A28" s="22" t="s">
        <v>64</v>
      </c>
      <c r="B28" s="129">
        <v>1755295</v>
      </c>
      <c r="C28" s="130" t="s">
        <v>10</v>
      </c>
      <c r="D28" s="3" t="s">
        <v>73</v>
      </c>
      <c r="E28" s="4">
        <v>29520</v>
      </c>
      <c r="F28" s="4">
        <v>164</v>
      </c>
      <c r="G28" s="137">
        <v>180</v>
      </c>
      <c r="I28" s="132"/>
      <c r="J28" s="134"/>
      <c r="K28" s="134"/>
      <c r="L28" s="133">
        <f t="shared" si="1"/>
        <v>7380</v>
      </c>
      <c r="M28" s="133">
        <f t="shared" si="2"/>
        <v>7380</v>
      </c>
      <c r="N28" s="133">
        <f t="shared" si="2"/>
        <v>7380</v>
      </c>
      <c r="O28" s="133">
        <f t="shared" si="2"/>
        <v>7380</v>
      </c>
      <c r="P28" s="134"/>
      <c r="Q28" s="135">
        <f t="shared" si="0"/>
        <v>29520</v>
      </c>
    </row>
    <row r="29" spans="1:17" ht="14.25" customHeight="1" x14ac:dyDescent="0.2">
      <c r="A29" s="22" t="s">
        <v>65</v>
      </c>
      <c r="B29" s="129">
        <v>1748233</v>
      </c>
      <c r="C29" s="130" t="s">
        <v>11</v>
      </c>
      <c r="D29" s="3" t="s">
        <v>73</v>
      </c>
      <c r="E29" s="4">
        <v>10062</v>
      </c>
      <c r="F29" s="4">
        <v>559</v>
      </c>
      <c r="G29" s="137">
        <v>18</v>
      </c>
      <c r="I29" s="132"/>
      <c r="J29" s="134"/>
      <c r="K29" s="134"/>
      <c r="L29" s="133">
        <f>E29</f>
        <v>10062</v>
      </c>
      <c r="M29" s="133"/>
      <c r="N29" s="134"/>
      <c r="O29" s="133"/>
      <c r="P29" s="134"/>
      <c r="Q29" s="135">
        <f t="shared" si="0"/>
        <v>10062</v>
      </c>
    </row>
    <row r="30" spans="1:17" ht="14.25" customHeight="1" x14ac:dyDescent="0.2">
      <c r="A30" s="22" t="s">
        <v>66</v>
      </c>
      <c r="B30" s="129">
        <v>14220301</v>
      </c>
      <c r="C30" s="130" t="s">
        <v>21</v>
      </c>
      <c r="D30" s="3" t="s">
        <v>72</v>
      </c>
      <c r="E30" s="4">
        <v>100</v>
      </c>
      <c r="F30" s="4">
        <v>100</v>
      </c>
      <c r="G30" s="131">
        <v>1</v>
      </c>
      <c r="I30" s="132"/>
      <c r="J30" s="134"/>
      <c r="K30" s="134"/>
      <c r="L30" s="134"/>
      <c r="M30" s="134"/>
      <c r="N30" s="134"/>
      <c r="O30" s="133">
        <f>E30</f>
        <v>100</v>
      </c>
      <c r="P30" s="134"/>
      <c r="Q30" s="135">
        <f t="shared" si="0"/>
        <v>100</v>
      </c>
    </row>
    <row r="31" spans="1:17" ht="14.25" customHeight="1" x14ac:dyDescent="0.2">
      <c r="A31" s="22" t="s">
        <v>67</v>
      </c>
      <c r="B31" s="129">
        <v>14240401</v>
      </c>
      <c r="C31" s="130" t="s">
        <v>22</v>
      </c>
      <c r="D31" s="3" t="s">
        <v>72</v>
      </c>
      <c r="E31" s="4">
        <v>1000</v>
      </c>
      <c r="F31" s="4">
        <v>500</v>
      </c>
      <c r="G31" s="131">
        <v>2</v>
      </c>
      <c r="I31" s="132"/>
      <c r="J31" s="134"/>
      <c r="K31" s="134"/>
      <c r="L31" s="134"/>
      <c r="M31" s="134"/>
      <c r="N31" s="134"/>
      <c r="O31" s="133">
        <f t="shared" ref="O31:O32" si="3">E31</f>
        <v>1000</v>
      </c>
      <c r="P31" s="134"/>
      <c r="Q31" s="135">
        <f t="shared" si="0"/>
        <v>1000</v>
      </c>
    </row>
    <row r="32" spans="1:17" ht="14.25" customHeight="1" x14ac:dyDescent="0.2">
      <c r="A32" s="138" t="s">
        <v>68</v>
      </c>
      <c r="B32" s="139">
        <v>10050303</v>
      </c>
      <c r="C32" s="140" t="s">
        <v>23</v>
      </c>
      <c r="D32" s="141" t="s">
        <v>72</v>
      </c>
      <c r="E32" s="142">
        <v>1489</v>
      </c>
      <c r="F32" s="142">
        <v>1489</v>
      </c>
      <c r="G32" s="143">
        <v>1</v>
      </c>
      <c r="I32" s="144"/>
      <c r="J32" s="145"/>
      <c r="K32" s="145"/>
      <c r="L32" s="145"/>
      <c r="M32" s="145"/>
      <c r="N32" s="145"/>
      <c r="O32" s="146">
        <f t="shared" si="3"/>
        <v>1489</v>
      </c>
      <c r="P32" s="145"/>
      <c r="Q32" s="115">
        <f t="shared" si="0"/>
        <v>1489</v>
      </c>
    </row>
    <row r="33" spans="1:17" ht="14.25" customHeight="1" thickBot="1" x14ac:dyDescent="0.25">
      <c r="A33" s="147"/>
      <c r="B33" s="148"/>
      <c r="C33" s="149" t="s">
        <v>159</v>
      </c>
      <c r="D33" s="25" t="s">
        <v>160</v>
      </c>
      <c r="E33" s="27">
        <v>106</v>
      </c>
      <c r="F33" s="27">
        <v>106</v>
      </c>
      <c r="G33" s="150">
        <v>1</v>
      </c>
      <c r="H33" s="151"/>
      <c r="I33" s="152"/>
      <c r="J33" s="153">
        <v>8</v>
      </c>
      <c r="K33" s="153">
        <v>14</v>
      </c>
      <c r="L33" s="153">
        <v>23</v>
      </c>
      <c r="M33" s="153">
        <v>20</v>
      </c>
      <c r="N33" s="153">
        <v>22</v>
      </c>
      <c r="O33" s="153">
        <v>19</v>
      </c>
      <c r="P33" s="153"/>
      <c r="Q33" s="154">
        <f>SUM(J33:O33)</f>
        <v>106</v>
      </c>
    </row>
    <row r="34" spans="1:17" ht="13.5" thickBot="1" x14ac:dyDescent="0.25">
      <c r="E34" s="155">
        <f>SUM(E4:E33)</f>
        <v>1608373.72</v>
      </c>
      <c r="I34" s="156">
        <f t="shared" ref="I34:Q34" si="4">SUM(I4:I32)</f>
        <v>0</v>
      </c>
      <c r="J34" s="157">
        <f t="shared" si="4"/>
        <v>123824</v>
      </c>
      <c r="K34" s="157">
        <f t="shared" si="4"/>
        <v>224201.33333333334</v>
      </c>
      <c r="L34" s="157">
        <f t="shared" si="4"/>
        <v>349800.05333333334</v>
      </c>
      <c r="M34" s="157">
        <f t="shared" si="4"/>
        <v>300844.33333333337</v>
      </c>
      <c r="N34" s="157">
        <f t="shared" si="4"/>
        <v>339202.5</v>
      </c>
      <c r="O34" s="157">
        <f t="shared" si="4"/>
        <v>270395.5</v>
      </c>
      <c r="P34" s="157">
        <f t="shared" si="4"/>
        <v>0</v>
      </c>
      <c r="Q34" s="158">
        <f t="shared" si="4"/>
        <v>1608267.72</v>
      </c>
    </row>
    <row r="37" spans="1:17" x14ac:dyDescent="0.2">
      <c r="J37" s="5"/>
      <c r="K37" s="5"/>
      <c r="L37" s="5"/>
      <c r="M37" s="5"/>
      <c r="N37" s="5"/>
      <c r="O37" s="5"/>
    </row>
    <row r="38" spans="1:17" x14ac:dyDescent="0.2">
      <c r="J38" s="159"/>
      <c r="K38" s="159"/>
      <c r="L38" s="159"/>
      <c r="M38" s="159"/>
      <c r="N38" s="159"/>
      <c r="O38" s="159"/>
    </row>
  </sheetData>
  <autoFilter ref="A3:C32" xr:uid="{2751CF94-083D-4687-974F-49BC7B1306AE}"/>
  <mergeCells count="3">
    <mergeCell ref="I1:P1"/>
    <mergeCell ref="I2:K2"/>
    <mergeCell ref="L2:O2"/>
  </mergeCells>
  <pageMargins left="0.25" right="0.25" top="0.75" bottom="0.75" header="0.3" footer="0.3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for specification 2</vt:lpstr>
      <vt:lpstr>Specification 02 rev CO-05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Колядин Юрий Евгениевич</dc:creator>
  <cp:lastModifiedBy>Eduard Ellaryan</cp:lastModifiedBy>
  <cp:lastPrinted>2026-06-17T11:31:56Z</cp:lastPrinted>
  <dcterms:created xsi:type="dcterms:W3CDTF">2026-04-13T13:54:46Z</dcterms:created>
  <dcterms:modified xsi:type="dcterms:W3CDTF">2026-07-11T09:40:33Z</dcterms:modified>
</cp:coreProperties>
</file>